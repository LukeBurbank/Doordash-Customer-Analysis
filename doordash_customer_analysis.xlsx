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hidePivotFieldList="1"/>
  <mc:AlternateContent xmlns:mc="http://schemas.openxmlformats.org/markup-compatibility/2006">
    <mc:Choice Requires="x15">
      <x15ac:absPath xmlns:x15ac="http://schemas.microsoft.com/office/spreadsheetml/2010/11/ac" url="/Users/lukeburbank/Documents/"/>
    </mc:Choice>
  </mc:AlternateContent>
  <xr:revisionPtr revIDLastSave="0" documentId="8_{7FA60A47-ADB3-A24F-A694-51532084C70E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Main Data set" sheetId="1" r:id="rId1"/>
    <sheet name="Graphs" sheetId="3" r:id="rId2"/>
    <sheet name="Pivot Table" sheetId="4" r:id="rId3"/>
    <sheet name="Summary" sheetId="2" r:id="rId4"/>
    <sheet name="ID to Spent Tool" sheetId="5" r:id="rId5"/>
  </sheets>
  <definedNames>
    <definedName name="_xlnm._FilterDatabase" localSheetId="0" hidden="1">'Main Data set'!$A$1:$AN$2022</definedName>
    <definedName name="_xlnm._FilterDatabase" localSheetId="3" hidden="1">Summary!$G$1:$H$7</definedName>
    <definedName name="_xlchart.v1.0" hidden="1">Graphs!$B$1</definedName>
    <definedName name="_xlchart.v1.1" hidden="1">Graphs!$B$2:$B$2022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  <c r="C6" i="2"/>
  <c r="C2" i="2"/>
  <c r="C3" i="5"/>
  <c r="C4" i="5"/>
  <c r="C5" i="5"/>
  <c r="C6" i="5"/>
  <c r="C2" i="5"/>
  <c r="B5" i="5"/>
  <c r="B6" i="5"/>
  <c r="B3" i="5"/>
  <c r="B4" i="5"/>
  <c r="B2" i="5"/>
  <c r="AA2" i="1" a="1"/>
  <c r="AA2" i="1" s="1"/>
  <c r="AA3" i="1" a="1"/>
  <c r="AA3" i="1" s="1"/>
  <c r="AA4" i="1" a="1"/>
  <c r="AA4" i="1" s="1"/>
  <c r="AA5" i="1" a="1"/>
  <c r="AA5" i="1" s="1"/>
  <c r="AA6" i="1" a="1"/>
  <c r="AA6" i="1" s="1"/>
  <c r="AA7" i="1" a="1"/>
  <c r="AA7" i="1" s="1"/>
  <c r="AA8" i="1" a="1"/>
  <c r="AA8" i="1" s="1"/>
  <c r="AA9" i="1" a="1"/>
  <c r="AA9" i="1" s="1"/>
  <c r="AA10" i="1" a="1"/>
  <c r="AA10" i="1" s="1"/>
  <c r="AA11" i="1" a="1"/>
  <c r="AA11" i="1" s="1"/>
  <c r="AA12" i="1" a="1"/>
  <c r="AA12" i="1" s="1"/>
  <c r="AA13" i="1" a="1"/>
  <c r="AA13" i="1" s="1"/>
  <c r="AA14" i="1" a="1"/>
  <c r="AA14" i="1" s="1"/>
  <c r="AA15" i="1" a="1"/>
  <c r="AA15" i="1" s="1"/>
  <c r="AA16" i="1" a="1"/>
  <c r="AA16" i="1" s="1"/>
  <c r="AA17" i="1" a="1"/>
  <c r="AA17" i="1" s="1"/>
  <c r="AA18" i="1" a="1"/>
  <c r="AA18" i="1" s="1"/>
  <c r="AA19" i="1" a="1"/>
  <c r="AA19" i="1" s="1"/>
  <c r="AA20" i="1" a="1"/>
  <c r="AA20" i="1" s="1"/>
  <c r="AA21" i="1" a="1"/>
  <c r="AA21" i="1" s="1"/>
  <c r="AA22" i="1" a="1"/>
  <c r="AA22" i="1" s="1"/>
  <c r="AA23" i="1" a="1"/>
  <c r="AA23" i="1" s="1"/>
  <c r="AA24" i="1" a="1"/>
  <c r="AA24" i="1" s="1"/>
  <c r="AA25" i="1" a="1"/>
  <c r="AA25" i="1" s="1"/>
  <c r="AA26" i="1" a="1"/>
  <c r="AA26" i="1" s="1"/>
  <c r="AA27" i="1" a="1"/>
  <c r="AA27" i="1" s="1"/>
  <c r="AA28" i="1" a="1"/>
  <c r="AA28" i="1" s="1"/>
  <c r="AA29" i="1" a="1"/>
  <c r="AA29" i="1" s="1"/>
  <c r="AA30" i="1" a="1"/>
  <c r="AA30" i="1" s="1"/>
  <c r="AA31" i="1" a="1"/>
  <c r="AA31" i="1" s="1"/>
  <c r="AA32" i="1" a="1"/>
  <c r="AA32" i="1" s="1"/>
  <c r="AA33" i="1" a="1"/>
  <c r="AA33" i="1" s="1"/>
  <c r="AA34" i="1" a="1"/>
  <c r="AA34" i="1" s="1"/>
  <c r="AA35" i="1" a="1"/>
  <c r="AA35" i="1" s="1"/>
  <c r="AA36" i="1" a="1"/>
  <c r="AA36" i="1" s="1"/>
  <c r="AA37" i="1" a="1"/>
  <c r="AA37" i="1" s="1"/>
  <c r="AA38" i="1" a="1"/>
  <c r="AA38" i="1" s="1"/>
  <c r="AA39" i="1" a="1"/>
  <c r="AA39" i="1" s="1"/>
  <c r="AA40" i="1" a="1"/>
  <c r="AA40" i="1" s="1"/>
  <c r="AA41" i="1" a="1"/>
  <c r="AA41" i="1" s="1"/>
  <c r="AA42" i="1" a="1"/>
  <c r="AA42" i="1" s="1"/>
  <c r="AA43" i="1" a="1"/>
  <c r="AA43" i="1" s="1"/>
  <c r="AA44" i="1" a="1"/>
  <c r="AA44" i="1" s="1"/>
  <c r="AA45" i="1" a="1"/>
  <c r="AA45" i="1" s="1"/>
  <c r="AA46" i="1" a="1"/>
  <c r="AA46" i="1" s="1"/>
  <c r="AA47" i="1" a="1"/>
  <c r="AA47" i="1" s="1"/>
  <c r="AA48" i="1" a="1"/>
  <c r="AA48" i="1" s="1"/>
  <c r="AA49" i="1" a="1"/>
  <c r="AA49" i="1" s="1"/>
  <c r="AA50" i="1" a="1"/>
  <c r="AA50" i="1" s="1"/>
  <c r="AA51" i="1" a="1"/>
  <c r="AA51" i="1" s="1"/>
  <c r="AA52" i="1" a="1"/>
  <c r="AA52" i="1" s="1"/>
  <c r="AA53" i="1" a="1"/>
  <c r="AA53" i="1" s="1"/>
  <c r="AA54" i="1" a="1"/>
  <c r="AA54" i="1" s="1"/>
  <c r="AA55" i="1" a="1"/>
  <c r="AA55" i="1" s="1"/>
  <c r="AA56" i="1" a="1"/>
  <c r="AA56" i="1" s="1"/>
  <c r="AA57" i="1" a="1"/>
  <c r="AA57" i="1" s="1"/>
  <c r="AA58" i="1" a="1"/>
  <c r="AA58" i="1" s="1"/>
  <c r="AA59" i="1" a="1"/>
  <c r="AA59" i="1" s="1"/>
  <c r="AA60" i="1" a="1"/>
  <c r="AA60" i="1" s="1"/>
  <c r="AA61" i="1" a="1"/>
  <c r="AA61" i="1" s="1"/>
  <c r="AA62" i="1" a="1"/>
  <c r="AA62" i="1" s="1"/>
  <c r="AA63" i="1" a="1"/>
  <c r="AA63" i="1" s="1"/>
  <c r="AA64" i="1" a="1"/>
  <c r="AA64" i="1" s="1"/>
  <c r="AA65" i="1" a="1"/>
  <c r="AA65" i="1" s="1"/>
  <c r="AA66" i="1" a="1"/>
  <c r="AA66" i="1" s="1"/>
  <c r="AA67" i="1" a="1"/>
  <c r="AA67" i="1" s="1"/>
  <c r="AA68" i="1" a="1"/>
  <c r="AA68" i="1" s="1"/>
  <c r="AA69" i="1" a="1"/>
  <c r="AA69" i="1" s="1"/>
  <c r="AA70" i="1" a="1"/>
  <c r="AA70" i="1" s="1"/>
  <c r="AA71" i="1" a="1"/>
  <c r="AA71" i="1" s="1"/>
  <c r="AA72" i="1" a="1"/>
  <c r="AA72" i="1" s="1"/>
  <c r="AA73" i="1" a="1"/>
  <c r="AA73" i="1" s="1"/>
  <c r="AA74" i="1" a="1"/>
  <c r="AA74" i="1" s="1"/>
  <c r="AA75" i="1" a="1"/>
  <c r="AA75" i="1" s="1"/>
  <c r="AA76" i="1" a="1"/>
  <c r="AA76" i="1" s="1"/>
  <c r="AA77" i="1" a="1"/>
  <c r="AA77" i="1" s="1"/>
  <c r="AA78" i="1" a="1"/>
  <c r="AA78" i="1" s="1"/>
  <c r="AA79" i="1" a="1"/>
  <c r="AA79" i="1" s="1"/>
  <c r="AA80" i="1" a="1"/>
  <c r="AA80" i="1" s="1"/>
  <c r="AA81" i="1" a="1"/>
  <c r="AA81" i="1" s="1"/>
  <c r="AA82" i="1" a="1"/>
  <c r="AA82" i="1" s="1"/>
  <c r="AA83" i="1" a="1"/>
  <c r="AA83" i="1" s="1"/>
  <c r="AA84" i="1" a="1"/>
  <c r="AA84" i="1" s="1"/>
  <c r="AA85" i="1" a="1"/>
  <c r="AA85" i="1" s="1"/>
  <c r="AA86" i="1" a="1"/>
  <c r="AA86" i="1" s="1"/>
  <c r="AA87" i="1" a="1"/>
  <c r="AA87" i="1" s="1"/>
  <c r="AA88" i="1" a="1"/>
  <c r="AA88" i="1" s="1"/>
  <c r="AA89" i="1" a="1"/>
  <c r="AA89" i="1" s="1"/>
  <c r="AA90" i="1" a="1"/>
  <c r="AA90" i="1" s="1"/>
  <c r="AA91" i="1" a="1"/>
  <c r="AA91" i="1" s="1"/>
  <c r="AA92" i="1" a="1"/>
  <c r="AA92" i="1" s="1"/>
  <c r="AA93" i="1" a="1"/>
  <c r="AA93" i="1" s="1"/>
  <c r="AA94" i="1" a="1"/>
  <c r="AA94" i="1" s="1"/>
  <c r="AA95" i="1" a="1"/>
  <c r="AA95" i="1" s="1"/>
  <c r="AA96" i="1" a="1"/>
  <c r="AA96" i="1" s="1"/>
  <c r="AA97" i="1" a="1"/>
  <c r="AA97" i="1" s="1"/>
  <c r="AA98" i="1" a="1"/>
  <c r="AA98" i="1" s="1"/>
  <c r="AA99" i="1" a="1"/>
  <c r="AA99" i="1" s="1"/>
  <c r="AA100" i="1" a="1"/>
  <c r="AA100" i="1" s="1"/>
  <c r="AA101" i="1" a="1"/>
  <c r="AA101" i="1" s="1"/>
  <c r="AA102" i="1" a="1"/>
  <c r="AA102" i="1" s="1"/>
  <c r="AA103" i="1" a="1"/>
  <c r="AA103" i="1" s="1"/>
  <c r="AA104" i="1" a="1"/>
  <c r="AA104" i="1" s="1"/>
  <c r="AA105" i="1" a="1"/>
  <c r="AA105" i="1" s="1"/>
  <c r="AA106" i="1" a="1"/>
  <c r="AA106" i="1" s="1"/>
  <c r="AA107" i="1" a="1"/>
  <c r="AA107" i="1" s="1"/>
  <c r="AA108" i="1" a="1"/>
  <c r="AA108" i="1" s="1"/>
  <c r="AA109" i="1" a="1"/>
  <c r="AA109" i="1" s="1"/>
  <c r="AA110" i="1" a="1"/>
  <c r="AA110" i="1" s="1"/>
  <c r="AA111" i="1" a="1"/>
  <c r="AA111" i="1" s="1"/>
  <c r="AA112" i="1" a="1"/>
  <c r="AA112" i="1" s="1"/>
  <c r="AA113" i="1" a="1"/>
  <c r="AA113" i="1" s="1"/>
  <c r="AA114" i="1" a="1"/>
  <c r="AA114" i="1" s="1"/>
  <c r="AA115" i="1" a="1"/>
  <c r="AA115" i="1" s="1"/>
  <c r="AA116" i="1" a="1"/>
  <c r="AA116" i="1" s="1"/>
  <c r="AA117" i="1" a="1"/>
  <c r="AA117" i="1" s="1"/>
  <c r="AA118" i="1" a="1"/>
  <c r="AA118" i="1" s="1"/>
  <c r="AA119" i="1" a="1"/>
  <c r="AA119" i="1" s="1"/>
  <c r="AA120" i="1" a="1"/>
  <c r="AA120" i="1" s="1"/>
  <c r="AA121" i="1" a="1"/>
  <c r="AA121" i="1" s="1"/>
  <c r="AA122" i="1" a="1"/>
  <c r="AA122" i="1" s="1"/>
  <c r="AA123" i="1" a="1"/>
  <c r="AA123" i="1" s="1"/>
  <c r="AA124" i="1" a="1"/>
  <c r="AA124" i="1" s="1"/>
  <c r="AA125" i="1" a="1"/>
  <c r="AA125" i="1" s="1"/>
  <c r="AA126" i="1" a="1"/>
  <c r="AA126" i="1" s="1"/>
  <c r="AA127" i="1" a="1"/>
  <c r="AA127" i="1" s="1"/>
  <c r="AA128" i="1" a="1"/>
  <c r="AA128" i="1" s="1"/>
  <c r="AA129" i="1" a="1"/>
  <c r="AA129" i="1" s="1"/>
  <c r="AA130" i="1" a="1"/>
  <c r="AA130" i="1" s="1"/>
  <c r="AA131" i="1" a="1"/>
  <c r="AA131" i="1" s="1"/>
  <c r="AA132" i="1" a="1"/>
  <c r="AA132" i="1" s="1"/>
  <c r="AA133" i="1" a="1"/>
  <c r="AA133" i="1" s="1"/>
  <c r="AA134" i="1" a="1"/>
  <c r="AA134" i="1" s="1"/>
  <c r="AA135" i="1" a="1"/>
  <c r="AA135" i="1" s="1"/>
  <c r="AA136" i="1" a="1"/>
  <c r="AA136" i="1" s="1"/>
  <c r="AA137" i="1" a="1"/>
  <c r="AA137" i="1" s="1"/>
  <c r="AA138" i="1" a="1"/>
  <c r="AA138" i="1" s="1"/>
  <c r="AA139" i="1" a="1"/>
  <c r="AA139" i="1" s="1"/>
  <c r="AA140" i="1" a="1"/>
  <c r="AA140" i="1" s="1"/>
  <c r="AA141" i="1" a="1"/>
  <c r="AA141" i="1" s="1"/>
  <c r="AA142" i="1" a="1"/>
  <c r="AA142" i="1" s="1"/>
  <c r="AA143" i="1" a="1"/>
  <c r="AA143" i="1" s="1"/>
  <c r="AA144" i="1" a="1"/>
  <c r="AA144" i="1" s="1"/>
  <c r="AA145" i="1" a="1"/>
  <c r="AA145" i="1" s="1"/>
  <c r="AA146" i="1" a="1"/>
  <c r="AA146" i="1" s="1"/>
  <c r="AA147" i="1" a="1"/>
  <c r="AA147" i="1" s="1"/>
  <c r="AA148" i="1" a="1"/>
  <c r="AA148" i="1" s="1"/>
  <c r="AA149" i="1" a="1"/>
  <c r="AA149" i="1" s="1"/>
  <c r="AA150" i="1" a="1"/>
  <c r="AA150" i="1" s="1"/>
  <c r="AA151" i="1" a="1"/>
  <c r="AA151" i="1" s="1"/>
  <c r="AA152" i="1" a="1"/>
  <c r="AA152" i="1" s="1"/>
  <c r="AA153" i="1" a="1"/>
  <c r="AA153" i="1" s="1"/>
  <c r="AA154" i="1" a="1"/>
  <c r="AA154" i="1" s="1"/>
  <c r="AA155" i="1" a="1"/>
  <c r="AA155" i="1" s="1"/>
  <c r="AA156" i="1" a="1"/>
  <c r="AA156" i="1" s="1"/>
  <c r="AA157" i="1" a="1"/>
  <c r="AA157" i="1" s="1"/>
  <c r="AA158" i="1" a="1"/>
  <c r="AA158" i="1" s="1"/>
  <c r="AA159" i="1" a="1"/>
  <c r="AA159" i="1" s="1"/>
  <c r="AA160" i="1" a="1"/>
  <c r="AA160" i="1" s="1"/>
  <c r="AA161" i="1" a="1"/>
  <c r="AA161" i="1" s="1"/>
  <c r="AA162" i="1" a="1"/>
  <c r="AA162" i="1" s="1"/>
  <c r="AA163" i="1" a="1"/>
  <c r="AA163" i="1" s="1"/>
  <c r="AA164" i="1" a="1"/>
  <c r="AA164" i="1" s="1"/>
  <c r="AA165" i="1" a="1"/>
  <c r="AA165" i="1" s="1"/>
  <c r="AA166" i="1" a="1"/>
  <c r="AA166" i="1" s="1"/>
  <c r="AA167" i="1" a="1"/>
  <c r="AA167" i="1" s="1"/>
  <c r="AA168" i="1" a="1"/>
  <c r="AA168" i="1" s="1"/>
  <c r="AA169" i="1" a="1"/>
  <c r="AA169" i="1" s="1"/>
  <c r="AA170" i="1" a="1"/>
  <c r="AA170" i="1" s="1"/>
  <c r="AA171" i="1" a="1"/>
  <c r="AA171" i="1" s="1"/>
  <c r="AA172" i="1" a="1"/>
  <c r="AA172" i="1" s="1"/>
  <c r="AA173" i="1" a="1"/>
  <c r="AA173" i="1" s="1"/>
  <c r="AA174" i="1" a="1"/>
  <c r="AA174" i="1" s="1"/>
  <c r="AA175" i="1" a="1"/>
  <c r="AA175" i="1" s="1"/>
  <c r="AA176" i="1" a="1"/>
  <c r="AA176" i="1" s="1"/>
  <c r="AA177" i="1" a="1"/>
  <c r="AA177" i="1" s="1"/>
  <c r="AA178" i="1" a="1"/>
  <c r="AA178" i="1" s="1"/>
  <c r="AA179" i="1" a="1"/>
  <c r="AA179" i="1" s="1"/>
  <c r="AA180" i="1" a="1"/>
  <c r="AA180" i="1" s="1"/>
  <c r="AA181" i="1" a="1"/>
  <c r="AA181" i="1" s="1"/>
  <c r="AA182" i="1" a="1"/>
  <c r="AA182" i="1" s="1"/>
  <c r="AA183" i="1" a="1"/>
  <c r="AA183" i="1" s="1"/>
  <c r="AA184" i="1" a="1"/>
  <c r="AA184" i="1" s="1"/>
  <c r="AA185" i="1" a="1"/>
  <c r="AA185" i="1" s="1"/>
  <c r="AA186" i="1" a="1"/>
  <c r="AA186" i="1" s="1"/>
  <c r="AA187" i="1" a="1"/>
  <c r="AA187" i="1" s="1"/>
  <c r="AA188" i="1" a="1"/>
  <c r="AA188" i="1" s="1"/>
  <c r="AA189" i="1" a="1"/>
  <c r="AA189" i="1" s="1"/>
  <c r="AA190" i="1" a="1"/>
  <c r="AA190" i="1" s="1"/>
  <c r="AA191" i="1" a="1"/>
  <c r="AA191" i="1" s="1"/>
  <c r="AA192" i="1" a="1"/>
  <c r="AA192" i="1" s="1"/>
  <c r="AA193" i="1" a="1"/>
  <c r="AA193" i="1" s="1"/>
  <c r="AA194" i="1" a="1"/>
  <c r="AA194" i="1" s="1"/>
  <c r="AA195" i="1" a="1"/>
  <c r="AA195" i="1" s="1"/>
  <c r="AA196" i="1" a="1"/>
  <c r="AA196" i="1" s="1"/>
  <c r="AA197" i="1" a="1"/>
  <c r="AA197" i="1" s="1"/>
  <c r="AA198" i="1" a="1"/>
  <c r="AA198" i="1" s="1"/>
  <c r="AA199" i="1" a="1"/>
  <c r="AA199" i="1" s="1"/>
  <c r="AA200" i="1" a="1"/>
  <c r="AA200" i="1" s="1"/>
  <c r="AA201" i="1" a="1"/>
  <c r="AA201" i="1" s="1"/>
  <c r="AA202" i="1" a="1"/>
  <c r="AA202" i="1" s="1"/>
  <c r="AA203" i="1" a="1"/>
  <c r="AA203" i="1" s="1"/>
  <c r="AA204" i="1" a="1"/>
  <c r="AA204" i="1" s="1"/>
  <c r="AA205" i="1" a="1"/>
  <c r="AA205" i="1" s="1"/>
  <c r="AA206" i="1" a="1"/>
  <c r="AA206" i="1" s="1"/>
  <c r="AA207" i="1" a="1"/>
  <c r="AA207" i="1" s="1"/>
  <c r="AA208" i="1" a="1"/>
  <c r="AA208" i="1" s="1"/>
  <c r="AA209" i="1" a="1"/>
  <c r="AA209" i="1" s="1"/>
  <c r="AA210" i="1" a="1"/>
  <c r="AA210" i="1" s="1"/>
  <c r="AA211" i="1" a="1"/>
  <c r="AA211" i="1" s="1"/>
  <c r="AA212" i="1" a="1"/>
  <c r="AA212" i="1" s="1"/>
  <c r="AA213" i="1" a="1"/>
  <c r="AA213" i="1" s="1"/>
  <c r="AA214" i="1" a="1"/>
  <c r="AA214" i="1" s="1"/>
  <c r="AA215" i="1" a="1"/>
  <c r="AA215" i="1" s="1"/>
  <c r="AA216" i="1" a="1"/>
  <c r="AA216" i="1" s="1"/>
  <c r="AA217" i="1" a="1"/>
  <c r="AA217" i="1" s="1"/>
  <c r="AA218" i="1" a="1"/>
  <c r="AA218" i="1" s="1"/>
  <c r="AA219" i="1" a="1"/>
  <c r="AA219" i="1" s="1"/>
  <c r="AA220" i="1" a="1"/>
  <c r="AA220" i="1" s="1"/>
  <c r="AA221" i="1" a="1"/>
  <c r="AA221" i="1" s="1"/>
  <c r="AA222" i="1" a="1"/>
  <c r="AA222" i="1" s="1"/>
  <c r="AA223" i="1" a="1"/>
  <c r="AA223" i="1" s="1"/>
  <c r="AA224" i="1" a="1"/>
  <c r="AA224" i="1" s="1"/>
  <c r="AA225" i="1" a="1"/>
  <c r="AA225" i="1" s="1"/>
  <c r="AA226" i="1" a="1"/>
  <c r="AA226" i="1" s="1"/>
  <c r="AA227" i="1" a="1"/>
  <c r="AA227" i="1" s="1"/>
  <c r="AA228" i="1" a="1"/>
  <c r="AA228" i="1" s="1"/>
  <c r="AA229" i="1" a="1"/>
  <c r="AA229" i="1" s="1"/>
  <c r="AA230" i="1" a="1"/>
  <c r="AA230" i="1" s="1"/>
  <c r="AA231" i="1" a="1"/>
  <c r="AA231" i="1" s="1"/>
  <c r="AA232" i="1" a="1"/>
  <c r="AA232" i="1" s="1"/>
  <c r="AA233" i="1" a="1"/>
  <c r="AA233" i="1" s="1"/>
  <c r="AA234" i="1" a="1"/>
  <c r="AA234" i="1" s="1"/>
  <c r="AA235" i="1" a="1"/>
  <c r="AA235" i="1" s="1"/>
  <c r="AA236" i="1" a="1"/>
  <c r="AA236" i="1" s="1"/>
  <c r="AA237" i="1" a="1"/>
  <c r="AA237" i="1" s="1"/>
  <c r="AA238" i="1" a="1"/>
  <c r="AA238" i="1" s="1"/>
  <c r="AA239" i="1" a="1"/>
  <c r="AA239" i="1" s="1"/>
  <c r="AA240" i="1" a="1"/>
  <c r="AA240" i="1" s="1"/>
  <c r="AA241" i="1" a="1"/>
  <c r="AA241" i="1" s="1"/>
  <c r="AA242" i="1" a="1"/>
  <c r="AA242" i="1" s="1"/>
  <c r="AA243" i="1" a="1"/>
  <c r="AA243" i="1" s="1"/>
  <c r="AA244" i="1" a="1"/>
  <c r="AA244" i="1" s="1"/>
  <c r="AA245" i="1" a="1"/>
  <c r="AA245" i="1" s="1"/>
  <c r="AA246" i="1" a="1"/>
  <c r="AA246" i="1" s="1"/>
  <c r="AA247" i="1" a="1"/>
  <c r="AA247" i="1" s="1"/>
  <c r="AA248" i="1" a="1"/>
  <c r="AA248" i="1" s="1"/>
  <c r="AA249" i="1" a="1"/>
  <c r="AA249" i="1" s="1"/>
  <c r="AA250" i="1" a="1"/>
  <c r="AA250" i="1" s="1"/>
  <c r="AA251" i="1" a="1"/>
  <c r="AA251" i="1" s="1"/>
  <c r="AA252" i="1" a="1"/>
  <c r="AA252" i="1" s="1"/>
  <c r="AA253" i="1" a="1"/>
  <c r="AA253" i="1" s="1"/>
  <c r="AA254" i="1" a="1"/>
  <c r="AA254" i="1" s="1"/>
  <c r="AA255" i="1" a="1"/>
  <c r="AA255" i="1" s="1"/>
  <c r="AA256" i="1" a="1"/>
  <c r="AA256" i="1" s="1"/>
  <c r="AA257" i="1" a="1"/>
  <c r="AA257" i="1" s="1"/>
  <c r="AA258" i="1" a="1"/>
  <c r="AA258" i="1" s="1"/>
  <c r="AA259" i="1" a="1"/>
  <c r="AA259" i="1" s="1"/>
  <c r="AA260" i="1" a="1"/>
  <c r="AA260" i="1" s="1"/>
  <c r="AA261" i="1" a="1"/>
  <c r="AA261" i="1" s="1"/>
  <c r="AA262" i="1" a="1"/>
  <c r="AA262" i="1" s="1"/>
  <c r="AA263" i="1" a="1"/>
  <c r="AA263" i="1" s="1"/>
  <c r="AA264" i="1" a="1"/>
  <c r="AA264" i="1" s="1"/>
  <c r="AA265" i="1" a="1"/>
  <c r="AA265" i="1" s="1"/>
  <c r="AA266" i="1" a="1"/>
  <c r="AA266" i="1" s="1"/>
  <c r="AA267" i="1" a="1"/>
  <c r="AA267" i="1" s="1"/>
  <c r="AA268" i="1" a="1"/>
  <c r="AA268" i="1" s="1"/>
  <c r="AA269" i="1" a="1"/>
  <c r="AA269" i="1" s="1"/>
  <c r="AA270" i="1" a="1"/>
  <c r="AA270" i="1" s="1"/>
  <c r="AA271" i="1" a="1"/>
  <c r="AA271" i="1" s="1"/>
  <c r="AA272" i="1" a="1"/>
  <c r="AA272" i="1" s="1"/>
  <c r="AA273" i="1" a="1"/>
  <c r="AA273" i="1" s="1"/>
  <c r="AA274" i="1" a="1"/>
  <c r="AA274" i="1" s="1"/>
  <c r="AA275" i="1" a="1"/>
  <c r="AA275" i="1" s="1"/>
  <c r="AA276" i="1" a="1"/>
  <c r="AA276" i="1" s="1"/>
  <c r="AA277" i="1" a="1"/>
  <c r="AA277" i="1" s="1"/>
  <c r="AA278" i="1" a="1"/>
  <c r="AA278" i="1" s="1"/>
  <c r="AA279" i="1" a="1"/>
  <c r="AA279" i="1" s="1"/>
  <c r="AA280" i="1" a="1"/>
  <c r="AA280" i="1" s="1"/>
  <c r="AA281" i="1" a="1"/>
  <c r="AA281" i="1" s="1"/>
  <c r="AA282" i="1" a="1"/>
  <c r="AA282" i="1" s="1"/>
  <c r="AA283" i="1" a="1"/>
  <c r="AA283" i="1" s="1"/>
  <c r="AA284" i="1" a="1"/>
  <c r="AA284" i="1" s="1"/>
  <c r="AA285" i="1" a="1"/>
  <c r="AA285" i="1" s="1"/>
  <c r="AA286" i="1" a="1"/>
  <c r="AA286" i="1" s="1"/>
  <c r="AA287" i="1" a="1"/>
  <c r="AA287" i="1" s="1"/>
  <c r="AA288" i="1" a="1"/>
  <c r="AA288" i="1" s="1"/>
  <c r="AA289" i="1" a="1"/>
  <c r="AA289" i="1" s="1"/>
  <c r="AA290" i="1" a="1"/>
  <c r="AA290" i="1" s="1"/>
  <c r="AA291" i="1" a="1"/>
  <c r="AA291" i="1" s="1"/>
  <c r="AA292" i="1" a="1"/>
  <c r="AA292" i="1" s="1"/>
  <c r="AA293" i="1" a="1"/>
  <c r="AA293" i="1" s="1"/>
  <c r="AA294" i="1" a="1"/>
  <c r="AA294" i="1" s="1"/>
  <c r="AA295" i="1" a="1"/>
  <c r="AA295" i="1" s="1"/>
  <c r="AA296" i="1" a="1"/>
  <c r="AA296" i="1" s="1"/>
  <c r="AA297" i="1" a="1"/>
  <c r="AA297" i="1" s="1"/>
  <c r="AA298" i="1" a="1"/>
  <c r="AA298" i="1" s="1"/>
  <c r="AA299" i="1" a="1"/>
  <c r="AA299" i="1" s="1"/>
  <c r="AA300" i="1" a="1"/>
  <c r="AA300" i="1" s="1"/>
  <c r="AA301" i="1" a="1"/>
  <c r="AA301" i="1" s="1"/>
  <c r="AA302" i="1" a="1"/>
  <c r="AA302" i="1" s="1"/>
  <c r="AA303" i="1" a="1"/>
  <c r="AA303" i="1" s="1"/>
  <c r="AA304" i="1" a="1"/>
  <c r="AA304" i="1" s="1"/>
  <c r="AA305" i="1" a="1"/>
  <c r="AA305" i="1" s="1"/>
  <c r="AA306" i="1" a="1"/>
  <c r="AA306" i="1" s="1"/>
  <c r="AA307" i="1" a="1"/>
  <c r="AA307" i="1" s="1"/>
  <c r="AA308" i="1" a="1"/>
  <c r="AA308" i="1" s="1"/>
  <c r="AA309" i="1" a="1"/>
  <c r="AA309" i="1" s="1"/>
  <c r="AA310" i="1" a="1"/>
  <c r="AA310" i="1" s="1"/>
  <c r="AA311" i="1" a="1"/>
  <c r="AA311" i="1" s="1"/>
  <c r="AA312" i="1" a="1"/>
  <c r="AA312" i="1" s="1"/>
  <c r="AA313" i="1" a="1"/>
  <c r="AA313" i="1" s="1"/>
  <c r="AA314" i="1" a="1"/>
  <c r="AA314" i="1" s="1"/>
  <c r="AA315" i="1" a="1"/>
  <c r="AA315" i="1" s="1"/>
  <c r="AA316" i="1" a="1"/>
  <c r="AA316" i="1" s="1"/>
  <c r="AA317" i="1" a="1"/>
  <c r="AA317" i="1" s="1"/>
  <c r="AA318" i="1" a="1"/>
  <c r="AA318" i="1" s="1"/>
  <c r="AA319" i="1" a="1"/>
  <c r="AA319" i="1" s="1"/>
  <c r="AA320" i="1" a="1"/>
  <c r="AA320" i="1" s="1"/>
  <c r="AA321" i="1" a="1"/>
  <c r="AA321" i="1" s="1"/>
  <c r="AA322" i="1" a="1"/>
  <c r="AA322" i="1" s="1"/>
  <c r="AA323" i="1" a="1"/>
  <c r="AA323" i="1" s="1"/>
  <c r="AA324" i="1" a="1"/>
  <c r="AA324" i="1" s="1"/>
  <c r="AA325" i="1" a="1"/>
  <c r="AA325" i="1" s="1"/>
  <c r="AA326" i="1" a="1"/>
  <c r="AA326" i="1" s="1"/>
  <c r="AA327" i="1" a="1"/>
  <c r="AA327" i="1" s="1"/>
  <c r="AA328" i="1" a="1"/>
  <c r="AA328" i="1" s="1"/>
  <c r="AA329" i="1" a="1"/>
  <c r="AA329" i="1" s="1"/>
  <c r="AA330" i="1" a="1"/>
  <c r="AA330" i="1" s="1"/>
  <c r="AA331" i="1" a="1"/>
  <c r="AA331" i="1" s="1"/>
  <c r="AA332" i="1" a="1"/>
  <c r="AA332" i="1" s="1"/>
  <c r="AA333" i="1" a="1"/>
  <c r="AA333" i="1" s="1"/>
  <c r="AA334" i="1" a="1"/>
  <c r="AA334" i="1" s="1"/>
  <c r="AA335" i="1" a="1"/>
  <c r="AA335" i="1" s="1"/>
  <c r="AA336" i="1" a="1"/>
  <c r="AA336" i="1" s="1"/>
  <c r="AA337" i="1" a="1"/>
  <c r="AA337" i="1" s="1"/>
  <c r="AA338" i="1" a="1"/>
  <c r="AA338" i="1" s="1"/>
  <c r="AA339" i="1" a="1"/>
  <c r="AA339" i="1" s="1"/>
  <c r="AA340" i="1" a="1"/>
  <c r="AA340" i="1" s="1"/>
  <c r="AA341" i="1" a="1"/>
  <c r="AA341" i="1" s="1"/>
  <c r="AA342" i="1" a="1"/>
  <c r="AA342" i="1" s="1"/>
  <c r="AA343" i="1" a="1"/>
  <c r="AA343" i="1" s="1"/>
  <c r="AA344" i="1" a="1"/>
  <c r="AA344" i="1" s="1"/>
  <c r="AA345" i="1" a="1"/>
  <c r="AA345" i="1" s="1"/>
  <c r="AA346" i="1" a="1"/>
  <c r="AA346" i="1" s="1"/>
  <c r="AA347" i="1" a="1"/>
  <c r="AA347" i="1" s="1"/>
  <c r="AA348" i="1" a="1"/>
  <c r="AA348" i="1" s="1"/>
  <c r="AA349" i="1" a="1"/>
  <c r="AA349" i="1" s="1"/>
  <c r="AA350" i="1" a="1"/>
  <c r="AA350" i="1" s="1"/>
  <c r="AA351" i="1" a="1"/>
  <c r="AA351" i="1" s="1"/>
  <c r="AA352" i="1" a="1"/>
  <c r="AA352" i="1" s="1"/>
  <c r="AA353" i="1" a="1"/>
  <c r="AA353" i="1" s="1"/>
  <c r="AA354" i="1" a="1"/>
  <c r="AA354" i="1" s="1"/>
  <c r="AA355" i="1" a="1"/>
  <c r="AA355" i="1" s="1"/>
  <c r="AA356" i="1" a="1"/>
  <c r="AA356" i="1" s="1"/>
  <c r="AA357" i="1" a="1"/>
  <c r="AA357" i="1" s="1"/>
  <c r="AA358" i="1" a="1"/>
  <c r="AA358" i="1" s="1"/>
  <c r="AA359" i="1" a="1"/>
  <c r="AA359" i="1" s="1"/>
  <c r="AA360" i="1" a="1"/>
  <c r="AA360" i="1" s="1"/>
  <c r="AA361" i="1" a="1"/>
  <c r="AA361" i="1" s="1"/>
  <c r="AA362" i="1" a="1"/>
  <c r="AA362" i="1" s="1"/>
  <c r="AA363" i="1" a="1"/>
  <c r="AA363" i="1" s="1"/>
  <c r="AA364" i="1" a="1"/>
  <c r="AA364" i="1" s="1"/>
  <c r="AA365" i="1" a="1"/>
  <c r="AA365" i="1" s="1"/>
  <c r="AA366" i="1" a="1"/>
  <c r="AA366" i="1" s="1"/>
  <c r="AA367" i="1" a="1"/>
  <c r="AA367" i="1" s="1"/>
  <c r="AA368" i="1" a="1"/>
  <c r="AA368" i="1" s="1"/>
  <c r="AA369" i="1" a="1"/>
  <c r="AA369" i="1" s="1"/>
  <c r="AA370" i="1" a="1"/>
  <c r="AA370" i="1" s="1"/>
  <c r="AA371" i="1" a="1"/>
  <c r="AA371" i="1" s="1"/>
  <c r="AA372" i="1" a="1"/>
  <c r="AA372" i="1" s="1"/>
  <c r="AA373" i="1" a="1"/>
  <c r="AA373" i="1" s="1"/>
  <c r="AA374" i="1" a="1"/>
  <c r="AA374" i="1" s="1"/>
  <c r="AA375" i="1" a="1"/>
  <c r="AA375" i="1" s="1"/>
  <c r="AA376" i="1" a="1"/>
  <c r="AA376" i="1" s="1"/>
  <c r="AA377" i="1" a="1"/>
  <c r="AA377" i="1" s="1"/>
  <c r="AA378" i="1" a="1"/>
  <c r="AA378" i="1" s="1"/>
  <c r="AA379" i="1" a="1"/>
  <c r="AA379" i="1" s="1"/>
  <c r="AA380" i="1" a="1"/>
  <c r="AA380" i="1" s="1"/>
  <c r="AA381" i="1" a="1"/>
  <c r="AA381" i="1" s="1"/>
  <c r="AA382" i="1" a="1"/>
  <c r="AA382" i="1" s="1"/>
  <c r="AA383" i="1" a="1"/>
  <c r="AA383" i="1" s="1"/>
  <c r="AA384" i="1" a="1"/>
  <c r="AA384" i="1" s="1"/>
  <c r="AA385" i="1" a="1"/>
  <c r="AA385" i="1" s="1"/>
  <c r="AA386" i="1" a="1"/>
  <c r="AA386" i="1" s="1"/>
  <c r="AA387" i="1" a="1"/>
  <c r="AA387" i="1" s="1"/>
  <c r="AA388" i="1" a="1"/>
  <c r="AA388" i="1" s="1"/>
  <c r="AA389" i="1" a="1"/>
  <c r="AA389" i="1" s="1"/>
  <c r="AA390" i="1" a="1"/>
  <c r="AA390" i="1" s="1"/>
  <c r="AA391" i="1" a="1"/>
  <c r="AA391" i="1" s="1"/>
  <c r="AA392" i="1" a="1"/>
  <c r="AA392" i="1" s="1"/>
  <c r="AA393" i="1" a="1"/>
  <c r="AA393" i="1" s="1"/>
  <c r="AA394" i="1" a="1"/>
  <c r="AA394" i="1" s="1"/>
  <c r="AA395" i="1" a="1"/>
  <c r="AA395" i="1" s="1"/>
  <c r="AA396" i="1" a="1"/>
  <c r="AA396" i="1" s="1"/>
  <c r="AA397" i="1" a="1"/>
  <c r="AA397" i="1" s="1"/>
  <c r="AA398" i="1" a="1"/>
  <c r="AA398" i="1" s="1"/>
  <c r="AA399" i="1" a="1"/>
  <c r="AA399" i="1" s="1"/>
  <c r="AA400" i="1" a="1"/>
  <c r="AA400" i="1" s="1"/>
  <c r="AA401" i="1" a="1"/>
  <c r="AA401" i="1" s="1"/>
  <c r="AA402" i="1" a="1"/>
  <c r="AA402" i="1" s="1"/>
  <c r="AA403" i="1" a="1"/>
  <c r="AA403" i="1" s="1"/>
  <c r="AA404" i="1" a="1"/>
  <c r="AA404" i="1" s="1"/>
  <c r="AA405" i="1" a="1"/>
  <c r="AA405" i="1" s="1"/>
  <c r="AA406" i="1" a="1"/>
  <c r="AA406" i="1" s="1"/>
  <c r="AA407" i="1" a="1"/>
  <c r="AA407" i="1" s="1"/>
  <c r="AA408" i="1" a="1"/>
  <c r="AA408" i="1" s="1"/>
  <c r="AA409" i="1" a="1"/>
  <c r="AA409" i="1" s="1"/>
  <c r="AA410" i="1" a="1"/>
  <c r="AA410" i="1" s="1"/>
  <c r="AA411" i="1" a="1"/>
  <c r="AA411" i="1" s="1"/>
  <c r="AA412" i="1" a="1"/>
  <c r="AA412" i="1" s="1"/>
  <c r="AA413" i="1" a="1"/>
  <c r="AA413" i="1" s="1"/>
  <c r="AA414" i="1" a="1"/>
  <c r="AA414" i="1" s="1"/>
  <c r="AA415" i="1" a="1"/>
  <c r="AA415" i="1" s="1"/>
  <c r="AA416" i="1" a="1"/>
  <c r="AA416" i="1" s="1"/>
  <c r="AA417" i="1" a="1"/>
  <c r="AA417" i="1" s="1"/>
  <c r="AA418" i="1" a="1"/>
  <c r="AA418" i="1" s="1"/>
  <c r="AA419" i="1" a="1"/>
  <c r="AA419" i="1" s="1"/>
  <c r="AA420" i="1" a="1"/>
  <c r="AA420" i="1" s="1"/>
  <c r="AA421" i="1" a="1"/>
  <c r="AA421" i="1" s="1"/>
  <c r="AA422" i="1" a="1"/>
  <c r="AA422" i="1" s="1"/>
  <c r="AA423" i="1" a="1"/>
  <c r="AA423" i="1" s="1"/>
  <c r="AA424" i="1" a="1"/>
  <c r="AA424" i="1" s="1"/>
  <c r="AA425" i="1" a="1"/>
  <c r="AA425" i="1" s="1"/>
  <c r="AA426" i="1" a="1"/>
  <c r="AA426" i="1" s="1"/>
  <c r="AA427" i="1" a="1"/>
  <c r="AA427" i="1" s="1"/>
  <c r="AA428" i="1" a="1"/>
  <c r="AA428" i="1" s="1"/>
  <c r="AA429" i="1" a="1"/>
  <c r="AA429" i="1" s="1"/>
  <c r="AA430" i="1" a="1"/>
  <c r="AA430" i="1" s="1"/>
  <c r="AA431" i="1" a="1"/>
  <c r="AA431" i="1" s="1"/>
  <c r="AA432" i="1" a="1"/>
  <c r="AA432" i="1" s="1"/>
  <c r="AA433" i="1" a="1"/>
  <c r="AA433" i="1" s="1"/>
  <c r="AA434" i="1" a="1"/>
  <c r="AA434" i="1" s="1"/>
  <c r="AA435" i="1" a="1"/>
  <c r="AA435" i="1" s="1"/>
  <c r="AA436" i="1" a="1"/>
  <c r="AA436" i="1" s="1"/>
  <c r="AA437" i="1" a="1"/>
  <c r="AA437" i="1" s="1"/>
  <c r="AA438" i="1" a="1"/>
  <c r="AA438" i="1" s="1"/>
  <c r="AA439" i="1" a="1"/>
  <c r="AA439" i="1" s="1"/>
  <c r="AA440" i="1" a="1"/>
  <c r="AA440" i="1" s="1"/>
  <c r="AA441" i="1" a="1"/>
  <c r="AA441" i="1" s="1"/>
  <c r="AA442" i="1" a="1"/>
  <c r="AA442" i="1" s="1"/>
  <c r="AA443" i="1" a="1"/>
  <c r="AA443" i="1" s="1"/>
  <c r="AA444" i="1" a="1"/>
  <c r="AA444" i="1" s="1"/>
  <c r="AA445" i="1" a="1"/>
  <c r="AA445" i="1" s="1"/>
  <c r="AA446" i="1" a="1"/>
  <c r="AA446" i="1" s="1"/>
  <c r="AA447" i="1" a="1"/>
  <c r="AA447" i="1" s="1"/>
  <c r="AA448" i="1" a="1"/>
  <c r="AA448" i="1" s="1"/>
  <c r="AA449" i="1" a="1"/>
  <c r="AA449" i="1" s="1"/>
  <c r="AA450" i="1" a="1"/>
  <c r="AA450" i="1" s="1"/>
  <c r="AA451" i="1" a="1"/>
  <c r="AA451" i="1" s="1"/>
  <c r="AA452" i="1" a="1"/>
  <c r="AA452" i="1" s="1"/>
  <c r="AA453" i="1" a="1"/>
  <c r="AA453" i="1" s="1"/>
  <c r="AA454" i="1" a="1"/>
  <c r="AA454" i="1" s="1"/>
  <c r="AA455" i="1" a="1"/>
  <c r="AA455" i="1" s="1"/>
  <c r="AA456" i="1" a="1"/>
  <c r="AA456" i="1" s="1"/>
  <c r="AA457" i="1" a="1"/>
  <c r="AA457" i="1" s="1"/>
  <c r="AA458" i="1" a="1"/>
  <c r="AA458" i="1" s="1"/>
  <c r="AA459" i="1" a="1"/>
  <c r="AA459" i="1" s="1"/>
  <c r="AA460" i="1" a="1"/>
  <c r="AA460" i="1" s="1"/>
  <c r="AA461" i="1" a="1"/>
  <c r="AA461" i="1" s="1"/>
  <c r="AA462" i="1" a="1"/>
  <c r="AA462" i="1" s="1"/>
  <c r="AA463" i="1" a="1"/>
  <c r="AA463" i="1" s="1"/>
  <c r="AA464" i="1" a="1"/>
  <c r="AA464" i="1" s="1"/>
  <c r="AA465" i="1" a="1"/>
  <c r="AA465" i="1" s="1"/>
  <c r="AA466" i="1" a="1"/>
  <c r="AA466" i="1" s="1"/>
  <c r="AA467" i="1" a="1"/>
  <c r="AA467" i="1" s="1"/>
  <c r="AA468" i="1" a="1"/>
  <c r="AA468" i="1" s="1"/>
  <c r="AA469" i="1" a="1"/>
  <c r="AA469" i="1" s="1"/>
  <c r="AA470" i="1" a="1"/>
  <c r="AA470" i="1" s="1"/>
  <c r="AA471" i="1" a="1"/>
  <c r="AA471" i="1" s="1"/>
  <c r="AA472" i="1" a="1"/>
  <c r="AA472" i="1" s="1"/>
  <c r="AA473" i="1" a="1"/>
  <c r="AA473" i="1" s="1"/>
  <c r="AA474" i="1" a="1"/>
  <c r="AA474" i="1" s="1"/>
  <c r="AA475" i="1" a="1"/>
  <c r="AA475" i="1" s="1"/>
  <c r="AA476" i="1" a="1"/>
  <c r="AA476" i="1" s="1"/>
  <c r="AA477" i="1" a="1"/>
  <c r="AA477" i="1" s="1"/>
  <c r="AA478" i="1" a="1"/>
  <c r="AA478" i="1" s="1"/>
  <c r="AA479" i="1" a="1"/>
  <c r="AA479" i="1" s="1"/>
  <c r="AA480" i="1" a="1"/>
  <c r="AA480" i="1" s="1"/>
  <c r="AA481" i="1" a="1"/>
  <c r="AA481" i="1" s="1"/>
  <c r="AA482" i="1" a="1"/>
  <c r="AA482" i="1" s="1"/>
  <c r="AA483" i="1" a="1"/>
  <c r="AA483" i="1" s="1"/>
  <c r="AA484" i="1" a="1"/>
  <c r="AA484" i="1" s="1"/>
  <c r="AA485" i="1" a="1"/>
  <c r="AA485" i="1" s="1"/>
  <c r="AA486" i="1" a="1"/>
  <c r="AA486" i="1" s="1"/>
  <c r="AA487" i="1" a="1"/>
  <c r="AA487" i="1" s="1"/>
  <c r="AA488" i="1" a="1"/>
  <c r="AA488" i="1" s="1"/>
  <c r="AA489" i="1" a="1"/>
  <c r="AA489" i="1" s="1"/>
  <c r="AA490" i="1" a="1"/>
  <c r="AA490" i="1" s="1"/>
  <c r="AA491" i="1" a="1"/>
  <c r="AA491" i="1" s="1"/>
  <c r="AA492" i="1" a="1"/>
  <c r="AA492" i="1" s="1"/>
  <c r="AA493" i="1" a="1"/>
  <c r="AA493" i="1" s="1"/>
  <c r="AA494" i="1" a="1"/>
  <c r="AA494" i="1" s="1"/>
  <c r="AA495" i="1" a="1"/>
  <c r="AA495" i="1" s="1"/>
  <c r="AA496" i="1" a="1"/>
  <c r="AA496" i="1" s="1"/>
  <c r="AA497" i="1" a="1"/>
  <c r="AA497" i="1" s="1"/>
  <c r="AA498" i="1" a="1"/>
  <c r="AA498" i="1" s="1"/>
  <c r="AA499" i="1" a="1"/>
  <c r="AA499" i="1" s="1"/>
  <c r="AA500" i="1" a="1"/>
  <c r="AA500" i="1" s="1"/>
  <c r="AA501" i="1" a="1"/>
  <c r="AA501" i="1" s="1"/>
  <c r="AA502" i="1" a="1"/>
  <c r="AA502" i="1" s="1"/>
  <c r="AA503" i="1" a="1"/>
  <c r="AA503" i="1" s="1"/>
  <c r="AA504" i="1" a="1"/>
  <c r="AA504" i="1" s="1"/>
  <c r="AA505" i="1" a="1"/>
  <c r="AA505" i="1" s="1"/>
  <c r="AA506" i="1" a="1"/>
  <c r="AA506" i="1" s="1"/>
  <c r="AA507" i="1" a="1"/>
  <c r="AA507" i="1" s="1"/>
  <c r="AA508" i="1" a="1"/>
  <c r="AA508" i="1" s="1"/>
  <c r="AA509" i="1" a="1"/>
  <c r="AA509" i="1" s="1"/>
  <c r="AA510" i="1" a="1"/>
  <c r="AA510" i="1" s="1"/>
  <c r="AA511" i="1" a="1"/>
  <c r="AA511" i="1" s="1"/>
  <c r="AA512" i="1" a="1"/>
  <c r="AA512" i="1" s="1"/>
  <c r="AA513" i="1" a="1"/>
  <c r="AA513" i="1" s="1"/>
  <c r="AA514" i="1" a="1"/>
  <c r="AA514" i="1" s="1"/>
  <c r="AA515" i="1" a="1"/>
  <c r="AA515" i="1" s="1"/>
  <c r="AA516" i="1" a="1"/>
  <c r="AA516" i="1" s="1"/>
  <c r="AA517" i="1" a="1"/>
  <c r="AA517" i="1" s="1"/>
  <c r="AA518" i="1" a="1"/>
  <c r="AA518" i="1" s="1"/>
  <c r="AA519" i="1" a="1"/>
  <c r="AA519" i="1" s="1"/>
  <c r="AA520" i="1" a="1"/>
  <c r="AA520" i="1" s="1"/>
  <c r="AA521" i="1" a="1"/>
  <c r="AA521" i="1" s="1"/>
  <c r="AA522" i="1" a="1"/>
  <c r="AA522" i="1" s="1"/>
  <c r="AA523" i="1" a="1"/>
  <c r="AA523" i="1" s="1"/>
  <c r="AA524" i="1" a="1"/>
  <c r="AA524" i="1" s="1"/>
  <c r="AA525" i="1" a="1"/>
  <c r="AA525" i="1" s="1"/>
  <c r="AA526" i="1" a="1"/>
  <c r="AA526" i="1" s="1"/>
  <c r="AA527" i="1" a="1"/>
  <c r="AA527" i="1" s="1"/>
  <c r="AA528" i="1" a="1"/>
  <c r="AA528" i="1" s="1"/>
  <c r="AA529" i="1" a="1"/>
  <c r="AA529" i="1" s="1"/>
  <c r="AA530" i="1" a="1"/>
  <c r="AA530" i="1" s="1"/>
  <c r="AA531" i="1" a="1"/>
  <c r="AA531" i="1" s="1"/>
  <c r="AA532" i="1" a="1"/>
  <c r="AA532" i="1" s="1"/>
  <c r="AA533" i="1" a="1"/>
  <c r="AA533" i="1" s="1"/>
  <c r="AA534" i="1" a="1"/>
  <c r="AA534" i="1" s="1"/>
  <c r="AA535" i="1" a="1"/>
  <c r="AA535" i="1" s="1"/>
  <c r="AA536" i="1" a="1"/>
  <c r="AA536" i="1" s="1"/>
  <c r="AA537" i="1" a="1"/>
  <c r="AA537" i="1" s="1"/>
  <c r="AA538" i="1" a="1"/>
  <c r="AA538" i="1" s="1"/>
  <c r="AA539" i="1" a="1"/>
  <c r="AA539" i="1" s="1"/>
  <c r="AA540" i="1" a="1"/>
  <c r="AA540" i="1" s="1"/>
  <c r="AA541" i="1" a="1"/>
  <c r="AA541" i="1" s="1"/>
  <c r="AA542" i="1" a="1"/>
  <c r="AA542" i="1" s="1"/>
  <c r="AA543" i="1" a="1"/>
  <c r="AA543" i="1" s="1"/>
  <c r="AA544" i="1" a="1"/>
  <c r="AA544" i="1" s="1"/>
  <c r="AA545" i="1" a="1"/>
  <c r="AA545" i="1" s="1"/>
  <c r="AA546" i="1" a="1"/>
  <c r="AA546" i="1" s="1"/>
  <c r="AA547" i="1" a="1"/>
  <c r="AA547" i="1" s="1"/>
  <c r="AA548" i="1" a="1"/>
  <c r="AA548" i="1" s="1"/>
  <c r="AA549" i="1" a="1"/>
  <c r="AA549" i="1" s="1"/>
  <c r="AA550" i="1" a="1"/>
  <c r="AA550" i="1" s="1"/>
  <c r="AA551" i="1" a="1"/>
  <c r="AA551" i="1" s="1"/>
  <c r="AA552" i="1" a="1"/>
  <c r="AA552" i="1" s="1"/>
  <c r="AA553" i="1" a="1"/>
  <c r="AA553" i="1" s="1"/>
  <c r="AA554" i="1" a="1"/>
  <c r="AA554" i="1" s="1"/>
  <c r="AA555" i="1" a="1"/>
  <c r="AA555" i="1" s="1"/>
  <c r="AA556" i="1" a="1"/>
  <c r="AA556" i="1" s="1"/>
  <c r="AA557" i="1" a="1"/>
  <c r="AA557" i="1" s="1"/>
  <c r="AA558" i="1" a="1"/>
  <c r="AA558" i="1" s="1"/>
  <c r="AA559" i="1" a="1"/>
  <c r="AA559" i="1" s="1"/>
  <c r="AA560" i="1" a="1"/>
  <c r="AA560" i="1" s="1"/>
  <c r="AA561" i="1" a="1"/>
  <c r="AA561" i="1" s="1"/>
  <c r="AA562" i="1" a="1"/>
  <c r="AA562" i="1" s="1"/>
  <c r="AA563" i="1" a="1"/>
  <c r="AA563" i="1" s="1"/>
  <c r="AA564" i="1" a="1"/>
  <c r="AA564" i="1" s="1"/>
  <c r="AA565" i="1" a="1"/>
  <c r="AA565" i="1" s="1"/>
  <c r="AA566" i="1" a="1"/>
  <c r="AA566" i="1" s="1"/>
  <c r="AA567" i="1" a="1"/>
  <c r="AA567" i="1" s="1"/>
  <c r="AA568" i="1" a="1"/>
  <c r="AA568" i="1" s="1"/>
  <c r="AA569" i="1" a="1"/>
  <c r="AA569" i="1" s="1"/>
  <c r="AA570" i="1" a="1"/>
  <c r="AA570" i="1" s="1"/>
  <c r="AA571" i="1" a="1"/>
  <c r="AA571" i="1" s="1"/>
  <c r="AA572" i="1" a="1"/>
  <c r="AA572" i="1" s="1"/>
  <c r="AA573" i="1" a="1"/>
  <c r="AA573" i="1" s="1"/>
  <c r="AA574" i="1" a="1"/>
  <c r="AA574" i="1" s="1"/>
  <c r="AA575" i="1" a="1"/>
  <c r="AA575" i="1" s="1"/>
  <c r="AA576" i="1" a="1"/>
  <c r="AA576" i="1" s="1"/>
  <c r="AA577" i="1" a="1"/>
  <c r="AA577" i="1" s="1"/>
  <c r="AA578" i="1" a="1"/>
  <c r="AA578" i="1" s="1"/>
  <c r="AA579" i="1" a="1"/>
  <c r="AA579" i="1" s="1"/>
  <c r="AA580" i="1" a="1"/>
  <c r="AA580" i="1" s="1"/>
  <c r="AA581" i="1" a="1"/>
  <c r="AA581" i="1" s="1"/>
  <c r="AA582" i="1" a="1"/>
  <c r="AA582" i="1" s="1"/>
  <c r="AA583" i="1" a="1"/>
  <c r="AA583" i="1" s="1"/>
  <c r="AA584" i="1" a="1"/>
  <c r="AA584" i="1" s="1"/>
  <c r="AA585" i="1" a="1"/>
  <c r="AA585" i="1" s="1"/>
  <c r="AA586" i="1" a="1"/>
  <c r="AA586" i="1" s="1"/>
  <c r="AA587" i="1" a="1"/>
  <c r="AA587" i="1" s="1"/>
  <c r="AA588" i="1" a="1"/>
  <c r="AA588" i="1" s="1"/>
  <c r="AA589" i="1" a="1"/>
  <c r="AA589" i="1" s="1"/>
  <c r="AA590" i="1" a="1"/>
  <c r="AA590" i="1" s="1"/>
  <c r="AA591" i="1" a="1"/>
  <c r="AA591" i="1" s="1"/>
  <c r="AA592" i="1" a="1"/>
  <c r="AA592" i="1" s="1"/>
  <c r="AA593" i="1" a="1"/>
  <c r="AA593" i="1" s="1"/>
  <c r="AA594" i="1" a="1"/>
  <c r="AA594" i="1" s="1"/>
  <c r="AA595" i="1" a="1"/>
  <c r="AA595" i="1" s="1"/>
  <c r="AA596" i="1" a="1"/>
  <c r="AA596" i="1" s="1"/>
  <c r="AA597" i="1" a="1"/>
  <c r="AA597" i="1" s="1"/>
  <c r="AA598" i="1" a="1"/>
  <c r="AA598" i="1" s="1"/>
  <c r="AA599" i="1" a="1"/>
  <c r="AA599" i="1" s="1"/>
  <c r="AA600" i="1" a="1"/>
  <c r="AA600" i="1" s="1"/>
  <c r="AA601" i="1" a="1"/>
  <c r="AA601" i="1" s="1"/>
  <c r="AA602" i="1" a="1"/>
  <c r="AA602" i="1" s="1"/>
  <c r="AA603" i="1" a="1"/>
  <c r="AA603" i="1" s="1"/>
  <c r="AA604" i="1" a="1"/>
  <c r="AA604" i="1" s="1"/>
  <c r="AA605" i="1" a="1"/>
  <c r="AA605" i="1" s="1"/>
  <c r="AA606" i="1" a="1"/>
  <c r="AA606" i="1" s="1"/>
  <c r="AA607" i="1" a="1"/>
  <c r="AA607" i="1" s="1"/>
  <c r="AA608" i="1" a="1"/>
  <c r="AA608" i="1" s="1"/>
  <c r="AA609" i="1" a="1"/>
  <c r="AA609" i="1" s="1"/>
  <c r="AA610" i="1" a="1"/>
  <c r="AA610" i="1" s="1"/>
  <c r="AA611" i="1" a="1"/>
  <c r="AA611" i="1" s="1"/>
  <c r="AA612" i="1" a="1"/>
  <c r="AA612" i="1" s="1"/>
  <c r="AA613" i="1" a="1"/>
  <c r="AA613" i="1" s="1"/>
  <c r="AA614" i="1" a="1"/>
  <c r="AA614" i="1" s="1"/>
  <c r="AA615" i="1" a="1"/>
  <c r="AA615" i="1" s="1"/>
  <c r="AA616" i="1" a="1"/>
  <c r="AA616" i="1" s="1"/>
  <c r="AA617" i="1" a="1"/>
  <c r="AA617" i="1" s="1"/>
  <c r="AA618" i="1" a="1"/>
  <c r="AA618" i="1" s="1"/>
  <c r="AA619" i="1" a="1"/>
  <c r="AA619" i="1" s="1"/>
  <c r="AA620" i="1" a="1"/>
  <c r="AA620" i="1" s="1"/>
  <c r="AA621" i="1" a="1"/>
  <c r="AA621" i="1" s="1"/>
  <c r="AA622" i="1" a="1"/>
  <c r="AA622" i="1" s="1"/>
  <c r="AA623" i="1" a="1"/>
  <c r="AA623" i="1" s="1"/>
  <c r="AA624" i="1" a="1"/>
  <c r="AA624" i="1" s="1"/>
  <c r="AA625" i="1" a="1"/>
  <c r="AA625" i="1" s="1"/>
  <c r="AA626" i="1" a="1"/>
  <c r="AA626" i="1" s="1"/>
  <c r="AA627" i="1" a="1"/>
  <c r="AA627" i="1" s="1"/>
  <c r="AA628" i="1" a="1"/>
  <c r="AA628" i="1" s="1"/>
  <c r="AA629" i="1" a="1"/>
  <c r="AA629" i="1" s="1"/>
  <c r="AA630" i="1" a="1"/>
  <c r="AA630" i="1" s="1"/>
  <c r="AA631" i="1" a="1"/>
  <c r="AA631" i="1" s="1"/>
  <c r="AA632" i="1" a="1"/>
  <c r="AA632" i="1" s="1"/>
  <c r="AA633" i="1" a="1"/>
  <c r="AA633" i="1" s="1"/>
  <c r="AA634" i="1" a="1"/>
  <c r="AA634" i="1" s="1"/>
  <c r="AA635" i="1" a="1"/>
  <c r="AA635" i="1" s="1"/>
  <c r="AA636" i="1" a="1"/>
  <c r="AA636" i="1" s="1"/>
  <c r="AA637" i="1" a="1"/>
  <c r="AA637" i="1" s="1"/>
  <c r="AA638" i="1" a="1"/>
  <c r="AA638" i="1" s="1"/>
  <c r="AA639" i="1" a="1"/>
  <c r="AA639" i="1" s="1"/>
  <c r="AA640" i="1" a="1"/>
  <c r="AA640" i="1" s="1"/>
  <c r="AA641" i="1" a="1"/>
  <c r="AA641" i="1" s="1"/>
  <c r="AA642" i="1" a="1"/>
  <c r="AA642" i="1" s="1"/>
  <c r="AA643" i="1" a="1"/>
  <c r="AA643" i="1" s="1"/>
  <c r="AA644" i="1" a="1"/>
  <c r="AA644" i="1" s="1"/>
  <c r="AA645" i="1" a="1"/>
  <c r="AA645" i="1" s="1"/>
  <c r="AA646" i="1" a="1"/>
  <c r="AA646" i="1" s="1"/>
  <c r="AA647" i="1" a="1"/>
  <c r="AA647" i="1" s="1"/>
  <c r="AA648" i="1" a="1"/>
  <c r="AA648" i="1" s="1"/>
  <c r="AA649" i="1" a="1"/>
  <c r="AA649" i="1" s="1"/>
  <c r="AA650" i="1" a="1"/>
  <c r="AA650" i="1" s="1"/>
  <c r="AA651" i="1" a="1"/>
  <c r="AA651" i="1" s="1"/>
  <c r="AA652" i="1" a="1"/>
  <c r="AA652" i="1" s="1"/>
  <c r="AA653" i="1" a="1"/>
  <c r="AA653" i="1" s="1"/>
  <c r="AA654" i="1" a="1"/>
  <c r="AA654" i="1" s="1"/>
  <c r="AA655" i="1" a="1"/>
  <c r="AA655" i="1" s="1"/>
  <c r="AA656" i="1" a="1"/>
  <c r="AA656" i="1" s="1"/>
  <c r="AA657" i="1" a="1"/>
  <c r="AA657" i="1" s="1"/>
  <c r="AA658" i="1" a="1"/>
  <c r="AA658" i="1" s="1"/>
  <c r="AA659" i="1" a="1"/>
  <c r="AA659" i="1" s="1"/>
  <c r="AA660" i="1" a="1"/>
  <c r="AA660" i="1" s="1"/>
  <c r="AA661" i="1" a="1"/>
  <c r="AA661" i="1" s="1"/>
  <c r="AA662" i="1" a="1"/>
  <c r="AA662" i="1" s="1"/>
  <c r="AA663" i="1" a="1"/>
  <c r="AA663" i="1" s="1"/>
  <c r="AA664" i="1" a="1"/>
  <c r="AA664" i="1" s="1"/>
  <c r="AA665" i="1" a="1"/>
  <c r="AA665" i="1" s="1"/>
  <c r="AA666" i="1" a="1"/>
  <c r="AA666" i="1" s="1"/>
  <c r="AA667" i="1" a="1"/>
  <c r="AA667" i="1" s="1"/>
  <c r="AA668" i="1" a="1"/>
  <c r="AA668" i="1" s="1"/>
  <c r="AA669" i="1" a="1"/>
  <c r="AA669" i="1" s="1"/>
  <c r="AA670" i="1" a="1"/>
  <c r="AA670" i="1" s="1"/>
  <c r="AA671" i="1" a="1"/>
  <c r="AA671" i="1" s="1"/>
  <c r="AA672" i="1" a="1"/>
  <c r="AA672" i="1" s="1"/>
  <c r="AA673" i="1" a="1"/>
  <c r="AA673" i="1" s="1"/>
  <c r="AA674" i="1" a="1"/>
  <c r="AA674" i="1" s="1"/>
  <c r="AA675" i="1" a="1"/>
  <c r="AA675" i="1" s="1"/>
  <c r="AA676" i="1" a="1"/>
  <c r="AA676" i="1" s="1"/>
  <c r="AA677" i="1" a="1"/>
  <c r="AA677" i="1" s="1"/>
  <c r="AA678" i="1" a="1"/>
  <c r="AA678" i="1" s="1"/>
  <c r="AA679" i="1" a="1"/>
  <c r="AA679" i="1" s="1"/>
  <c r="AA680" i="1" a="1"/>
  <c r="AA680" i="1" s="1"/>
  <c r="AA681" i="1" a="1"/>
  <c r="AA681" i="1" s="1"/>
  <c r="AA682" i="1" a="1"/>
  <c r="AA682" i="1" s="1"/>
  <c r="AA683" i="1" a="1"/>
  <c r="AA683" i="1" s="1"/>
  <c r="AA684" i="1" a="1"/>
  <c r="AA684" i="1" s="1"/>
  <c r="AA685" i="1" a="1"/>
  <c r="AA685" i="1" s="1"/>
  <c r="AA686" i="1" a="1"/>
  <c r="AA686" i="1" s="1"/>
  <c r="AA687" i="1" a="1"/>
  <c r="AA687" i="1" s="1"/>
  <c r="AA688" i="1" a="1"/>
  <c r="AA688" i="1" s="1"/>
  <c r="AA689" i="1" a="1"/>
  <c r="AA689" i="1" s="1"/>
  <c r="AA690" i="1" a="1"/>
  <c r="AA690" i="1" s="1"/>
  <c r="AA691" i="1" a="1"/>
  <c r="AA691" i="1" s="1"/>
  <c r="AA692" i="1" a="1"/>
  <c r="AA692" i="1" s="1"/>
  <c r="AA693" i="1" a="1"/>
  <c r="AA693" i="1" s="1"/>
  <c r="AA694" i="1" a="1"/>
  <c r="AA694" i="1" s="1"/>
  <c r="AA695" i="1" a="1"/>
  <c r="AA695" i="1" s="1"/>
  <c r="AA696" i="1" a="1"/>
  <c r="AA696" i="1" s="1"/>
  <c r="AA697" i="1" a="1"/>
  <c r="AA697" i="1" s="1"/>
  <c r="AA698" i="1" a="1"/>
  <c r="AA698" i="1" s="1"/>
  <c r="AA699" i="1" a="1"/>
  <c r="AA699" i="1" s="1"/>
  <c r="AA700" i="1" a="1"/>
  <c r="AA700" i="1" s="1"/>
  <c r="AA701" i="1" a="1"/>
  <c r="AA701" i="1" s="1"/>
  <c r="AA702" i="1" a="1"/>
  <c r="AA702" i="1" s="1"/>
  <c r="AA703" i="1" a="1"/>
  <c r="AA703" i="1" s="1"/>
  <c r="AA704" i="1" a="1"/>
  <c r="AA704" i="1" s="1"/>
  <c r="AA705" i="1" a="1"/>
  <c r="AA705" i="1" s="1"/>
  <c r="AA706" i="1" a="1"/>
  <c r="AA706" i="1" s="1"/>
  <c r="AA707" i="1" a="1"/>
  <c r="AA707" i="1" s="1"/>
  <c r="AA708" i="1" a="1"/>
  <c r="AA708" i="1" s="1"/>
  <c r="AA709" i="1" a="1"/>
  <c r="AA709" i="1" s="1"/>
  <c r="AA710" i="1" a="1"/>
  <c r="AA710" i="1" s="1"/>
  <c r="AA711" i="1" a="1"/>
  <c r="AA711" i="1" s="1"/>
  <c r="AA712" i="1" a="1"/>
  <c r="AA712" i="1" s="1"/>
  <c r="AA713" i="1" a="1"/>
  <c r="AA713" i="1" s="1"/>
  <c r="AA714" i="1" a="1"/>
  <c r="AA714" i="1" s="1"/>
  <c r="AA715" i="1" a="1"/>
  <c r="AA715" i="1" s="1"/>
  <c r="AA716" i="1" a="1"/>
  <c r="AA716" i="1" s="1"/>
  <c r="AA717" i="1" a="1"/>
  <c r="AA717" i="1" s="1"/>
  <c r="AA718" i="1" a="1"/>
  <c r="AA718" i="1" s="1"/>
  <c r="AA719" i="1" a="1"/>
  <c r="AA719" i="1" s="1"/>
  <c r="AA720" i="1" a="1"/>
  <c r="AA720" i="1" s="1"/>
  <c r="AA721" i="1" a="1"/>
  <c r="AA721" i="1" s="1"/>
  <c r="AA722" i="1" a="1"/>
  <c r="AA722" i="1" s="1"/>
  <c r="AA723" i="1" a="1"/>
  <c r="AA723" i="1" s="1"/>
  <c r="AA724" i="1" a="1"/>
  <c r="AA724" i="1" s="1"/>
  <c r="AA725" i="1" a="1"/>
  <c r="AA725" i="1" s="1"/>
  <c r="AA726" i="1" a="1"/>
  <c r="AA726" i="1" s="1"/>
  <c r="AA727" i="1" a="1"/>
  <c r="AA727" i="1" s="1"/>
  <c r="AA728" i="1" a="1"/>
  <c r="AA728" i="1" s="1"/>
  <c r="AA729" i="1" a="1"/>
  <c r="AA729" i="1" s="1"/>
  <c r="AA730" i="1" a="1"/>
  <c r="AA730" i="1" s="1"/>
  <c r="AA731" i="1" a="1"/>
  <c r="AA731" i="1" s="1"/>
  <c r="AA732" i="1" a="1"/>
  <c r="AA732" i="1" s="1"/>
  <c r="AA733" i="1" a="1"/>
  <c r="AA733" i="1" s="1"/>
  <c r="AA734" i="1" a="1"/>
  <c r="AA734" i="1" s="1"/>
  <c r="AA735" i="1" a="1"/>
  <c r="AA735" i="1" s="1"/>
  <c r="AA736" i="1" a="1"/>
  <c r="AA736" i="1" s="1"/>
  <c r="AA737" i="1" a="1"/>
  <c r="AA737" i="1" s="1"/>
  <c r="AA738" i="1" a="1"/>
  <c r="AA738" i="1" s="1"/>
  <c r="AA739" i="1" a="1"/>
  <c r="AA739" i="1" s="1"/>
  <c r="AA740" i="1" a="1"/>
  <c r="AA740" i="1" s="1"/>
  <c r="AA741" i="1" a="1"/>
  <c r="AA741" i="1" s="1"/>
  <c r="AA742" i="1" a="1"/>
  <c r="AA742" i="1" s="1"/>
  <c r="AA743" i="1" a="1"/>
  <c r="AA743" i="1" s="1"/>
  <c r="AA744" i="1" a="1"/>
  <c r="AA744" i="1" s="1"/>
  <c r="AA745" i="1" a="1"/>
  <c r="AA745" i="1" s="1"/>
  <c r="AA746" i="1" a="1"/>
  <c r="AA746" i="1" s="1"/>
  <c r="AA747" i="1" a="1"/>
  <c r="AA747" i="1" s="1"/>
  <c r="AA748" i="1" a="1"/>
  <c r="AA748" i="1" s="1"/>
  <c r="AA749" i="1" a="1"/>
  <c r="AA749" i="1" s="1"/>
  <c r="AA750" i="1" a="1"/>
  <c r="AA750" i="1" s="1"/>
  <c r="AA751" i="1" a="1"/>
  <c r="AA751" i="1" s="1"/>
  <c r="AA752" i="1" a="1"/>
  <c r="AA752" i="1" s="1"/>
  <c r="AA753" i="1" a="1"/>
  <c r="AA753" i="1" s="1"/>
  <c r="AA754" i="1" a="1"/>
  <c r="AA754" i="1" s="1"/>
  <c r="AA755" i="1" a="1"/>
  <c r="AA755" i="1" s="1"/>
  <c r="AA756" i="1" a="1"/>
  <c r="AA756" i="1" s="1"/>
  <c r="AA757" i="1" a="1"/>
  <c r="AA757" i="1" s="1"/>
  <c r="AA758" i="1" a="1"/>
  <c r="AA758" i="1" s="1"/>
  <c r="AA759" i="1" a="1"/>
  <c r="AA759" i="1" s="1"/>
  <c r="AA760" i="1" a="1"/>
  <c r="AA760" i="1" s="1"/>
  <c r="AA761" i="1" a="1"/>
  <c r="AA761" i="1" s="1"/>
  <c r="AA762" i="1" a="1"/>
  <c r="AA762" i="1" s="1"/>
  <c r="AA763" i="1" a="1"/>
  <c r="AA763" i="1" s="1"/>
  <c r="AA764" i="1" a="1"/>
  <c r="AA764" i="1" s="1"/>
  <c r="AA765" i="1" a="1"/>
  <c r="AA765" i="1" s="1"/>
  <c r="AA766" i="1" a="1"/>
  <c r="AA766" i="1" s="1"/>
  <c r="AA767" i="1" a="1"/>
  <c r="AA767" i="1" s="1"/>
  <c r="AA768" i="1" a="1"/>
  <c r="AA768" i="1" s="1"/>
  <c r="AA769" i="1" a="1"/>
  <c r="AA769" i="1" s="1"/>
  <c r="AA770" i="1" a="1"/>
  <c r="AA770" i="1" s="1"/>
  <c r="AA771" i="1" a="1"/>
  <c r="AA771" i="1" s="1"/>
  <c r="AA772" i="1" a="1"/>
  <c r="AA772" i="1" s="1"/>
  <c r="AA773" i="1" a="1"/>
  <c r="AA773" i="1" s="1"/>
  <c r="AA774" i="1" a="1"/>
  <c r="AA774" i="1" s="1"/>
  <c r="AA775" i="1" a="1"/>
  <c r="AA775" i="1" s="1"/>
  <c r="AA776" i="1" a="1"/>
  <c r="AA776" i="1" s="1"/>
  <c r="AA777" i="1" a="1"/>
  <c r="AA777" i="1" s="1"/>
  <c r="AA778" i="1" a="1"/>
  <c r="AA778" i="1" s="1"/>
  <c r="AA779" i="1" a="1"/>
  <c r="AA779" i="1" s="1"/>
  <c r="AA780" i="1" a="1"/>
  <c r="AA780" i="1" s="1"/>
  <c r="AA781" i="1" a="1"/>
  <c r="AA781" i="1" s="1"/>
  <c r="AA782" i="1" a="1"/>
  <c r="AA782" i="1" s="1"/>
  <c r="AA783" i="1" a="1"/>
  <c r="AA783" i="1" s="1"/>
  <c r="AA784" i="1" a="1"/>
  <c r="AA784" i="1" s="1"/>
  <c r="AA785" i="1" a="1"/>
  <c r="AA785" i="1" s="1"/>
  <c r="AA786" i="1" a="1"/>
  <c r="AA786" i="1" s="1"/>
  <c r="AA787" i="1" a="1"/>
  <c r="AA787" i="1" s="1"/>
  <c r="AA788" i="1" a="1"/>
  <c r="AA788" i="1" s="1"/>
  <c r="AA789" i="1" a="1"/>
  <c r="AA789" i="1" s="1"/>
  <c r="AA790" i="1" a="1"/>
  <c r="AA790" i="1" s="1"/>
  <c r="AA791" i="1" a="1"/>
  <c r="AA791" i="1" s="1"/>
  <c r="AA792" i="1" a="1"/>
  <c r="AA792" i="1" s="1"/>
  <c r="AA793" i="1" a="1"/>
  <c r="AA793" i="1" s="1"/>
  <c r="AA794" i="1" a="1"/>
  <c r="AA794" i="1" s="1"/>
  <c r="AA795" i="1" a="1"/>
  <c r="AA795" i="1" s="1"/>
  <c r="AA796" i="1" a="1"/>
  <c r="AA796" i="1" s="1"/>
  <c r="AA797" i="1" a="1"/>
  <c r="AA797" i="1" s="1"/>
  <c r="AA798" i="1" a="1"/>
  <c r="AA798" i="1" s="1"/>
  <c r="AA799" i="1" a="1"/>
  <c r="AA799" i="1" s="1"/>
  <c r="AA800" i="1" a="1"/>
  <c r="AA800" i="1" s="1"/>
  <c r="AA801" i="1" a="1"/>
  <c r="AA801" i="1" s="1"/>
  <c r="AA802" i="1" a="1"/>
  <c r="AA802" i="1" s="1"/>
  <c r="AA803" i="1" a="1"/>
  <c r="AA803" i="1" s="1"/>
  <c r="AA804" i="1" a="1"/>
  <c r="AA804" i="1" s="1"/>
  <c r="AA805" i="1" a="1"/>
  <c r="AA805" i="1" s="1"/>
  <c r="AA806" i="1" a="1"/>
  <c r="AA806" i="1" s="1"/>
  <c r="AA807" i="1" a="1"/>
  <c r="AA807" i="1" s="1"/>
  <c r="AA808" i="1" a="1"/>
  <c r="AA808" i="1" s="1"/>
  <c r="AA809" i="1" a="1"/>
  <c r="AA809" i="1" s="1"/>
  <c r="AA810" i="1" a="1"/>
  <c r="AA810" i="1" s="1"/>
  <c r="AA811" i="1" a="1"/>
  <c r="AA811" i="1" s="1"/>
  <c r="AA812" i="1" a="1"/>
  <c r="AA812" i="1" s="1"/>
  <c r="AA813" i="1" a="1"/>
  <c r="AA813" i="1" s="1"/>
  <c r="AA814" i="1" a="1"/>
  <c r="AA814" i="1" s="1"/>
  <c r="AA815" i="1" a="1"/>
  <c r="AA815" i="1" s="1"/>
  <c r="AA816" i="1" a="1"/>
  <c r="AA816" i="1" s="1"/>
  <c r="AA817" i="1" a="1"/>
  <c r="AA817" i="1" s="1"/>
  <c r="AA818" i="1" a="1"/>
  <c r="AA818" i="1" s="1"/>
  <c r="AA819" i="1" a="1"/>
  <c r="AA819" i="1" s="1"/>
  <c r="AA820" i="1" a="1"/>
  <c r="AA820" i="1" s="1"/>
  <c r="AA821" i="1" a="1"/>
  <c r="AA821" i="1" s="1"/>
  <c r="AA822" i="1" a="1"/>
  <c r="AA822" i="1" s="1"/>
  <c r="AA823" i="1" a="1"/>
  <c r="AA823" i="1" s="1"/>
  <c r="AA824" i="1" a="1"/>
  <c r="AA824" i="1" s="1"/>
  <c r="AA825" i="1" a="1"/>
  <c r="AA825" i="1" s="1"/>
  <c r="AA826" i="1" a="1"/>
  <c r="AA826" i="1" s="1"/>
  <c r="AA827" i="1" a="1"/>
  <c r="AA827" i="1" s="1"/>
  <c r="AA828" i="1" a="1"/>
  <c r="AA828" i="1" s="1"/>
  <c r="AA829" i="1" a="1"/>
  <c r="AA829" i="1" s="1"/>
  <c r="AA830" i="1" a="1"/>
  <c r="AA830" i="1" s="1"/>
  <c r="AA831" i="1" a="1"/>
  <c r="AA831" i="1" s="1"/>
  <c r="AA832" i="1" a="1"/>
  <c r="AA832" i="1" s="1"/>
  <c r="AA833" i="1" a="1"/>
  <c r="AA833" i="1" s="1"/>
  <c r="AA834" i="1" a="1"/>
  <c r="AA834" i="1" s="1"/>
  <c r="AA835" i="1" a="1"/>
  <c r="AA835" i="1" s="1"/>
  <c r="AA836" i="1" a="1"/>
  <c r="AA836" i="1" s="1"/>
  <c r="AA837" i="1" a="1"/>
  <c r="AA837" i="1" s="1"/>
  <c r="AA838" i="1" a="1"/>
  <c r="AA838" i="1" s="1"/>
  <c r="AA839" i="1" a="1"/>
  <c r="AA839" i="1" s="1"/>
  <c r="AA840" i="1" a="1"/>
  <c r="AA840" i="1" s="1"/>
  <c r="AA841" i="1" a="1"/>
  <c r="AA841" i="1" s="1"/>
  <c r="AA842" i="1" a="1"/>
  <c r="AA842" i="1" s="1"/>
  <c r="AA843" i="1" a="1"/>
  <c r="AA843" i="1" s="1"/>
  <c r="AA844" i="1" a="1"/>
  <c r="AA844" i="1" s="1"/>
  <c r="AA845" i="1" a="1"/>
  <c r="AA845" i="1" s="1"/>
  <c r="AA846" i="1" a="1"/>
  <c r="AA846" i="1" s="1"/>
  <c r="AA847" i="1" a="1"/>
  <c r="AA847" i="1" s="1"/>
  <c r="AA848" i="1" a="1"/>
  <c r="AA848" i="1" s="1"/>
  <c r="AA849" i="1" a="1"/>
  <c r="AA849" i="1" s="1"/>
  <c r="AA850" i="1" a="1"/>
  <c r="AA850" i="1" s="1"/>
  <c r="AA851" i="1" a="1"/>
  <c r="AA851" i="1" s="1"/>
  <c r="AA852" i="1" a="1"/>
  <c r="AA852" i="1" s="1"/>
  <c r="AA853" i="1" a="1"/>
  <c r="AA853" i="1" s="1"/>
  <c r="AA854" i="1" a="1"/>
  <c r="AA854" i="1" s="1"/>
  <c r="AA855" i="1" a="1"/>
  <c r="AA855" i="1" s="1"/>
  <c r="AA856" i="1" a="1"/>
  <c r="AA856" i="1" s="1"/>
  <c r="AA857" i="1" a="1"/>
  <c r="AA857" i="1" s="1"/>
  <c r="AA858" i="1" a="1"/>
  <c r="AA858" i="1" s="1"/>
  <c r="AA859" i="1" a="1"/>
  <c r="AA859" i="1" s="1"/>
  <c r="AA860" i="1" a="1"/>
  <c r="AA860" i="1" s="1"/>
  <c r="AA861" i="1" a="1"/>
  <c r="AA861" i="1" s="1"/>
  <c r="AA862" i="1" a="1"/>
  <c r="AA862" i="1" s="1"/>
  <c r="AA863" i="1" a="1"/>
  <c r="AA863" i="1" s="1"/>
  <c r="AA864" i="1" a="1"/>
  <c r="AA864" i="1" s="1"/>
  <c r="AA865" i="1" a="1"/>
  <c r="AA865" i="1" s="1"/>
  <c r="AA866" i="1" a="1"/>
  <c r="AA866" i="1" s="1"/>
  <c r="AA867" i="1" a="1"/>
  <c r="AA867" i="1" s="1"/>
  <c r="AA868" i="1" a="1"/>
  <c r="AA868" i="1" s="1"/>
  <c r="AA869" i="1" a="1"/>
  <c r="AA869" i="1" s="1"/>
  <c r="AA870" i="1" a="1"/>
  <c r="AA870" i="1" s="1"/>
  <c r="AA871" i="1" a="1"/>
  <c r="AA871" i="1" s="1"/>
  <c r="AA872" i="1" a="1"/>
  <c r="AA872" i="1" s="1"/>
  <c r="AA873" i="1" a="1"/>
  <c r="AA873" i="1" s="1"/>
  <c r="AA874" i="1" a="1"/>
  <c r="AA874" i="1" s="1"/>
  <c r="AA875" i="1" a="1"/>
  <c r="AA875" i="1" s="1"/>
  <c r="AA876" i="1" a="1"/>
  <c r="AA876" i="1" s="1"/>
  <c r="AA877" i="1" a="1"/>
  <c r="AA877" i="1" s="1"/>
  <c r="AA878" i="1" a="1"/>
  <c r="AA878" i="1" s="1"/>
  <c r="AA879" i="1" a="1"/>
  <c r="AA879" i="1" s="1"/>
  <c r="AA880" i="1" a="1"/>
  <c r="AA880" i="1" s="1"/>
  <c r="AA881" i="1" a="1"/>
  <c r="AA881" i="1" s="1"/>
  <c r="AA882" i="1" a="1"/>
  <c r="AA882" i="1" s="1"/>
  <c r="AA883" i="1" a="1"/>
  <c r="AA883" i="1" s="1"/>
  <c r="AA884" i="1" a="1"/>
  <c r="AA884" i="1" s="1"/>
  <c r="AA885" i="1" a="1"/>
  <c r="AA885" i="1" s="1"/>
  <c r="AA886" i="1" a="1"/>
  <c r="AA886" i="1" s="1"/>
  <c r="AA887" i="1" a="1"/>
  <c r="AA887" i="1" s="1"/>
  <c r="AA888" i="1" a="1"/>
  <c r="AA888" i="1" s="1"/>
  <c r="AA889" i="1" a="1"/>
  <c r="AA889" i="1" s="1"/>
  <c r="AA890" i="1" a="1"/>
  <c r="AA890" i="1" s="1"/>
  <c r="AA891" i="1" a="1"/>
  <c r="AA891" i="1" s="1"/>
  <c r="AA892" i="1" a="1"/>
  <c r="AA892" i="1" s="1"/>
  <c r="AA893" i="1" a="1"/>
  <c r="AA893" i="1" s="1"/>
  <c r="AA894" i="1" a="1"/>
  <c r="AA894" i="1" s="1"/>
  <c r="AA895" i="1" a="1"/>
  <c r="AA895" i="1" s="1"/>
  <c r="AA896" i="1" a="1"/>
  <c r="AA896" i="1" s="1"/>
  <c r="AA897" i="1" a="1"/>
  <c r="AA897" i="1" s="1"/>
  <c r="AA898" i="1" a="1"/>
  <c r="AA898" i="1" s="1"/>
  <c r="AA899" i="1" a="1"/>
  <c r="AA899" i="1" s="1"/>
  <c r="AA900" i="1" a="1"/>
  <c r="AA900" i="1" s="1"/>
  <c r="AA901" i="1" a="1"/>
  <c r="AA901" i="1" s="1"/>
  <c r="AA902" i="1" a="1"/>
  <c r="AA902" i="1" s="1"/>
  <c r="AA903" i="1" a="1"/>
  <c r="AA903" i="1" s="1"/>
  <c r="AA904" i="1" a="1"/>
  <c r="AA904" i="1" s="1"/>
  <c r="AA905" i="1" a="1"/>
  <c r="AA905" i="1" s="1"/>
  <c r="AA906" i="1" a="1"/>
  <c r="AA906" i="1" s="1"/>
  <c r="AA907" i="1" a="1"/>
  <c r="AA907" i="1" s="1"/>
  <c r="AA908" i="1" a="1"/>
  <c r="AA908" i="1" s="1"/>
  <c r="AA909" i="1" a="1"/>
  <c r="AA909" i="1" s="1"/>
  <c r="AA910" i="1" a="1"/>
  <c r="AA910" i="1" s="1"/>
  <c r="AA911" i="1" a="1"/>
  <c r="AA911" i="1" s="1"/>
  <c r="AA912" i="1" a="1"/>
  <c r="AA912" i="1" s="1"/>
  <c r="AA913" i="1" a="1"/>
  <c r="AA913" i="1" s="1"/>
  <c r="AA914" i="1" a="1"/>
  <c r="AA914" i="1" s="1"/>
  <c r="AA915" i="1" a="1"/>
  <c r="AA915" i="1" s="1"/>
  <c r="AA916" i="1" a="1"/>
  <c r="AA916" i="1" s="1"/>
  <c r="AA917" i="1" a="1"/>
  <c r="AA917" i="1" s="1"/>
  <c r="AA918" i="1" a="1"/>
  <c r="AA918" i="1" s="1"/>
  <c r="AA919" i="1" a="1"/>
  <c r="AA919" i="1" s="1"/>
  <c r="AA920" i="1" a="1"/>
  <c r="AA920" i="1" s="1"/>
  <c r="AA921" i="1" a="1"/>
  <c r="AA921" i="1" s="1"/>
  <c r="AA922" i="1" a="1"/>
  <c r="AA922" i="1" s="1"/>
  <c r="AA923" i="1" a="1"/>
  <c r="AA923" i="1" s="1"/>
  <c r="AA924" i="1" a="1"/>
  <c r="AA924" i="1" s="1"/>
  <c r="AA925" i="1" a="1"/>
  <c r="AA925" i="1" s="1"/>
  <c r="AA926" i="1" a="1"/>
  <c r="AA926" i="1" s="1"/>
  <c r="AA927" i="1" a="1"/>
  <c r="AA927" i="1" s="1"/>
  <c r="AA928" i="1" a="1"/>
  <c r="AA928" i="1" s="1"/>
  <c r="AA929" i="1" a="1"/>
  <c r="AA929" i="1" s="1"/>
  <c r="AA930" i="1" a="1"/>
  <c r="AA930" i="1" s="1"/>
  <c r="AA931" i="1" a="1"/>
  <c r="AA931" i="1" s="1"/>
  <c r="AA932" i="1" a="1"/>
  <c r="AA932" i="1" s="1"/>
  <c r="AA933" i="1" a="1"/>
  <c r="AA933" i="1" s="1"/>
  <c r="AA934" i="1" a="1"/>
  <c r="AA934" i="1" s="1"/>
  <c r="AA935" i="1" a="1"/>
  <c r="AA935" i="1" s="1"/>
  <c r="AA936" i="1" a="1"/>
  <c r="AA936" i="1" s="1"/>
  <c r="AA937" i="1" a="1"/>
  <c r="AA937" i="1" s="1"/>
  <c r="AA938" i="1" a="1"/>
  <c r="AA938" i="1" s="1"/>
  <c r="AA939" i="1" a="1"/>
  <c r="AA939" i="1" s="1"/>
  <c r="AA940" i="1" a="1"/>
  <c r="AA940" i="1" s="1"/>
  <c r="AA941" i="1" a="1"/>
  <c r="AA941" i="1" s="1"/>
  <c r="AA942" i="1" a="1"/>
  <c r="AA942" i="1" s="1"/>
  <c r="AA943" i="1" a="1"/>
  <c r="AA943" i="1" s="1"/>
  <c r="AA944" i="1" a="1"/>
  <c r="AA944" i="1" s="1"/>
  <c r="AA945" i="1" a="1"/>
  <c r="AA945" i="1" s="1"/>
  <c r="AA946" i="1" a="1"/>
  <c r="AA946" i="1" s="1"/>
  <c r="AA947" i="1" a="1"/>
  <c r="AA947" i="1" s="1"/>
  <c r="AA948" i="1" a="1"/>
  <c r="AA948" i="1" s="1"/>
  <c r="AA949" i="1" a="1"/>
  <c r="AA949" i="1" s="1"/>
  <c r="AA950" i="1" a="1"/>
  <c r="AA950" i="1" s="1"/>
  <c r="AA951" i="1" a="1"/>
  <c r="AA951" i="1" s="1"/>
  <c r="AA952" i="1" a="1"/>
  <c r="AA952" i="1" s="1"/>
  <c r="AA953" i="1" a="1"/>
  <c r="AA953" i="1" s="1"/>
  <c r="AA954" i="1" a="1"/>
  <c r="AA954" i="1" s="1"/>
  <c r="AA955" i="1" a="1"/>
  <c r="AA955" i="1" s="1"/>
  <c r="AA956" i="1" a="1"/>
  <c r="AA956" i="1" s="1"/>
  <c r="AA957" i="1" a="1"/>
  <c r="AA957" i="1" s="1"/>
  <c r="AA958" i="1" a="1"/>
  <c r="AA958" i="1" s="1"/>
  <c r="AA959" i="1" a="1"/>
  <c r="AA959" i="1" s="1"/>
  <c r="AA960" i="1" a="1"/>
  <c r="AA960" i="1" s="1"/>
  <c r="AA961" i="1" a="1"/>
  <c r="AA961" i="1" s="1"/>
  <c r="AA962" i="1" a="1"/>
  <c r="AA962" i="1" s="1"/>
  <c r="AA963" i="1" a="1"/>
  <c r="AA963" i="1" s="1"/>
  <c r="AA964" i="1" a="1"/>
  <c r="AA964" i="1" s="1"/>
  <c r="AA965" i="1" a="1"/>
  <c r="AA965" i="1" s="1"/>
  <c r="AA966" i="1" a="1"/>
  <c r="AA966" i="1" s="1"/>
  <c r="AA967" i="1" a="1"/>
  <c r="AA967" i="1" s="1"/>
  <c r="AA968" i="1" a="1"/>
  <c r="AA968" i="1" s="1"/>
  <c r="AA969" i="1" a="1"/>
  <c r="AA969" i="1" s="1"/>
  <c r="AA970" i="1" a="1"/>
  <c r="AA970" i="1" s="1"/>
  <c r="AA971" i="1" a="1"/>
  <c r="AA971" i="1" s="1"/>
  <c r="AA972" i="1" a="1"/>
  <c r="AA972" i="1" s="1"/>
  <c r="AA973" i="1" a="1"/>
  <c r="AA973" i="1" s="1"/>
  <c r="AA974" i="1" a="1"/>
  <c r="AA974" i="1" s="1"/>
  <c r="AA975" i="1" a="1"/>
  <c r="AA975" i="1" s="1"/>
  <c r="AA976" i="1" a="1"/>
  <c r="AA976" i="1" s="1"/>
  <c r="AA977" i="1" a="1"/>
  <c r="AA977" i="1" s="1"/>
  <c r="AA978" i="1" a="1"/>
  <c r="AA978" i="1" s="1"/>
  <c r="AA979" i="1" a="1"/>
  <c r="AA979" i="1" s="1"/>
  <c r="AA980" i="1" a="1"/>
  <c r="AA980" i="1" s="1"/>
  <c r="AA981" i="1" a="1"/>
  <c r="AA981" i="1" s="1"/>
  <c r="AA982" i="1" a="1"/>
  <c r="AA982" i="1" s="1"/>
  <c r="AA983" i="1" a="1"/>
  <c r="AA983" i="1" s="1"/>
  <c r="AA984" i="1" a="1"/>
  <c r="AA984" i="1" s="1"/>
  <c r="AA985" i="1" a="1"/>
  <c r="AA985" i="1" s="1"/>
  <c r="AA986" i="1" a="1"/>
  <c r="AA986" i="1" s="1"/>
  <c r="AA987" i="1" a="1"/>
  <c r="AA987" i="1" s="1"/>
  <c r="AA988" i="1" a="1"/>
  <c r="AA988" i="1" s="1"/>
  <c r="AA989" i="1" a="1"/>
  <c r="AA989" i="1" s="1"/>
  <c r="AA990" i="1" a="1"/>
  <c r="AA990" i="1" s="1"/>
  <c r="AA991" i="1" a="1"/>
  <c r="AA991" i="1" s="1"/>
  <c r="AA992" i="1" a="1"/>
  <c r="AA992" i="1" s="1"/>
  <c r="AA993" i="1" a="1"/>
  <c r="AA993" i="1" s="1"/>
  <c r="AA994" i="1" a="1"/>
  <c r="AA994" i="1" s="1"/>
  <c r="AA995" i="1" a="1"/>
  <c r="AA995" i="1" s="1"/>
  <c r="AA996" i="1" a="1"/>
  <c r="AA996" i="1" s="1"/>
  <c r="AA997" i="1" a="1"/>
  <c r="AA997" i="1" s="1"/>
  <c r="AA998" i="1" a="1"/>
  <c r="AA998" i="1" s="1"/>
  <c r="AA999" i="1" a="1"/>
  <c r="AA999" i="1" s="1"/>
  <c r="AA1000" i="1" a="1"/>
  <c r="AA1000" i="1" s="1"/>
  <c r="AA1001" i="1" a="1"/>
  <c r="AA1001" i="1" s="1"/>
  <c r="AA1002" i="1" a="1"/>
  <c r="AA1002" i="1" s="1"/>
  <c r="AA1003" i="1" a="1"/>
  <c r="AA1003" i="1" s="1"/>
  <c r="AA1004" i="1" a="1"/>
  <c r="AA1004" i="1" s="1"/>
  <c r="AA1005" i="1" a="1"/>
  <c r="AA1005" i="1" s="1"/>
  <c r="AA1006" i="1" a="1"/>
  <c r="AA1006" i="1" s="1"/>
  <c r="AA1007" i="1" a="1"/>
  <c r="AA1007" i="1" s="1"/>
  <c r="AA1008" i="1" a="1"/>
  <c r="AA1008" i="1" s="1"/>
  <c r="AA1009" i="1" a="1"/>
  <c r="AA1009" i="1" s="1"/>
  <c r="AA1010" i="1" a="1"/>
  <c r="AA1010" i="1" s="1"/>
  <c r="AA1011" i="1" a="1"/>
  <c r="AA1011" i="1" s="1"/>
  <c r="AA1012" i="1" a="1"/>
  <c r="AA1012" i="1" s="1"/>
  <c r="AA1013" i="1" a="1"/>
  <c r="AA1013" i="1" s="1"/>
  <c r="AA1014" i="1" a="1"/>
  <c r="AA1014" i="1" s="1"/>
  <c r="AA1015" i="1" a="1"/>
  <c r="AA1015" i="1" s="1"/>
  <c r="AA1016" i="1" a="1"/>
  <c r="AA1016" i="1" s="1"/>
  <c r="AA1017" i="1" a="1"/>
  <c r="AA1017" i="1" s="1"/>
  <c r="AA1018" i="1" a="1"/>
  <c r="AA1018" i="1" s="1"/>
  <c r="AA1019" i="1" a="1"/>
  <c r="AA1019" i="1" s="1"/>
  <c r="AA1020" i="1" a="1"/>
  <c r="AA1020" i="1" s="1"/>
  <c r="AA1021" i="1" a="1"/>
  <c r="AA1021" i="1" s="1"/>
  <c r="AA1022" i="1" a="1"/>
  <c r="AA1022" i="1" s="1"/>
  <c r="AA1023" i="1" a="1"/>
  <c r="AA1023" i="1" s="1"/>
  <c r="AA1024" i="1" a="1"/>
  <c r="AA1024" i="1" s="1"/>
  <c r="AA1025" i="1" a="1"/>
  <c r="AA1025" i="1" s="1"/>
  <c r="AA1026" i="1" a="1"/>
  <c r="AA1026" i="1" s="1"/>
  <c r="AA1027" i="1" a="1"/>
  <c r="AA1027" i="1" s="1"/>
  <c r="AA1028" i="1" a="1"/>
  <c r="AA1028" i="1" s="1"/>
  <c r="AA1029" i="1" a="1"/>
  <c r="AA1029" i="1" s="1"/>
  <c r="AA1030" i="1" a="1"/>
  <c r="AA1030" i="1" s="1"/>
  <c r="AA1031" i="1" a="1"/>
  <c r="AA1031" i="1" s="1"/>
  <c r="AA1032" i="1" a="1"/>
  <c r="AA1032" i="1" s="1"/>
  <c r="AA1033" i="1" a="1"/>
  <c r="AA1033" i="1" s="1"/>
  <c r="AA1034" i="1" a="1"/>
  <c r="AA1034" i="1" s="1"/>
  <c r="AA1035" i="1" a="1"/>
  <c r="AA1035" i="1" s="1"/>
  <c r="AA1036" i="1" a="1"/>
  <c r="AA1036" i="1" s="1"/>
  <c r="AA1037" i="1" a="1"/>
  <c r="AA1037" i="1" s="1"/>
  <c r="AA1038" i="1" a="1"/>
  <c r="AA1038" i="1" s="1"/>
  <c r="AA1039" i="1" a="1"/>
  <c r="AA1039" i="1" s="1"/>
  <c r="AA1040" i="1" a="1"/>
  <c r="AA1040" i="1" s="1"/>
  <c r="AA1041" i="1" a="1"/>
  <c r="AA1041" i="1" s="1"/>
  <c r="AA1042" i="1" a="1"/>
  <c r="AA1042" i="1" s="1"/>
  <c r="AA1043" i="1" a="1"/>
  <c r="AA1043" i="1" s="1"/>
  <c r="AA1044" i="1" a="1"/>
  <c r="AA1044" i="1" s="1"/>
  <c r="AA1045" i="1" a="1"/>
  <c r="AA1045" i="1" s="1"/>
  <c r="AA1046" i="1" a="1"/>
  <c r="AA1046" i="1" s="1"/>
  <c r="AA1047" i="1" a="1"/>
  <c r="AA1047" i="1" s="1"/>
  <c r="AA1048" i="1" a="1"/>
  <c r="AA1048" i="1" s="1"/>
  <c r="AA1049" i="1" a="1"/>
  <c r="AA1049" i="1" s="1"/>
  <c r="AA1050" i="1" a="1"/>
  <c r="AA1050" i="1" s="1"/>
  <c r="AA1051" i="1" a="1"/>
  <c r="AA1051" i="1" s="1"/>
  <c r="AA1052" i="1" a="1"/>
  <c r="AA1052" i="1" s="1"/>
  <c r="AA1053" i="1" a="1"/>
  <c r="AA1053" i="1" s="1"/>
  <c r="AA1054" i="1" a="1"/>
  <c r="AA1054" i="1" s="1"/>
  <c r="AA1055" i="1" a="1"/>
  <c r="AA1055" i="1" s="1"/>
  <c r="AA1056" i="1" a="1"/>
  <c r="AA1056" i="1" s="1"/>
  <c r="AA1057" i="1" a="1"/>
  <c r="AA1057" i="1" s="1"/>
  <c r="AA1058" i="1" a="1"/>
  <c r="AA1058" i="1" s="1"/>
  <c r="AA1059" i="1" a="1"/>
  <c r="AA1059" i="1" s="1"/>
  <c r="AA1060" i="1" a="1"/>
  <c r="AA1060" i="1" s="1"/>
  <c r="AA1061" i="1" a="1"/>
  <c r="AA1061" i="1" s="1"/>
  <c r="AA1062" i="1" a="1"/>
  <c r="AA1062" i="1" s="1"/>
  <c r="AA1063" i="1" a="1"/>
  <c r="AA1063" i="1" s="1"/>
  <c r="AA1064" i="1" a="1"/>
  <c r="AA1064" i="1" s="1"/>
  <c r="AA1065" i="1" a="1"/>
  <c r="AA1065" i="1" s="1"/>
  <c r="AA1066" i="1" a="1"/>
  <c r="AA1066" i="1" s="1"/>
  <c r="AA1067" i="1" a="1"/>
  <c r="AA1067" i="1" s="1"/>
  <c r="AA1068" i="1" a="1"/>
  <c r="AA1068" i="1" s="1"/>
  <c r="AA1069" i="1" a="1"/>
  <c r="AA1069" i="1" s="1"/>
  <c r="AA1070" i="1" a="1"/>
  <c r="AA1070" i="1" s="1"/>
  <c r="AA1071" i="1" a="1"/>
  <c r="AA1071" i="1" s="1"/>
  <c r="AA1072" i="1" a="1"/>
  <c r="AA1072" i="1" s="1"/>
  <c r="AA1073" i="1" a="1"/>
  <c r="AA1073" i="1" s="1"/>
  <c r="AA1074" i="1" a="1"/>
  <c r="AA1074" i="1" s="1"/>
  <c r="AA1075" i="1" a="1"/>
  <c r="AA1075" i="1" s="1"/>
  <c r="AA1076" i="1" a="1"/>
  <c r="AA1076" i="1" s="1"/>
  <c r="AA1077" i="1" a="1"/>
  <c r="AA1077" i="1" s="1"/>
  <c r="AA1078" i="1" a="1"/>
  <c r="AA1078" i="1" s="1"/>
  <c r="AA1079" i="1" a="1"/>
  <c r="AA1079" i="1" s="1"/>
  <c r="AA1080" i="1" a="1"/>
  <c r="AA1080" i="1" s="1"/>
  <c r="AA1081" i="1" a="1"/>
  <c r="AA1081" i="1" s="1"/>
  <c r="AA1082" i="1" a="1"/>
  <c r="AA1082" i="1" s="1"/>
  <c r="AA1083" i="1" a="1"/>
  <c r="AA1083" i="1" s="1"/>
  <c r="AA1084" i="1" a="1"/>
  <c r="AA1084" i="1" s="1"/>
  <c r="AA1085" i="1" a="1"/>
  <c r="AA1085" i="1" s="1"/>
  <c r="AA1086" i="1" a="1"/>
  <c r="AA1086" i="1" s="1"/>
  <c r="AA1087" i="1" a="1"/>
  <c r="AA1087" i="1" s="1"/>
  <c r="AA1088" i="1" a="1"/>
  <c r="AA1088" i="1" s="1"/>
  <c r="AA1089" i="1" a="1"/>
  <c r="AA1089" i="1" s="1"/>
  <c r="AA1090" i="1" a="1"/>
  <c r="AA1090" i="1" s="1"/>
  <c r="AA1091" i="1" a="1"/>
  <c r="AA1091" i="1" s="1"/>
  <c r="AA1092" i="1" a="1"/>
  <c r="AA1092" i="1" s="1"/>
  <c r="AA1093" i="1" a="1"/>
  <c r="AA1093" i="1" s="1"/>
  <c r="AA1094" i="1" a="1"/>
  <c r="AA1094" i="1" s="1"/>
  <c r="AA1095" i="1" a="1"/>
  <c r="AA1095" i="1" s="1"/>
  <c r="AA1096" i="1" a="1"/>
  <c r="AA1096" i="1" s="1"/>
  <c r="AA1097" i="1" a="1"/>
  <c r="AA1097" i="1" s="1"/>
  <c r="AA1098" i="1" a="1"/>
  <c r="AA1098" i="1" s="1"/>
  <c r="AA1099" i="1" a="1"/>
  <c r="AA1099" i="1" s="1"/>
  <c r="AA1100" i="1" a="1"/>
  <c r="AA1100" i="1" s="1"/>
  <c r="AA1101" i="1" a="1"/>
  <c r="AA1101" i="1" s="1"/>
  <c r="AA1102" i="1" a="1"/>
  <c r="AA1102" i="1" s="1"/>
  <c r="AA1103" i="1" a="1"/>
  <c r="AA1103" i="1" s="1"/>
  <c r="AA1104" i="1" a="1"/>
  <c r="AA1104" i="1" s="1"/>
  <c r="AA1105" i="1" a="1"/>
  <c r="AA1105" i="1" s="1"/>
  <c r="AA1106" i="1" a="1"/>
  <c r="AA1106" i="1" s="1"/>
  <c r="AA1107" i="1" a="1"/>
  <c r="AA1107" i="1" s="1"/>
  <c r="AA1108" i="1" a="1"/>
  <c r="AA1108" i="1" s="1"/>
  <c r="AA1109" i="1" a="1"/>
  <c r="AA1109" i="1" s="1"/>
  <c r="AA1110" i="1" a="1"/>
  <c r="AA1110" i="1" s="1"/>
  <c r="AA1111" i="1" a="1"/>
  <c r="AA1111" i="1" s="1"/>
  <c r="AA1112" i="1" a="1"/>
  <c r="AA1112" i="1" s="1"/>
  <c r="AA1113" i="1" a="1"/>
  <c r="AA1113" i="1" s="1"/>
  <c r="AA1114" i="1" a="1"/>
  <c r="AA1114" i="1" s="1"/>
  <c r="AA1115" i="1" a="1"/>
  <c r="AA1115" i="1" s="1"/>
  <c r="AA1116" i="1" a="1"/>
  <c r="AA1116" i="1" s="1"/>
  <c r="AA1117" i="1" a="1"/>
  <c r="AA1117" i="1" s="1"/>
  <c r="AA1118" i="1" a="1"/>
  <c r="AA1118" i="1" s="1"/>
  <c r="AA1119" i="1" a="1"/>
  <c r="AA1119" i="1" s="1"/>
  <c r="AA1120" i="1" a="1"/>
  <c r="AA1120" i="1" s="1"/>
  <c r="AA1121" i="1" a="1"/>
  <c r="AA1121" i="1" s="1"/>
  <c r="AA1122" i="1" a="1"/>
  <c r="AA1122" i="1" s="1"/>
  <c r="AA1123" i="1" a="1"/>
  <c r="AA1123" i="1" s="1"/>
  <c r="AA1124" i="1" a="1"/>
  <c r="AA1124" i="1" s="1"/>
  <c r="AA1125" i="1" a="1"/>
  <c r="AA1125" i="1" s="1"/>
  <c r="AA1126" i="1" a="1"/>
  <c r="AA1126" i="1" s="1"/>
  <c r="AA1127" i="1" a="1"/>
  <c r="AA1127" i="1" s="1"/>
  <c r="AA1128" i="1" a="1"/>
  <c r="AA1128" i="1" s="1"/>
  <c r="AA1129" i="1" a="1"/>
  <c r="AA1129" i="1" s="1"/>
  <c r="AA1130" i="1" a="1"/>
  <c r="AA1130" i="1" s="1"/>
  <c r="AA1131" i="1" a="1"/>
  <c r="AA1131" i="1" s="1"/>
  <c r="AA1132" i="1" a="1"/>
  <c r="AA1132" i="1" s="1"/>
  <c r="AA1133" i="1" a="1"/>
  <c r="AA1133" i="1" s="1"/>
  <c r="AA1134" i="1" a="1"/>
  <c r="AA1134" i="1" s="1"/>
  <c r="AA1135" i="1" a="1"/>
  <c r="AA1135" i="1" s="1"/>
  <c r="AA1136" i="1" a="1"/>
  <c r="AA1136" i="1" s="1"/>
  <c r="AA1137" i="1" a="1"/>
  <c r="AA1137" i="1" s="1"/>
  <c r="AA1138" i="1" a="1"/>
  <c r="AA1138" i="1" s="1"/>
  <c r="AA1139" i="1" a="1"/>
  <c r="AA1139" i="1" s="1"/>
  <c r="AA1140" i="1" a="1"/>
  <c r="AA1140" i="1" s="1"/>
  <c r="AA1141" i="1" a="1"/>
  <c r="AA1141" i="1" s="1"/>
  <c r="AA1142" i="1" a="1"/>
  <c r="AA1142" i="1" s="1"/>
  <c r="AA1143" i="1" a="1"/>
  <c r="AA1143" i="1" s="1"/>
  <c r="AA1144" i="1" a="1"/>
  <c r="AA1144" i="1" s="1"/>
  <c r="AA1145" i="1" a="1"/>
  <c r="AA1145" i="1" s="1"/>
  <c r="AA1146" i="1" a="1"/>
  <c r="AA1146" i="1" s="1"/>
  <c r="AA1147" i="1" a="1"/>
  <c r="AA1147" i="1" s="1"/>
  <c r="AA1148" i="1" a="1"/>
  <c r="AA1148" i="1" s="1"/>
  <c r="AA1149" i="1" a="1"/>
  <c r="AA1149" i="1" s="1"/>
  <c r="AA1150" i="1" a="1"/>
  <c r="AA1150" i="1" s="1"/>
  <c r="AA1151" i="1" a="1"/>
  <c r="AA1151" i="1" s="1"/>
  <c r="AA1152" i="1" a="1"/>
  <c r="AA1152" i="1" s="1"/>
  <c r="AA1153" i="1" a="1"/>
  <c r="AA1153" i="1" s="1"/>
  <c r="AA1154" i="1" a="1"/>
  <c r="AA1154" i="1" s="1"/>
  <c r="AA1155" i="1" a="1"/>
  <c r="AA1155" i="1" s="1"/>
  <c r="AA1156" i="1" a="1"/>
  <c r="AA1156" i="1" s="1"/>
  <c r="AA1157" i="1" a="1"/>
  <c r="AA1157" i="1" s="1"/>
  <c r="AA1158" i="1" a="1"/>
  <c r="AA1158" i="1" s="1"/>
  <c r="AA1159" i="1" a="1"/>
  <c r="AA1159" i="1" s="1"/>
  <c r="AA1160" i="1" a="1"/>
  <c r="AA1160" i="1" s="1"/>
  <c r="AA1161" i="1" a="1"/>
  <c r="AA1161" i="1" s="1"/>
  <c r="AA1162" i="1" a="1"/>
  <c r="AA1162" i="1" s="1"/>
  <c r="AA1163" i="1" a="1"/>
  <c r="AA1163" i="1" s="1"/>
  <c r="AA1164" i="1" a="1"/>
  <c r="AA1164" i="1" s="1"/>
  <c r="AA1165" i="1" a="1"/>
  <c r="AA1165" i="1" s="1"/>
  <c r="AA1166" i="1" a="1"/>
  <c r="AA1166" i="1" s="1"/>
  <c r="AA1167" i="1" a="1"/>
  <c r="AA1167" i="1" s="1"/>
  <c r="AA1168" i="1" a="1"/>
  <c r="AA1168" i="1" s="1"/>
  <c r="AA1169" i="1" a="1"/>
  <c r="AA1169" i="1" s="1"/>
  <c r="AA1170" i="1" a="1"/>
  <c r="AA1170" i="1" s="1"/>
  <c r="AA1171" i="1" a="1"/>
  <c r="AA1171" i="1" s="1"/>
  <c r="AA1172" i="1" a="1"/>
  <c r="AA1172" i="1" s="1"/>
  <c r="AA1173" i="1" a="1"/>
  <c r="AA1173" i="1" s="1"/>
  <c r="AA1174" i="1" a="1"/>
  <c r="AA1174" i="1" s="1"/>
  <c r="AA1175" i="1" a="1"/>
  <c r="AA1175" i="1" s="1"/>
  <c r="AA1176" i="1" a="1"/>
  <c r="AA1176" i="1" s="1"/>
  <c r="AA1177" i="1" a="1"/>
  <c r="AA1177" i="1" s="1"/>
  <c r="AA1178" i="1" a="1"/>
  <c r="AA1178" i="1" s="1"/>
  <c r="AA1179" i="1" a="1"/>
  <c r="AA1179" i="1" s="1"/>
  <c r="AA1180" i="1" a="1"/>
  <c r="AA1180" i="1" s="1"/>
  <c r="AA1181" i="1" a="1"/>
  <c r="AA1181" i="1" s="1"/>
  <c r="AA1182" i="1" a="1"/>
  <c r="AA1182" i="1" s="1"/>
  <c r="AA1183" i="1" a="1"/>
  <c r="AA1183" i="1" s="1"/>
  <c r="AA1184" i="1" a="1"/>
  <c r="AA1184" i="1" s="1"/>
  <c r="AA1185" i="1" a="1"/>
  <c r="AA1185" i="1" s="1"/>
  <c r="AA1186" i="1" a="1"/>
  <c r="AA1186" i="1" s="1"/>
  <c r="AA1187" i="1" a="1"/>
  <c r="AA1187" i="1" s="1"/>
  <c r="AA1188" i="1" a="1"/>
  <c r="AA1188" i="1" s="1"/>
  <c r="AA1189" i="1" a="1"/>
  <c r="AA1189" i="1" s="1"/>
  <c r="AA1190" i="1" a="1"/>
  <c r="AA1190" i="1" s="1"/>
  <c r="AA1191" i="1" a="1"/>
  <c r="AA1191" i="1" s="1"/>
  <c r="AA1192" i="1" a="1"/>
  <c r="AA1192" i="1" s="1"/>
  <c r="AA1193" i="1" a="1"/>
  <c r="AA1193" i="1" s="1"/>
  <c r="AA1194" i="1" a="1"/>
  <c r="AA1194" i="1" s="1"/>
  <c r="AA1195" i="1" a="1"/>
  <c r="AA1195" i="1" s="1"/>
  <c r="AA1196" i="1" a="1"/>
  <c r="AA1196" i="1" s="1"/>
  <c r="AA1197" i="1" a="1"/>
  <c r="AA1197" i="1" s="1"/>
  <c r="AA1198" i="1" a="1"/>
  <c r="AA1198" i="1" s="1"/>
  <c r="AA1199" i="1" a="1"/>
  <c r="AA1199" i="1" s="1"/>
  <c r="AA1200" i="1" a="1"/>
  <c r="AA1200" i="1" s="1"/>
  <c r="AA1201" i="1" a="1"/>
  <c r="AA1201" i="1" s="1"/>
  <c r="AA1202" i="1" a="1"/>
  <c r="AA1202" i="1" s="1"/>
  <c r="AA1203" i="1" a="1"/>
  <c r="AA1203" i="1" s="1"/>
  <c r="AA1204" i="1" a="1"/>
  <c r="AA1204" i="1" s="1"/>
  <c r="AA1205" i="1" a="1"/>
  <c r="AA1205" i="1" s="1"/>
  <c r="AA1206" i="1" a="1"/>
  <c r="AA1206" i="1" s="1"/>
  <c r="AA1207" i="1" a="1"/>
  <c r="AA1207" i="1" s="1"/>
  <c r="AA1208" i="1" a="1"/>
  <c r="AA1208" i="1" s="1"/>
  <c r="AA1209" i="1" a="1"/>
  <c r="AA1209" i="1" s="1"/>
  <c r="AA1210" i="1" a="1"/>
  <c r="AA1210" i="1" s="1"/>
  <c r="AA1211" i="1" a="1"/>
  <c r="AA1211" i="1" s="1"/>
  <c r="AA1212" i="1" a="1"/>
  <c r="AA1212" i="1" s="1"/>
  <c r="AA1213" i="1" a="1"/>
  <c r="AA1213" i="1" s="1"/>
  <c r="AA1214" i="1" a="1"/>
  <c r="AA1214" i="1" s="1"/>
  <c r="AA1215" i="1" a="1"/>
  <c r="AA1215" i="1" s="1"/>
  <c r="AA1216" i="1" a="1"/>
  <c r="AA1216" i="1" s="1"/>
  <c r="AA1217" i="1" a="1"/>
  <c r="AA1217" i="1" s="1"/>
  <c r="AA1218" i="1" a="1"/>
  <c r="AA1218" i="1" s="1"/>
  <c r="AA1219" i="1" a="1"/>
  <c r="AA1219" i="1" s="1"/>
  <c r="AA1220" i="1" a="1"/>
  <c r="AA1220" i="1" s="1"/>
  <c r="AA1221" i="1" a="1"/>
  <c r="AA1221" i="1" s="1"/>
  <c r="AA1222" i="1" a="1"/>
  <c r="AA1222" i="1" s="1"/>
  <c r="AA1223" i="1" a="1"/>
  <c r="AA1223" i="1" s="1"/>
  <c r="AA1224" i="1" a="1"/>
  <c r="AA1224" i="1" s="1"/>
  <c r="AA1225" i="1" a="1"/>
  <c r="AA1225" i="1" s="1"/>
  <c r="AA1226" i="1" a="1"/>
  <c r="AA1226" i="1" s="1"/>
  <c r="AA1227" i="1" a="1"/>
  <c r="AA1227" i="1" s="1"/>
  <c r="AA1228" i="1" a="1"/>
  <c r="AA1228" i="1" s="1"/>
  <c r="AA1229" i="1" a="1"/>
  <c r="AA1229" i="1" s="1"/>
  <c r="AA1230" i="1" a="1"/>
  <c r="AA1230" i="1" s="1"/>
  <c r="AA1231" i="1" a="1"/>
  <c r="AA1231" i="1" s="1"/>
  <c r="AA1232" i="1" a="1"/>
  <c r="AA1232" i="1" s="1"/>
  <c r="AA1233" i="1" a="1"/>
  <c r="AA1233" i="1" s="1"/>
  <c r="AA1234" i="1" a="1"/>
  <c r="AA1234" i="1" s="1"/>
  <c r="AA1235" i="1" a="1"/>
  <c r="AA1235" i="1" s="1"/>
  <c r="AA1236" i="1" a="1"/>
  <c r="AA1236" i="1" s="1"/>
  <c r="AA1237" i="1" a="1"/>
  <c r="AA1237" i="1" s="1"/>
  <c r="AA1238" i="1" a="1"/>
  <c r="AA1238" i="1" s="1"/>
  <c r="AA1239" i="1" a="1"/>
  <c r="AA1239" i="1" s="1"/>
  <c r="AA1240" i="1" a="1"/>
  <c r="AA1240" i="1" s="1"/>
  <c r="AA1241" i="1" a="1"/>
  <c r="AA1241" i="1" s="1"/>
  <c r="AA1242" i="1" a="1"/>
  <c r="AA1242" i="1" s="1"/>
  <c r="AA1243" i="1" a="1"/>
  <c r="AA1243" i="1" s="1"/>
  <c r="AA1244" i="1" a="1"/>
  <c r="AA1244" i="1" s="1"/>
  <c r="AA1245" i="1" a="1"/>
  <c r="AA1245" i="1" s="1"/>
  <c r="AA1246" i="1" a="1"/>
  <c r="AA1246" i="1" s="1"/>
  <c r="AA1247" i="1" a="1"/>
  <c r="AA1247" i="1" s="1"/>
  <c r="AA1248" i="1" a="1"/>
  <c r="AA1248" i="1" s="1"/>
  <c r="AA1249" i="1" a="1"/>
  <c r="AA1249" i="1" s="1"/>
  <c r="AA1250" i="1" a="1"/>
  <c r="AA1250" i="1" s="1"/>
  <c r="AA1251" i="1" a="1"/>
  <c r="AA1251" i="1" s="1"/>
  <c r="AA1252" i="1" a="1"/>
  <c r="AA1252" i="1" s="1"/>
  <c r="AA1253" i="1" a="1"/>
  <c r="AA1253" i="1" s="1"/>
  <c r="AA1254" i="1" a="1"/>
  <c r="AA1254" i="1" s="1"/>
  <c r="AA1255" i="1" a="1"/>
  <c r="AA1255" i="1" s="1"/>
  <c r="AA1256" i="1" a="1"/>
  <c r="AA1256" i="1" s="1"/>
  <c r="AA1257" i="1" a="1"/>
  <c r="AA1257" i="1" s="1"/>
  <c r="AA1258" i="1" a="1"/>
  <c r="AA1258" i="1" s="1"/>
  <c r="AA1259" i="1" a="1"/>
  <c r="AA1259" i="1" s="1"/>
  <c r="AA1260" i="1" a="1"/>
  <c r="AA1260" i="1" s="1"/>
  <c r="AA1261" i="1" a="1"/>
  <c r="AA1261" i="1" s="1"/>
  <c r="AA1262" i="1" a="1"/>
  <c r="AA1262" i="1" s="1"/>
  <c r="AA1263" i="1" a="1"/>
  <c r="AA1263" i="1" s="1"/>
  <c r="AA1264" i="1" a="1"/>
  <c r="AA1264" i="1" s="1"/>
  <c r="AA1265" i="1" a="1"/>
  <c r="AA1265" i="1" s="1"/>
  <c r="AA1266" i="1" a="1"/>
  <c r="AA1266" i="1" s="1"/>
  <c r="AA1267" i="1" a="1"/>
  <c r="AA1267" i="1" s="1"/>
  <c r="AA1268" i="1" a="1"/>
  <c r="AA1268" i="1" s="1"/>
  <c r="AA1269" i="1" a="1"/>
  <c r="AA1269" i="1" s="1"/>
  <c r="AA1270" i="1" a="1"/>
  <c r="AA1270" i="1" s="1"/>
  <c r="AA1271" i="1" a="1"/>
  <c r="AA1271" i="1" s="1"/>
  <c r="AA1272" i="1" a="1"/>
  <c r="AA1272" i="1" s="1"/>
  <c r="AA1273" i="1" a="1"/>
  <c r="AA1273" i="1" s="1"/>
  <c r="AA1274" i="1" a="1"/>
  <c r="AA1274" i="1" s="1"/>
  <c r="AA1275" i="1" a="1"/>
  <c r="AA1275" i="1" s="1"/>
  <c r="AA1276" i="1" a="1"/>
  <c r="AA1276" i="1" s="1"/>
  <c r="AA1277" i="1" a="1"/>
  <c r="AA1277" i="1" s="1"/>
  <c r="AA1278" i="1" a="1"/>
  <c r="AA1278" i="1" s="1"/>
  <c r="AA1279" i="1" a="1"/>
  <c r="AA1279" i="1" s="1"/>
  <c r="AA1280" i="1" a="1"/>
  <c r="AA1280" i="1" s="1"/>
  <c r="AA1281" i="1" a="1"/>
  <c r="AA1281" i="1" s="1"/>
  <c r="AA1282" i="1" a="1"/>
  <c r="AA1282" i="1" s="1"/>
  <c r="AA1283" i="1" a="1"/>
  <c r="AA1283" i="1" s="1"/>
  <c r="AA1284" i="1" a="1"/>
  <c r="AA1284" i="1" s="1"/>
  <c r="AA1285" i="1" a="1"/>
  <c r="AA1285" i="1" s="1"/>
  <c r="AA1286" i="1" a="1"/>
  <c r="AA1286" i="1" s="1"/>
  <c r="AA1287" i="1" a="1"/>
  <c r="AA1287" i="1" s="1"/>
  <c r="AA1288" i="1" a="1"/>
  <c r="AA1288" i="1" s="1"/>
  <c r="AA1289" i="1" a="1"/>
  <c r="AA1289" i="1" s="1"/>
  <c r="AA1290" i="1" a="1"/>
  <c r="AA1290" i="1" s="1"/>
  <c r="AA1291" i="1" a="1"/>
  <c r="AA1291" i="1" s="1"/>
  <c r="AA1292" i="1" a="1"/>
  <c r="AA1292" i="1" s="1"/>
  <c r="AA1293" i="1" a="1"/>
  <c r="AA1293" i="1" s="1"/>
  <c r="AA1294" i="1" a="1"/>
  <c r="AA1294" i="1" s="1"/>
  <c r="AA1295" i="1" a="1"/>
  <c r="AA1295" i="1" s="1"/>
  <c r="AA1296" i="1" a="1"/>
  <c r="AA1296" i="1" s="1"/>
  <c r="AA1297" i="1" a="1"/>
  <c r="AA1297" i="1" s="1"/>
  <c r="AA1298" i="1" a="1"/>
  <c r="AA1298" i="1" s="1"/>
  <c r="AA1299" i="1" a="1"/>
  <c r="AA1299" i="1" s="1"/>
  <c r="AA1300" i="1" a="1"/>
  <c r="AA1300" i="1" s="1"/>
  <c r="AA1301" i="1" a="1"/>
  <c r="AA1301" i="1" s="1"/>
  <c r="AA1302" i="1" a="1"/>
  <c r="AA1302" i="1" s="1"/>
  <c r="AA1303" i="1" a="1"/>
  <c r="AA1303" i="1" s="1"/>
  <c r="AA1304" i="1" a="1"/>
  <c r="AA1304" i="1" s="1"/>
  <c r="AA1305" i="1" a="1"/>
  <c r="AA1305" i="1" s="1"/>
  <c r="AA1306" i="1" a="1"/>
  <c r="AA1306" i="1" s="1"/>
  <c r="AA1307" i="1" a="1"/>
  <c r="AA1307" i="1" s="1"/>
  <c r="AA1308" i="1" a="1"/>
  <c r="AA1308" i="1" s="1"/>
  <c r="AA1309" i="1" a="1"/>
  <c r="AA1309" i="1" s="1"/>
  <c r="AA1310" i="1" a="1"/>
  <c r="AA1310" i="1" s="1"/>
  <c r="AA1311" i="1" a="1"/>
  <c r="AA1311" i="1" s="1"/>
  <c r="AA1312" i="1" a="1"/>
  <c r="AA1312" i="1" s="1"/>
  <c r="AA1313" i="1" a="1"/>
  <c r="AA1313" i="1" s="1"/>
  <c r="AA1314" i="1" a="1"/>
  <c r="AA1314" i="1" s="1"/>
  <c r="AA1315" i="1" a="1"/>
  <c r="AA1315" i="1" s="1"/>
  <c r="AA1316" i="1" a="1"/>
  <c r="AA1316" i="1" s="1"/>
  <c r="AA1317" i="1" a="1"/>
  <c r="AA1317" i="1" s="1"/>
  <c r="AA1318" i="1" a="1"/>
  <c r="AA1318" i="1" s="1"/>
  <c r="AA1319" i="1" a="1"/>
  <c r="AA1319" i="1" s="1"/>
  <c r="AA1320" i="1" a="1"/>
  <c r="AA1320" i="1" s="1"/>
  <c r="AA1321" i="1" a="1"/>
  <c r="AA1321" i="1" s="1"/>
  <c r="AA1322" i="1" a="1"/>
  <c r="AA1322" i="1" s="1"/>
  <c r="AA1323" i="1" a="1"/>
  <c r="AA1323" i="1" s="1"/>
  <c r="AA1324" i="1" a="1"/>
  <c r="AA1324" i="1" s="1"/>
  <c r="AA1325" i="1" a="1"/>
  <c r="AA1325" i="1" s="1"/>
  <c r="AA1326" i="1" a="1"/>
  <c r="AA1326" i="1" s="1"/>
  <c r="AA1327" i="1" a="1"/>
  <c r="AA1327" i="1" s="1"/>
  <c r="AA1328" i="1" a="1"/>
  <c r="AA1328" i="1" s="1"/>
  <c r="AA1329" i="1" a="1"/>
  <c r="AA1329" i="1" s="1"/>
  <c r="AA1330" i="1" a="1"/>
  <c r="AA1330" i="1" s="1"/>
  <c r="AA1331" i="1" a="1"/>
  <c r="AA1331" i="1" s="1"/>
  <c r="AA1332" i="1" a="1"/>
  <c r="AA1332" i="1" s="1"/>
  <c r="AA1333" i="1" a="1"/>
  <c r="AA1333" i="1" s="1"/>
  <c r="AA1334" i="1" a="1"/>
  <c r="AA1334" i="1" s="1"/>
  <c r="AA1335" i="1" a="1"/>
  <c r="AA1335" i="1" s="1"/>
  <c r="AA1336" i="1" a="1"/>
  <c r="AA1336" i="1" s="1"/>
  <c r="AA1337" i="1" a="1"/>
  <c r="AA1337" i="1" s="1"/>
  <c r="AA1338" i="1" a="1"/>
  <c r="AA1338" i="1" s="1"/>
  <c r="AA1339" i="1" a="1"/>
  <c r="AA1339" i="1" s="1"/>
  <c r="AA1340" i="1" a="1"/>
  <c r="AA1340" i="1" s="1"/>
  <c r="AA1341" i="1" a="1"/>
  <c r="AA1341" i="1" s="1"/>
  <c r="AA1342" i="1" a="1"/>
  <c r="AA1342" i="1" s="1"/>
  <c r="AA1343" i="1" a="1"/>
  <c r="AA1343" i="1" s="1"/>
  <c r="AA1344" i="1" a="1"/>
  <c r="AA1344" i="1" s="1"/>
  <c r="AA1345" i="1" a="1"/>
  <c r="AA1345" i="1" s="1"/>
  <c r="AA1346" i="1" a="1"/>
  <c r="AA1346" i="1" s="1"/>
  <c r="AA1347" i="1" a="1"/>
  <c r="AA1347" i="1" s="1"/>
  <c r="AA1348" i="1" a="1"/>
  <c r="AA1348" i="1" s="1"/>
  <c r="AA1349" i="1" a="1"/>
  <c r="AA1349" i="1" s="1"/>
  <c r="AA1350" i="1" a="1"/>
  <c r="AA1350" i="1" s="1"/>
  <c r="AA1351" i="1" a="1"/>
  <c r="AA1351" i="1" s="1"/>
  <c r="AA1352" i="1" a="1"/>
  <c r="AA1352" i="1" s="1"/>
  <c r="AA1353" i="1" a="1"/>
  <c r="AA1353" i="1" s="1"/>
  <c r="AA1354" i="1" a="1"/>
  <c r="AA1354" i="1" s="1"/>
  <c r="AA1355" i="1" a="1"/>
  <c r="AA1355" i="1" s="1"/>
  <c r="AA1356" i="1" a="1"/>
  <c r="AA1356" i="1" s="1"/>
  <c r="AA1357" i="1" a="1"/>
  <c r="AA1357" i="1" s="1"/>
  <c r="AA1358" i="1" a="1"/>
  <c r="AA1358" i="1" s="1"/>
  <c r="AA1359" i="1" a="1"/>
  <c r="AA1359" i="1" s="1"/>
  <c r="AA1360" i="1" a="1"/>
  <c r="AA1360" i="1" s="1"/>
  <c r="AA1361" i="1" a="1"/>
  <c r="AA1361" i="1" s="1"/>
  <c r="AA1362" i="1" a="1"/>
  <c r="AA1362" i="1" s="1"/>
  <c r="AA1363" i="1" a="1"/>
  <c r="AA1363" i="1" s="1"/>
  <c r="AA1364" i="1" a="1"/>
  <c r="AA1364" i="1" s="1"/>
  <c r="AA1365" i="1" a="1"/>
  <c r="AA1365" i="1" s="1"/>
  <c r="AA1366" i="1" a="1"/>
  <c r="AA1366" i="1" s="1"/>
  <c r="AA1367" i="1" a="1"/>
  <c r="AA1367" i="1" s="1"/>
  <c r="AA1368" i="1" a="1"/>
  <c r="AA1368" i="1" s="1"/>
  <c r="AA1369" i="1" a="1"/>
  <c r="AA1369" i="1" s="1"/>
  <c r="AA1370" i="1" a="1"/>
  <c r="AA1370" i="1" s="1"/>
  <c r="AA1371" i="1" a="1"/>
  <c r="AA1371" i="1" s="1"/>
  <c r="AA1372" i="1" a="1"/>
  <c r="AA1372" i="1" s="1"/>
  <c r="AA1373" i="1" a="1"/>
  <c r="AA1373" i="1" s="1"/>
  <c r="AA1374" i="1" a="1"/>
  <c r="AA1374" i="1" s="1"/>
  <c r="AA1375" i="1" a="1"/>
  <c r="AA1375" i="1" s="1"/>
  <c r="AA1376" i="1" a="1"/>
  <c r="AA1376" i="1" s="1"/>
  <c r="AA1377" i="1" a="1"/>
  <c r="AA1377" i="1" s="1"/>
  <c r="AA1378" i="1" a="1"/>
  <c r="AA1378" i="1" s="1"/>
  <c r="AA1379" i="1" a="1"/>
  <c r="AA1379" i="1" s="1"/>
  <c r="AA1380" i="1" a="1"/>
  <c r="AA1380" i="1" s="1"/>
  <c r="AA1381" i="1" a="1"/>
  <c r="AA1381" i="1" s="1"/>
  <c r="AA1382" i="1" a="1"/>
  <c r="AA1382" i="1" s="1"/>
  <c r="AA1383" i="1" a="1"/>
  <c r="AA1383" i="1" s="1"/>
  <c r="AA1384" i="1" a="1"/>
  <c r="AA1384" i="1" s="1"/>
  <c r="AA1385" i="1" a="1"/>
  <c r="AA1385" i="1" s="1"/>
  <c r="AA1386" i="1" a="1"/>
  <c r="AA1386" i="1" s="1"/>
  <c r="AA1387" i="1" a="1"/>
  <c r="AA1387" i="1" s="1"/>
  <c r="AA1388" i="1" a="1"/>
  <c r="AA1388" i="1" s="1"/>
  <c r="AA1389" i="1" a="1"/>
  <c r="AA1389" i="1" s="1"/>
  <c r="AA1390" i="1" a="1"/>
  <c r="AA1390" i="1" s="1"/>
  <c r="AA1391" i="1" a="1"/>
  <c r="AA1391" i="1" s="1"/>
  <c r="AA1392" i="1" a="1"/>
  <c r="AA1392" i="1" s="1"/>
  <c r="AA1393" i="1" a="1"/>
  <c r="AA1393" i="1" s="1"/>
  <c r="AA1394" i="1" a="1"/>
  <c r="AA1394" i="1" s="1"/>
  <c r="AA1395" i="1" a="1"/>
  <c r="AA1395" i="1" s="1"/>
  <c r="AA1396" i="1" a="1"/>
  <c r="AA1396" i="1" s="1"/>
  <c r="AA1397" i="1" a="1"/>
  <c r="AA1397" i="1" s="1"/>
  <c r="AA1398" i="1" a="1"/>
  <c r="AA1398" i="1" s="1"/>
  <c r="AA1399" i="1" a="1"/>
  <c r="AA1399" i="1" s="1"/>
  <c r="AA1400" i="1" a="1"/>
  <c r="AA1400" i="1" s="1"/>
  <c r="AA1401" i="1" a="1"/>
  <c r="AA1401" i="1" s="1"/>
  <c r="AA1402" i="1" a="1"/>
  <c r="AA1402" i="1" s="1"/>
  <c r="AA1403" i="1" a="1"/>
  <c r="AA1403" i="1" s="1"/>
  <c r="AA1404" i="1" a="1"/>
  <c r="AA1404" i="1" s="1"/>
  <c r="AA1405" i="1" a="1"/>
  <c r="AA1405" i="1" s="1"/>
  <c r="AA1406" i="1" a="1"/>
  <c r="AA1406" i="1" s="1"/>
  <c r="AA1407" i="1" a="1"/>
  <c r="AA1407" i="1" s="1"/>
  <c r="AA1408" i="1" a="1"/>
  <c r="AA1408" i="1" s="1"/>
  <c r="AA1409" i="1" a="1"/>
  <c r="AA1409" i="1" s="1"/>
  <c r="AA1410" i="1" a="1"/>
  <c r="AA1410" i="1" s="1"/>
  <c r="AA1411" i="1" a="1"/>
  <c r="AA1411" i="1" s="1"/>
  <c r="AA1412" i="1" a="1"/>
  <c r="AA1412" i="1" s="1"/>
  <c r="AA1413" i="1" a="1"/>
  <c r="AA1413" i="1" s="1"/>
  <c r="AA1414" i="1" a="1"/>
  <c r="AA1414" i="1" s="1"/>
  <c r="AA1415" i="1" a="1"/>
  <c r="AA1415" i="1" s="1"/>
  <c r="AA1416" i="1" a="1"/>
  <c r="AA1416" i="1" s="1"/>
  <c r="AA1417" i="1" a="1"/>
  <c r="AA1417" i="1" s="1"/>
  <c r="AA1418" i="1" a="1"/>
  <c r="AA1418" i="1" s="1"/>
  <c r="AA1419" i="1" a="1"/>
  <c r="AA1419" i="1" s="1"/>
  <c r="AA1420" i="1" a="1"/>
  <c r="AA1420" i="1" s="1"/>
  <c r="AA1421" i="1" a="1"/>
  <c r="AA1421" i="1" s="1"/>
  <c r="AA1422" i="1" a="1"/>
  <c r="AA1422" i="1" s="1"/>
  <c r="AA1423" i="1" a="1"/>
  <c r="AA1423" i="1" s="1"/>
  <c r="AA1424" i="1" a="1"/>
  <c r="AA1424" i="1" s="1"/>
  <c r="AA1425" i="1" a="1"/>
  <c r="AA1425" i="1" s="1"/>
  <c r="AA1426" i="1" a="1"/>
  <c r="AA1426" i="1" s="1"/>
  <c r="AA1427" i="1" a="1"/>
  <c r="AA1427" i="1" s="1"/>
  <c r="AA1428" i="1" a="1"/>
  <c r="AA1428" i="1" s="1"/>
  <c r="AA1429" i="1" a="1"/>
  <c r="AA1429" i="1" s="1"/>
  <c r="AA1430" i="1" a="1"/>
  <c r="AA1430" i="1" s="1"/>
  <c r="AA1431" i="1" a="1"/>
  <c r="AA1431" i="1" s="1"/>
  <c r="AA1432" i="1" a="1"/>
  <c r="AA1432" i="1" s="1"/>
  <c r="AA1433" i="1" a="1"/>
  <c r="AA1433" i="1" s="1"/>
  <c r="AA1434" i="1" a="1"/>
  <c r="AA1434" i="1" s="1"/>
  <c r="AA1435" i="1" a="1"/>
  <c r="AA1435" i="1" s="1"/>
  <c r="AA1436" i="1" a="1"/>
  <c r="AA1436" i="1" s="1"/>
  <c r="AA1437" i="1" a="1"/>
  <c r="AA1437" i="1" s="1"/>
  <c r="AA1438" i="1" a="1"/>
  <c r="AA1438" i="1" s="1"/>
  <c r="AA1439" i="1" a="1"/>
  <c r="AA1439" i="1" s="1"/>
  <c r="AA1440" i="1" a="1"/>
  <c r="AA1440" i="1" s="1"/>
  <c r="AA1441" i="1" a="1"/>
  <c r="AA1441" i="1" s="1"/>
  <c r="AA1442" i="1" a="1"/>
  <c r="AA1442" i="1" s="1"/>
  <c r="AA1443" i="1" a="1"/>
  <c r="AA1443" i="1" s="1"/>
  <c r="AA1444" i="1" a="1"/>
  <c r="AA1444" i="1" s="1"/>
  <c r="AA1445" i="1" a="1"/>
  <c r="AA1445" i="1" s="1"/>
  <c r="AA1446" i="1" a="1"/>
  <c r="AA1446" i="1" s="1"/>
  <c r="AA1447" i="1" a="1"/>
  <c r="AA1447" i="1" s="1"/>
  <c r="AA1448" i="1" a="1"/>
  <c r="AA1448" i="1" s="1"/>
  <c r="AA1449" i="1" a="1"/>
  <c r="AA1449" i="1" s="1"/>
  <c r="AA1450" i="1" a="1"/>
  <c r="AA1450" i="1" s="1"/>
  <c r="AA1451" i="1" a="1"/>
  <c r="AA1451" i="1" s="1"/>
  <c r="AA1452" i="1" a="1"/>
  <c r="AA1452" i="1" s="1"/>
  <c r="AA1453" i="1" a="1"/>
  <c r="AA1453" i="1" s="1"/>
  <c r="AA1454" i="1" a="1"/>
  <c r="AA1454" i="1" s="1"/>
  <c r="AA1455" i="1" a="1"/>
  <c r="AA1455" i="1" s="1"/>
  <c r="AA1456" i="1" a="1"/>
  <c r="AA1456" i="1" s="1"/>
  <c r="AA1457" i="1" a="1"/>
  <c r="AA1457" i="1" s="1"/>
  <c r="AA1458" i="1" a="1"/>
  <c r="AA1458" i="1" s="1"/>
  <c r="AA1459" i="1" a="1"/>
  <c r="AA1459" i="1" s="1"/>
  <c r="AA1460" i="1" a="1"/>
  <c r="AA1460" i="1" s="1"/>
  <c r="AA1461" i="1" a="1"/>
  <c r="AA1461" i="1" s="1"/>
  <c r="AA1462" i="1" a="1"/>
  <c r="AA1462" i="1" s="1"/>
  <c r="AA1463" i="1" a="1"/>
  <c r="AA1463" i="1" s="1"/>
  <c r="AA1464" i="1" a="1"/>
  <c r="AA1464" i="1" s="1"/>
  <c r="AA1465" i="1" a="1"/>
  <c r="AA1465" i="1" s="1"/>
  <c r="AA1466" i="1" a="1"/>
  <c r="AA1466" i="1" s="1"/>
  <c r="AA1467" i="1" a="1"/>
  <c r="AA1467" i="1" s="1"/>
  <c r="AA1468" i="1" a="1"/>
  <c r="AA1468" i="1" s="1"/>
  <c r="AA1469" i="1" a="1"/>
  <c r="AA1469" i="1" s="1"/>
  <c r="AA1470" i="1" a="1"/>
  <c r="AA1470" i="1" s="1"/>
  <c r="AA1471" i="1" a="1"/>
  <c r="AA1471" i="1" s="1"/>
  <c r="AA1472" i="1" a="1"/>
  <c r="AA1472" i="1" s="1"/>
  <c r="AA1473" i="1" a="1"/>
  <c r="AA1473" i="1" s="1"/>
  <c r="AA1474" i="1" a="1"/>
  <c r="AA1474" i="1" s="1"/>
  <c r="AA1475" i="1" a="1"/>
  <c r="AA1475" i="1" s="1"/>
  <c r="AA1476" i="1" a="1"/>
  <c r="AA1476" i="1" s="1"/>
  <c r="AA1477" i="1" a="1"/>
  <c r="AA1477" i="1" s="1"/>
  <c r="AA1478" i="1" a="1"/>
  <c r="AA1478" i="1" s="1"/>
  <c r="AA1479" i="1" a="1"/>
  <c r="AA1479" i="1" s="1"/>
  <c r="AA1480" i="1" a="1"/>
  <c r="AA1480" i="1" s="1"/>
  <c r="AA1481" i="1" a="1"/>
  <c r="AA1481" i="1" s="1"/>
  <c r="AA1482" i="1" a="1"/>
  <c r="AA1482" i="1" s="1"/>
  <c r="AA1483" i="1" a="1"/>
  <c r="AA1483" i="1" s="1"/>
  <c r="AA1484" i="1" a="1"/>
  <c r="AA1484" i="1" s="1"/>
  <c r="AA1485" i="1" a="1"/>
  <c r="AA1485" i="1" s="1"/>
  <c r="AA1486" i="1" a="1"/>
  <c r="AA1486" i="1" s="1"/>
  <c r="AA1487" i="1" a="1"/>
  <c r="AA1487" i="1" s="1"/>
  <c r="AA1488" i="1" a="1"/>
  <c r="AA1488" i="1" s="1"/>
  <c r="AA1489" i="1" a="1"/>
  <c r="AA1489" i="1" s="1"/>
  <c r="AA1490" i="1" a="1"/>
  <c r="AA1490" i="1" s="1"/>
  <c r="AA1491" i="1" a="1"/>
  <c r="AA1491" i="1" s="1"/>
  <c r="AA1492" i="1" a="1"/>
  <c r="AA1492" i="1" s="1"/>
  <c r="AA1493" i="1" a="1"/>
  <c r="AA1493" i="1" s="1"/>
  <c r="AA1494" i="1" a="1"/>
  <c r="AA1494" i="1" s="1"/>
  <c r="AA1495" i="1" a="1"/>
  <c r="AA1495" i="1" s="1"/>
  <c r="AA1496" i="1" a="1"/>
  <c r="AA1496" i="1" s="1"/>
  <c r="AA1497" i="1" a="1"/>
  <c r="AA1497" i="1" s="1"/>
  <c r="AA1498" i="1" a="1"/>
  <c r="AA1498" i="1" s="1"/>
  <c r="AA1499" i="1" a="1"/>
  <c r="AA1499" i="1" s="1"/>
  <c r="AA1500" i="1" a="1"/>
  <c r="AA1500" i="1" s="1"/>
  <c r="AA1501" i="1" a="1"/>
  <c r="AA1501" i="1" s="1"/>
  <c r="AA1502" i="1" a="1"/>
  <c r="AA1502" i="1" s="1"/>
  <c r="AA1503" i="1" a="1"/>
  <c r="AA1503" i="1" s="1"/>
  <c r="AA1504" i="1" a="1"/>
  <c r="AA1504" i="1" s="1"/>
  <c r="AA1505" i="1" a="1"/>
  <c r="AA1505" i="1" s="1"/>
  <c r="AA1506" i="1" a="1"/>
  <c r="AA1506" i="1" s="1"/>
  <c r="AA1507" i="1" a="1"/>
  <c r="AA1507" i="1" s="1"/>
  <c r="AA1508" i="1" a="1"/>
  <c r="AA1508" i="1" s="1"/>
  <c r="AA1509" i="1" a="1"/>
  <c r="AA1509" i="1" s="1"/>
  <c r="AA1510" i="1" a="1"/>
  <c r="AA1510" i="1" s="1"/>
  <c r="AA1511" i="1" a="1"/>
  <c r="AA1511" i="1" s="1"/>
  <c r="AA1512" i="1" a="1"/>
  <c r="AA1512" i="1" s="1"/>
  <c r="AA1513" i="1" a="1"/>
  <c r="AA1513" i="1" s="1"/>
  <c r="AA1514" i="1" a="1"/>
  <c r="AA1514" i="1" s="1"/>
  <c r="AA1515" i="1" a="1"/>
  <c r="AA1515" i="1" s="1"/>
  <c r="AA1516" i="1" a="1"/>
  <c r="AA1516" i="1" s="1"/>
  <c r="AA1517" i="1" a="1"/>
  <c r="AA1517" i="1" s="1"/>
  <c r="AA1518" i="1" a="1"/>
  <c r="AA1518" i="1" s="1"/>
  <c r="AA1519" i="1" a="1"/>
  <c r="AA1519" i="1" s="1"/>
  <c r="AA1520" i="1" a="1"/>
  <c r="AA1520" i="1" s="1"/>
  <c r="AA1521" i="1" a="1"/>
  <c r="AA1521" i="1" s="1"/>
  <c r="AA1522" i="1" a="1"/>
  <c r="AA1522" i="1" s="1"/>
  <c r="AA1523" i="1" a="1"/>
  <c r="AA1523" i="1" s="1"/>
  <c r="AA1524" i="1" a="1"/>
  <c r="AA1524" i="1" s="1"/>
  <c r="AA1525" i="1" a="1"/>
  <c r="AA1525" i="1" s="1"/>
  <c r="AA1526" i="1" a="1"/>
  <c r="AA1526" i="1" s="1"/>
  <c r="AA1527" i="1" a="1"/>
  <c r="AA1527" i="1" s="1"/>
  <c r="AA1528" i="1" a="1"/>
  <c r="AA1528" i="1" s="1"/>
  <c r="AA1529" i="1" a="1"/>
  <c r="AA1529" i="1" s="1"/>
  <c r="AA1530" i="1" a="1"/>
  <c r="AA1530" i="1" s="1"/>
  <c r="AA1531" i="1" a="1"/>
  <c r="AA1531" i="1" s="1"/>
  <c r="AA1532" i="1" a="1"/>
  <c r="AA1532" i="1" s="1"/>
  <c r="AA1533" i="1" a="1"/>
  <c r="AA1533" i="1" s="1"/>
  <c r="AA1534" i="1" a="1"/>
  <c r="AA1534" i="1" s="1"/>
  <c r="AA1535" i="1" a="1"/>
  <c r="AA1535" i="1" s="1"/>
  <c r="AA1536" i="1" a="1"/>
  <c r="AA1536" i="1" s="1"/>
  <c r="AA1537" i="1" a="1"/>
  <c r="AA1537" i="1" s="1"/>
  <c r="AA1538" i="1" a="1"/>
  <c r="AA1538" i="1" s="1"/>
  <c r="AA1539" i="1" a="1"/>
  <c r="AA1539" i="1" s="1"/>
  <c r="AA1540" i="1" a="1"/>
  <c r="AA1540" i="1" s="1"/>
  <c r="AA1541" i="1" a="1"/>
  <c r="AA1541" i="1" s="1"/>
  <c r="AA1542" i="1" a="1"/>
  <c r="AA1542" i="1" s="1"/>
  <c r="AA1543" i="1" a="1"/>
  <c r="AA1543" i="1" s="1"/>
  <c r="AA1544" i="1" a="1"/>
  <c r="AA1544" i="1" s="1"/>
  <c r="AA1545" i="1" a="1"/>
  <c r="AA1545" i="1" s="1"/>
  <c r="AA1546" i="1" a="1"/>
  <c r="AA1546" i="1" s="1"/>
  <c r="AA1547" i="1" a="1"/>
  <c r="AA1547" i="1" s="1"/>
  <c r="AA1548" i="1" a="1"/>
  <c r="AA1548" i="1" s="1"/>
  <c r="AA1549" i="1" a="1"/>
  <c r="AA1549" i="1" s="1"/>
  <c r="AA1550" i="1" a="1"/>
  <c r="AA1550" i="1" s="1"/>
  <c r="AA1551" i="1" a="1"/>
  <c r="AA1551" i="1" s="1"/>
  <c r="AA1552" i="1" a="1"/>
  <c r="AA1552" i="1" s="1"/>
  <c r="AA1553" i="1" a="1"/>
  <c r="AA1553" i="1" s="1"/>
  <c r="AA1554" i="1" a="1"/>
  <c r="AA1554" i="1" s="1"/>
  <c r="AA1555" i="1" a="1"/>
  <c r="AA1555" i="1" s="1"/>
  <c r="AA1556" i="1" a="1"/>
  <c r="AA1556" i="1" s="1"/>
  <c r="AA1557" i="1" a="1"/>
  <c r="AA1557" i="1" s="1"/>
  <c r="AA1558" i="1" a="1"/>
  <c r="AA1558" i="1" s="1"/>
  <c r="AA1559" i="1" a="1"/>
  <c r="AA1559" i="1" s="1"/>
  <c r="AA1560" i="1" a="1"/>
  <c r="AA1560" i="1" s="1"/>
  <c r="AA1561" i="1" a="1"/>
  <c r="AA1561" i="1" s="1"/>
  <c r="AA1562" i="1" a="1"/>
  <c r="AA1562" i="1" s="1"/>
  <c r="AA1563" i="1" a="1"/>
  <c r="AA1563" i="1" s="1"/>
  <c r="AA1564" i="1" a="1"/>
  <c r="AA1564" i="1" s="1"/>
  <c r="AA1565" i="1" a="1"/>
  <c r="AA1565" i="1" s="1"/>
  <c r="AA1566" i="1" a="1"/>
  <c r="AA1566" i="1" s="1"/>
  <c r="AA1567" i="1" a="1"/>
  <c r="AA1567" i="1" s="1"/>
  <c r="AA1568" i="1" a="1"/>
  <c r="AA1568" i="1" s="1"/>
  <c r="AA1569" i="1" a="1"/>
  <c r="AA1569" i="1" s="1"/>
  <c r="AA1570" i="1" a="1"/>
  <c r="AA1570" i="1" s="1"/>
  <c r="AA1571" i="1" a="1"/>
  <c r="AA1571" i="1" s="1"/>
  <c r="AA1572" i="1" a="1"/>
  <c r="AA1572" i="1" s="1"/>
  <c r="AA1573" i="1" a="1"/>
  <c r="AA1573" i="1" s="1"/>
  <c r="AA1574" i="1" a="1"/>
  <c r="AA1574" i="1" s="1"/>
  <c r="AA1575" i="1" a="1"/>
  <c r="AA1575" i="1" s="1"/>
  <c r="AA1576" i="1" a="1"/>
  <c r="AA1576" i="1" s="1"/>
  <c r="AA1577" i="1" a="1"/>
  <c r="AA1577" i="1" s="1"/>
  <c r="AA1578" i="1" a="1"/>
  <c r="AA1578" i="1" s="1"/>
  <c r="AA1579" i="1" a="1"/>
  <c r="AA1579" i="1" s="1"/>
  <c r="AA1580" i="1" a="1"/>
  <c r="AA1580" i="1" s="1"/>
  <c r="AA1581" i="1" a="1"/>
  <c r="AA1581" i="1" s="1"/>
  <c r="AA1582" i="1" a="1"/>
  <c r="AA1582" i="1" s="1"/>
  <c r="AA1583" i="1" a="1"/>
  <c r="AA1583" i="1" s="1"/>
  <c r="AA1584" i="1" a="1"/>
  <c r="AA1584" i="1" s="1"/>
  <c r="AA1585" i="1" a="1"/>
  <c r="AA1585" i="1" s="1"/>
  <c r="AA1586" i="1" a="1"/>
  <c r="AA1586" i="1" s="1"/>
  <c r="AA1587" i="1" a="1"/>
  <c r="AA1587" i="1" s="1"/>
  <c r="AA1588" i="1" a="1"/>
  <c r="AA1588" i="1" s="1"/>
  <c r="AA1589" i="1" a="1"/>
  <c r="AA1589" i="1" s="1"/>
  <c r="AA1590" i="1" a="1"/>
  <c r="AA1590" i="1" s="1"/>
  <c r="AA1591" i="1" a="1"/>
  <c r="AA1591" i="1" s="1"/>
  <c r="AA1592" i="1" a="1"/>
  <c r="AA1592" i="1" s="1"/>
  <c r="AA1593" i="1" a="1"/>
  <c r="AA1593" i="1" s="1"/>
  <c r="AA1594" i="1" a="1"/>
  <c r="AA1594" i="1" s="1"/>
  <c r="AA1595" i="1" a="1"/>
  <c r="AA1595" i="1" s="1"/>
  <c r="AA1596" i="1" a="1"/>
  <c r="AA1596" i="1" s="1"/>
  <c r="AA1597" i="1" a="1"/>
  <c r="AA1597" i="1" s="1"/>
  <c r="AA1598" i="1" a="1"/>
  <c r="AA1598" i="1" s="1"/>
  <c r="AA1599" i="1" a="1"/>
  <c r="AA1599" i="1" s="1"/>
  <c r="AA1600" i="1" a="1"/>
  <c r="AA1600" i="1" s="1"/>
  <c r="AA1601" i="1" a="1"/>
  <c r="AA1601" i="1" s="1"/>
  <c r="AA1602" i="1" a="1"/>
  <c r="AA1602" i="1" s="1"/>
  <c r="AA1603" i="1" a="1"/>
  <c r="AA1603" i="1" s="1"/>
  <c r="AA1604" i="1" a="1"/>
  <c r="AA1604" i="1" s="1"/>
  <c r="AA1605" i="1" a="1"/>
  <c r="AA1605" i="1" s="1"/>
  <c r="AA1606" i="1" a="1"/>
  <c r="AA1606" i="1" s="1"/>
  <c r="AA1607" i="1" a="1"/>
  <c r="AA1607" i="1" s="1"/>
  <c r="AA1608" i="1" a="1"/>
  <c r="AA1608" i="1" s="1"/>
  <c r="AA1609" i="1" a="1"/>
  <c r="AA1609" i="1" s="1"/>
  <c r="AA1610" i="1" a="1"/>
  <c r="AA1610" i="1" s="1"/>
  <c r="AA1611" i="1" a="1"/>
  <c r="AA1611" i="1" s="1"/>
  <c r="AA1612" i="1" a="1"/>
  <c r="AA1612" i="1" s="1"/>
  <c r="AA1613" i="1" a="1"/>
  <c r="AA1613" i="1" s="1"/>
  <c r="AA1614" i="1" a="1"/>
  <c r="AA1614" i="1" s="1"/>
  <c r="AA1615" i="1" a="1"/>
  <c r="AA1615" i="1" s="1"/>
  <c r="AA1616" i="1" a="1"/>
  <c r="AA1616" i="1" s="1"/>
  <c r="AA1617" i="1" a="1"/>
  <c r="AA1617" i="1" s="1"/>
  <c r="AA1618" i="1" a="1"/>
  <c r="AA1618" i="1" s="1"/>
  <c r="AA1619" i="1" a="1"/>
  <c r="AA1619" i="1" s="1"/>
  <c r="AA1620" i="1" a="1"/>
  <c r="AA1620" i="1" s="1"/>
  <c r="AA1621" i="1" a="1"/>
  <c r="AA1621" i="1" s="1"/>
  <c r="AA1622" i="1" a="1"/>
  <c r="AA1622" i="1" s="1"/>
  <c r="AA1623" i="1" a="1"/>
  <c r="AA1623" i="1" s="1"/>
  <c r="AA1624" i="1" a="1"/>
  <c r="AA1624" i="1" s="1"/>
  <c r="AA1625" i="1" a="1"/>
  <c r="AA1625" i="1" s="1"/>
  <c r="AA1626" i="1" a="1"/>
  <c r="AA1626" i="1" s="1"/>
  <c r="AA1627" i="1" a="1"/>
  <c r="AA1627" i="1" s="1"/>
  <c r="AA1628" i="1" a="1"/>
  <c r="AA1628" i="1" s="1"/>
  <c r="AA1629" i="1" a="1"/>
  <c r="AA1629" i="1" s="1"/>
  <c r="AA1630" i="1" a="1"/>
  <c r="AA1630" i="1" s="1"/>
  <c r="AA1631" i="1" a="1"/>
  <c r="AA1631" i="1" s="1"/>
  <c r="AA1632" i="1" a="1"/>
  <c r="AA1632" i="1" s="1"/>
  <c r="AA1633" i="1" a="1"/>
  <c r="AA1633" i="1" s="1"/>
  <c r="AA1634" i="1" a="1"/>
  <c r="AA1634" i="1" s="1"/>
  <c r="AA1635" i="1" a="1"/>
  <c r="AA1635" i="1" s="1"/>
  <c r="AA1636" i="1" a="1"/>
  <c r="AA1636" i="1" s="1"/>
  <c r="AA1637" i="1" a="1"/>
  <c r="AA1637" i="1" s="1"/>
  <c r="AA1638" i="1" a="1"/>
  <c r="AA1638" i="1" s="1"/>
  <c r="AA1639" i="1" a="1"/>
  <c r="AA1639" i="1" s="1"/>
  <c r="AA1640" i="1" a="1"/>
  <c r="AA1640" i="1" s="1"/>
  <c r="AA1641" i="1" a="1"/>
  <c r="AA1641" i="1" s="1"/>
  <c r="AA1642" i="1" a="1"/>
  <c r="AA1642" i="1" s="1"/>
  <c r="AA1643" i="1" a="1"/>
  <c r="AA1643" i="1" s="1"/>
  <c r="AA1644" i="1" a="1"/>
  <c r="AA1644" i="1" s="1"/>
  <c r="AA1645" i="1" a="1"/>
  <c r="AA1645" i="1" s="1"/>
  <c r="AA1646" i="1" a="1"/>
  <c r="AA1646" i="1" s="1"/>
  <c r="AA1647" i="1" a="1"/>
  <c r="AA1647" i="1" s="1"/>
  <c r="AA1648" i="1" a="1"/>
  <c r="AA1648" i="1" s="1"/>
  <c r="AA1649" i="1" a="1"/>
  <c r="AA1649" i="1" s="1"/>
  <c r="AA1650" i="1" a="1"/>
  <c r="AA1650" i="1" s="1"/>
  <c r="AA1651" i="1" a="1"/>
  <c r="AA1651" i="1" s="1"/>
  <c r="AA1652" i="1" a="1"/>
  <c r="AA1652" i="1" s="1"/>
  <c r="AA1653" i="1" a="1"/>
  <c r="AA1653" i="1" s="1"/>
  <c r="AA1654" i="1" a="1"/>
  <c r="AA1654" i="1" s="1"/>
  <c r="AA1655" i="1" a="1"/>
  <c r="AA1655" i="1" s="1"/>
  <c r="AA1656" i="1" a="1"/>
  <c r="AA1656" i="1" s="1"/>
  <c r="AA1657" i="1" a="1"/>
  <c r="AA1657" i="1" s="1"/>
  <c r="AA1658" i="1" a="1"/>
  <c r="AA1658" i="1" s="1"/>
  <c r="AA1659" i="1" a="1"/>
  <c r="AA1659" i="1" s="1"/>
  <c r="AA1660" i="1" a="1"/>
  <c r="AA1660" i="1" s="1"/>
  <c r="AA1661" i="1" a="1"/>
  <c r="AA1661" i="1" s="1"/>
  <c r="AA1662" i="1" a="1"/>
  <c r="AA1662" i="1" s="1"/>
  <c r="AA1663" i="1" a="1"/>
  <c r="AA1663" i="1" s="1"/>
  <c r="AA1664" i="1" a="1"/>
  <c r="AA1664" i="1" s="1"/>
  <c r="AA1665" i="1" a="1"/>
  <c r="AA1665" i="1" s="1"/>
  <c r="AA1666" i="1" a="1"/>
  <c r="AA1666" i="1" s="1"/>
  <c r="AA1667" i="1" a="1"/>
  <c r="AA1667" i="1" s="1"/>
  <c r="AA1668" i="1" a="1"/>
  <c r="AA1668" i="1" s="1"/>
  <c r="AA1669" i="1" a="1"/>
  <c r="AA1669" i="1" s="1"/>
  <c r="AA1670" i="1" a="1"/>
  <c r="AA1670" i="1" s="1"/>
  <c r="AA1671" i="1" a="1"/>
  <c r="AA1671" i="1" s="1"/>
  <c r="AA1672" i="1" a="1"/>
  <c r="AA1672" i="1" s="1"/>
  <c r="AA1673" i="1" a="1"/>
  <c r="AA1673" i="1" s="1"/>
  <c r="AA1674" i="1" a="1"/>
  <c r="AA1674" i="1" s="1"/>
  <c r="AA1675" i="1" a="1"/>
  <c r="AA1675" i="1" s="1"/>
  <c r="AA1676" i="1" a="1"/>
  <c r="AA1676" i="1" s="1"/>
  <c r="AA1677" i="1" a="1"/>
  <c r="AA1677" i="1" s="1"/>
  <c r="AA1678" i="1" a="1"/>
  <c r="AA1678" i="1" s="1"/>
  <c r="AA1679" i="1" a="1"/>
  <c r="AA1679" i="1" s="1"/>
  <c r="AA1680" i="1" a="1"/>
  <c r="AA1680" i="1" s="1"/>
  <c r="AA1681" i="1" a="1"/>
  <c r="AA1681" i="1" s="1"/>
  <c r="AA1682" i="1" a="1"/>
  <c r="AA1682" i="1" s="1"/>
  <c r="AA1683" i="1" a="1"/>
  <c r="AA1683" i="1" s="1"/>
  <c r="AA1684" i="1" a="1"/>
  <c r="AA1684" i="1" s="1"/>
  <c r="AA1685" i="1" a="1"/>
  <c r="AA1685" i="1" s="1"/>
  <c r="AA1686" i="1" a="1"/>
  <c r="AA1686" i="1" s="1"/>
  <c r="AA1687" i="1" a="1"/>
  <c r="AA1687" i="1" s="1"/>
  <c r="AA1688" i="1" a="1"/>
  <c r="AA1688" i="1" s="1"/>
  <c r="AA1689" i="1" a="1"/>
  <c r="AA1689" i="1" s="1"/>
  <c r="AA1690" i="1" a="1"/>
  <c r="AA1690" i="1" s="1"/>
  <c r="AA1691" i="1" a="1"/>
  <c r="AA1691" i="1" s="1"/>
  <c r="AA1692" i="1" a="1"/>
  <c r="AA1692" i="1" s="1"/>
  <c r="AA1693" i="1" a="1"/>
  <c r="AA1693" i="1" s="1"/>
  <c r="AA1694" i="1" a="1"/>
  <c r="AA1694" i="1" s="1"/>
  <c r="AA1695" i="1" a="1"/>
  <c r="AA1695" i="1" s="1"/>
  <c r="AA1696" i="1" a="1"/>
  <c r="AA1696" i="1" s="1"/>
  <c r="AA1697" i="1" a="1"/>
  <c r="AA1697" i="1" s="1"/>
  <c r="AA1698" i="1" a="1"/>
  <c r="AA1698" i="1" s="1"/>
  <c r="AA1699" i="1" a="1"/>
  <c r="AA1699" i="1" s="1"/>
  <c r="AA1700" i="1" a="1"/>
  <c r="AA1700" i="1" s="1"/>
  <c r="AA1701" i="1" a="1"/>
  <c r="AA1701" i="1" s="1"/>
  <c r="AA1702" i="1" a="1"/>
  <c r="AA1702" i="1" s="1"/>
  <c r="AA1703" i="1" a="1"/>
  <c r="AA1703" i="1" s="1"/>
  <c r="AA1704" i="1" a="1"/>
  <c r="AA1704" i="1" s="1"/>
  <c r="AA1705" i="1" a="1"/>
  <c r="AA1705" i="1" s="1"/>
  <c r="AA1706" i="1" a="1"/>
  <c r="AA1706" i="1" s="1"/>
  <c r="AA1707" i="1" a="1"/>
  <c r="AA1707" i="1" s="1"/>
  <c r="AA1708" i="1" a="1"/>
  <c r="AA1708" i="1" s="1"/>
  <c r="AA1709" i="1" a="1"/>
  <c r="AA1709" i="1" s="1"/>
  <c r="AA1710" i="1" a="1"/>
  <c r="AA1710" i="1" s="1"/>
  <c r="AA1711" i="1" a="1"/>
  <c r="AA1711" i="1" s="1"/>
  <c r="AA1712" i="1" a="1"/>
  <c r="AA1712" i="1" s="1"/>
  <c r="AA1713" i="1" a="1"/>
  <c r="AA1713" i="1" s="1"/>
  <c r="AA1714" i="1" a="1"/>
  <c r="AA1714" i="1" s="1"/>
  <c r="AA1715" i="1" a="1"/>
  <c r="AA1715" i="1" s="1"/>
  <c r="AA1716" i="1" a="1"/>
  <c r="AA1716" i="1" s="1"/>
  <c r="AA1717" i="1" a="1"/>
  <c r="AA1717" i="1" s="1"/>
  <c r="AA1718" i="1" a="1"/>
  <c r="AA1718" i="1" s="1"/>
  <c r="AA1719" i="1" a="1"/>
  <c r="AA1719" i="1" s="1"/>
  <c r="AA1720" i="1" a="1"/>
  <c r="AA1720" i="1" s="1"/>
  <c r="AA1721" i="1" a="1"/>
  <c r="AA1721" i="1" s="1"/>
  <c r="AA1722" i="1" a="1"/>
  <c r="AA1722" i="1" s="1"/>
  <c r="AA1723" i="1" a="1"/>
  <c r="AA1723" i="1" s="1"/>
  <c r="AA1724" i="1" a="1"/>
  <c r="AA1724" i="1" s="1"/>
  <c r="AA1725" i="1" a="1"/>
  <c r="AA1725" i="1" s="1"/>
  <c r="AA1726" i="1" a="1"/>
  <c r="AA1726" i="1" s="1"/>
  <c r="AA1727" i="1" a="1"/>
  <c r="AA1727" i="1" s="1"/>
  <c r="AA1728" i="1" a="1"/>
  <c r="AA1728" i="1" s="1"/>
  <c r="AA1729" i="1" a="1"/>
  <c r="AA1729" i="1" s="1"/>
  <c r="AA1730" i="1" a="1"/>
  <c r="AA1730" i="1" s="1"/>
  <c r="AA1731" i="1" a="1"/>
  <c r="AA1731" i="1" s="1"/>
  <c r="AA1732" i="1" a="1"/>
  <c r="AA1732" i="1" s="1"/>
  <c r="AA1733" i="1" a="1"/>
  <c r="AA1733" i="1" s="1"/>
  <c r="AA1734" i="1" a="1"/>
  <c r="AA1734" i="1" s="1"/>
  <c r="AA1735" i="1" a="1"/>
  <c r="AA1735" i="1" s="1"/>
  <c r="AA1736" i="1" a="1"/>
  <c r="AA1736" i="1" s="1"/>
  <c r="AA1737" i="1" a="1"/>
  <c r="AA1737" i="1" s="1"/>
  <c r="AA1738" i="1" a="1"/>
  <c r="AA1738" i="1" s="1"/>
  <c r="AA1739" i="1" a="1"/>
  <c r="AA1739" i="1" s="1"/>
  <c r="AA1740" i="1" a="1"/>
  <c r="AA1740" i="1" s="1"/>
  <c r="AA1741" i="1" a="1"/>
  <c r="AA1741" i="1" s="1"/>
  <c r="AA1742" i="1" a="1"/>
  <c r="AA1742" i="1" s="1"/>
  <c r="AA1743" i="1" a="1"/>
  <c r="AA1743" i="1" s="1"/>
  <c r="AA1744" i="1" a="1"/>
  <c r="AA1744" i="1" s="1"/>
  <c r="AA1745" i="1" a="1"/>
  <c r="AA1745" i="1" s="1"/>
  <c r="AA1746" i="1" a="1"/>
  <c r="AA1746" i="1" s="1"/>
  <c r="AA1747" i="1" a="1"/>
  <c r="AA1747" i="1" s="1"/>
  <c r="AA1748" i="1" a="1"/>
  <c r="AA1748" i="1" s="1"/>
  <c r="AA1749" i="1" a="1"/>
  <c r="AA1749" i="1" s="1"/>
  <c r="AA1750" i="1" a="1"/>
  <c r="AA1750" i="1" s="1"/>
  <c r="AA1751" i="1" a="1"/>
  <c r="AA1751" i="1" s="1"/>
  <c r="AA1752" i="1" a="1"/>
  <c r="AA1752" i="1" s="1"/>
  <c r="AA1753" i="1" a="1"/>
  <c r="AA1753" i="1" s="1"/>
  <c r="AA1754" i="1" a="1"/>
  <c r="AA1754" i="1" s="1"/>
  <c r="AA1755" i="1" a="1"/>
  <c r="AA1755" i="1" s="1"/>
  <c r="AA1756" i="1" a="1"/>
  <c r="AA1756" i="1" s="1"/>
  <c r="AA1757" i="1" a="1"/>
  <c r="AA1757" i="1" s="1"/>
  <c r="AA1758" i="1" a="1"/>
  <c r="AA1758" i="1" s="1"/>
  <c r="AA1759" i="1" a="1"/>
  <c r="AA1759" i="1" s="1"/>
  <c r="AA1760" i="1" a="1"/>
  <c r="AA1760" i="1" s="1"/>
  <c r="AA1761" i="1" a="1"/>
  <c r="AA1761" i="1" s="1"/>
  <c r="AA1762" i="1" a="1"/>
  <c r="AA1762" i="1" s="1"/>
  <c r="AA1763" i="1" a="1"/>
  <c r="AA1763" i="1" s="1"/>
  <c r="AA1764" i="1" a="1"/>
  <c r="AA1764" i="1" s="1"/>
  <c r="AA1765" i="1" a="1"/>
  <c r="AA1765" i="1" s="1"/>
  <c r="AA1766" i="1" a="1"/>
  <c r="AA1766" i="1" s="1"/>
  <c r="AA1767" i="1" a="1"/>
  <c r="AA1767" i="1" s="1"/>
  <c r="AA1768" i="1" a="1"/>
  <c r="AA1768" i="1" s="1"/>
  <c r="AA1769" i="1" a="1"/>
  <c r="AA1769" i="1" s="1"/>
  <c r="AA1770" i="1" a="1"/>
  <c r="AA1770" i="1" s="1"/>
  <c r="AA1771" i="1" a="1"/>
  <c r="AA1771" i="1" s="1"/>
  <c r="AA1772" i="1" a="1"/>
  <c r="AA1772" i="1" s="1"/>
  <c r="AA1773" i="1" a="1"/>
  <c r="AA1773" i="1" s="1"/>
  <c r="AA1774" i="1" a="1"/>
  <c r="AA1774" i="1" s="1"/>
  <c r="AA1775" i="1" a="1"/>
  <c r="AA1775" i="1" s="1"/>
  <c r="AA1776" i="1" a="1"/>
  <c r="AA1776" i="1" s="1"/>
  <c r="AA1777" i="1" a="1"/>
  <c r="AA1777" i="1" s="1"/>
  <c r="AA1778" i="1" a="1"/>
  <c r="AA1778" i="1" s="1"/>
  <c r="AA1779" i="1" a="1"/>
  <c r="AA1779" i="1" s="1"/>
  <c r="AA1780" i="1" a="1"/>
  <c r="AA1780" i="1" s="1"/>
  <c r="AA1781" i="1" a="1"/>
  <c r="AA1781" i="1" s="1"/>
  <c r="AA1782" i="1" a="1"/>
  <c r="AA1782" i="1" s="1"/>
  <c r="AA1783" i="1" a="1"/>
  <c r="AA1783" i="1" s="1"/>
  <c r="AA1784" i="1" a="1"/>
  <c r="AA1784" i="1" s="1"/>
  <c r="AA1785" i="1" a="1"/>
  <c r="AA1785" i="1" s="1"/>
  <c r="AA1786" i="1" a="1"/>
  <c r="AA1786" i="1" s="1"/>
  <c r="AA1787" i="1" a="1"/>
  <c r="AA1787" i="1" s="1"/>
  <c r="AA1788" i="1" a="1"/>
  <c r="AA1788" i="1" s="1"/>
  <c r="AA1789" i="1" a="1"/>
  <c r="AA1789" i="1" s="1"/>
  <c r="AA1790" i="1" a="1"/>
  <c r="AA1790" i="1" s="1"/>
  <c r="AA1791" i="1" a="1"/>
  <c r="AA1791" i="1" s="1"/>
  <c r="AA1792" i="1" a="1"/>
  <c r="AA1792" i="1" s="1"/>
  <c r="AA1793" i="1" a="1"/>
  <c r="AA1793" i="1" s="1"/>
  <c r="AA1794" i="1" a="1"/>
  <c r="AA1794" i="1" s="1"/>
  <c r="AA1795" i="1" a="1"/>
  <c r="AA1795" i="1" s="1"/>
  <c r="AA1796" i="1" a="1"/>
  <c r="AA1796" i="1" s="1"/>
  <c r="AA1797" i="1" a="1"/>
  <c r="AA1797" i="1" s="1"/>
  <c r="AA1798" i="1" a="1"/>
  <c r="AA1798" i="1" s="1"/>
  <c r="AA1799" i="1" a="1"/>
  <c r="AA1799" i="1" s="1"/>
  <c r="AA1800" i="1" a="1"/>
  <c r="AA1800" i="1" s="1"/>
  <c r="AA1801" i="1" a="1"/>
  <c r="AA1801" i="1" s="1"/>
  <c r="AA1802" i="1" a="1"/>
  <c r="AA1802" i="1" s="1"/>
  <c r="AA1803" i="1" a="1"/>
  <c r="AA1803" i="1" s="1"/>
  <c r="AA1804" i="1" a="1"/>
  <c r="AA1804" i="1" s="1"/>
  <c r="AA1805" i="1" a="1"/>
  <c r="AA1805" i="1" s="1"/>
  <c r="AA1806" i="1" a="1"/>
  <c r="AA1806" i="1" s="1"/>
  <c r="AA1807" i="1" a="1"/>
  <c r="AA1807" i="1" s="1"/>
  <c r="AA1808" i="1" a="1"/>
  <c r="AA1808" i="1" s="1"/>
  <c r="AA1809" i="1" a="1"/>
  <c r="AA1809" i="1" s="1"/>
  <c r="AA1810" i="1" a="1"/>
  <c r="AA1810" i="1" s="1"/>
  <c r="AA1811" i="1" a="1"/>
  <c r="AA1811" i="1" s="1"/>
  <c r="AA1812" i="1" a="1"/>
  <c r="AA1812" i="1" s="1"/>
  <c r="AA1813" i="1" a="1"/>
  <c r="AA1813" i="1" s="1"/>
  <c r="AA1814" i="1" a="1"/>
  <c r="AA1814" i="1" s="1"/>
  <c r="AA1815" i="1" a="1"/>
  <c r="AA1815" i="1" s="1"/>
  <c r="AA1816" i="1" a="1"/>
  <c r="AA1816" i="1" s="1"/>
  <c r="AA1817" i="1" a="1"/>
  <c r="AA1817" i="1" s="1"/>
  <c r="AA1818" i="1" a="1"/>
  <c r="AA1818" i="1" s="1"/>
  <c r="AA1819" i="1" a="1"/>
  <c r="AA1819" i="1" s="1"/>
  <c r="AA1820" i="1" a="1"/>
  <c r="AA1820" i="1" s="1"/>
  <c r="AA1821" i="1" a="1"/>
  <c r="AA1821" i="1" s="1"/>
  <c r="AA1822" i="1" a="1"/>
  <c r="AA1822" i="1" s="1"/>
  <c r="AA1823" i="1" a="1"/>
  <c r="AA1823" i="1" s="1"/>
  <c r="AA1824" i="1" a="1"/>
  <c r="AA1824" i="1" s="1"/>
  <c r="AA1825" i="1" a="1"/>
  <c r="AA1825" i="1" s="1"/>
  <c r="AA1826" i="1" a="1"/>
  <c r="AA1826" i="1" s="1"/>
  <c r="AA1827" i="1" a="1"/>
  <c r="AA1827" i="1" s="1"/>
  <c r="AA1828" i="1" a="1"/>
  <c r="AA1828" i="1" s="1"/>
  <c r="AA1829" i="1" a="1"/>
  <c r="AA1829" i="1" s="1"/>
  <c r="AA1830" i="1" a="1"/>
  <c r="AA1830" i="1" s="1"/>
  <c r="AA1831" i="1" a="1"/>
  <c r="AA1831" i="1" s="1"/>
  <c r="AA1832" i="1" a="1"/>
  <c r="AA1832" i="1" s="1"/>
  <c r="AA1833" i="1" a="1"/>
  <c r="AA1833" i="1" s="1"/>
  <c r="AA1834" i="1" a="1"/>
  <c r="AA1834" i="1" s="1"/>
  <c r="AA1835" i="1" a="1"/>
  <c r="AA1835" i="1" s="1"/>
  <c r="AA1836" i="1" a="1"/>
  <c r="AA1836" i="1" s="1"/>
  <c r="AA1837" i="1" a="1"/>
  <c r="AA1837" i="1" s="1"/>
  <c r="AA1838" i="1" a="1"/>
  <c r="AA1838" i="1" s="1"/>
  <c r="AA1839" i="1" a="1"/>
  <c r="AA1839" i="1" s="1"/>
  <c r="AA1840" i="1" a="1"/>
  <c r="AA1840" i="1" s="1"/>
  <c r="AA1841" i="1" a="1"/>
  <c r="AA1841" i="1" s="1"/>
  <c r="AA1842" i="1" a="1"/>
  <c r="AA1842" i="1" s="1"/>
  <c r="AA1843" i="1" a="1"/>
  <c r="AA1843" i="1" s="1"/>
  <c r="AA1844" i="1" a="1"/>
  <c r="AA1844" i="1" s="1"/>
  <c r="AA1845" i="1" a="1"/>
  <c r="AA1845" i="1" s="1"/>
  <c r="AA1846" i="1" a="1"/>
  <c r="AA1846" i="1" s="1"/>
  <c r="AA1847" i="1" a="1"/>
  <c r="AA1847" i="1" s="1"/>
  <c r="AA1848" i="1" a="1"/>
  <c r="AA1848" i="1" s="1"/>
  <c r="AA1849" i="1" a="1"/>
  <c r="AA1849" i="1" s="1"/>
  <c r="AA1850" i="1" a="1"/>
  <c r="AA1850" i="1" s="1"/>
  <c r="AA1851" i="1" a="1"/>
  <c r="AA1851" i="1" s="1"/>
  <c r="AA1852" i="1" a="1"/>
  <c r="AA1852" i="1" s="1"/>
  <c r="AA1853" i="1" a="1"/>
  <c r="AA1853" i="1" s="1"/>
  <c r="AA1854" i="1" a="1"/>
  <c r="AA1854" i="1" s="1"/>
  <c r="AA1855" i="1" a="1"/>
  <c r="AA1855" i="1" s="1"/>
  <c r="AA1856" i="1" a="1"/>
  <c r="AA1856" i="1" s="1"/>
  <c r="AA1857" i="1" a="1"/>
  <c r="AA1857" i="1" s="1"/>
  <c r="AA1858" i="1" a="1"/>
  <c r="AA1858" i="1" s="1"/>
  <c r="AA1859" i="1" a="1"/>
  <c r="AA1859" i="1" s="1"/>
  <c r="AA1860" i="1" a="1"/>
  <c r="AA1860" i="1" s="1"/>
  <c r="AA1861" i="1" a="1"/>
  <c r="AA1861" i="1" s="1"/>
  <c r="AA1862" i="1" a="1"/>
  <c r="AA1862" i="1" s="1"/>
  <c r="AA1863" i="1" a="1"/>
  <c r="AA1863" i="1" s="1"/>
  <c r="AA1864" i="1" a="1"/>
  <c r="AA1864" i="1" s="1"/>
  <c r="AA1865" i="1" a="1"/>
  <c r="AA1865" i="1" s="1"/>
  <c r="AA1866" i="1" a="1"/>
  <c r="AA1866" i="1" s="1"/>
  <c r="AA1867" i="1" a="1"/>
  <c r="AA1867" i="1" s="1"/>
  <c r="AA1868" i="1" a="1"/>
  <c r="AA1868" i="1" s="1"/>
  <c r="AA1869" i="1" a="1"/>
  <c r="AA1869" i="1" s="1"/>
  <c r="AA1870" i="1" a="1"/>
  <c r="AA1870" i="1" s="1"/>
  <c r="AA1871" i="1" a="1"/>
  <c r="AA1871" i="1" s="1"/>
  <c r="AA1872" i="1" a="1"/>
  <c r="AA1872" i="1" s="1"/>
  <c r="AA1873" i="1" a="1"/>
  <c r="AA1873" i="1" s="1"/>
  <c r="AA1874" i="1" a="1"/>
  <c r="AA1874" i="1" s="1"/>
  <c r="AA1875" i="1" a="1"/>
  <c r="AA1875" i="1" s="1"/>
  <c r="AA1876" i="1" a="1"/>
  <c r="AA1876" i="1" s="1"/>
  <c r="AA1877" i="1" a="1"/>
  <c r="AA1877" i="1" s="1"/>
  <c r="AA1878" i="1" a="1"/>
  <c r="AA1878" i="1" s="1"/>
  <c r="AA1879" i="1" a="1"/>
  <c r="AA1879" i="1" s="1"/>
  <c r="AA1880" i="1" a="1"/>
  <c r="AA1880" i="1" s="1"/>
  <c r="AA1881" i="1" a="1"/>
  <c r="AA1881" i="1" s="1"/>
  <c r="AA1882" i="1" a="1"/>
  <c r="AA1882" i="1" s="1"/>
  <c r="AA1883" i="1" a="1"/>
  <c r="AA1883" i="1" s="1"/>
  <c r="AA1884" i="1" a="1"/>
  <c r="AA1884" i="1" s="1"/>
  <c r="AA1885" i="1" a="1"/>
  <c r="AA1885" i="1" s="1"/>
  <c r="AA1886" i="1" a="1"/>
  <c r="AA1886" i="1" s="1"/>
  <c r="AA1887" i="1" a="1"/>
  <c r="AA1887" i="1" s="1"/>
  <c r="AA1888" i="1" a="1"/>
  <c r="AA1888" i="1" s="1"/>
  <c r="AA1889" i="1" a="1"/>
  <c r="AA1889" i="1" s="1"/>
  <c r="AA1890" i="1" a="1"/>
  <c r="AA1890" i="1" s="1"/>
  <c r="AA1891" i="1" a="1"/>
  <c r="AA1891" i="1" s="1"/>
  <c r="AA1892" i="1" a="1"/>
  <c r="AA1892" i="1" s="1"/>
  <c r="AA1893" i="1" a="1"/>
  <c r="AA1893" i="1" s="1"/>
  <c r="AA1894" i="1" a="1"/>
  <c r="AA1894" i="1" s="1"/>
  <c r="AA1895" i="1" a="1"/>
  <c r="AA1895" i="1" s="1"/>
  <c r="AA1896" i="1" a="1"/>
  <c r="AA1896" i="1" s="1"/>
  <c r="AA1897" i="1" a="1"/>
  <c r="AA1897" i="1" s="1"/>
  <c r="AA1898" i="1" a="1"/>
  <c r="AA1898" i="1" s="1"/>
  <c r="AA1899" i="1" a="1"/>
  <c r="AA1899" i="1" s="1"/>
  <c r="AA1900" i="1" a="1"/>
  <c r="AA1900" i="1" s="1"/>
  <c r="AA1901" i="1" a="1"/>
  <c r="AA1901" i="1" s="1"/>
  <c r="AA1902" i="1" a="1"/>
  <c r="AA1902" i="1" s="1"/>
  <c r="AA1903" i="1" a="1"/>
  <c r="AA1903" i="1" s="1"/>
  <c r="AA1904" i="1" a="1"/>
  <c r="AA1904" i="1" s="1"/>
  <c r="AA1905" i="1" a="1"/>
  <c r="AA1905" i="1" s="1"/>
  <c r="AA1906" i="1" a="1"/>
  <c r="AA1906" i="1" s="1"/>
  <c r="AA1907" i="1" a="1"/>
  <c r="AA1907" i="1" s="1"/>
  <c r="AA1908" i="1" a="1"/>
  <c r="AA1908" i="1" s="1"/>
  <c r="AA1909" i="1" a="1"/>
  <c r="AA1909" i="1" s="1"/>
  <c r="AA1910" i="1" a="1"/>
  <c r="AA1910" i="1" s="1"/>
  <c r="AA1911" i="1" a="1"/>
  <c r="AA1911" i="1" s="1"/>
  <c r="AA1912" i="1" a="1"/>
  <c r="AA1912" i="1" s="1"/>
  <c r="AA1913" i="1" a="1"/>
  <c r="AA1913" i="1" s="1"/>
  <c r="AA1914" i="1" a="1"/>
  <c r="AA1914" i="1" s="1"/>
  <c r="AA1915" i="1" a="1"/>
  <c r="AA1915" i="1" s="1"/>
  <c r="AA1916" i="1" a="1"/>
  <c r="AA1916" i="1" s="1"/>
  <c r="AA1917" i="1" a="1"/>
  <c r="AA1917" i="1" s="1"/>
  <c r="AA1918" i="1" a="1"/>
  <c r="AA1918" i="1" s="1"/>
  <c r="AA1919" i="1" a="1"/>
  <c r="AA1919" i="1" s="1"/>
  <c r="AA1920" i="1" a="1"/>
  <c r="AA1920" i="1" s="1"/>
  <c r="AA1921" i="1" a="1"/>
  <c r="AA1921" i="1" s="1"/>
  <c r="AA1922" i="1" a="1"/>
  <c r="AA1922" i="1" s="1"/>
  <c r="AA1923" i="1" a="1"/>
  <c r="AA1923" i="1" s="1"/>
  <c r="AA1924" i="1" a="1"/>
  <c r="AA1924" i="1" s="1"/>
  <c r="AA1925" i="1" a="1"/>
  <c r="AA1925" i="1" s="1"/>
  <c r="AA1926" i="1" a="1"/>
  <c r="AA1926" i="1" s="1"/>
  <c r="AA1927" i="1" a="1"/>
  <c r="AA1927" i="1" s="1"/>
  <c r="AA1928" i="1" a="1"/>
  <c r="AA1928" i="1" s="1"/>
  <c r="AA1929" i="1" a="1"/>
  <c r="AA1929" i="1" s="1"/>
  <c r="AA1930" i="1" a="1"/>
  <c r="AA1930" i="1" s="1"/>
  <c r="AA1931" i="1" a="1"/>
  <c r="AA1931" i="1" s="1"/>
  <c r="AA1932" i="1" a="1"/>
  <c r="AA1932" i="1" s="1"/>
  <c r="AA1933" i="1" a="1"/>
  <c r="AA1933" i="1" s="1"/>
  <c r="AA1934" i="1" a="1"/>
  <c r="AA1934" i="1" s="1"/>
  <c r="AA1935" i="1" a="1"/>
  <c r="AA1935" i="1" s="1"/>
  <c r="AA1936" i="1" a="1"/>
  <c r="AA1936" i="1" s="1"/>
  <c r="AA1937" i="1" a="1"/>
  <c r="AA1937" i="1" s="1"/>
  <c r="AA1938" i="1" a="1"/>
  <c r="AA1938" i="1" s="1"/>
  <c r="AA1939" i="1" a="1"/>
  <c r="AA1939" i="1" s="1"/>
  <c r="AA1940" i="1" a="1"/>
  <c r="AA1940" i="1" s="1"/>
  <c r="AA1941" i="1" a="1"/>
  <c r="AA1941" i="1" s="1"/>
  <c r="AA1942" i="1" a="1"/>
  <c r="AA1942" i="1" s="1"/>
  <c r="AA1943" i="1" a="1"/>
  <c r="AA1943" i="1" s="1"/>
  <c r="AA1944" i="1" a="1"/>
  <c r="AA1944" i="1" s="1"/>
  <c r="AA1945" i="1" a="1"/>
  <c r="AA1945" i="1" s="1"/>
  <c r="AA1946" i="1" a="1"/>
  <c r="AA1946" i="1" s="1"/>
  <c r="AA1947" i="1" a="1"/>
  <c r="AA1947" i="1" s="1"/>
  <c r="AA1948" i="1" a="1"/>
  <c r="AA1948" i="1" s="1"/>
  <c r="AA1949" i="1" a="1"/>
  <c r="AA1949" i="1" s="1"/>
  <c r="AA1950" i="1" a="1"/>
  <c r="AA1950" i="1" s="1"/>
  <c r="AA1951" i="1" a="1"/>
  <c r="AA1951" i="1" s="1"/>
  <c r="AA1952" i="1" a="1"/>
  <c r="AA1952" i="1" s="1"/>
  <c r="AA1953" i="1" a="1"/>
  <c r="AA1953" i="1" s="1"/>
  <c r="AA1954" i="1" a="1"/>
  <c r="AA1954" i="1" s="1"/>
  <c r="AA1955" i="1" a="1"/>
  <c r="AA1955" i="1" s="1"/>
  <c r="AA1956" i="1" a="1"/>
  <c r="AA1956" i="1" s="1"/>
  <c r="AA1957" i="1" a="1"/>
  <c r="AA1957" i="1" s="1"/>
  <c r="AA1958" i="1" a="1"/>
  <c r="AA1958" i="1" s="1"/>
  <c r="AA1959" i="1" a="1"/>
  <c r="AA1959" i="1" s="1"/>
  <c r="AA1960" i="1" a="1"/>
  <c r="AA1960" i="1" s="1"/>
  <c r="AA1961" i="1" a="1"/>
  <c r="AA1961" i="1" s="1"/>
  <c r="AA1962" i="1" a="1"/>
  <c r="AA1962" i="1" s="1"/>
  <c r="AA1963" i="1" a="1"/>
  <c r="AA1963" i="1" s="1"/>
  <c r="AA1964" i="1" a="1"/>
  <c r="AA1964" i="1" s="1"/>
  <c r="AA1965" i="1" a="1"/>
  <c r="AA1965" i="1" s="1"/>
  <c r="AA1966" i="1" a="1"/>
  <c r="AA1966" i="1" s="1"/>
  <c r="AA1967" i="1" a="1"/>
  <c r="AA1967" i="1" s="1"/>
  <c r="AA1968" i="1" a="1"/>
  <c r="AA1968" i="1" s="1"/>
  <c r="AA1969" i="1" a="1"/>
  <c r="AA1969" i="1" s="1"/>
  <c r="AA1970" i="1" a="1"/>
  <c r="AA1970" i="1" s="1"/>
  <c r="AA1971" i="1" a="1"/>
  <c r="AA1971" i="1" s="1"/>
  <c r="AA1972" i="1" a="1"/>
  <c r="AA1972" i="1" s="1"/>
  <c r="AA1973" i="1" a="1"/>
  <c r="AA1973" i="1" s="1"/>
  <c r="AA1974" i="1" a="1"/>
  <c r="AA1974" i="1" s="1"/>
  <c r="AA1975" i="1" a="1"/>
  <c r="AA1975" i="1" s="1"/>
  <c r="AA1976" i="1" a="1"/>
  <c r="AA1976" i="1" s="1"/>
  <c r="AA1977" i="1" a="1"/>
  <c r="AA1977" i="1" s="1"/>
  <c r="AA1978" i="1" a="1"/>
  <c r="AA1978" i="1" s="1"/>
  <c r="AA1979" i="1" a="1"/>
  <c r="AA1979" i="1" s="1"/>
  <c r="AA1980" i="1" a="1"/>
  <c r="AA1980" i="1" s="1"/>
  <c r="AA1981" i="1" a="1"/>
  <c r="AA1981" i="1" s="1"/>
  <c r="AA1982" i="1" a="1"/>
  <c r="AA1982" i="1" s="1"/>
  <c r="AA1983" i="1" a="1"/>
  <c r="AA1983" i="1" s="1"/>
  <c r="AA1984" i="1" a="1"/>
  <c r="AA1984" i="1" s="1"/>
  <c r="AA1985" i="1" a="1"/>
  <c r="AA1985" i="1" s="1"/>
  <c r="AA1986" i="1" a="1"/>
  <c r="AA1986" i="1" s="1"/>
  <c r="AA1987" i="1" a="1"/>
  <c r="AA1987" i="1" s="1"/>
  <c r="AA1988" i="1" a="1"/>
  <c r="AA1988" i="1" s="1"/>
  <c r="AA1989" i="1" a="1"/>
  <c r="AA1989" i="1" s="1"/>
  <c r="AA1990" i="1" a="1"/>
  <c r="AA1990" i="1" s="1"/>
  <c r="AA1991" i="1" a="1"/>
  <c r="AA1991" i="1" s="1"/>
  <c r="AA1992" i="1" a="1"/>
  <c r="AA1992" i="1" s="1"/>
  <c r="AA1993" i="1" a="1"/>
  <c r="AA1993" i="1" s="1"/>
  <c r="AA1994" i="1" a="1"/>
  <c r="AA1994" i="1" s="1"/>
  <c r="AA1995" i="1" a="1"/>
  <c r="AA1995" i="1" s="1"/>
  <c r="AA1996" i="1" a="1"/>
  <c r="AA1996" i="1" s="1"/>
  <c r="AA1997" i="1" a="1"/>
  <c r="AA1997" i="1" s="1"/>
  <c r="AA1998" i="1" a="1"/>
  <c r="AA1998" i="1" s="1"/>
  <c r="AA1999" i="1" a="1"/>
  <c r="AA1999" i="1" s="1"/>
  <c r="AA2000" i="1" a="1"/>
  <c r="AA2000" i="1" s="1"/>
  <c r="AA2001" i="1" a="1"/>
  <c r="AA2001" i="1" s="1"/>
  <c r="AA2002" i="1" a="1"/>
  <c r="AA2002" i="1" s="1"/>
  <c r="AA2003" i="1" a="1"/>
  <c r="AA2003" i="1" s="1"/>
  <c r="AA2004" i="1" a="1"/>
  <c r="AA2004" i="1" s="1"/>
  <c r="AA2005" i="1" a="1"/>
  <c r="AA2005" i="1" s="1"/>
  <c r="AA2006" i="1" a="1"/>
  <c r="AA2006" i="1" s="1"/>
  <c r="AA2007" i="1" a="1"/>
  <c r="AA2007" i="1" s="1"/>
  <c r="AA2008" i="1" a="1"/>
  <c r="AA2008" i="1" s="1"/>
  <c r="AA2009" i="1" a="1"/>
  <c r="AA2009" i="1" s="1"/>
  <c r="AA2010" i="1" a="1"/>
  <c r="AA2010" i="1" s="1"/>
  <c r="AA2011" i="1" a="1"/>
  <c r="AA2011" i="1" s="1"/>
  <c r="AA2012" i="1" a="1"/>
  <c r="AA2012" i="1" s="1"/>
  <c r="AA2013" i="1" a="1"/>
  <c r="AA2013" i="1" s="1"/>
  <c r="AA2014" i="1" a="1"/>
  <c r="AA2014" i="1" s="1"/>
  <c r="AA2015" i="1" a="1"/>
  <c r="AA2015" i="1" s="1"/>
  <c r="AA2016" i="1" a="1"/>
  <c r="AA2016" i="1" s="1"/>
  <c r="AA2017" i="1" a="1"/>
  <c r="AA2017" i="1" s="1"/>
  <c r="AA2018" i="1" a="1"/>
  <c r="AA2018" i="1" s="1"/>
  <c r="AA2019" i="1" a="1"/>
  <c r="AA2019" i="1" s="1"/>
  <c r="AA2020" i="1" a="1"/>
  <c r="AA2020" i="1" s="1"/>
  <c r="AA2021" i="1" a="1"/>
  <c r="AA2021" i="1" s="1"/>
  <c r="AA2022" i="1" a="1"/>
  <c r="AA2022" i="1" s="1"/>
  <c r="D93" i="1"/>
  <c r="AN93" i="1" s="1"/>
  <c r="D1868" i="1"/>
  <c r="D694" i="1"/>
  <c r="AN694" i="1" s="1"/>
  <c r="D1569" i="1"/>
  <c r="D930" i="1"/>
  <c r="D726" i="1"/>
  <c r="AN726" i="1" s="1"/>
  <c r="D811" i="1"/>
  <c r="D1267" i="1"/>
  <c r="D3" i="1"/>
  <c r="D1735" i="1"/>
  <c r="D1594" i="1"/>
  <c r="D426" i="1"/>
  <c r="D1067" i="1"/>
  <c r="D1638" i="1"/>
  <c r="D5" i="1"/>
  <c r="AN5" i="1" s="1"/>
  <c r="D1341" i="1"/>
  <c r="D1076" i="1"/>
  <c r="D141" i="1"/>
  <c r="D1335" i="1"/>
  <c r="D1089" i="1"/>
  <c r="D523" i="1"/>
  <c r="D836" i="1"/>
  <c r="D1007" i="1"/>
  <c r="D1471" i="1"/>
  <c r="D1178" i="1"/>
  <c r="D1287" i="1"/>
  <c r="D117" i="1"/>
  <c r="AN117" i="1" s="1"/>
  <c r="D1834" i="1"/>
  <c r="D1141" i="1"/>
  <c r="D1317" i="1"/>
  <c r="D6" i="1"/>
  <c r="AN6" i="1" s="1"/>
  <c r="D356" i="1"/>
  <c r="D1472" i="1"/>
  <c r="D590" i="1"/>
  <c r="AN590" i="1" s="1"/>
  <c r="D1595" i="1"/>
  <c r="D1459" i="1"/>
  <c r="D10" i="1"/>
  <c r="AN10" i="1" s="1"/>
  <c r="D282" i="1"/>
  <c r="D1584" i="1"/>
  <c r="D1889" i="1"/>
  <c r="D1890" i="1"/>
  <c r="D636" i="1"/>
  <c r="D11" i="1"/>
  <c r="D1630" i="1"/>
  <c r="D291" i="1"/>
  <c r="D868" i="1"/>
  <c r="D122" i="1"/>
  <c r="AN122" i="1" s="1"/>
  <c r="D1415" i="1"/>
  <c r="D14" i="1"/>
  <c r="AN14" i="1" s="1"/>
  <c r="D857" i="1"/>
  <c r="AN857" i="1" s="1"/>
  <c r="D15" i="1"/>
  <c r="AN15" i="1" s="1"/>
  <c r="D1846" i="1"/>
  <c r="D891" i="1"/>
  <c r="D16" i="1"/>
  <c r="AN16" i="1" s="1"/>
  <c r="D784" i="1"/>
  <c r="AN784" i="1" s="1"/>
  <c r="D712" i="1"/>
  <c r="D791" i="1"/>
  <c r="AN791" i="1" s="1"/>
  <c r="D442" i="1"/>
  <c r="AN442" i="1" s="1"/>
  <c r="D18" i="1"/>
  <c r="AN18" i="1" s="1"/>
  <c r="D1994" i="1"/>
  <c r="D20" i="1"/>
  <c r="D830" i="1"/>
  <c r="D193" i="1"/>
  <c r="AN193" i="1" s="1"/>
  <c r="D309" i="1"/>
  <c r="AN309" i="1" s="1"/>
  <c r="D664" i="1"/>
  <c r="D767" i="1"/>
  <c r="D1510" i="1"/>
  <c r="D1986" i="1"/>
  <c r="D21" i="1"/>
  <c r="D2006" i="1"/>
  <c r="D24" i="1"/>
  <c r="D1261" i="1"/>
  <c r="D1987" i="1"/>
  <c r="D1511" i="1"/>
  <c r="D727" i="1"/>
  <c r="D1533" i="1"/>
  <c r="D1268" i="1"/>
  <c r="AN1268" i="1" s="1"/>
  <c r="D27" i="1"/>
  <c r="D327" i="1"/>
  <c r="AN327" i="1" s="1"/>
  <c r="D1193" i="1"/>
  <c r="D1817" i="1"/>
  <c r="D1617" i="1"/>
  <c r="D1736" i="1"/>
  <c r="D847" i="1"/>
  <c r="AN847" i="1" s="1"/>
  <c r="D1482" i="1"/>
  <c r="D687" i="1"/>
  <c r="D934" i="1"/>
  <c r="D1473" i="1"/>
  <c r="D1556" i="1"/>
  <c r="D432" i="1"/>
  <c r="AN432" i="1" s="1"/>
  <c r="D448" i="1"/>
  <c r="D28" i="1"/>
  <c r="AN28" i="1" s="1"/>
  <c r="D1873" i="1"/>
  <c r="D1218" i="1"/>
  <c r="D612" i="1"/>
  <c r="D1309" i="1"/>
  <c r="D641" i="1"/>
  <c r="AN641" i="1" s="1"/>
  <c r="D579" i="1"/>
  <c r="D30" i="1"/>
  <c r="AN30" i="1" s="1"/>
  <c r="D821" i="1"/>
  <c r="D32" i="1"/>
  <c r="D890" i="1"/>
  <c r="D1376" i="1"/>
  <c r="D107" i="1"/>
  <c r="D895" i="1"/>
  <c r="AN895" i="1" s="1"/>
  <c r="D1549" i="1"/>
  <c r="D1801" i="1"/>
  <c r="D775" i="1"/>
  <c r="D34" i="1"/>
  <c r="D1857" i="1"/>
  <c r="D1639" i="1"/>
  <c r="D35" i="1"/>
  <c r="D963" i="1"/>
  <c r="D37" i="1"/>
  <c r="AN37" i="1" s="1"/>
  <c r="D1381" i="1"/>
  <c r="D764" i="1"/>
  <c r="D932" i="1"/>
  <c r="D804" i="1"/>
  <c r="AN804" i="1" s="1"/>
  <c r="D798" i="1"/>
  <c r="D1121" i="1"/>
  <c r="D198" i="1"/>
  <c r="AN198" i="1" s="1"/>
  <c r="D1874" i="1"/>
  <c r="D1350" i="1"/>
  <c r="D40" i="1"/>
  <c r="AN40" i="1" s="1"/>
  <c r="D1755" i="1"/>
  <c r="D26" i="1"/>
  <c r="AN26" i="1" s="1"/>
  <c r="D42" i="1"/>
  <c r="AN42" i="1" s="1"/>
  <c r="D301" i="1"/>
  <c r="D615" i="1"/>
  <c r="AN615" i="1" s="1"/>
  <c r="D1186" i="1"/>
  <c r="D627" i="1"/>
  <c r="D43" i="1"/>
  <c r="D1911" i="1"/>
  <c r="D1222" i="1"/>
  <c r="D1302" i="1"/>
  <c r="D903" i="1"/>
  <c r="D901" i="1"/>
  <c r="AN901" i="1" s="1"/>
  <c r="D1023" i="1"/>
  <c r="D1416" i="1"/>
  <c r="D533" i="1"/>
  <c r="D44" i="1"/>
  <c r="AN44" i="1" s="1"/>
  <c r="D1051" i="1"/>
  <c r="D1912" i="1"/>
  <c r="D1262" i="1"/>
  <c r="D357" i="1"/>
  <c r="AN357" i="1" s="1"/>
  <c r="D2012" i="1"/>
  <c r="D116" i="1"/>
  <c r="AN116" i="1" s="1"/>
  <c r="D1323" i="1"/>
  <c r="D292" i="1"/>
  <c r="D1491" i="1"/>
  <c r="D944" i="1"/>
  <c r="D1117" i="1"/>
  <c r="D485" i="1"/>
  <c r="AN485" i="1" s="1"/>
  <c r="D1417" i="1"/>
  <c r="D1811" i="1"/>
  <c r="D1640" i="1"/>
  <c r="D1288" i="1"/>
  <c r="AN1288" i="1" s="1"/>
  <c r="D1377" i="1"/>
  <c r="D1403" i="1"/>
  <c r="D68" i="1"/>
  <c r="D1618" i="1"/>
  <c r="D2007" i="1"/>
  <c r="D1199" i="1"/>
  <c r="D1570" i="1"/>
  <c r="D575" i="1"/>
  <c r="D1524" i="1"/>
  <c r="D1767" i="1"/>
  <c r="D1619" i="1"/>
  <c r="D1720" i="1"/>
  <c r="D873" i="1"/>
  <c r="AN873" i="1" s="1"/>
  <c r="D155" i="1"/>
  <c r="D1452" i="1"/>
  <c r="D1599" i="1"/>
  <c r="D351" i="1"/>
  <c r="AN351" i="1" s="1"/>
  <c r="D1418" i="1"/>
  <c r="D1052" i="1"/>
  <c r="D1847" i="1"/>
  <c r="D631" i="1"/>
  <c r="AN631" i="1" s="1"/>
  <c r="D167" i="1"/>
  <c r="AN167" i="1" s="1"/>
  <c r="D405" i="1"/>
  <c r="AN405" i="1" s="1"/>
  <c r="D45" i="1"/>
  <c r="AN45" i="1" s="1"/>
  <c r="D861" i="1"/>
  <c r="AN861" i="1" s="1"/>
  <c r="D341" i="1"/>
  <c r="D408" i="1"/>
  <c r="D47" i="1"/>
  <c r="AN47" i="1" s="1"/>
  <c r="D1744" i="1"/>
  <c r="D1679" i="1"/>
  <c r="D1083" i="1"/>
  <c r="D1483" i="1"/>
  <c r="AN1483" i="1" s="1"/>
  <c r="D49" i="1"/>
  <c r="AN49" i="1" s="1"/>
  <c r="D1139" i="1"/>
  <c r="D414" i="1"/>
  <c r="D1129" i="1"/>
  <c r="D858" i="1"/>
  <c r="D377" i="1"/>
  <c r="D949" i="1"/>
  <c r="D1939" i="1"/>
  <c r="D147" i="1"/>
  <c r="D1171" i="1"/>
  <c r="D412" i="1"/>
  <c r="D1333" i="1"/>
  <c r="D450" i="1"/>
  <c r="AN450" i="1" s="1"/>
  <c r="D731" i="1"/>
  <c r="D1206" i="1"/>
  <c r="D368" i="1"/>
  <c r="AN368" i="1" s="1"/>
  <c r="D1248" i="1"/>
  <c r="D945" i="1"/>
  <c r="D472" i="1"/>
  <c r="D91" i="1"/>
  <c r="AN91" i="1" s="1"/>
  <c r="D1925" i="1"/>
  <c r="D50" i="1"/>
  <c r="AN50" i="1" s="1"/>
  <c r="D157" i="1"/>
  <c r="AN157" i="1" s="1"/>
  <c r="D1891" i="1"/>
  <c r="D1961" i="1"/>
  <c r="D418" i="1"/>
  <c r="AN418" i="1" s="1"/>
  <c r="D1571" i="1"/>
  <c r="D1861" i="1"/>
  <c r="D802" i="1"/>
  <c r="AN802" i="1" s="1"/>
  <c r="D1721" i="1"/>
  <c r="D22" i="1"/>
  <c r="AN22" i="1" s="1"/>
  <c r="D499" i="1"/>
  <c r="D1840" i="1"/>
  <c r="D54" i="1"/>
  <c r="AN54" i="1" s="1"/>
  <c r="D529" i="1"/>
  <c r="AN529" i="1" s="1"/>
  <c r="D1940" i="1"/>
  <c r="D58" i="1"/>
  <c r="AN58" i="1" s="1"/>
  <c r="D270" i="1"/>
  <c r="AN270" i="1" s="1"/>
  <c r="D41" i="1"/>
  <c r="AN41" i="1" s="1"/>
  <c r="D210" i="1"/>
  <c r="AN210" i="1" s="1"/>
  <c r="D1550" i="1"/>
  <c r="D1962" i="1"/>
  <c r="D59" i="1"/>
  <c r="D1195" i="1"/>
  <c r="D388" i="1"/>
  <c r="AN388" i="1" s="1"/>
  <c r="D1775" i="1"/>
  <c r="D421" i="1"/>
  <c r="AN421" i="1" s="1"/>
  <c r="D1034" i="1"/>
  <c r="D1756" i="1"/>
  <c r="D1963" i="1"/>
  <c r="D60" i="1"/>
  <c r="D633" i="1"/>
  <c r="D1090" i="1"/>
  <c r="D1875" i="1"/>
  <c r="D61" i="1"/>
  <c r="AN61" i="1" s="1"/>
  <c r="D1407" i="1"/>
  <c r="D305" i="1"/>
  <c r="D65" i="1"/>
  <c r="AN65" i="1" s="1"/>
  <c r="D598" i="1"/>
  <c r="D1585" i="1"/>
  <c r="D66" i="1"/>
  <c r="D1525" i="1"/>
  <c r="D1175" i="1"/>
  <c r="D1600" i="1"/>
  <c r="D1361" i="1"/>
  <c r="D681" i="1"/>
  <c r="AN681" i="1" s="1"/>
  <c r="D67" i="1"/>
  <c r="D646" i="1"/>
  <c r="AN646" i="1" s="1"/>
  <c r="D665" i="1"/>
  <c r="AN665" i="1" s="1"/>
  <c r="D1382" i="1"/>
  <c r="D938" i="1"/>
  <c r="AN938" i="1" s="1"/>
  <c r="D1757" i="1"/>
  <c r="D1557" i="1"/>
  <c r="D603" i="1"/>
  <c r="D703" i="1"/>
  <c r="D212" i="1"/>
  <c r="AN212" i="1" s="1"/>
  <c r="D1021" i="1"/>
  <c r="AN1021" i="1" s="1"/>
  <c r="D1658" i="1"/>
  <c r="D1280" i="1"/>
  <c r="D99" i="1"/>
  <c r="D1517" i="1"/>
  <c r="D1926" i="1"/>
  <c r="AN1926" i="1" s="1"/>
  <c r="D261" i="1"/>
  <c r="D1848" i="1"/>
  <c r="D1362" i="1"/>
  <c r="D658" i="1"/>
  <c r="AN658" i="1" s="1"/>
  <c r="D589" i="1"/>
  <c r="AN589" i="1" s="1"/>
  <c r="D1540" i="1"/>
  <c r="D732" i="1"/>
  <c r="D1351" i="1"/>
  <c r="D1159" i="1"/>
  <c r="D1641" i="1"/>
  <c r="D370" i="1"/>
  <c r="D69" i="1"/>
  <c r="AN69" i="1" s="1"/>
  <c r="D375" i="1"/>
  <c r="AN375" i="1" s="1"/>
  <c r="D842" i="1"/>
  <c r="AN842" i="1" s="1"/>
  <c r="D1145" i="1"/>
  <c r="D1737" i="1"/>
  <c r="D1745" i="1"/>
  <c r="D188" i="1"/>
  <c r="AN188" i="1" s="1"/>
  <c r="D1176" i="1"/>
  <c r="D1791" i="1"/>
  <c r="D1395" i="1"/>
  <c r="D995" i="1"/>
  <c r="D1862" i="1"/>
  <c r="D790" i="1"/>
  <c r="D1869" i="1"/>
  <c r="D1892" i="1"/>
  <c r="D315" i="1"/>
  <c r="D807" i="1"/>
  <c r="D367" i="1"/>
  <c r="AN367" i="1" s="1"/>
  <c r="D1512" i="1"/>
  <c r="D1746" i="1"/>
  <c r="D1708" i="1"/>
  <c r="D1254" i="1"/>
  <c r="D1893" i="1"/>
  <c r="D1448" i="1"/>
  <c r="D70" i="1"/>
  <c r="AN70" i="1" s="1"/>
  <c r="D74" i="1"/>
  <c r="AN74" i="1" s="1"/>
  <c r="D1841" i="1"/>
  <c r="D642" i="1"/>
  <c r="AN642" i="1" s="1"/>
  <c r="D76" i="1"/>
  <c r="D1642" i="1"/>
  <c r="D77" i="1"/>
  <c r="AN77" i="1" s="1"/>
  <c r="D185" i="1"/>
  <c r="AN185" i="1" s="1"/>
  <c r="D1289" i="1"/>
  <c r="D374" i="1"/>
  <c r="AN374" i="1" s="1"/>
  <c r="D869" i="1"/>
  <c r="D78" i="1"/>
  <c r="AN78" i="1" s="1"/>
  <c r="D677" i="1"/>
  <c r="D1680" i="1"/>
  <c r="D85" i="1"/>
  <c r="AN85" i="1" s="1"/>
  <c r="D1722" i="1"/>
  <c r="D1988" i="1"/>
  <c r="D629" i="1"/>
  <c r="D255" i="1"/>
  <c r="D89" i="1"/>
  <c r="AN89" i="1" s="1"/>
  <c r="D360" i="1"/>
  <c r="D299" i="1"/>
  <c r="D1681" i="1"/>
  <c r="D1363" i="1"/>
  <c r="D135" i="1"/>
  <c r="AN135" i="1" s="1"/>
  <c r="D576" i="1"/>
  <c r="AN576" i="1" s="1"/>
  <c r="D964" i="1"/>
  <c r="AN964" i="1" s="1"/>
  <c r="D19" i="1"/>
  <c r="AN19" i="1" s="1"/>
  <c r="D799" i="1"/>
  <c r="D1551" i="1"/>
  <c r="D926" i="1"/>
  <c r="AN926" i="1" s="1"/>
  <c r="D817" i="1"/>
  <c r="D269" i="1"/>
  <c r="AN269" i="1" s="1"/>
  <c r="D1631" i="1"/>
  <c r="D104" i="1"/>
  <c r="AN104" i="1" s="1"/>
  <c r="D526" i="1"/>
  <c r="AN526" i="1" s="1"/>
  <c r="D1826" i="1"/>
  <c r="D1179" i="1"/>
  <c r="D1913" i="1"/>
  <c r="D296" i="1"/>
  <c r="AN296" i="1" s="1"/>
  <c r="D90" i="1"/>
  <c r="D1383" i="1"/>
  <c r="D92" i="1"/>
  <c r="D1738" i="1"/>
  <c r="D328" i="1"/>
  <c r="D1682" i="1"/>
  <c r="D1941" i="1"/>
  <c r="D1942" i="1"/>
  <c r="D1085" i="1"/>
  <c r="AN1085" i="1" s="1"/>
  <c r="D1980" i="1"/>
  <c r="D1818" i="1"/>
  <c r="D94" i="1"/>
  <c r="AN94" i="1" s="1"/>
  <c r="D611" i="1"/>
  <c r="D1344" i="1"/>
  <c r="D417" i="1"/>
  <c r="D111" i="1"/>
  <c r="AN111" i="1" s="1"/>
  <c r="D1177" i="1"/>
  <c r="D443" i="1"/>
  <c r="AN443" i="1" s="1"/>
  <c r="D1196" i="1"/>
  <c r="D721" i="1"/>
  <c r="AN721" i="1" s="1"/>
  <c r="D161" i="1"/>
  <c r="AN161" i="1" s="1"/>
  <c r="D1227" i="1"/>
  <c r="D97" i="1"/>
  <c r="AN97" i="1" s="1"/>
  <c r="D1863" i="1"/>
  <c r="D98" i="1"/>
  <c r="AN98" i="1" s="1"/>
  <c r="D1504" i="1"/>
  <c r="AN1504" i="1" s="1"/>
  <c r="D468" i="1"/>
  <c r="D1271" i="1"/>
  <c r="D1140" i="1"/>
  <c r="D100" i="1"/>
  <c r="AN100" i="1" s="1"/>
  <c r="D1683" i="1"/>
  <c r="D101" i="1"/>
  <c r="AN101" i="1" s="1"/>
  <c r="D1098" i="1"/>
  <c r="D1601" i="1"/>
  <c r="D883" i="1"/>
  <c r="D102" i="1"/>
  <c r="AN102" i="1" s="1"/>
  <c r="D581" i="1"/>
  <c r="D203" i="1"/>
  <c r="D985" i="1"/>
  <c r="AN985" i="1" s="1"/>
  <c r="D531" i="1"/>
  <c r="D320" i="1"/>
  <c r="AN320" i="1" s="1"/>
  <c r="D1558" i="1"/>
  <c r="D254" i="1"/>
  <c r="D106" i="1"/>
  <c r="AN106" i="1" s="1"/>
  <c r="D707" i="1"/>
  <c r="AN707" i="1" s="1"/>
  <c r="D1596" i="1"/>
  <c r="D2008" i="1"/>
  <c r="D109" i="1"/>
  <c r="AN109" i="1" s="1"/>
  <c r="D17" i="1"/>
  <c r="AN17" i="1" s="1"/>
  <c r="D1894" i="1"/>
  <c r="D87" i="1"/>
  <c r="AN87" i="1" s="1"/>
  <c r="D385" i="1"/>
  <c r="D1792" i="1"/>
  <c r="D619" i="1"/>
  <c r="D113" i="1"/>
  <c r="AN113" i="1" s="1"/>
  <c r="D870" i="1"/>
  <c r="D489" i="1"/>
  <c r="AN489" i="1" s="1"/>
  <c r="D521" i="1"/>
  <c r="AN521" i="1" s="1"/>
  <c r="D1541" i="1"/>
  <c r="D1659" i="1"/>
  <c r="D711" i="1"/>
  <c r="D905" i="1"/>
  <c r="D1318" i="1"/>
  <c r="D1827" i="1"/>
  <c r="D1802" i="1"/>
  <c r="D1234" i="1"/>
  <c r="D1981" i="1"/>
  <c r="D1864" i="1"/>
  <c r="D1964" i="1"/>
  <c r="D1207" i="1"/>
  <c r="D258" i="1"/>
  <c r="AN258" i="1" s="1"/>
  <c r="D1620" i="1"/>
  <c r="D950" i="1"/>
  <c r="AN950" i="1" s="1"/>
  <c r="D620" i="1"/>
  <c r="D506" i="1"/>
  <c r="D1513" i="1"/>
  <c r="D929" i="1"/>
  <c r="AN929" i="1" s="1"/>
  <c r="D508" i="1"/>
  <c r="D1041" i="1"/>
  <c r="AN1041" i="1" s="1"/>
  <c r="D118" i="1"/>
  <c r="AN118" i="1" s="1"/>
  <c r="D119" i="1"/>
  <c r="AN119" i="1" s="1"/>
  <c r="D1091" i="1"/>
  <c r="D303" i="1"/>
  <c r="AN303" i="1" s="1"/>
  <c r="D120" i="1"/>
  <c r="D645" i="1"/>
  <c r="D1290" i="1"/>
  <c r="D1387" i="1"/>
  <c r="D285" i="1"/>
  <c r="D126" i="1"/>
  <c r="AN126" i="1" s="1"/>
  <c r="D1989" i="1"/>
  <c r="D838" i="1"/>
  <c r="D624" i="1"/>
  <c r="AN624" i="1" s="1"/>
  <c r="D279" i="1"/>
  <c r="D127" i="1"/>
  <c r="AN127" i="1" s="1"/>
  <c r="D129" i="1"/>
  <c r="AN129" i="1" s="1"/>
  <c r="D1660" i="1"/>
  <c r="D1943" i="1"/>
  <c r="D604" i="1"/>
  <c r="AN604" i="1" s="1"/>
  <c r="D1812" i="1"/>
  <c r="D865" i="1"/>
  <c r="AN865" i="1" s="1"/>
  <c r="D914" i="1"/>
  <c r="AN914" i="1" s="1"/>
  <c r="D965" i="1"/>
  <c r="D1586" i="1"/>
  <c r="D1526" i="1"/>
  <c r="D130" i="1"/>
  <c r="AN130" i="1" s="1"/>
  <c r="D1101" i="1"/>
  <c r="AN1101" i="1" s="1"/>
  <c r="D698" i="1"/>
  <c r="AN698" i="1" s="1"/>
  <c r="D133" i="1"/>
  <c r="D480" i="1"/>
  <c r="D766" i="1"/>
  <c r="AN766" i="1" s="1"/>
  <c r="D1895" i="1"/>
  <c r="D1188" i="1"/>
  <c r="D39" i="1"/>
  <c r="AN39" i="1" s="1"/>
  <c r="D1068" i="1"/>
  <c r="AN1068" i="1" s="1"/>
  <c r="D110" i="1"/>
  <c r="D672" i="1"/>
  <c r="D755" i="1"/>
  <c r="D760" i="1"/>
  <c r="D1643" i="1"/>
  <c r="D72" i="1"/>
  <c r="AN72" i="1" s="1"/>
  <c r="D495" i="1"/>
  <c r="D701" i="1"/>
  <c r="D1661" i="1"/>
  <c r="D1776" i="1"/>
  <c r="D1226" i="1"/>
  <c r="D283" i="1"/>
  <c r="D401" i="1"/>
  <c r="AN401" i="1" s="1"/>
  <c r="D544" i="1"/>
  <c r="D425" i="1"/>
  <c r="D1319" i="1"/>
  <c r="AN1319" i="1" s="1"/>
  <c r="D742" i="1"/>
  <c r="AN742" i="1" s="1"/>
  <c r="D1197" i="1"/>
  <c r="D605" i="1"/>
  <c r="AN605" i="1" s="1"/>
  <c r="D1017" i="1"/>
  <c r="D64" i="1"/>
  <c r="AN64" i="1" s="1"/>
  <c r="D1008" i="1"/>
  <c r="D25" i="1"/>
  <c r="AN25" i="1" s="1"/>
  <c r="D1310" i="1"/>
  <c r="D1793" i="1"/>
  <c r="D728" i="1"/>
  <c r="AN728" i="1" s="1"/>
  <c r="D51" i="1"/>
  <c r="D1632" i="1"/>
  <c r="D200" i="1"/>
  <c r="AN200" i="1" s="1"/>
  <c r="D1058" i="1"/>
  <c r="D123" i="1"/>
  <c r="D136" i="1"/>
  <c r="AN136" i="1" s="1"/>
  <c r="D1662" i="1"/>
  <c r="D293" i="1"/>
  <c r="AN293" i="1" s="1"/>
  <c r="D931" i="1"/>
  <c r="D84" i="1"/>
  <c r="D1020" i="1"/>
  <c r="AN1020" i="1" s="1"/>
  <c r="D892" i="1"/>
  <c r="D393" i="1"/>
  <c r="D887" i="1"/>
  <c r="AN887" i="1" s="1"/>
  <c r="D1157" i="1"/>
  <c r="AN1157" i="1" s="1"/>
  <c r="D1663" i="1"/>
  <c r="D1047" i="1"/>
  <c r="D1364" i="1"/>
  <c r="D137" i="1"/>
  <c r="AN137" i="1" s="1"/>
  <c r="D1146" i="1"/>
  <c r="D1559" i="1"/>
  <c r="D1777" i="1"/>
  <c r="D1208" i="1"/>
  <c r="AN1208" i="1" s="1"/>
  <c r="D1048" i="1"/>
  <c r="AN1048" i="1" s="1"/>
  <c r="D138" i="1"/>
  <c r="AN138" i="1" s="1"/>
  <c r="D780" i="1"/>
  <c r="D1747" i="1"/>
  <c r="D1279" i="1"/>
  <c r="D139" i="1"/>
  <c r="D1876" i="1"/>
  <c r="D1739" i="1"/>
  <c r="D142" i="1"/>
  <c r="AN142" i="1" s="1"/>
  <c r="D871" i="1"/>
  <c r="D1295" i="1"/>
  <c r="D144" i="1"/>
  <c r="AN144" i="1" s="1"/>
  <c r="D1147" i="1"/>
  <c r="AN1147" i="1" s="1"/>
  <c r="D739" i="1"/>
  <c r="D124" i="1"/>
  <c r="D1577" i="1"/>
  <c r="D152" i="1"/>
  <c r="D1441" i="1"/>
  <c r="D175" i="1"/>
  <c r="AN175" i="1" s="1"/>
  <c r="D684" i="1"/>
  <c r="AN684" i="1" s="1"/>
  <c r="D643" i="1"/>
  <c r="AN643" i="1" s="1"/>
  <c r="D1040" i="1"/>
  <c r="AN1040" i="1" s="1"/>
  <c r="D1148" i="1"/>
  <c r="D465" i="1"/>
  <c r="D2001" i="1"/>
  <c r="D1927" i="1"/>
  <c r="D1944" i="1"/>
  <c r="D1095" i="1"/>
  <c r="D1723" i="1"/>
  <c r="D1230" i="1"/>
  <c r="D1106" i="1"/>
  <c r="AN1106" i="1" s="1"/>
  <c r="D1474" i="1"/>
  <c r="D160" i="1"/>
  <c r="AN160" i="1" s="1"/>
  <c r="D1235" i="1"/>
  <c r="D1633" i="1"/>
  <c r="D1428" i="1"/>
  <c r="D1156" i="1"/>
  <c r="D1185" i="1"/>
  <c r="D1724" i="1"/>
  <c r="D1345" i="1"/>
  <c r="D1534" i="1"/>
  <c r="D1527" i="1"/>
  <c r="D162" i="1"/>
  <c r="AN162" i="1" s="1"/>
  <c r="D792" i="1"/>
  <c r="AN792" i="1" s="1"/>
  <c r="D910" i="1"/>
  <c r="D1768" i="1"/>
  <c r="D169" i="1"/>
  <c r="AN169" i="1" s="1"/>
  <c r="D170" i="1"/>
  <c r="AN170" i="1" s="1"/>
  <c r="D271" i="1"/>
  <c r="AN271" i="1" s="1"/>
  <c r="D1769" i="1"/>
  <c r="D976" i="1"/>
  <c r="AN976" i="1" s="1"/>
  <c r="D174" i="1"/>
  <c r="AN174" i="1" s="1"/>
  <c r="D1528" i="1"/>
  <c r="D1819" i="1"/>
  <c r="D1572" i="1"/>
  <c r="D1396" i="1"/>
  <c r="AN1396" i="1" s="1"/>
  <c r="D1709" i="1"/>
  <c r="D709" i="1"/>
  <c r="AN709" i="1" s="1"/>
  <c r="D407" i="1"/>
  <c r="AN407" i="1" s="1"/>
  <c r="D829" i="1"/>
  <c r="D1329" i="1"/>
  <c r="D176" i="1"/>
  <c r="AN176" i="1" s="1"/>
  <c r="D1828" i="1"/>
  <c r="D1758" i="1"/>
  <c r="D358" i="1"/>
  <c r="AN358" i="1" s="1"/>
  <c r="D1144" i="1"/>
  <c r="D1122" i="1"/>
  <c r="D1865" i="1"/>
  <c r="D177" i="1"/>
  <c r="AN177" i="1" s="1"/>
  <c r="D1000" i="1"/>
  <c r="D1778" i="1"/>
  <c r="D1779" i="1"/>
  <c r="D1059" i="1"/>
  <c r="AN1059" i="1" s="1"/>
  <c r="D957" i="1"/>
  <c r="D1460" i="1"/>
  <c r="D555" i="1"/>
  <c r="AN555" i="1" s="1"/>
  <c r="D1794" i="1"/>
  <c r="D593" i="1"/>
  <c r="D1803" i="1"/>
  <c r="D440" i="1"/>
  <c r="AN440" i="1" s="1"/>
  <c r="D178" i="1"/>
  <c r="AN178" i="1" s="1"/>
  <c r="D1334" i="1"/>
  <c r="D1191" i="1"/>
  <c r="D158" i="1"/>
  <c r="AN158" i="1" s="1"/>
  <c r="D551" i="1"/>
  <c r="D179" i="1"/>
  <c r="D180" i="1"/>
  <c r="AN180" i="1" s="1"/>
  <c r="D1965" i="1"/>
  <c r="D332" i="1"/>
  <c r="AN332" i="1" s="1"/>
  <c r="D1009" i="1"/>
  <c r="AN1009" i="1" s="1"/>
  <c r="D183" i="1"/>
  <c r="D399" i="1"/>
  <c r="AN399" i="1" s="1"/>
  <c r="D266" i="1"/>
  <c r="D289" i="1"/>
  <c r="AN289" i="1" s="1"/>
  <c r="D1015" i="1"/>
  <c r="AN1015" i="1" s="1"/>
  <c r="D184" i="1"/>
  <c r="AN184" i="1" s="1"/>
  <c r="D1150" i="1"/>
  <c r="AN1150" i="1" s="1"/>
  <c r="D1180" i="1"/>
  <c r="D445" i="1"/>
  <c r="D896" i="1"/>
  <c r="AN896" i="1" s="1"/>
  <c r="D36" i="1"/>
  <c r="AN36" i="1" s="1"/>
  <c r="D1634" i="1"/>
  <c r="D363" i="1"/>
  <c r="AN363" i="1" s="1"/>
  <c r="D1499" i="1"/>
  <c r="D1002" i="1"/>
  <c r="D1249" i="1"/>
  <c r="D462" i="1"/>
  <c r="AN462" i="1" s="1"/>
  <c r="D1264" i="1"/>
  <c r="AN1264" i="1" s="1"/>
  <c r="D803" i="1"/>
  <c r="D547" i="1"/>
  <c r="AN547" i="1" s="1"/>
  <c r="D1461" i="1"/>
  <c r="D1849" i="1"/>
  <c r="D1644" i="1"/>
  <c r="D1928" i="1"/>
  <c r="D1602" i="1"/>
  <c r="D1780" i="1"/>
  <c r="D1219" i="1"/>
  <c r="D449" i="1"/>
  <c r="D874" i="1"/>
  <c r="AN874" i="1" s="1"/>
  <c r="D583" i="1"/>
  <c r="D777" i="1"/>
  <c r="AN777" i="1" s="1"/>
  <c r="D2002" i="1"/>
  <c r="D186" i="1"/>
  <c r="D885" i="1"/>
  <c r="AN885" i="1" s="1"/>
  <c r="D190" i="1"/>
  <c r="D753" i="1"/>
  <c r="AN753" i="1" s="1"/>
  <c r="D669" i="1"/>
  <c r="D38" i="1"/>
  <c r="AN38" i="1" s="1"/>
  <c r="D928" i="1"/>
  <c r="AN928" i="1" s="1"/>
  <c r="D1181" i="1"/>
  <c r="D413" i="1"/>
  <c r="AN413" i="1" s="1"/>
  <c r="D778" i="1"/>
  <c r="AN778" i="1" s="1"/>
  <c r="D194" i="1"/>
  <c r="AN194" i="1" s="1"/>
  <c r="D267" i="1"/>
  <c r="D494" i="1"/>
  <c r="AN494" i="1" s="1"/>
  <c r="D196" i="1"/>
  <c r="D602" i="1"/>
  <c r="AN602" i="1" s="1"/>
  <c r="D1189" i="1"/>
  <c r="D1896" i="1"/>
  <c r="D199" i="1"/>
  <c r="AN199" i="1" s="1"/>
  <c r="D1296" i="1"/>
  <c r="D1897" i="1"/>
  <c r="D205" i="1"/>
  <c r="AN205" i="1" s="1"/>
  <c r="D782" i="1"/>
  <c r="AN782" i="1" s="1"/>
  <c r="D501" i="1"/>
  <c r="D733" i="1"/>
  <c r="D805" i="1"/>
  <c r="D333" i="1"/>
  <c r="AN333" i="1" s="1"/>
  <c r="D209" i="1"/>
  <c r="AN209" i="1" s="1"/>
  <c r="D1209" i="1"/>
  <c r="D1684" i="1"/>
  <c r="D783" i="1"/>
  <c r="AN783" i="1" s="1"/>
  <c r="D686" i="1"/>
  <c r="AN686" i="1" s="1"/>
  <c r="D211" i="1"/>
  <c r="D1990" i="1"/>
  <c r="D617" i="1"/>
  <c r="AN617" i="1" s="1"/>
  <c r="D1408" i="1"/>
  <c r="D824" i="1"/>
  <c r="AN824" i="1" s="1"/>
  <c r="D1142" i="1"/>
  <c r="AN1142" i="1" s="1"/>
  <c r="D245" i="1"/>
  <c r="AN245" i="1" s="1"/>
  <c r="D1621" i="1"/>
  <c r="D473" i="1"/>
  <c r="D1914" i="1"/>
  <c r="D517" i="1"/>
  <c r="AN517" i="1" s="1"/>
  <c r="D715" i="1"/>
  <c r="D1966" i="1"/>
  <c r="D105" i="1"/>
  <c r="AN105" i="1" s="1"/>
  <c r="D213" i="1"/>
  <c r="AN213" i="1" s="1"/>
  <c r="D262" i="1"/>
  <c r="AN262" i="1" s="1"/>
  <c r="D592" i="1"/>
  <c r="D970" i="1"/>
  <c r="AN970" i="1" s="1"/>
  <c r="D757" i="1"/>
  <c r="AN757" i="1" s="1"/>
  <c r="D1995" i="1"/>
  <c r="D917" i="1"/>
  <c r="AN917" i="1" s="1"/>
  <c r="D1130" i="1"/>
  <c r="D218" i="1"/>
  <c r="AN218" i="1" s="1"/>
  <c r="D216" i="1"/>
  <c r="AN216" i="1" s="1"/>
  <c r="D361" i="1"/>
  <c r="D1031" i="1"/>
  <c r="D1991" i="1"/>
  <c r="D310" i="1"/>
  <c r="AN310" i="1" s="1"/>
  <c r="D423" i="1"/>
  <c r="AN423" i="1" s="1"/>
  <c r="D1398" i="1"/>
  <c r="D1535" i="1"/>
  <c r="D1419" i="1"/>
  <c r="D600" i="1"/>
  <c r="AN600" i="1" s="1"/>
  <c r="D238" i="1"/>
  <c r="AN238" i="1" s="1"/>
  <c r="D1795" i="1"/>
  <c r="D545" i="1"/>
  <c r="AN545" i="1" s="1"/>
  <c r="D1929" i="1"/>
  <c r="D224" i="1"/>
  <c r="AN224" i="1" s="1"/>
  <c r="D226" i="1"/>
  <c r="AN226" i="1" s="1"/>
  <c r="D906" i="1"/>
  <c r="AN906" i="1" s="1"/>
  <c r="D227" i="1"/>
  <c r="D247" i="1"/>
  <c r="AN247" i="1" s="1"/>
  <c r="D542" i="1"/>
  <c r="AN542" i="1" s="1"/>
  <c r="D228" i="1"/>
  <c r="AN228" i="1" s="1"/>
  <c r="D469" i="1"/>
  <c r="AN469" i="1" s="1"/>
  <c r="D1420" i="1"/>
  <c r="D1388" i="1"/>
  <c r="AN1388" i="1" s="1"/>
  <c r="D1518" i="1"/>
  <c r="AN1518" i="1" s="1"/>
  <c r="D822" i="1"/>
  <c r="AN822" i="1" s="1"/>
  <c r="D235" i="1"/>
  <c r="D229" i="1"/>
  <c r="AN229" i="1" s="1"/>
  <c r="D785" i="1"/>
  <c r="AN785" i="1" s="1"/>
  <c r="D1204" i="1"/>
  <c r="AN1204" i="1" s="1"/>
  <c r="D82" i="1"/>
  <c r="AN82" i="1" s="1"/>
  <c r="D308" i="1"/>
  <c r="AN308" i="1" s="1"/>
  <c r="D1284" i="1"/>
  <c r="D951" i="1"/>
  <c r="D745" i="1"/>
  <c r="AN745" i="1" s="1"/>
  <c r="D274" i="1"/>
  <c r="AN274" i="1" s="1"/>
  <c r="D232" i="1"/>
  <c r="AN232" i="1" s="1"/>
  <c r="D1421" i="1"/>
  <c r="D1274" i="1"/>
  <c r="AN1274" i="1" s="1"/>
  <c r="D1945" i="1"/>
  <c r="D1378" i="1"/>
  <c r="D364" i="1"/>
  <c r="AN364" i="1" s="1"/>
  <c r="D1685" i="1"/>
  <c r="D234" i="1"/>
  <c r="AN234" i="1" s="1"/>
  <c r="D321" i="1"/>
  <c r="AN321" i="1" s="1"/>
  <c r="D1850" i="1"/>
  <c r="D1946" i="1"/>
  <c r="D1898" i="1"/>
  <c r="D1748" i="1"/>
  <c r="D1664" i="1"/>
  <c r="D1645" i="1"/>
  <c r="D233" i="1"/>
  <c r="AN233" i="1" s="1"/>
  <c r="D877" i="1"/>
  <c r="AN877" i="1" s="1"/>
  <c r="D1012" i="1"/>
  <c r="D163" i="1"/>
  <c r="D240" i="1"/>
  <c r="AN240" i="1" s="1"/>
  <c r="D1725" i="1"/>
  <c r="D1111" i="1"/>
  <c r="D1275" i="1"/>
  <c r="D1053" i="1"/>
  <c r="AN1053" i="1" s="1"/>
  <c r="D696" i="1"/>
  <c r="D570" i="1"/>
  <c r="D156" i="1"/>
  <c r="AN156" i="1" s="1"/>
  <c r="D1519" i="1"/>
  <c r="AN1519" i="1" s="1"/>
  <c r="D815" i="1"/>
  <c r="AN815" i="1" s="1"/>
  <c r="D1770" i="1"/>
  <c r="D1281" i="1"/>
  <c r="D376" i="1"/>
  <c r="AN376" i="1" s="1"/>
  <c r="D241" i="1"/>
  <c r="AN241" i="1" s="1"/>
  <c r="D918" i="1"/>
  <c r="D1462" i="1"/>
  <c r="D987" i="1"/>
  <c r="AN987" i="1" s="1"/>
  <c r="D571" i="1"/>
  <c r="AN571" i="1" s="1"/>
  <c r="D236" i="1"/>
  <c r="AN236" i="1" s="1"/>
  <c r="D1665" i="1"/>
  <c r="D244" i="1"/>
  <c r="AN244" i="1" s="1"/>
  <c r="D735" i="1"/>
  <c r="D653" i="1"/>
  <c r="D206" i="1"/>
  <c r="AN206" i="1" s="1"/>
  <c r="D875" i="1"/>
  <c r="AN875" i="1" s="1"/>
  <c r="D1947" i="1"/>
  <c r="D855" i="1"/>
  <c r="AN855" i="1" s="1"/>
  <c r="D717" i="1"/>
  <c r="D1622" i="1"/>
  <c r="D248" i="1"/>
  <c r="AN248" i="1" s="1"/>
  <c r="D1603" i="1"/>
  <c r="D249" i="1"/>
  <c r="AN249" i="1" s="1"/>
  <c r="D171" i="1"/>
  <c r="AN171" i="1" s="1"/>
  <c r="D145" i="1"/>
  <c r="AN145" i="1" s="1"/>
  <c r="D1759" i="1"/>
  <c r="D221" i="1"/>
  <c r="D1870" i="1"/>
  <c r="D1520" i="1"/>
  <c r="D844" i="1"/>
  <c r="D845" i="1"/>
  <c r="AN845" i="1" s="1"/>
  <c r="D1781" i="1"/>
  <c r="D1710" i="1"/>
  <c r="D557" i="1"/>
  <c r="D1054" i="1"/>
  <c r="D214" i="1"/>
  <c r="AN214" i="1" s="1"/>
  <c r="D1711" i="1"/>
  <c r="D806" i="1"/>
  <c r="D1495" i="1"/>
  <c r="AN1495" i="1" s="1"/>
  <c r="D1099" i="1"/>
  <c r="D1463" i="1"/>
  <c r="D471" i="1"/>
  <c r="D251" i="1"/>
  <c r="D381" i="1"/>
  <c r="AN381" i="1" s="1"/>
  <c r="D730" i="1"/>
  <c r="AN730" i="1" s="1"/>
  <c r="D1213" i="1"/>
  <c r="AN1213" i="1" s="1"/>
  <c r="D1749" i="1"/>
  <c r="D1112" i="1"/>
  <c r="D79" i="1"/>
  <c r="AN79" i="1" s="1"/>
  <c r="D1835" i="1"/>
  <c r="D253" i="1"/>
  <c r="D475" i="1"/>
  <c r="D1646" i="1"/>
  <c r="D748" i="1"/>
  <c r="D1686" i="1"/>
  <c r="D456" i="1"/>
  <c r="AN456" i="1" s="1"/>
  <c r="D1666" i="1"/>
  <c r="D1113" i="1"/>
  <c r="D2003" i="1"/>
  <c r="D1080" i="1"/>
  <c r="AN1080" i="1" s="1"/>
  <c r="D1078" i="1"/>
  <c r="AN1078" i="1" s="1"/>
  <c r="D966" i="1"/>
  <c r="AN966" i="1" s="1"/>
  <c r="D967" i="1"/>
  <c r="D2004" i="1"/>
  <c r="D986" i="1"/>
  <c r="D1505" i="1"/>
  <c r="D96" i="1"/>
  <c r="D515" i="1"/>
  <c r="AN515" i="1" s="1"/>
  <c r="D1647" i="1"/>
  <c r="D1224" i="1"/>
  <c r="AN1224" i="1" s="1"/>
  <c r="D610" i="1"/>
  <c r="AN610" i="1" s="1"/>
  <c r="D128" i="1"/>
  <c r="AN128" i="1" s="1"/>
  <c r="D859" i="1"/>
  <c r="D1297" i="1"/>
  <c r="D365" i="1"/>
  <c r="D1291" i="1"/>
  <c r="AN1291" i="1" s="1"/>
  <c r="D259" i="1"/>
  <c r="D1578" i="1"/>
  <c r="D1967" i="1"/>
  <c r="D1542" i="1"/>
  <c r="D275" i="1"/>
  <c r="D55" i="1"/>
  <c r="AN55" i="1" s="1"/>
  <c r="D1138" i="1"/>
  <c r="D1560" i="1"/>
  <c r="AN1560" i="1" s="1"/>
  <c r="D853" i="1"/>
  <c r="D317" i="1"/>
  <c r="AN317" i="1" s="1"/>
  <c r="D1464" i="1"/>
  <c r="D1062" i="1"/>
  <c r="AN1062" i="1" s="1"/>
  <c r="D628" i="1"/>
  <c r="AN628" i="1" s="1"/>
  <c r="D1992" i="1"/>
  <c r="D277" i="1"/>
  <c r="AN277" i="1" s="1"/>
  <c r="D565" i="1"/>
  <c r="AN565" i="1" s="1"/>
  <c r="D151" i="1"/>
  <c r="AN151" i="1" s="1"/>
  <c r="D935" i="1"/>
  <c r="D1500" i="1"/>
  <c r="D595" i="1"/>
  <c r="AN595" i="1" s="1"/>
  <c r="D1205" i="1"/>
  <c r="D635" i="1"/>
  <c r="AN635" i="1" s="1"/>
  <c r="D1032" i="1"/>
  <c r="D1131" i="1"/>
  <c r="AN1131" i="1" s="1"/>
  <c r="D348" i="1"/>
  <c r="AN348" i="1" s="1"/>
  <c r="D280" i="1"/>
  <c r="AN280" i="1" s="1"/>
  <c r="D1871" i="1"/>
  <c r="D1465" i="1"/>
  <c r="D1194" i="1"/>
  <c r="D222" i="1"/>
  <c r="AN222" i="1" s="1"/>
  <c r="D322" i="1"/>
  <c r="D288" i="1"/>
  <c r="AN288" i="1" s="1"/>
  <c r="D297" i="1"/>
  <c r="AN297" i="1" s="1"/>
  <c r="D537" i="1"/>
  <c r="AN537" i="1" s="1"/>
  <c r="D497" i="1"/>
  <c r="AN497" i="1" s="1"/>
  <c r="D298" i="1"/>
  <c r="D1055" i="1"/>
  <c r="D131" i="1"/>
  <c r="D1667" i="1"/>
  <c r="D444" i="1"/>
  <c r="AN444" i="1" s="1"/>
  <c r="D300" i="1"/>
  <c r="AN300" i="1" s="1"/>
  <c r="D1561" i="1"/>
  <c r="AN1561" i="1" s="1"/>
  <c r="D95" i="1"/>
  <c r="AN95" i="1" s="1"/>
  <c r="D993" i="1"/>
  <c r="AN993" i="1" s="1"/>
  <c r="D446" i="1"/>
  <c r="D56" i="1"/>
  <c r="D260" i="1"/>
  <c r="AN260" i="1" s="1"/>
  <c r="D402" i="1"/>
  <c r="D1342" i="1"/>
  <c r="D556" i="1"/>
  <c r="AN556" i="1" s="1"/>
  <c r="D1842" i="1"/>
  <c r="D1604" i="1"/>
  <c r="D536" i="1"/>
  <c r="D75" i="1"/>
  <c r="D741" i="1"/>
  <c r="AN741" i="1" s="1"/>
  <c r="D650" i="1"/>
  <c r="AN650" i="1" s="1"/>
  <c r="D496" i="1"/>
  <c r="D787" i="1"/>
  <c r="AN787" i="1" s="1"/>
  <c r="D312" i="1"/>
  <c r="AN312" i="1" s="1"/>
  <c r="D313" i="1"/>
  <c r="AN313" i="1" s="1"/>
  <c r="D1552" i="1"/>
  <c r="D330" i="1"/>
  <c r="D819" i="1"/>
  <c r="D1107" i="1"/>
  <c r="AN1107" i="1" s="1"/>
  <c r="D1740" i="1"/>
  <c r="D532" i="1"/>
  <c r="AN532" i="1" s="1"/>
  <c r="D1804" i="1"/>
  <c r="D1496" i="1"/>
  <c r="AN1496" i="1" s="1"/>
  <c r="D323" i="1"/>
  <c r="AN323" i="1" s="1"/>
  <c r="D1336" i="1"/>
  <c r="D1668" i="1"/>
  <c r="D1566" i="1"/>
  <c r="AN1566" i="1" s="1"/>
  <c r="D331" i="1"/>
  <c r="D779" i="1"/>
  <c r="AN779" i="1" s="1"/>
  <c r="D1352" i="1"/>
  <c r="D1049" i="1"/>
  <c r="AN1049" i="1" s="1"/>
  <c r="D504" i="1"/>
  <c r="D843" i="1"/>
  <c r="AN843" i="1" s="1"/>
  <c r="D334" i="1"/>
  <c r="AN334" i="1" s="1"/>
  <c r="D1265" i="1"/>
  <c r="D1182" i="1"/>
  <c r="D795" i="1"/>
  <c r="D336" i="1"/>
  <c r="D1389" i="1"/>
  <c r="AN1389" i="1" s="1"/>
  <c r="D337" i="1"/>
  <c r="D774" i="1"/>
  <c r="AN774" i="1" s="1"/>
  <c r="D369" i="1"/>
  <c r="D1393" i="1"/>
  <c r="D1442" i="1"/>
  <c r="D893" i="1"/>
  <c r="AN893" i="1" s="1"/>
  <c r="D168" i="1"/>
  <c r="AN168" i="1" s="1"/>
  <c r="D541" i="1"/>
  <c r="AN541" i="1" s="1"/>
  <c r="D53" i="1"/>
  <c r="AN53" i="1" s="1"/>
  <c r="D1453" i="1"/>
  <c r="D580" i="1"/>
  <c r="D1948" i="1"/>
  <c r="D2021" i="1"/>
  <c r="D1623" i="1"/>
  <c r="D338" i="1"/>
  <c r="AN338" i="1" s="1"/>
  <c r="D977" i="1"/>
  <c r="AN977" i="1" s="1"/>
  <c r="D63" i="1"/>
  <c r="AN63" i="1" s="1"/>
  <c r="D339" i="1"/>
  <c r="D343" i="1"/>
  <c r="D1669" i="1"/>
  <c r="D346" i="1"/>
  <c r="AN346" i="1" s="1"/>
  <c r="D1949" i="1"/>
  <c r="D826" i="1"/>
  <c r="AN826" i="1" s="1"/>
  <c r="D693" i="1"/>
  <c r="AN693" i="1" s="1"/>
  <c r="D1371" i="1"/>
  <c r="AN1371" i="1" s="1"/>
  <c r="D189" i="1"/>
  <c r="AN189" i="1" s="1"/>
  <c r="D594" i="1"/>
  <c r="AN594" i="1" s="1"/>
  <c r="D1072" i="1"/>
  <c r="AN1072" i="1" s="1"/>
  <c r="D347" i="1"/>
  <c r="D349" i="1"/>
  <c r="AN349" i="1" s="1"/>
  <c r="D352" i="1"/>
  <c r="AN352" i="1" s="1"/>
  <c r="D1624" i="1"/>
  <c r="D1114" i="1"/>
  <c r="D371" i="1"/>
  <c r="D656" i="1"/>
  <c r="D1648" i="1"/>
  <c r="AN1648" i="1" s="1"/>
  <c r="D1982" i="1"/>
  <c r="D29" i="1"/>
  <c r="AN29" i="1" s="1"/>
  <c r="D1324" i="1"/>
  <c r="D1136" i="1"/>
  <c r="AN1136" i="1" s="1"/>
  <c r="D1346" i="1"/>
  <c r="D1649" i="1"/>
  <c r="D939" i="1"/>
  <c r="D286" i="1"/>
  <c r="AN286" i="1" s="1"/>
  <c r="D1149" i="1"/>
  <c r="AN1149" i="1" s="1"/>
  <c r="D1771" i="1"/>
  <c r="D1303" i="1"/>
  <c r="AN1303" i="1" s="1"/>
  <c r="D1391" i="1"/>
  <c r="D1466" i="1"/>
  <c r="D373" i="1"/>
  <c r="D1454" i="1"/>
  <c r="D1587" i="1"/>
  <c r="AN1587" i="1" s="1"/>
  <c r="D769" i="1"/>
  <c r="AN769" i="1" s="1"/>
  <c r="D378" i="1"/>
  <c r="AN378" i="1" s="1"/>
  <c r="D1529" i="1"/>
  <c r="AN1529" i="1" s="1"/>
  <c r="D1877" i="1"/>
  <c r="D353" i="1"/>
  <c r="D380" i="1"/>
  <c r="AN380" i="1" s="1"/>
  <c r="D383" i="1"/>
  <c r="D437" i="1"/>
  <c r="D1687" i="1"/>
  <c r="AN1687" i="1" s="1"/>
  <c r="D1086" i="1"/>
  <c r="AN1086" i="1" s="1"/>
  <c r="D1579" i="1"/>
  <c r="AN1579" i="1" s="1"/>
  <c r="D1384" i="1"/>
  <c r="AN1384" i="1" s="1"/>
  <c r="D389" i="1"/>
  <c r="AN389" i="1" s="1"/>
  <c r="D846" i="1"/>
  <c r="D884" i="1"/>
  <c r="D1567" i="1"/>
  <c r="D1223" i="1"/>
  <c r="AN1223" i="1" s="1"/>
  <c r="D622" i="1"/>
  <c r="AN622" i="1" s="1"/>
  <c r="D398" i="1"/>
  <c r="AN398" i="1" s="1"/>
  <c r="D1304" i="1"/>
  <c r="AN1304" i="1" s="1"/>
  <c r="D1337" i="1"/>
  <c r="D395" i="1"/>
  <c r="D404" i="1"/>
  <c r="AN404" i="1" s="1"/>
  <c r="D747" i="1"/>
  <c r="D1996" i="1"/>
  <c r="D7" i="1"/>
  <c r="AN7" i="1" s="1"/>
  <c r="D415" i="1"/>
  <c r="D1829" i="1"/>
  <c r="D534" i="1"/>
  <c r="D1125" i="1"/>
  <c r="AN1125" i="1" s="1"/>
  <c r="D1135" i="1"/>
  <c r="D344" i="1"/>
  <c r="AN344" i="1" s="1"/>
  <c r="D587" i="1"/>
  <c r="AN587" i="1" s="1"/>
  <c r="D379" i="1"/>
  <c r="AN379" i="1" s="1"/>
  <c r="D520" i="1"/>
  <c r="AN520" i="1" s="1"/>
  <c r="D422" i="1"/>
  <c r="AN422" i="1" s="1"/>
  <c r="D1813" i="1"/>
  <c r="D860" i="1"/>
  <c r="D1851" i="1"/>
  <c r="D427" i="1"/>
  <c r="AN427" i="1" s="1"/>
  <c r="D114" i="1"/>
  <c r="AN114" i="1" s="1"/>
  <c r="D1950" i="1"/>
  <c r="D582" i="1"/>
  <c r="AN582" i="1" s="1"/>
  <c r="D287" i="1"/>
  <c r="AN287" i="1" s="1"/>
  <c r="D720" i="1"/>
  <c r="AN720" i="1" s="1"/>
  <c r="D1688" i="1"/>
  <c r="D1016" i="1"/>
  <c r="AN1016" i="1" s="1"/>
  <c r="D31" i="1"/>
  <c r="AN31" i="1" s="1"/>
  <c r="D306" i="1"/>
  <c r="D1878" i="1"/>
  <c r="D990" i="1"/>
  <c r="AN990" i="1" s="1"/>
  <c r="D1930" i="1"/>
  <c r="D609" i="1"/>
  <c r="D428" i="1"/>
  <c r="AN428" i="1" s="1"/>
  <c r="D429" i="1"/>
  <c r="AN429" i="1" s="1"/>
  <c r="D1968" i="1"/>
  <c r="D430" i="1"/>
  <c r="AN430" i="1" s="1"/>
  <c r="D614" i="1"/>
  <c r="D1969" i="1"/>
  <c r="D431" i="1"/>
  <c r="AN431" i="1" s="1"/>
  <c r="D1879" i="1"/>
  <c r="D433" i="1"/>
  <c r="D46" i="1"/>
  <c r="AN46" i="1" s="1"/>
  <c r="D1292" i="1"/>
  <c r="AN1292" i="1" s="1"/>
  <c r="D1409" i="1"/>
  <c r="AN1409" i="1" s="1"/>
  <c r="D1320" i="1"/>
  <c r="AN1320" i="1" s="1"/>
  <c r="D936" i="1"/>
  <c r="AN936" i="1" s="1"/>
  <c r="D621" i="1"/>
  <c r="D713" i="1"/>
  <c r="AN713" i="1" s="1"/>
  <c r="D1997" i="1"/>
  <c r="D558" i="1"/>
  <c r="D434" i="1"/>
  <c r="AN434" i="1" s="1"/>
  <c r="D1029" i="1"/>
  <c r="AN1029" i="1" s="1"/>
  <c r="D958" i="1"/>
  <c r="AN958" i="1" s="1"/>
  <c r="D1118" i="1"/>
  <c r="AN1118" i="1" s="1"/>
  <c r="D1670" i="1"/>
  <c r="D265" i="1"/>
  <c r="AN265" i="1" s="1"/>
  <c r="D1484" i="1"/>
  <c r="D827" i="1"/>
  <c r="D1042" i="1"/>
  <c r="AN1042" i="1" s="1"/>
  <c r="D382" i="1"/>
  <c r="AN382" i="1" s="1"/>
  <c r="D435" i="1"/>
  <c r="D1951" i="1"/>
  <c r="D1605" i="1"/>
  <c r="D230" i="1"/>
  <c r="AN230" i="1" s="1"/>
  <c r="D436" i="1"/>
  <c r="AN436" i="1" s="1"/>
  <c r="D452" i="1"/>
  <c r="AN452" i="1" s="1"/>
  <c r="D1562" i="1"/>
  <c r="AN1562" i="1" s="1"/>
  <c r="D786" i="1"/>
  <c r="D692" i="1"/>
  <c r="D1305" i="1"/>
  <c r="D1108" i="1"/>
  <c r="AN1108" i="1" s="1"/>
  <c r="D1273" i="1"/>
  <c r="D1057" i="1"/>
  <c r="AN1057" i="1" s="1"/>
  <c r="D453" i="1"/>
  <c r="D134" i="1"/>
  <c r="AN134" i="1" s="1"/>
  <c r="D1475" i="1"/>
  <c r="D1983" i="1"/>
  <c r="D454" i="1"/>
  <c r="AN454" i="1" s="1"/>
  <c r="D584" i="1"/>
  <c r="AN584" i="1" s="1"/>
  <c r="D1998" i="1"/>
  <c r="D1650" i="1"/>
  <c r="D62" i="1"/>
  <c r="AN62" i="1" s="1"/>
  <c r="D457" i="1"/>
  <c r="AN457" i="1" s="1"/>
  <c r="D1063" i="1"/>
  <c r="AN1063" i="1" s="1"/>
  <c r="D1399" i="1"/>
  <c r="D459" i="1"/>
  <c r="AN459" i="1" s="1"/>
  <c r="D1069" i="1"/>
  <c r="AN1069" i="1" s="1"/>
  <c r="D1404" i="1"/>
  <c r="AN1404" i="1" s="1"/>
  <c r="D1836" i="1"/>
  <c r="D1424" i="1"/>
  <c r="AN1424" i="1" s="1"/>
  <c r="D502" i="1"/>
  <c r="AN502" i="1" s="1"/>
  <c r="D1501" i="1"/>
  <c r="D463" i="1"/>
  <c r="AN463" i="1" s="1"/>
  <c r="D758" i="1"/>
  <c r="AN758" i="1" s="1"/>
  <c r="D952" i="1"/>
  <c r="AN952" i="1" s="1"/>
  <c r="D481" i="1"/>
  <c r="AN481" i="1" s="1"/>
  <c r="D455" i="1"/>
  <c r="AN455" i="1" s="1"/>
  <c r="D223" i="1"/>
  <c r="AN223" i="1" s="1"/>
  <c r="D1984" i="1"/>
  <c r="D498" i="1"/>
  <c r="D1151" i="1"/>
  <c r="AN1151" i="1" s="1"/>
  <c r="D1588" i="1"/>
  <c r="AN1588" i="1" s="1"/>
  <c r="D500" i="1"/>
  <c r="AN500" i="1" s="1"/>
  <c r="D474" i="1"/>
  <c r="AN474" i="1" s="1"/>
  <c r="D252" i="1"/>
  <c r="D540" i="1"/>
  <c r="AN540" i="1" s="1"/>
  <c r="D1103" i="1"/>
  <c r="AN1103" i="1" s="1"/>
  <c r="D878" i="1"/>
  <c r="D530" i="1"/>
  <c r="D1183" i="1"/>
  <c r="D800" i="1"/>
  <c r="AN800" i="1" s="1"/>
  <c r="D1429" i="1"/>
  <c r="AN1429" i="1" s="1"/>
  <c r="D1338" i="1"/>
  <c r="D574" i="1"/>
  <c r="D441" i="1"/>
  <c r="AN441" i="1" s="1"/>
  <c r="D2013" i="1"/>
  <c r="D112" i="1"/>
  <c r="AN112" i="1" s="1"/>
  <c r="D954" i="1"/>
  <c r="AN954" i="1" s="1"/>
  <c r="D1485" i="1"/>
  <c r="D1160" i="1"/>
  <c r="D1952" i="1"/>
  <c r="D907" i="1"/>
  <c r="D1401" i="1"/>
  <c r="AN1401" i="1" s="1"/>
  <c r="D4" i="1"/>
  <c r="AN4" i="1" s="1"/>
  <c r="D886" i="1"/>
  <c r="D1152" i="1"/>
  <c r="AN1152" i="1" s="1"/>
  <c r="D503" i="1"/>
  <c r="AN503" i="1" s="1"/>
  <c r="D1573" i="1"/>
  <c r="AN1573" i="1" s="1"/>
  <c r="D1953" i="1"/>
  <c r="D1899" i="1"/>
  <c r="D1563" i="1"/>
  <c r="AN1563" i="1" s="1"/>
  <c r="D482" i="1"/>
  <c r="D1242" i="1"/>
  <c r="AN1242" i="1" s="1"/>
  <c r="D1712" i="1"/>
  <c r="D507" i="1"/>
  <c r="AN507" i="1" s="1"/>
  <c r="D511" i="1"/>
  <c r="AN511" i="1" s="1"/>
  <c r="D1430" i="1"/>
  <c r="AN1430" i="1" s="1"/>
  <c r="D1250" i="1"/>
  <c r="D1325" i="1"/>
  <c r="D372" i="1"/>
  <c r="AN372" i="1" s="1"/>
  <c r="D552" i="1"/>
  <c r="D476" i="1"/>
  <c r="AN476" i="1" s="1"/>
  <c r="D1236" i="1"/>
  <c r="AN1236" i="1" s="1"/>
  <c r="D740" i="1"/>
  <c r="D1214" i="1"/>
  <c r="AN1214" i="1" s="1"/>
  <c r="D527" i="1"/>
  <c r="AN527" i="1" s="1"/>
  <c r="D420" i="1"/>
  <c r="AN420" i="1" s="1"/>
  <c r="D756" i="1"/>
  <c r="AN756" i="1" s="1"/>
  <c r="D1741" i="1"/>
  <c r="D1689" i="1"/>
  <c r="AN1689" i="1" s="1"/>
  <c r="D1298" i="1"/>
  <c r="AN1298" i="1" s="1"/>
  <c r="D1013" i="1"/>
  <c r="AN1013" i="1" s="1"/>
  <c r="D852" i="1"/>
  <c r="AN852" i="1" s="1"/>
  <c r="D488" i="1"/>
  <c r="AN488" i="1" s="1"/>
  <c r="D33" i="1"/>
  <c r="AN33" i="1" s="1"/>
  <c r="D1161" i="1"/>
  <c r="D535" i="1"/>
  <c r="AN535" i="1" s="1"/>
  <c r="D862" i="1"/>
  <c r="D1263" i="1"/>
  <c r="AN1263" i="1" s="1"/>
  <c r="D1372" i="1"/>
  <c r="AN1372" i="1" s="1"/>
  <c r="D1497" i="1"/>
  <c r="D1954" i="1"/>
  <c r="D690" i="1"/>
  <c r="AN690" i="1" s="1"/>
  <c r="D1476" i="1"/>
  <c r="AN1476" i="1" s="1"/>
  <c r="D1385" i="1"/>
  <c r="AN1385" i="1" s="1"/>
  <c r="D342" i="1"/>
  <c r="AN342" i="1" s="1"/>
  <c r="D679" i="1"/>
  <c r="D564" i="1"/>
  <c r="AN564" i="1" s="1"/>
  <c r="D1001" i="1"/>
  <c r="AN1001" i="1" s="1"/>
  <c r="D1410" i="1"/>
  <c r="D1210" i="1"/>
  <c r="AN1210" i="1" s="1"/>
  <c r="D1726" i="1"/>
  <c r="D1553" i="1"/>
  <c r="AN1553" i="1" s="1"/>
  <c r="D1589" i="1"/>
  <c r="D1820" i="1"/>
  <c r="D654" i="1"/>
  <c r="AN654" i="1" s="1"/>
  <c r="D1306" i="1"/>
  <c r="AN1306" i="1" s="1"/>
  <c r="D159" i="1"/>
  <c r="AN159" i="1" s="1"/>
  <c r="D1269" i="1"/>
  <c r="AN1269" i="1" s="1"/>
  <c r="D1915" i="1"/>
  <c r="D1477" i="1"/>
  <c r="AN1477" i="1" s="1"/>
  <c r="D623" i="1"/>
  <c r="AN623" i="1" s="1"/>
  <c r="D746" i="1"/>
  <c r="AN746" i="1" s="1"/>
  <c r="D1043" i="1"/>
  <c r="D2019" i="1"/>
  <c r="D1390" i="1"/>
  <c r="AN1390" i="1" s="1"/>
  <c r="D1931" i="1"/>
  <c r="D2009" i="1"/>
  <c r="D522" i="1"/>
  <c r="D572" i="1"/>
  <c r="AN572" i="1" s="1"/>
  <c r="D509" i="1"/>
  <c r="AN509" i="1" s="1"/>
  <c r="D591" i="1"/>
  <c r="D657" i="1"/>
  <c r="AN657" i="1" s="1"/>
  <c r="D596" i="1"/>
  <c r="D601" i="1"/>
  <c r="AN601" i="1" s="1"/>
  <c r="D809" i="1"/>
  <c r="D1932" i="1"/>
  <c r="D13" i="1"/>
  <c r="AN13" i="1" s="1"/>
  <c r="D86" i="1"/>
  <c r="AN86" i="1" s="1"/>
  <c r="D1690" i="1"/>
  <c r="D607" i="1"/>
  <c r="D613" i="1"/>
  <c r="AN613" i="1" s="1"/>
  <c r="D625" i="1"/>
  <c r="AN625" i="1" s="1"/>
  <c r="D1543" i="1"/>
  <c r="D1211" i="1"/>
  <c r="D264" i="1"/>
  <c r="D512" i="1"/>
  <c r="D637" i="1"/>
  <c r="D834" i="1"/>
  <c r="AN834" i="1" s="1"/>
  <c r="D1425" i="1"/>
  <c r="D326" i="1"/>
  <c r="AN326" i="1" s="1"/>
  <c r="D1880" i="1"/>
  <c r="D1365" i="1"/>
  <c r="D492" i="1"/>
  <c r="AN492" i="1" s="1"/>
  <c r="D1028" i="1"/>
  <c r="AN1028" i="1" s="1"/>
  <c r="D630" i="1"/>
  <c r="AN630" i="1" s="1"/>
  <c r="D651" i="1"/>
  <c r="AN651" i="1" s="1"/>
  <c r="D1727" i="1"/>
  <c r="D915" i="1"/>
  <c r="AN915" i="1" s="1"/>
  <c r="D1075" i="1"/>
  <c r="D1691" i="1"/>
  <c r="AN1691" i="1" s="1"/>
  <c r="D668" i="1"/>
  <c r="AN668" i="1" s="1"/>
  <c r="D1606" i="1"/>
  <c r="D673" i="1"/>
  <c r="AN673" i="1" s="1"/>
  <c r="D744" i="1"/>
  <c r="AN744" i="1" s="1"/>
  <c r="D1972" i="1"/>
  <c r="D1426" i="1"/>
  <c r="AN1426" i="1" s="1"/>
  <c r="D2005" i="1"/>
  <c r="D1486" i="1"/>
  <c r="AN1486" i="1" s="1"/>
  <c r="D1251" i="1"/>
  <c r="AN1251" i="1" s="1"/>
  <c r="D1692" i="1"/>
  <c r="D704" i="1"/>
  <c r="AN704" i="1" s="1"/>
  <c r="D674" i="1"/>
  <c r="AN674" i="1" s="1"/>
  <c r="D1782" i="1"/>
  <c r="D675" i="1"/>
  <c r="AN675" i="1" s="1"/>
  <c r="D1830" i="1"/>
  <c r="D1102" i="1"/>
  <c r="AN1102" i="1" s="1"/>
  <c r="D318" i="1"/>
  <c r="AN318" i="1" s="1"/>
  <c r="D663" i="1"/>
  <c r="AN663" i="1" s="1"/>
  <c r="D1026" i="1"/>
  <c r="AN1026" i="1" s="1"/>
  <c r="D195" i="1"/>
  <c r="AN195" i="1" s="1"/>
  <c r="D691" i="1"/>
  <c r="AN691" i="1" s="1"/>
  <c r="D447" i="1"/>
  <c r="AN447" i="1" s="1"/>
  <c r="D762" i="1"/>
  <c r="D187" i="1"/>
  <c r="D1064" i="1"/>
  <c r="AN1064" i="1" s="1"/>
  <c r="D660" i="1"/>
  <c r="AN660" i="1" s="1"/>
  <c r="D1100" i="1"/>
  <c r="AN1100" i="1" s="1"/>
  <c r="D1530" i="1"/>
  <c r="D988" i="1"/>
  <c r="D1693" i="1"/>
  <c r="D1651" i="1"/>
  <c r="D182" i="1"/>
  <c r="AN182" i="1" s="1"/>
  <c r="D1037" i="1"/>
  <c r="AN1037" i="1" s="1"/>
  <c r="D490" i="1"/>
  <c r="D714" i="1"/>
  <c r="AN714" i="1" s="1"/>
  <c r="D1590" i="1"/>
  <c r="D202" i="1"/>
  <c r="D1554" i="1"/>
  <c r="AN1554" i="1" s="1"/>
  <c r="D1237" i="1"/>
  <c r="D1332" i="1"/>
  <c r="AN1332" i="1" s="1"/>
  <c r="D722" i="1"/>
  <c r="AN722" i="1" s="1"/>
  <c r="D1521" i="1"/>
  <c r="AN1521" i="1" s="1"/>
  <c r="D723" i="1"/>
  <c r="AN723" i="1" s="1"/>
  <c r="D319" i="1"/>
  <c r="AN319" i="1" s="1"/>
  <c r="D263" i="1"/>
  <c r="AN263" i="1" s="1"/>
  <c r="D729" i="1"/>
  <c r="AN729" i="1" s="1"/>
  <c r="D1084" i="1"/>
  <c r="D391" i="1"/>
  <c r="AN391" i="1" s="1"/>
  <c r="D1330" i="1"/>
  <c r="AN1330" i="1" s="1"/>
  <c r="D1814" i="1"/>
  <c r="D749" i="1"/>
  <c r="AN749" i="1" s="1"/>
  <c r="D1045" i="1"/>
  <c r="AN1045" i="1" s="1"/>
  <c r="D1022" i="1"/>
  <c r="AN1022" i="1" s="1"/>
  <c r="D750" i="1"/>
  <c r="AN750" i="1" s="1"/>
  <c r="D1431" i="1"/>
  <c r="D1900" i="1"/>
  <c r="D1852" i="1"/>
  <c r="D683" i="1"/>
  <c r="AN683" i="1" s="1"/>
  <c r="D768" i="1"/>
  <c r="AN768" i="1" s="1"/>
  <c r="D204" i="1"/>
  <c r="AN204" i="1" s="1"/>
  <c r="D770" i="1"/>
  <c r="D1933" i="1"/>
  <c r="D1162" i="1"/>
  <c r="AN1162" i="1" s="1"/>
  <c r="D640" i="1"/>
  <c r="D1411" i="1"/>
  <c r="AN1411" i="1" s="1"/>
  <c r="D788" i="1"/>
  <c r="D52" i="1"/>
  <c r="AN52" i="1" s="1"/>
  <c r="D1307" i="1"/>
  <c r="AN1307" i="1" s="1"/>
  <c r="D856" i="1"/>
  <c r="D1671" i="1"/>
  <c r="AN1671" i="1" s="1"/>
  <c r="D937" i="1"/>
  <c r="AN937" i="1" s="1"/>
  <c r="D549" i="1"/>
  <c r="D670" i="1"/>
  <c r="AN670" i="1" s="1"/>
  <c r="D771" i="1"/>
  <c r="AN771" i="1" s="1"/>
  <c r="D959" i="1"/>
  <c r="AN959" i="1" s="1"/>
  <c r="D1858" i="1"/>
  <c r="D1163" i="1"/>
  <c r="AN1163" i="1" s="1"/>
  <c r="D1168" i="1"/>
  <c r="AN1168" i="1" s="1"/>
  <c r="D1353" i="1"/>
  <c r="D880" i="1"/>
  <c r="AN880" i="1" s="1"/>
  <c r="D588" i="1"/>
  <c r="AN588" i="1" s="1"/>
  <c r="D1011" i="1"/>
  <c r="AN1011" i="1" s="1"/>
  <c r="D960" i="1"/>
  <c r="AN960" i="1" s="1"/>
  <c r="D772" i="1"/>
  <c r="AN772" i="1" s="1"/>
  <c r="D1061" i="1"/>
  <c r="AN1061" i="1" s="1"/>
  <c r="D1200" i="1"/>
  <c r="AN1200" i="1" s="1"/>
  <c r="D1255" i="1"/>
  <c r="AN1255" i="1" s="1"/>
  <c r="D1652" i="1"/>
  <c r="D83" i="1"/>
  <c r="D1694" i="1"/>
  <c r="D1132" i="1"/>
  <c r="AN1132" i="1" s="1"/>
  <c r="D1498" i="1"/>
  <c r="AN1498" i="1" s="1"/>
  <c r="D1695" i="1"/>
  <c r="D1625" i="1"/>
  <c r="AN1625" i="1" s="1"/>
  <c r="D1881" i="1"/>
  <c r="D671" i="1"/>
  <c r="AN671" i="1" s="1"/>
  <c r="D1973" i="1"/>
  <c r="D1506" i="1"/>
  <c r="AN1506" i="1" s="1"/>
  <c r="D1038" i="1"/>
  <c r="AN1038" i="1" s="1"/>
  <c r="D1133" i="1"/>
  <c r="D1266" i="1"/>
  <c r="AN1266" i="1" s="1"/>
  <c r="D796" i="1"/>
  <c r="AN796" i="1" s="1"/>
  <c r="D716" i="1"/>
  <c r="D1321" i="1"/>
  <c r="D689" i="1"/>
  <c r="AN689" i="1" s="1"/>
  <c r="D919" i="1"/>
  <c r="AN919" i="1" s="1"/>
  <c r="D797" i="1"/>
  <c r="AN797" i="1" s="1"/>
  <c r="D661" i="1"/>
  <c r="D823" i="1"/>
  <c r="D1955" i="1"/>
  <c r="D832" i="1"/>
  <c r="AN832" i="1" s="1"/>
  <c r="D1228" i="1"/>
  <c r="D908" i="1"/>
  <c r="AN908" i="1" s="1"/>
  <c r="D1215" i="1"/>
  <c r="D1607" i="1"/>
  <c r="D1626" i="1"/>
  <c r="D2014" i="1"/>
  <c r="D810" i="1"/>
  <c r="AN810" i="1" s="1"/>
  <c r="D1696" i="1"/>
  <c r="AN1696" i="1" s="1"/>
  <c r="D1443" i="1"/>
  <c r="D1956" i="1"/>
  <c r="D1916" i="1"/>
  <c r="D1574" i="1"/>
  <c r="AN1574" i="1" s="1"/>
  <c r="D983" i="1"/>
  <c r="AN983" i="1" s="1"/>
  <c r="D1821" i="1"/>
  <c r="D416" i="1"/>
  <c r="AN416" i="1" s="1"/>
  <c r="D1783" i="1"/>
  <c r="D1073" i="1"/>
  <c r="AN1073" i="1" s="1"/>
  <c r="D1784" i="1"/>
  <c r="D1882" i="1"/>
  <c r="D1354" i="1"/>
  <c r="AN1354" i="1" s="1"/>
  <c r="D1478" i="1"/>
  <c r="AN1478" i="1" s="1"/>
  <c r="D1901" i="1"/>
  <c r="D833" i="1"/>
  <c r="AN833" i="1" s="1"/>
  <c r="D835" i="1"/>
  <c r="AN835" i="1" s="1"/>
  <c r="D12" i="1"/>
  <c r="AN12" i="1" s="1"/>
  <c r="D1050" i="1"/>
  <c r="AN1050" i="1" s="1"/>
  <c r="D276" i="1"/>
  <c r="AN276" i="1" s="1"/>
  <c r="D626" i="1"/>
  <c r="AN626" i="1" s="1"/>
  <c r="D394" i="1"/>
  <c r="AN394" i="1" s="1"/>
  <c r="D761" i="1"/>
  <c r="AN761" i="1" s="1"/>
  <c r="D1201" i="1"/>
  <c r="D400" i="1"/>
  <c r="D849" i="1"/>
  <c r="AN849" i="1" s="1"/>
  <c r="D1531" i="1"/>
  <c r="D894" i="1"/>
  <c r="D863" i="1"/>
  <c r="AN863" i="1" s="1"/>
  <c r="D1522" i="1"/>
  <c r="AN1522" i="1" s="1"/>
  <c r="D866" i="1"/>
  <c r="AN866" i="1" s="1"/>
  <c r="D872" i="1"/>
  <c r="AN872" i="1" s="1"/>
  <c r="D828" i="1"/>
  <c r="D781" i="1"/>
  <c r="AN781" i="1" s="1"/>
  <c r="D1772" i="1"/>
  <c r="D1635" i="1"/>
  <c r="D794" i="1"/>
  <c r="AN794" i="1" s="1"/>
  <c r="D837" i="1"/>
  <c r="AN837" i="1" s="1"/>
  <c r="D1993" i="1"/>
  <c r="D219" i="1"/>
  <c r="AN219" i="1" s="1"/>
  <c r="D1627" i="1"/>
  <c r="D1243" i="1"/>
  <c r="D1750" i="1"/>
  <c r="AN1750" i="1" s="1"/>
  <c r="D879" i="1"/>
  <c r="AN879" i="1" s="1"/>
  <c r="D510" i="1"/>
  <c r="AN510" i="1" s="1"/>
  <c r="D1285" i="1"/>
  <c r="AN1285" i="1" s="1"/>
  <c r="D1379" i="1"/>
  <c r="D1216" i="1"/>
  <c r="AN1216" i="1" s="1"/>
  <c r="D479" i="1"/>
  <c r="AN479" i="1" s="1"/>
  <c r="D1843" i="1"/>
  <c r="D1805" i="1"/>
  <c r="D386" i="1"/>
  <c r="AN386" i="1" s="1"/>
  <c r="D606" i="1"/>
  <c r="D146" i="1"/>
  <c r="AN146" i="1" s="1"/>
  <c r="D920" i="1"/>
  <c r="AN920" i="1" s="1"/>
  <c r="D71" i="1"/>
  <c r="AN71" i="1" s="1"/>
  <c r="D997" i="1"/>
  <c r="D881" i="1"/>
  <c r="AN881" i="1" s="1"/>
  <c r="D1134" i="1"/>
  <c r="AN1134" i="1" s="1"/>
  <c r="D898" i="1"/>
  <c r="AN898" i="1" s="1"/>
  <c r="D801" i="1"/>
  <c r="D1492" i="1"/>
  <c r="AN1492" i="1" s="1"/>
  <c r="D483" i="1"/>
  <c r="AN483" i="1" s="1"/>
  <c r="D1532" i="1"/>
  <c r="AN1532" i="1" s="1"/>
  <c r="D902" i="1"/>
  <c r="D220" i="1"/>
  <c r="AN220" i="1" s="1"/>
  <c r="D294" i="1"/>
  <c r="AN294" i="1" s="1"/>
  <c r="D1033" i="1"/>
  <c r="AN1033" i="1" s="1"/>
  <c r="D911" i="1"/>
  <c r="AN911" i="1" s="1"/>
  <c r="D763" i="1"/>
  <c r="AN763" i="1" s="1"/>
  <c r="D912" i="1"/>
  <c r="D559" i="1"/>
  <c r="AN559" i="1" s="1"/>
  <c r="D820" i="1"/>
  <c r="AN820" i="1" s="1"/>
  <c r="D487" i="1"/>
  <c r="AN487" i="1" s="1"/>
  <c r="D553" i="1"/>
  <c r="AN553" i="1" s="1"/>
  <c r="D632" i="1"/>
  <c r="AN632" i="1" s="1"/>
  <c r="D164" i="1"/>
  <c r="AN164" i="1" s="1"/>
  <c r="D215" i="1"/>
  <c r="AN215" i="1" s="1"/>
  <c r="D922" i="1"/>
  <c r="AN922" i="1" s="1"/>
  <c r="D1153" i="1"/>
  <c r="AN1153" i="1" s="1"/>
  <c r="D666" i="1"/>
  <c r="AN666" i="1" s="1"/>
  <c r="D1373" i="1"/>
  <c r="AN1373" i="1" s="1"/>
  <c r="D927" i="1"/>
  <c r="AN927" i="1" s="1"/>
  <c r="D940" i="1"/>
  <c r="AN940" i="1" s="1"/>
  <c r="D207" i="1"/>
  <c r="AN207" i="1" s="1"/>
  <c r="D1394" i="1"/>
  <c r="AN1394" i="1" s="1"/>
  <c r="D2022" i="1"/>
  <c r="D718" i="1"/>
  <c r="AN718" i="1" s="1"/>
  <c r="D354" i="1"/>
  <c r="AN354" i="1" s="1"/>
  <c r="D1347" i="1"/>
  <c r="D941" i="1"/>
  <c r="D1751" i="1"/>
  <c r="D208" i="1"/>
  <c r="AN208" i="1" s="1"/>
  <c r="D1115" i="1"/>
  <c r="AN1115" i="1" s="1"/>
  <c r="D569" i="1"/>
  <c r="AN569" i="1" s="1"/>
  <c r="D946" i="1"/>
  <c r="AN946" i="1" s="1"/>
  <c r="D1502" i="1"/>
  <c r="AN1502" i="1" s="1"/>
  <c r="D1093" i="1"/>
  <c r="AN1093" i="1" s="1"/>
  <c r="D1917" i="1"/>
  <c r="D424" i="1"/>
  <c r="AN424" i="1" s="1"/>
  <c r="D451" i="1"/>
  <c r="AN451" i="1" s="1"/>
  <c r="D1432" i="1"/>
  <c r="D550" i="1"/>
  <c r="D268" i="1"/>
  <c r="AN268" i="1" s="1"/>
  <c r="D1934" i="1"/>
  <c r="D682" i="1"/>
  <c r="AN682" i="1" s="1"/>
  <c r="D1493" i="1"/>
  <c r="D961" i="1"/>
  <c r="AN961" i="1" s="1"/>
  <c r="D776" i="1"/>
  <c r="D1935" i="1"/>
  <c r="D1348" i="1"/>
  <c r="AN1348" i="1" s="1"/>
  <c r="D813" i="1"/>
  <c r="AN813" i="1" s="1"/>
  <c r="D419" i="1"/>
  <c r="D1883" i="1"/>
  <c r="D968" i="1"/>
  <c r="AN968" i="1" s="1"/>
  <c r="D1970" i="1"/>
  <c r="D1397" i="1"/>
  <c r="AN1397" i="1" s="1"/>
  <c r="D561" i="1"/>
  <c r="AN561" i="1" s="1"/>
  <c r="D1936" i="1"/>
  <c r="D688" i="1"/>
  <c r="AN688" i="1" s="1"/>
  <c r="D1366" i="1"/>
  <c r="D971" i="1"/>
  <c r="D304" i="1"/>
  <c r="AN304" i="1" s="1"/>
  <c r="D638" i="1"/>
  <c r="AN638" i="1" s="1"/>
  <c r="D524" i="1"/>
  <c r="AN524" i="1" s="1"/>
  <c r="D972" i="1"/>
  <c r="AN972" i="1" s="1"/>
  <c r="D978" i="1"/>
  <c r="AN978" i="1" s="1"/>
  <c r="D1653" i="1"/>
  <c r="D1123" i="1"/>
  <c r="AN1123" i="1" s="1"/>
  <c r="D984" i="1"/>
  <c r="AN984" i="1" s="1"/>
  <c r="D73" i="1"/>
  <c r="AN73" i="1" s="1"/>
  <c r="D889" i="1"/>
  <c r="AN889" i="1" s="1"/>
  <c r="D1974" i="1"/>
  <c r="AN1974" i="1" s="1"/>
  <c r="D410" i="1"/>
  <c r="AN410" i="1" s="1"/>
  <c r="D514" i="1"/>
  <c r="D1467" i="1"/>
  <c r="D1003" i="1"/>
  <c r="AN1003" i="1" s="1"/>
  <c r="D1014" i="1"/>
  <c r="AN1014" i="1" s="1"/>
  <c r="D1018" i="1"/>
  <c r="AN1018" i="1" s="1"/>
  <c r="D1124" i="1"/>
  <c r="AN1124" i="1" s="1"/>
  <c r="D1172" i="1"/>
  <c r="AN1172" i="1" s="1"/>
  <c r="D132" i="1"/>
  <c r="AN132" i="1" s="1"/>
  <c r="D608" i="1"/>
  <c r="AN608" i="1" s="1"/>
  <c r="D1796" i="1"/>
  <c r="D1374" i="1"/>
  <c r="AN1374" i="1" s="1"/>
  <c r="D1024" i="1"/>
  <c r="AN1024" i="1" s="1"/>
  <c r="D1074" i="1"/>
  <c r="AN1074" i="1" s="1"/>
  <c r="D242" i="1"/>
  <c r="AN242" i="1" s="1"/>
  <c r="D1806" i="1"/>
  <c r="AN1806" i="1" s="1"/>
  <c r="D882" i="1"/>
  <c r="AN882" i="1" s="1"/>
  <c r="D8" i="1"/>
  <c r="D295" i="1"/>
  <c r="AN295" i="1" s="1"/>
  <c r="D1807" i="1"/>
  <c r="D1713" i="1"/>
  <c r="D1697" i="1"/>
  <c r="AN1697" i="1" s="1"/>
  <c r="D396" i="1"/>
  <c r="AN396" i="1" s="1"/>
  <c r="D743" i="1"/>
  <c r="D955" i="1"/>
  <c r="AN955" i="1" s="1"/>
  <c r="D1608" i="1"/>
  <c r="D1027" i="1"/>
  <c r="D1104" i="1"/>
  <c r="AN1104" i="1" s="1"/>
  <c r="D1030" i="1"/>
  <c r="AN1030" i="1" s="1"/>
  <c r="D644" i="1"/>
  <c r="AN644" i="1" s="1"/>
  <c r="D1975" i="1"/>
  <c r="D1071" i="1"/>
  <c r="AN1071" i="1" s="1"/>
  <c r="D525" i="1"/>
  <c r="AN525" i="1" s="1"/>
  <c r="D1322" i="1"/>
  <c r="AN1322" i="1" s="1"/>
  <c r="D1507" i="1"/>
  <c r="D921" i="1"/>
  <c r="AN921" i="1" s="1"/>
  <c r="D1187" i="1"/>
  <c r="AN1187" i="1" s="1"/>
  <c r="D1154" i="1"/>
  <c r="AN1154" i="1" s="1"/>
  <c r="D438" i="1"/>
  <c r="AN438" i="1" s="1"/>
  <c r="D850" i="1"/>
  <c r="AN850" i="1" s="1"/>
  <c r="D1035" i="1"/>
  <c r="D1444" i="1"/>
  <c r="D1169" i="1"/>
  <c r="D1326" i="1"/>
  <c r="AN1326" i="1" s="1"/>
  <c r="D1976" i="1"/>
  <c r="D734" i="1"/>
  <c r="AN734" i="1" s="1"/>
  <c r="D816" i="1"/>
  <c r="AN816" i="1" s="1"/>
  <c r="D647" i="1"/>
  <c r="AN647" i="1" s="1"/>
  <c r="D1728" i="1"/>
  <c r="D1853" i="1"/>
  <c r="D1831" i="1"/>
  <c r="D1044" i="1"/>
  <c r="AN1044" i="1" s="1"/>
  <c r="D839" i="1"/>
  <c r="AN839" i="1" s="1"/>
  <c r="D678" i="1"/>
  <c r="AN678" i="1" s="1"/>
  <c r="D1937" i="1"/>
  <c r="D981" i="1"/>
  <c r="D699" i="1"/>
  <c r="AN699" i="1" s="1"/>
  <c r="D1056" i="1"/>
  <c r="D1286" i="1"/>
  <c r="AN1286" i="1" s="1"/>
  <c r="D1729" i="1"/>
  <c r="D1065" i="1"/>
  <c r="AN1065" i="1" s="1"/>
  <c r="D1854" i="1"/>
  <c r="D1468" i="1"/>
  <c r="AN1468" i="1" s="1"/>
  <c r="D1046" i="1"/>
  <c r="AN1046" i="1" s="1"/>
  <c r="D659" i="1"/>
  <c r="AN659" i="1" s="1"/>
  <c r="D814" i="1"/>
  <c r="D1077" i="1"/>
  <c r="AN1077" i="1" s="1"/>
  <c r="D909" i="1"/>
  <c r="AN909" i="1" s="1"/>
  <c r="D1190" i="1"/>
  <c r="AN1190" i="1" s="1"/>
  <c r="D618" i="1"/>
  <c r="AN618" i="1" s="1"/>
  <c r="D1568" i="1"/>
  <c r="AN1568" i="1" s="1"/>
  <c r="D1433" i="1"/>
  <c r="AN1433" i="1" s="1"/>
  <c r="D680" i="1"/>
  <c r="AN680" i="1" s="1"/>
  <c r="D1672" i="1"/>
  <c r="D1082" i="1"/>
  <c r="AN1082" i="1" s="1"/>
  <c r="D1092" i="1"/>
  <c r="AN1092" i="1" s="1"/>
  <c r="D165" i="1"/>
  <c r="AN165" i="1" s="1"/>
  <c r="D1096" i="1"/>
  <c r="AN1096" i="1" s="1"/>
  <c r="D243" i="1"/>
  <c r="D1400" i="1"/>
  <c r="AN1400" i="1" s="1"/>
  <c r="D1143" i="1"/>
  <c r="AN1143" i="1" s="1"/>
  <c r="D1837" i="1"/>
  <c r="D980" i="1"/>
  <c r="AN980" i="1" s="1"/>
  <c r="D1445" i="1"/>
  <c r="AN1445" i="1" s="1"/>
  <c r="D197" i="1"/>
  <c r="AN197" i="1" s="1"/>
  <c r="D1367" i="1"/>
  <c r="AN1367" i="1" s="1"/>
  <c r="D1730" i="1"/>
  <c r="AN1730" i="1" s="1"/>
  <c r="D2010" i="1"/>
  <c r="D1116" i="1"/>
  <c r="AN1116" i="1" s="1"/>
  <c r="D1773" i="1"/>
  <c r="D1109" i="1"/>
  <c r="AN1109" i="1" s="1"/>
  <c r="D1126" i="1"/>
  <c r="AN1126" i="1" s="1"/>
  <c r="D539" i="1"/>
  <c r="AN539" i="1" s="1"/>
  <c r="D808" i="1"/>
  <c r="AN808" i="1" s="1"/>
  <c r="D316" i="1"/>
  <c r="AN316" i="1" s="1"/>
  <c r="D1977" i="1"/>
  <c r="D1902" i="1"/>
  <c r="D1536" i="1"/>
  <c r="D737" i="1"/>
  <c r="AN737" i="1" s="1"/>
  <c r="D1918" i="1"/>
  <c r="AN1918" i="1" s="1"/>
  <c r="D700" i="1"/>
  <c r="D1797" i="1"/>
  <c r="D148" i="1"/>
  <c r="D562" i="1"/>
  <c r="AN562" i="1" s="1"/>
  <c r="D1537" i="1"/>
  <c r="D765" i="1"/>
  <c r="AN765" i="1" s="1"/>
  <c r="D1127" i="1"/>
  <c r="AN1127" i="1" s="1"/>
  <c r="D1252" i="1"/>
  <c r="D335" i="1"/>
  <c r="AN335" i="1" s="1"/>
  <c r="D1110" i="1"/>
  <c r="AN1110" i="1" s="1"/>
  <c r="D736" i="1"/>
  <c r="AN736" i="1" s="1"/>
  <c r="D1119" i="1"/>
  <c r="AN1119" i="1" s="1"/>
  <c r="D1137" i="1"/>
  <c r="D1479" i="1"/>
  <c r="D153" i="1"/>
  <c r="AN153" i="1" s="1"/>
  <c r="D1609" i="1"/>
  <c r="AN1609" i="1" s="1"/>
  <c r="D1036" i="1"/>
  <c r="AN1036" i="1" s="1"/>
  <c r="D461" i="1"/>
  <c r="AN461" i="1" s="1"/>
  <c r="D1844" i="1"/>
  <c r="D1212" i="1"/>
  <c r="D1155" i="1"/>
  <c r="D2011" i="1"/>
  <c r="D1164" i="1"/>
  <c r="D1173" i="1"/>
  <c r="AN1173" i="1" s="1"/>
  <c r="D140" i="1"/>
  <c r="AN140" i="1" s="1"/>
  <c r="D1184" i="1"/>
  <c r="AN1184" i="1" s="1"/>
  <c r="D1202" i="1"/>
  <c r="AN1202" i="1" s="1"/>
  <c r="D1225" i="1"/>
  <c r="D1760" i="1"/>
  <c r="D384" i="1"/>
  <c r="D1480" i="1"/>
  <c r="D1808" i="1"/>
  <c r="D256" i="1"/>
  <c r="AN256" i="1" s="1"/>
  <c r="D840" i="1"/>
  <c r="AN840" i="1" s="1"/>
  <c r="D192" i="1"/>
  <c r="AN192" i="1" s="1"/>
  <c r="D409" i="1"/>
  <c r="D994" i="1"/>
  <c r="AN994" i="1" s="1"/>
  <c r="D1698" i="1"/>
  <c r="D1238" i="1"/>
  <c r="AN1238" i="1" s="1"/>
  <c r="D947" i="1"/>
  <c r="D1229" i="1"/>
  <c r="AN1229" i="1" s="1"/>
  <c r="D1231" i="1"/>
  <c r="D667" i="1"/>
  <c r="AN667" i="1" s="1"/>
  <c r="D281" i="1"/>
  <c r="AN281" i="1" s="1"/>
  <c r="D1884" i="1"/>
  <c r="D695" i="1"/>
  <c r="D9" i="1"/>
  <c r="AN9" i="1" s="1"/>
  <c r="D1239" i="1"/>
  <c r="AN1239" i="1" s="1"/>
  <c r="D1731" i="1"/>
  <c r="D1244" i="1"/>
  <c r="AN1244" i="1" s="1"/>
  <c r="D1798" i="1"/>
  <c r="AN1798" i="1" s="1"/>
  <c r="D1508" i="1"/>
  <c r="D1245" i="1"/>
  <c r="AN1245" i="1" s="1"/>
  <c r="D1673" i="1"/>
  <c r="D789" i="1"/>
  <c r="AN789" i="1" s="1"/>
  <c r="D812" i="1"/>
  <c r="AN812" i="1" s="1"/>
  <c r="D1799" i="1"/>
  <c r="D933" i="1"/>
  <c r="AN933" i="1" s="1"/>
  <c r="D466" i="1"/>
  <c r="AN466" i="1" s="1"/>
  <c r="D1610" i="1"/>
  <c r="AN1610" i="1" s="1"/>
  <c r="D546" i="1"/>
  <c r="AN546" i="1" s="1"/>
  <c r="D1903" i="1"/>
  <c r="D1240" i="1"/>
  <c r="AN1240" i="1" s="1"/>
  <c r="D1253" i="1"/>
  <c r="AN1253" i="1" s="1"/>
  <c r="D397" i="1"/>
  <c r="D1855" i="1"/>
  <c r="D1256" i="1"/>
  <c r="D1120" i="1"/>
  <c r="AN1120" i="1" s="1"/>
  <c r="D1368" i="1"/>
  <c r="D924" i="1"/>
  <c r="D1785" i="1"/>
  <c r="D1308" i="1"/>
  <c r="AN1308" i="1" s="1"/>
  <c r="D273" i="1"/>
  <c r="AN273" i="1" s="1"/>
  <c r="D563" i="1"/>
  <c r="AN563" i="1" s="1"/>
  <c r="D1257" i="1"/>
  <c r="D1158" i="1"/>
  <c r="AN1158" i="1" s="1"/>
  <c r="D923" i="1"/>
  <c r="AN923" i="1" s="1"/>
  <c r="D1369" i="1"/>
  <c r="D387" i="1"/>
  <c r="AN387" i="1" s="1"/>
  <c r="D290" i="1"/>
  <c r="AN290" i="1" s="1"/>
  <c r="D1192" i="1"/>
  <c r="D1859" i="1"/>
  <c r="D1006" i="1"/>
  <c r="D1434" i="1"/>
  <c r="AN1434" i="1" s="1"/>
  <c r="D586" i="1"/>
  <c r="AN586" i="1" s="1"/>
  <c r="D484" i="1"/>
  <c r="AN484" i="1" s="1"/>
  <c r="D57" i="1"/>
  <c r="AN57" i="1" s="1"/>
  <c r="D1258" i="1"/>
  <c r="AN1258" i="1" s="1"/>
  <c r="D1276" i="1"/>
  <c r="AN1276" i="1" s="1"/>
  <c r="D1860" i="1"/>
  <c r="D1277" i="1"/>
  <c r="AN1277" i="1" s="1"/>
  <c r="D1278" i="1"/>
  <c r="AN1278" i="1" s="1"/>
  <c r="D88" i="1"/>
  <c r="AN88" i="1" s="1"/>
  <c r="D467" i="1"/>
  <c r="AN467" i="1" s="1"/>
  <c r="D566" i="1"/>
  <c r="AN566" i="1" s="1"/>
  <c r="D217" i="1"/>
  <c r="AN217" i="1" s="1"/>
  <c r="D345" i="1"/>
  <c r="D1838" i="1"/>
  <c r="D708" i="1"/>
  <c r="D1282" i="1"/>
  <c r="AN1282" i="1" s="1"/>
  <c r="D876" i="1"/>
  <c r="AN876" i="1" s="1"/>
  <c r="D2015" i="1"/>
  <c r="D577" i="1"/>
  <c r="AN577" i="1" s="1"/>
  <c r="D1449" i="1"/>
  <c r="AN1449" i="1" s="1"/>
  <c r="D710" i="1"/>
  <c r="AN710" i="1" s="1"/>
  <c r="D543" i="1"/>
  <c r="D1822" i="1"/>
  <c r="AN1822" i="1" s="1"/>
  <c r="D1025" i="1"/>
  <c r="AN1025" i="1" s="1"/>
  <c r="D1293" i="1"/>
  <c r="D172" i="1"/>
  <c r="AN172" i="1" s="1"/>
  <c r="D1299" i="1"/>
  <c r="AN1299" i="1" s="1"/>
  <c r="D1355" i="1"/>
  <c r="AN1355" i="1" s="1"/>
  <c r="D1203" i="1"/>
  <c r="AN1203" i="1" s="1"/>
  <c r="D573" i="1"/>
  <c r="AN573" i="1" s="1"/>
  <c r="D1198" i="1"/>
  <c r="AN1198" i="1" s="1"/>
  <c r="D1300" i="1"/>
  <c r="AN1300" i="1" s="1"/>
  <c r="D1370" i="1"/>
  <c r="AN1370" i="1" s="1"/>
  <c r="D491" i="1"/>
  <c r="AN491" i="1" s="1"/>
  <c r="D1128" i="1"/>
  <c r="AN1128" i="1" s="1"/>
  <c r="D942" i="1"/>
  <c r="AN942" i="1" s="1"/>
  <c r="D1311" i="1"/>
  <c r="D1241" i="1"/>
  <c r="D1312" i="1"/>
  <c r="AN1312" i="1" s="1"/>
  <c r="D1786" i="1"/>
  <c r="AN1786" i="1" s="1"/>
  <c r="D516" i="1"/>
  <c r="AN516" i="1" s="1"/>
  <c r="D973" i="1"/>
  <c r="D1313" i="1"/>
  <c r="AN1313" i="1" s="1"/>
  <c r="D2016" i="1"/>
  <c r="D1538" i="1"/>
  <c r="AN1538" i="1" s="1"/>
  <c r="D904" i="1"/>
  <c r="AN904" i="1" s="1"/>
  <c r="D1845" i="1"/>
  <c r="D1327" i="1"/>
  <c r="AN1327" i="1" s="1"/>
  <c r="D1999" i="1"/>
  <c r="D257" i="1"/>
  <c r="AN257" i="1" s="1"/>
  <c r="D1331" i="1"/>
  <c r="AN1331" i="1" s="1"/>
  <c r="D1339" i="1"/>
  <c r="D340" i="1"/>
  <c r="AN340" i="1" s="1"/>
  <c r="D1356" i="1"/>
  <c r="D1446" i="1"/>
  <c r="AN1446" i="1" s="1"/>
  <c r="D181" i="1"/>
  <c r="AN181" i="1" s="1"/>
  <c r="D888" i="1"/>
  <c r="AN888" i="1" s="1"/>
  <c r="D560" i="1"/>
  <c r="D2017" i="1"/>
  <c r="D554" i="1"/>
  <c r="AN554" i="1" s="1"/>
  <c r="D1343" i="1"/>
  <c r="AN1343" i="1" s="1"/>
  <c r="D1349" i="1"/>
  <c r="AN1349" i="1" s="1"/>
  <c r="D1580" i="1"/>
  <c r="D1919" i="1"/>
  <c r="D1005" i="1"/>
  <c r="D1357" i="1"/>
  <c r="D1761" i="1"/>
  <c r="D486" i="1"/>
  <c r="D1674" i="1"/>
  <c r="AN1674" i="1" s="1"/>
  <c r="D752" i="1"/>
  <c r="AN752" i="1" s="1"/>
  <c r="D1699" i="1"/>
  <c r="D1832" i="1"/>
  <c r="D1358" i="1"/>
  <c r="AN1358" i="1" s="1"/>
  <c r="D272" i="1"/>
  <c r="AN272" i="1" s="1"/>
  <c r="D493" i="1"/>
  <c r="AN493" i="1" s="1"/>
  <c r="D166" i="1"/>
  <c r="AN166" i="1" s="1"/>
  <c r="D1386" i="1"/>
  <c r="AN1386" i="1" s="1"/>
  <c r="D1270" i="1"/>
  <c r="AN1270" i="1" s="1"/>
  <c r="D616" i="1"/>
  <c r="AN616" i="1" s="1"/>
  <c r="D1823" i="1"/>
  <c r="D916" i="1"/>
  <c r="AN916" i="1" s="1"/>
  <c r="D1787" i="1"/>
  <c r="D1402" i="1"/>
  <c r="AN1402" i="1" s="1"/>
  <c r="D655" i="1"/>
  <c r="AN655" i="1" s="1"/>
  <c r="D989" i="1"/>
  <c r="D48" i="1"/>
  <c r="AN48" i="1" s="1"/>
  <c r="D1435" i="1"/>
  <c r="AN1435" i="1" s="1"/>
  <c r="D724" i="1"/>
  <c r="D685" i="1"/>
  <c r="AN685" i="1" s="1"/>
  <c r="D1165" i="1"/>
  <c r="D143" i="1"/>
  <c r="AN143" i="1" s="1"/>
  <c r="D1081" i="1"/>
  <c r="AN1081" i="1" s="1"/>
  <c r="D1714" i="1"/>
  <c r="AN1714" i="1" s="1"/>
  <c r="D969" i="1"/>
  <c r="AN969" i="1" s="1"/>
  <c r="D1732" i="1"/>
  <c r="D1066" i="1"/>
  <c r="AN1066" i="1" s="1"/>
  <c r="D528" i="1"/>
  <c r="D1455" i="1"/>
  <c r="D1654" i="1"/>
  <c r="AN1654" i="1" s="1"/>
  <c r="D1788" i="1"/>
  <c r="D314" i="1"/>
  <c r="D239" i="1"/>
  <c r="AN239" i="1" s="1"/>
  <c r="D1412" i="1"/>
  <c r="D464" i="1"/>
  <c r="AN464" i="1" s="1"/>
  <c r="D1413" i="1"/>
  <c r="AN1413" i="1" s="1"/>
  <c r="D1675" i="1"/>
  <c r="D1904" i="1"/>
  <c r="D1581" i="1"/>
  <c r="AN1581" i="1" s="1"/>
  <c r="D705" i="1"/>
  <c r="AN705" i="1" s="1"/>
  <c r="D1422" i="1"/>
  <c r="AN1422" i="1" s="1"/>
  <c r="D103" i="1"/>
  <c r="AN103" i="1" s="1"/>
  <c r="D359" i="1"/>
  <c r="AN359" i="1" s="1"/>
  <c r="D1905" i="1"/>
  <c r="D307" i="1"/>
  <c r="D1427" i="1"/>
  <c r="AN1427" i="1" s="1"/>
  <c r="D754" i="1"/>
  <c r="D1359" i="1"/>
  <c r="AN1359" i="1" s="1"/>
  <c r="D1010" i="1"/>
  <c r="AN1010" i="1" s="1"/>
  <c r="D1742" i="1"/>
  <c r="D1597" i="1"/>
  <c r="AN1597" i="1" s="1"/>
  <c r="D648" i="1"/>
  <c r="AN648" i="1" s="1"/>
  <c r="D1752" i="1"/>
  <c r="D1436" i="1"/>
  <c r="AN1436" i="1" s="1"/>
  <c r="D1437" i="1"/>
  <c r="AN1437" i="1" s="1"/>
  <c r="D1978" i="1"/>
  <c r="AN1978" i="1" s="1"/>
  <c r="D1762" i="1"/>
  <c r="AN1762" i="1" s="1"/>
  <c r="D1450" i="1"/>
  <c r="AN1450" i="1" s="1"/>
  <c r="D1700" i="1"/>
  <c r="AN1700" i="1" s="1"/>
  <c r="D1743" i="1"/>
  <c r="D599" i="1"/>
  <c r="AN599" i="1" s="1"/>
  <c r="D1294" i="1"/>
  <c r="AN1294" i="1" s="1"/>
  <c r="D366" i="1"/>
  <c r="AN366" i="1" s="1"/>
  <c r="D1456" i="1"/>
  <c r="D649" i="1"/>
  <c r="AN649" i="1" s="1"/>
  <c r="D1405" i="1"/>
  <c r="AN1405" i="1" s="1"/>
  <c r="D1246" i="1"/>
  <c r="AN1246" i="1" s="1"/>
  <c r="D851" i="1"/>
  <c r="AN851" i="1" s="1"/>
  <c r="D324" i="1"/>
  <c r="AN324" i="1" s="1"/>
  <c r="D1469" i="1"/>
  <c r="AN1469" i="1" s="1"/>
  <c r="D899" i="1"/>
  <c r="AN899" i="1" s="1"/>
  <c r="D406" i="1"/>
  <c r="AN406" i="1" s="1"/>
  <c r="D1906" i="1"/>
  <c r="AN1906" i="1" s="1"/>
  <c r="D998" i="1"/>
  <c r="AN998" i="1" s="1"/>
  <c r="D1481" i="1"/>
  <c r="AN1481" i="1" s="1"/>
  <c r="D538" i="1"/>
  <c r="AN538" i="1" s="1"/>
  <c r="D1487" i="1"/>
  <c r="AN1487" i="1" s="1"/>
  <c r="D1611" i="1"/>
  <c r="AN1611" i="1" s="1"/>
  <c r="D1488" i="1"/>
  <c r="D1301" i="1"/>
  <c r="D108" i="1"/>
  <c r="AN108" i="1" s="1"/>
  <c r="D697" i="1"/>
  <c r="AN697" i="1" s="1"/>
  <c r="D392" i="1"/>
  <c r="AN392" i="1" s="1"/>
  <c r="D1494" i="1"/>
  <c r="AN1494" i="1" s="1"/>
  <c r="D250" i="1"/>
  <c r="AN250" i="1" s="1"/>
  <c r="D518" i="1"/>
  <c r="AN518" i="1" s="1"/>
  <c r="D1789" i="1"/>
  <c r="D1509" i="1"/>
  <c r="D974" i="1"/>
  <c r="AN974" i="1" s="1"/>
  <c r="D1715" i="1"/>
  <c r="D848" i="1"/>
  <c r="AN848" i="1" s="1"/>
  <c r="D1392" i="1"/>
  <c r="AN1392" i="1" s="1"/>
  <c r="D1514" i="1"/>
  <c r="AN1514" i="1" s="1"/>
  <c r="D1523" i="1"/>
  <c r="AN1523" i="1" s="1"/>
  <c r="D1259" i="1"/>
  <c r="AN1259" i="1" s="1"/>
  <c r="D1544" i="1"/>
  <c r="D23" i="1"/>
  <c r="AN23" i="1" s="1"/>
  <c r="D1314" i="1"/>
  <c r="AN1314" i="1" s="1"/>
  <c r="D962" i="1"/>
  <c r="AN962" i="1" s="1"/>
  <c r="D1166" i="1"/>
  <c r="AN1166" i="1" s="1"/>
  <c r="D1079" i="1"/>
  <c r="AN1079" i="1" s="1"/>
  <c r="D1315" i="1"/>
  <c r="D953" i="1"/>
  <c r="AN953" i="1" s="1"/>
  <c r="D1545" i="1"/>
  <c r="AN1545" i="1" s="1"/>
  <c r="D1232" i="1"/>
  <c r="AN1232" i="1" s="1"/>
  <c r="D1546" i="1"/>
  <c r="AN1546" i="1" s="1"/>
  <c r="D115" i="1"/>
  <c r="D1885" i="1"/>
  <c r="D1564" i="1"/>
  <c r="D1582" i="1"/>
  <c r="AN1582" i="1" s="1"/>
  <c r="D897" i="1"/>
  <c r="AN897" i="1" s="1"/>
  <c r="D956" i="1"/>
  <c r="AN956" i="1" s="1"/>
  <c r="D1094" i="1"/>
  <c r="AN1094" i="1" s="1"/>
  <c r="D1866" i="1"/>
  <c r="D1985" i="1"/>
  <c r="D1591" i="1"/>
  <c r="AN1591" i="1" s="1"/>
  <c r="D1957" i="1"/>
  <c r="D1565" i="1"/>
  <c r="AN1565" i="1" s="1"/>
  <c r="D237" i="1"/>
  <c r="AN237" i="1" s="1"/>
  <c r="D999" i="1"/>
  <c r="AN999" i="1" s="1"/>
  <c r="D1097" i="1"/>
  <c r="AN1097" i="1" s="1"/>
  <c r="D719" i="1"/>
  <c r="AN719" i="1" s="1"/>
  <c r="D81" i="1"/>
  <c r="AN81" i="1" s="1"/>
  <c r="D1233" i="1"/>
  <c r="D1592" i="1"/>
  <c r="D639" i="1"/>
  <c r="AN639" i="1" s="1"/>
  <c r="D1612" i="1"/>
  <c r="AN1612" i="1" s="1"/>
  <c r="D1613" i="1"/>
  <c r="AN1613" i="1" s="1"/>
  <c r="D1763" i="1"/>
  <c r="D1907" i="1"/>
  <c r="D1958" i="1"/>
  <c r="AN1958" i="1" s="1"/>
  <c r="D1451" i="1"/>
  <c r="AN1451" i="1" s="1"/>
  <c r="D1457" i="1"/>
  <c r="D1105" i="1"/>
  <c r="AN1105" i="1" s="1"/>
  <c r="D362" i="1"/>
  <c r="AN362" i="1" s="1"/>
  <c r="D403" i="1"/>
  <c r="AN403" i="1" s="1"/>
  <c r="D1628" i="1"/>
  <c r="D1764" i="1"/>
  <c r="D1629" i="1"/>
  <c r="AN1629" i="1" s="1"/>
  <c r="D1447" i="1"/>
  <c r="D1636" i="1"/>
  <c r="D702" i="1"/>
  <c r="AN702" i="1" s="1"/>
  <c r="D1614" i="1"/>
  <c r="AN1614" i="1" s="1"/>
  <c r="D460" i="1"/>
  <c r="AN460" i="1" s="1"/>
  <c r="D1087" i="1"/>
  <c r="AN1087" i="1" s="1"/>
  <c r="D991" i="1"/>
  <c r="AN991" i="1" s="1"/>
  <c r="D439" i="1"/>
  <c r="AN439" i="1" s="1"/>
  <c r="D773" i="1"/>
  <c r="D1438" i="1"/>
  <c r="AN1438" i="1" s="1"/>
  <c r="D149" i="1"/>
  <c r="AN149" i="1" s="1"/>
  <c r="D831" i="1"/>
  <c r="AN831" i="1" s="1"/>
  <c r="D284" i="1"/>
  <c r="AN284" i="1" s="1"/>
  <c r="D1637" i="1"/>
  <c r="AN1637" i="1" s="1"/>
  <c r="D1583" i="1"/>
  <c r="AN1583" i="1" s="1"/>
  <c r="D996" i="1"/>
  <c r="AN996" i="1" s="1"/>
  <c r="D1220" i="1"/>
  <c r="D1247" i="1"/>
  <c r="D355" i="1"/>
  <c r="AN355" i="1" s="1"/>
  <c r="D1655" i="1"/>
  <c r="AN1655" i="1" s="1"/>
  <c r="D350" i="1"/>
  <c r="AN350" i="1" s="1"/>
  <c r="D1716" i="1"/>
  <c r="D925" i="1"/>
  <c r="AN925" i="1" s="1"/>
  <c r="D567" i="1"/>
  <c r="AN567" i="1" s="1"/>
  <c r="D1439" i="1"/>
  <c r="D1701" i="1"/>
  <c r="D1360" i="1"/>
  <c r="D150" i="1"/>
  <c r="D578" i="1"/>
  <c r="AN578" i="1" s="1"/>
  <c r="D1656" i="1"/>
  <c r="D585" i="1"/>
  <c r="AN585" i="1" s="1"/>
  <c r="D1340" i="1"/>
  <c r="D121" i="1"/>
  <c r="AN121" i="1" s="1"/>
  <c r="D1414" i="1"/>
  <c r="AN1414" i="1" s="1"/>
  <c r="D1733" i="1"/>
  <c r="D864" i="1"/>
  <c r="AN864" i="1" s="1"/>
  <c r="D738" i="1"/>
  <c r="AN738" i="1" s="1"/>
  <c r="D1657" i="1"/>
  <c r="D246" i="1"/>
  <c r="D1920" i="1"/>
  <c r="D1406" i="1"/>
  <c r="AN1406" i="1" s="1"/>
  <c r="D1272" i="1"/>
  <c r="AN1272" i="1" s="1"/>
  <c r="D1019" i="1"/>
  <c r="AN1019" i="1" s="1"/>
  <c r="D548" i="1"/>
  <c r="AN548" i="1" s="1"/>
  <c r="D201" i="1"/>
  <c r="AN201" i="1" s="1"/>
  <c r="D1615" i="1"/>
  <c r="AN1615" i="1" s="1"/>
  <c r="D1921" i="1"/>
  <c r="D1702" i="1"/>
  <c r="D1872" i="1"/>
  <c r="D1039" i="1"/>
  <c r="AN1039" i="1" s="1"/>
  <c r="D1703" i="1"/>
  <c r="AN1703" i="1" s="1"/>
  <c r="D1704" i="1"/>
  <c r="D1705" i="1"/>
  <c r="D302" i="1"/>
  <c r="AN302" i="1" s="1"/>
  <c r="D1170" i="1"/>
  <c r="AN1170" i="1" s="1"/>
  <c r="D1717" i="1"/>
  <c r="D278" i="1"/>
  <c r="AN278" i="1" s="1"/>
  <c r="D1706" i="1"/>
  <c r="D1734" i="1"/>
  <c r="AN1734" i="1" s="1"/>
  <c r="D325" i="1"/>
  <c r="AN325" i="1" s="1"/>
  <c r="D1575" i="1"/>
  <c r="AN1575" i="1" s="1"/>
  <c r="D1753" i="1"/>
  <c r="D1174" i="1"/>
  <c r="AN1174" i="1" s="1"/>
  <c r="D1765" i="1"/>
  <c r="D818" i="1"/>
  <c r="AN818" i="1" s="1"/>
  <c r="D568" i="1"/>
  <c r="D1886" i="1"/>
  <c r="D1423" i="1"/>
  <c r="D948" i="1"/>
  <c r="AN948" i="1" s="1"/>
  <c r="D519" i="1"/>
  <c r="AN519" i="1" s="1"/>
  <c r="D1676" i="1"/>
  <c r="D470" i="1"/>
  <c r="AN470" i="1" s="1"/>
  <c r="D225" i="1"/>
  <c r="AN225" i="1" s="1"/>
  <c r="D1908" i="1"/>
  <c r="D1316" i="1"/>
  <c r="D2018" i="1"/>
  <c r="AN2018" i="1" s="1"/>
  <c r="D1328" i="1"/>
  <c r="AN1328" i="1" s="1"/>
  <c r="D854" i="1"/>
  <c r="D1458" i="1"/>
  <c r="AN1458" i="1" s="1"/>
  <c r="D1809" i="1"/>
  <c r="D1810" i="1"/>
  <c r="AN1810" i="1" s="1"/>
  <c r="D2020" i="1"/>
  <c r="D1815" i="1"/>
  <c r="D1515" i="1"/>
  <c r="AN1515" i="1" s="1"/>
  <c r="D477" i="1"/>
  <c r="AN477" i="1" s="1"/>
  <c r="D975" i="1"/>
  <c r="AN975" i="1" s="1"/>
  <c r="D1167" i="1"/>
  <c r="AN1167" i="1" s="1"/>
  <c r="D1221" i="1"/>
  <c r="AN1221" i="1" s="1"/>
  <c r="D1816" i="1"/>
  <c r="D1887" i="1"/>
  <c r="D1677" i="1"/>
  <c r="AN1677" i="1" s="1"/>
  <c r="D1440" i="1"/>
  <c r="AN1440" i="1" s="1"/>
  <c r="D1516" i="1"/>
  <c r="AN1516" i="1" s="1"/>
  <c r="D676" i="1"/>
  <c r="AN676" i="1" s="1"/>
  <c r="D1824" i="1"/>
  <c r="D1766" i="1"/>
  <c r="AN1766" i="1" s="1"/>
  <c r="D1547" i="1"/>
  <c r="AN1547" i="1" s="1"/>
  <c r="D1070" i="1"/>
  <c r="AN1070" i="1" s="1"/>
  <c r="D1375" i="1"/>
  <c r="AN1375" i="1" s="1"/>
  <c r="D1539" i="1"/>
  <c r="AN1539" i="1" s="1"/>
  <c r="D125" i="1"/>
  <c r="AN125" i="1" s="1"/>
  <c r="D1548" i="1"/>
  <c r="D1470" i="1"/>
  <c r="D1260" i="1"/>
  <c r="D1839" i="1"/>
  <c r="D706" i="1"/>
  <c r="AN706" i="1" s="1"/>
  <c r="D1088" i="1"/>
  <c r="AN1088" i="1" s="1"/>
  <c r="D1856" i="1"/>
  <c r="D1060" i="1"/>
  <c r="AN1060" i="1" s="1"/>
  <c r="D943" i="1"/>
  <c r="AN943" i="1" s="1"/>
  <c r="D191" i="1"/>
  <c r="AN191" i="1" s="1"/>
  <c r="D1959" i="1"/>
  <c r="D1380" i="1"/>
  <c r="AN1380" i="1" s="1"/>
  <c r="D1867" i="1"/>
  <c r="D311" i="1"/>
  <c r="AN311" i="1" s="1"/>
  <c r="D1707" i="1"/>
  <c r="D825" i="1"/>
  <c r="D1888" i="1"/>
  <c r="D634" i="1"/>
  <c r="AN634" i="1" s="1"/>
  <c r="D505" i="1"/>
  <c r="AN505" i="1" s="1"/>
  <c r="D725" i="1"/>
  <c r="AN725" i="1" s="1"/>
  <c r="D1909" i="1"/>
  <c r="D80" i="1"/>
  <c r="AN80" i="1" s="1"/>
  <c r="D979" i="1"/>
  <c r="AN979" i="1" s="1"/>
  <c r="D1004" i="1"/>
  <c r="D1616" i="1"/>
  <c r="D841" i="1"/>
  <c r="AN841" i="1" s="1"/>
  <c r="D1593" i="1"/>
  <c r="D1678" i="1"/>
  <c r="D513" i="1"/>
  <c r="AN513" i="1" s="1"/>
  <c r="D597" i="1"/>
  <c r="AN597" i="1" s="1"/>
  <c r="D173" i="1"/>
  <c r="AN173" i="1" s="1"/>
  <c r="D478" i="1"/>
  <c r="AN478" i="1" s="1"/>
  <c r="D1718" i="1"/>
  <c r="AN1718" i="1" s="1"/>
  <c r="D1922" i="1"/>
  <c r="AN1922" i="1" s="1"/>
  <c r="D1754" i="1"/>
  <c r="AN1754" i="1" s="1"/>
  <c r="D1938" i="1"/>
  <c r="AN1938" i="1" s="1"/>
  <c r="D1923" i="1"/>
  <c r="D1800" i="1"/>
  <c r="D1283" i="1"/>
  <c r="D913" i="1"/>
  <c r="AN913" i="1" s="1"/>
  <c r="D1924" i="1"/>
  <c r="D1503" i="1"/>
  <c r="D1489" i="1"/>
  <c r="AN1489" i="1" s="1"/>
  <c r="D751" i="1"/>
  <c r="AN751" i="1" s="1"/>
  <c r="D1960" i="1"/>
  <c r="D652" i="1"/>
  <c r="AN652" i="1" s="1"/>
  <c r="D1217" i="1"/>
  <c r="D390" i="1"/>
  <c r="AN390" i="1" s="1"/>
  <c r="D1555" i="1"/>
  <c r="AN1555" i="1" s="1"/>
  <c r="D1825" i="1"/>
  <c r="D1719" i="1"/>
  <c r="D867" i="1"/>
  <c r="AN867" i="1" s="1"/>
  <c r="D154" i="1"/>
  <c r="AN154" i="1" s="1"/>
  <c r="D1598" i="1"/>
  <c r="AN1598" i="1" s="1"/>
  <c r="D231" i="1"/>
  <c r="D1833" i="1"/>
  <c r="D2000" i="1"/>
  <c r="D992" i="1"/>
  <c r="AN992" i="1" s="1"/>
  <c r="D900" i="1"/>
  <c r="AN900" i="1" s="1"/>
  <c r="D1971" i="1"/>
  <c r="D1790" i="1"/>
  <c r="D1576" i="1"/>
  <c r="AN1576" i="1" s="1"/>
  <c r="D759" i="1"/>
  <c r="AN759" i="1" s="1"/>
  <c r="D793" i="1"/>
  <c r="D982" i="1"/>
  <c r="AN982" i="1" s="1"/>
  <c r="D1774" i="1"/>
  <c r="AN1774" i="1" s="1"/>
  <c r="D1490" i="1"/>
  <c r="AN1490" i="1" s="1"/>
  <c r="D458" i="1"/>
  <c r="AN458" i="1" s="1"/>
  <c r="D1910" i="1"/>
  <c r="AN1910" i="1" s="1"/>
  <c r="D411" i="1"/>
  <c r="AN411" i="1" s="1"/>
  <c r="D329" i="1"/>
  <c r="AN329" i="1" s="1"/>
  <c r="D662" i="1"/>
  <c r="AN662" i="1" s="1"/>
  <c r="D1979" i="1"/>
  <c r="D2" i="1"/>
  <c r="AN2" i="1" s="1"/>
  <c r="C5" i="2"/>
  <c r="C4" i="2"/>
  <c r="B6" i="2"/>
  <c r="B5" i="2"/>
  <c r="B4" i="2"/>
  <c r="C3" i="2"/>
  <c r="B3" i="2"/>
  <c r="B2" i="2"/>
  <c r="AN811" i="1"/>
  <c r="AN141" i="1"/>
  <c r="AN523" i="1"/>
  <c r="AN836" i="1"/>
  <c r="AN356" i="1"/>
  <c r="AN1595" i="1"/>
  <c r="AN1459" i="1"/>
  <c r="AN868" i="1"/>
  <c r="AN891" i="1"/>
  <c r="AN712" i="1"/>
  <c r="AN20" i="1"/>
  <c r="AN21" i="1"/>
  <c r="AN24" i="1"/>
  <c r="AN1261" i="1"/>
  <c r="AN1533" i="1"/>
  <c r="AN448" i="1"/>
  <c r="AN612" i="1"/>
  <c r="AN1309" i="1"/>
  <c r="AN32" i="1"/>
  <c r="AN1376" i="1"/>
  <c r="AN764" i="1"/>
  <c r="AN301" i="1"/>
  <c r="AN533" i="1"/>
  <c r="AN1262" i="1"/>
  <c r="AN1491" i="1"/>
  <c r="AN944" i="1"/>
  <c r="AN1117" i="1"/>
  <c r="AN68" i="1"/>
  <c r="AN1524" i="1"/>
  <c r="AN1619" i="1"/>
  <c r="AN1052" i="1"/>
  <c r="AN341" i="1"/>
  <c r="AN408" i="1"/>
  <c r="AN1139" i="1"/>
  <c r="AN1171" i="1"/>
  <c r="AN412" i="1"/>
  <c r="AN731" i="1"/>
  <c r="AN472" i="1"/>
  <c r="AN1571" i="1"/>
  <c r="AN499" i="1"/>
  <c r="AN60" i="1"/>
  <c r="AN305" i="1"/>
  <c r="AN67" i="1"/>
  <c r="AN603" i="1"/>
  <c r="AN261" i="1"/>
  <c r="AN995" i="1"/>
  <c r="AN315" i="1"/>
  <c r="AN76" i="1"/>
  <c r="AN869" i="1"/>
  <c r="AN255" i="1"/>
  <c r="AN360" i="1"/>
  <c r="AN299" i="1"/>
  <c r="AN799" i="1"/>
  <c r="AN92" i="1"/>
  <c r="AN328" i="1"/>
  <c r="AN611" i="1"/>
  <c r="AN1227" i="1"/>
  <c r="AN468" i="1"/>
  <c r="AN581" i="1"/>
  <c r="AN1596" i="1"/>
  <c r="AN619" i="1"/>
  <c r="AN1207" i="1"/>
  <c r="AN508" i="1"/>
  <c r="AN120" i="1"/>
  <c r="AN285" i="1"/>
  <c r="AN279" i="1"/>
  <c r="AN133" i="1"/>
  <c r="AN1188" i="1"/>
  <c r="AN110" i="1"/>
  <c r="AN672" i="1"/>
  <c r="AN755" i="1"/>
  <c r="AN760" i="1"/>
  <c r="AN51" i="1"/>
  <c r="AN931" i="1"/>
  <c r="AN84" i="1"/>
  <c r="AN780" i="1"/>
  <c r="AN739" i="1"/>
  <c r="AN124" i="1"/>
  <c r="AN152" i="1"/>
  <c r="AN1235" i="1"/>
  <c r="AN1528" i="1"/>
  <c r="AN1144" i="1"/>
  <c r="AN1000" i="1"/>
  <c r="AN1460" i="1"/>
  <c r="AN183" i="1"/>
  <c r="AN445" i="1"/>
  <c r="AN190" i="1"/>
  <c r="AN1181" i="1"/>
  <c r="AN196" i="1"/>
  <c r="AN733" i="1"/>
  <c r="AN805" i="1"/>
  <c r="AN592" i="1"/>
  <c r="AN1275" i="1"/>
  <c r="AN696" i="1"/>
  <c r="AN735" i="1"/>
  <c r="AN717" i="1"/>
  <c r="AN221" i="1"/>
  <c r="AN557" i="1"/>
  <c r="AN471" i="1"/>
  <c r="AN253" i="1"/>
  <c r="AN748" i="1"/>
  <c r="AN96" i="1"/>
  <c r="AN1032" i="1"/>
  <c r="AN56" i="1"/>
  <c r="AN1336" i="1"/>
  <c r="AN1668" i="1"/>
  <c r="AN795" i="1"/>
  <c r="AN336" i="1"/>
  <c r="AN383" i="1"/>
  <c r="AN884" i="1"/>
  <c r="AN453" i="1"/>
  <c r="AN574" i="1"/>
  <c r="AN907" i="1"/>
  <c r="AN264" i="1"/>
  <c r="AN640" i="1"/>
  <c r="AN856" i="1"/>
  <c r="AN549" i="1"/>
  <c r="AN400" i="1"/>
  <c r="AN1379" i="1"/>
  <c r="AN8" i="1"/>
  <c r="AN1056" i="1"/>
  <c r="AN384" i="1"/>
  <c r="AN947" i="1"/>
  <c r="AN1500" i="1" l="1"/>
  <c r="AN1461" i="1"/>
  <c r="AN1148" i="1"/>
  <c r="AN1878" i="1"/>
  <c r="AN1966" i="1"/>
  <c r="AN1706" i="1"/>
  <c r="AN1636" i="1"/>
  <c r="AN1250" i="1"/>
  <c r="AN1341" i="1"/>
  <c r="AN1442" i="1"/>
  <c r="AN1219" i="1"/>
  <c r="AN1156" i="1"/>
  <c r="AN1146" i="1"/>
  <c r="AN1497" i="1"/>
  <c r="AN1180" i="1"/>
  <c r="AN679" i="1"/>
  <c r="AN1363" i="1"/>
  <c r="AN1586" i="1"/>
  <c r="AN1387" i="1"/>
  <c r="AN1195" i="1"/>
  <c r="AN963" i="1"/>
  <c r="AN1556" i="1"/>
  <c r="AN1178" i="1"/>
  <c r="AN1076" i="1"/>
  <c r="AN1673" i="1"/>
  <c r="AN1017" i="1"/>
  <c r="AN905" i="1"/>
  <c r="AN1346" i="1"/>
  <c r="AN1378" i="1"/>
  <c r="AN1659" i="1"/>
  <c r="AN1271" i="1"/>
  <c r="AN1248" i="1"/>
  <c r="AN1218" i="1"/>
  <c r="AN825" i="1"/>
  <c r="AN1578" i="1"/>
  <c r="AN1335" i="1"/>
  <c r="AN1135" i="1"/>
  <c r="AN1344" i="1"/>
  <c r="AN1471" i="1"/>
  <c r="AN1626" i="1"/>
  <c r="AN1530" i="1"/>
  <c r="AN1338" i="1"/>
  <c r="AN1688" i="1"/>
  <c r="AN1111" i="1"/>
  <c r="AN1226" i="1"/>
  <c r="AN1351" i="1"/>
  <c r="AN1998" i="1"/>
  <c r="AN1710" i="1"/>
  <c r="AN1534" i="1"/>
  <c r="AN1550" i="1"/>
  <c r="AN1222" i="1"/>
  <c r="AN1894" i="1"/>
  <c r="AN1606" i="1"/>
  <c r="AN1930" i="1"/>
  <c r="AN1465" i="1"/>
  <c r="AN1542" i="1"/>
  <c r="AN1898" i="1"/>
  <c r="AN1499" i="1"/>
  <c r="AN1577" i="1"/>
  <c r="AN1818" i="1"/>
  <c r="AN1133" i="1"/>
  <c r="AN1462" i="1"/>
  <c r="AN1398" i="1"/>
  <c r="AN1310" i="1"/>
  <c r="AN1234" i="1"/>
  <c r="AN1395" i="1"/>
  <c r="AN1206" i="1"/>
  <c r="AN1570" i="1"/>
  <c r="AN988" i="1"/>
  <c r="AN1705" i="1"/>
  <c r="AN819" i="1"/>
  <c r="AN307" i="1"/>
  <c r="AN291" i="1"/>
  <c r="AN251" i="1"/>
  <c r="AN235" i="1"/>
  <c r="AN203" i="1"/>
  <c r="AN147" i="1"/>
  <c r="AN123" i="1"/>
  <c r="AN107" i="1"/>
  <c r="AN99" i="1"/>
  <c r="AN75" i="1"/>
  <c r="AN59" i="1"/>
  <c r="AN35" i="1"/>
  <c r="AN27" i="1"/>
  <c r="AN11" i="1"/>
  <c r="AN1954" i="1"/>
  <c r="AN1454" i="1"/>
  <c r="AN1290" i="1"/>
  <c r="AN1121" i="1"/>
  <c r="AN1590" i="1"/>
  <c r="AN1441" i="1"/>
  <c r="AN727" i="1"/>
  <c r="AN1622" i="1"/>
  <c r="AN664" i="1"/>
  <c r="AN924" i="1"/>
  <c r="AN695" i="1"/>
  <c r="AN1698" i="1"/>
  <c r="AN1536" i="1"/>
  <c r="AN814" i="1"/>
  <c r="AN514" i="1"/>
  <c r="AN656" i="1"/>
  <c r="AN1364" i="1"/>
  <c r="AN1632" i="1"/>
  <c r="AN283" i="1"/>
  <c r="AN1680" i="1"/>
  <c r="AN1642" i="1"/>
  <c r="AN703" i="1"/>
  <c r="AN903" i="1"/>
  <c r="AN1357" i="1"/>
  <c r="AN1432" i="1"/>
  <c r="AN860" i="1"/>
  <c r="AN395" i="1"/>
  <c r="AN371" i="1"/>
  <c r="AN339" i="1"/>
  <c r="AN1334" i="1"/>
  <c r="AN711" i="1"/>
  <c r="AN790" i="1"/>
  <c r="AN798" i="1"/>
  <c r="AN596" i="1"/>
  <c r="AN2010" i="1"/>
  <c r="AN1607" i="1"/>
  <c r="AN609" i="1"/>
  <c r="AN1361" i="1"/>
  <c r="AN1377" i="1"/>
  <c r="AN687" i="1"/>
  <c r="AN1742" i="1"/>
  <c r="AN788" i="1"/>
  <c r="AN1605" i="1"/>
  <c r="AN1474" i="1"/>
  <c r="AN506" i="1"/>
  <c r="AN1541" i="1"/>
  <c r="AN1600" i="1"/>
  <c r="AN1034" i="1"/>
  <c r="AN932" i="1"/>
  <c r="AN1709" i="1"/>
  <c r="AN1075" i="1"/>
  <c r="AN1067" i="1"/>
  <c r="AN1051" i="1"/>
  <c r="AN1035" i="1"/>
  <c r="AN1005" i="1"/>
  <c r="AN965" i="1"/>
  <c r="AN941" i="1"/>
  <c r="AN620" i="1"/>
  <c r="AN1464" i="1"/>
  <c r="AN163" i="1"/>
  <c r="AN83" i="1"/>
  <c r="AN3" i="1"/>
  <c r="AN1004" i="1"/>
  <c r="AN522" i="1"/>
  <c r="AN530" i="1"/>
  <c r="AN435" i="1"/>
  <c r="AN806" i="1"/>
  <c r="AN844" i="1"/>
  <c r="AN570" i="1"/>
  <c r="AN593" i="1"/>
  <c r="AN1350" i="1"/>
  <c r="AN1463" i="1"/>
  <c r="AN1366" i="1"/>
  <c r="AN419" i="1"/>
  <c r="AN828" i="1"/>
  <c r="AN482" i="1"/>
  <c r="AN498" i="1"/>
  <c r="AN347" i="1"/>
  <c r="AN1182" i="1"/>
  <c r="AN331" i="1"/>
  <c r="AN1342" i="1"/>
  <c r="AN1408" i="1"/>
  <c r="AN767" i="1"/>
  <c r="AN1112" i="1"/>
  <c r="AN583" i="1"/>
  <c r="AN560" i="1"/>
  <c r="AN536" i="1"/>
  <c r="AN504" i="1"/>
  <c r="AN1027" i="1"/>
  <c r="AN475" i="1"/>
  <c r="AN1472" i="1"/>
  <c r="AN732" i="1"/>
  <c r="AN669" i="1"/>
  <c r="AN621" i="1"/>
  <c r="AN243" i="1"/>
  <c r="AN512" i="1"/>
  <c r="AN1670" i="1"/>
  <c r="AN1391" i="1"/>
  <c r="AN298" i="1"/>
  <c r="AN1099" i="1"/>
  <c r="AN1345" i="1"/>
  <c r="AN465" i="1"/>
  <c r="AN1662" i="1"/>
  <c r="AN838" i="1"/>
  <c r="AN575" i="1"/>
  <c r="AN292" i="1"/>
  <c r="AN1544" i="1"/>
  <c r="AN397" i="1"/>
  <c r="AN862" i="1"/>
  <c r="AN1305" i="1"/>
  <c r="AN1091" i="1"/>
  <c r="AN629" i="1"/>
  <c r="AN949" i="1"/>
  <c r="AN1083" i="1"/>
  <c r="AN43" i="1"/>
  <c r="AN821" i="1"/>
  <c r="AN1834" i="1"/>
  <c r="AN1758" i="1"/>
  <c r="AN1470" i="1"/>
  <c r="AN1694" i="1"/>
  <c r="AN854" i="1"/>
  <c r="AN1241" i="1"/>
  <c r="AN1842" i="1"/>
  <c r="AN1686" i="1"/>
  <c r="AN1130" i="1"/>
  <c r="AN793" i="1"/>
  <c r="AN1509" i="1"/>
  <c r="AN314" i="1"/>
  <c r="AN989" i="1"/>
  <c r="AN345" i="1"/>
  <c r="AN700" i="1"/>
  <c r="AN1321" i="1"/>
  <c r="AN187" i="1"/>
  <c r="AN552" i="1"/>
  <c r="AN886" i="1"/>
  <c r="AN1399" i="1"/>
  <c r="AN692" i="1"/>
  <c r="AN614" i="1"/>
  <c r="AN935" i="1"/>
  <c r="AN653" i="1"/>
  <c r="AN918" i="1"/>
  <c r="AN1012" i="1"/>
  <c r="AN1850" i="1"/>
  <c r="AN1209" i="1"/>
  <c r="AN267" i="1"/>
  <c r="AN1634" i="1"/>
  <c r="AN1185" i="1"/>
  <c r="AN139" i="1"/>
  <c r="AN393" i="1"/>
  <c r="AN425" i="1"/>
  <c r="AN1098" i="1"/>
  <c r="AN1289" i="1"/>
  <c r="AN377" i="1"/>
  <c r="AN155" i="1"/>
  <c r="AN1347" i="1"/>
  <c r="AN967" i="1"/>
  <c r="AN1870" i="1"/>
  <c r="AN1866" i="1"/>
  <c r="AN708" i="1"/>
  <c r="AN1257" i="1"/>
  <c r="AN894" i="1"/>
  <c r="AN1217" i="1"/>
  <c r="AN1423" i="1"/>
  <c r="AN754" i="1"/>
  <c r="AN1934" i="1"/>
  <c r="AN902" i="1"/>
  <c r="AN997" i="1"/>
  <c r="AN716" i="1"/>
  <c r="AN1353" i="1"/>
  <c r="AN1431" i="1"/>
  <c r="AN762" i="1"/>
  <c r="AN1830" i="1"/>
  <c r="AN809" i="1"/>
  <c r="AN1161" i="1"/>
  <c r="AN878" i="1"/>
  <c r="AN1501" i="1"/>
  <c r="AN786" i="1"/>
  <c r="AN306" i="1"/>
  <c r="AN496" i="1"/>
  <c r="AN259" i="1"/>
  <c r="AN1646" i="1"/>
  <c r="AN1520" i="1"/>
  <c r="AN1296" i="1"/>
  <c r="AN1794" i="1"/>
  <c r="AN1329" i="1"/>
  <c r="AN910" i="1"/>
  <c r="AN544" i="1"/>
  <c r="AN817" i="1"/>
  <c r="AN1023" i="1"/>
  <c r="AN1617" i="1"/>
  <c r="AN871" i="1"/>
  <c r="AN1592" i="1"/>
  <c r="AN973" i="1"/>
  <c r="AN823" i="1"/>
  <c r="AN369" i="1"/>
  <c r="AN598" i="1"/>
  <c r="AN1193" i="1"/>
  <c r="AN853" i="1"/>
  <c r="AN747" i="1"/>
  <c r="AN568" i="1"/>
  <c r="AN1564" i="1"/>
  <c r="AN1455" i="1"/>
  <c r="AN1479" i="1"/>
  <c r="AN770" i="1"/>
  <c r="AN322" i="1"/>
  <c r="AN1678" i="1"/>
  <c r="AN528" i="1"/>
  <c r="AN1368" i="1"/>
  <c r="AN1137" i="1"/>
  <c r="AN661" i="1"/>
  <c r="AN1858" i="1"/>
  <c r="AN1650" i="1"/>
  <c r="AN433" i="1"/>
  <c r="AN846" i="1"/>
  <c r="AN330" i="1"/>
  <c r="AN131" i="1"/>
  <c r="AN1505" i="1"/>
  <c r="AN227" i="1"/>
  <c r="AN361" i="1"/>
  <c r="AN473" i="1"/>
  <c r="AN211" i="1"/>
  <c r="AN1249" i="1"/>
  <c r="AN957" i="1"/>
  <c r="AN1527" i="1"/>
  <c r="AN480" i="1"/>
  <c r="AN645" i="1"/>
  <c r="AN1140" i="1"/>
  <c r="AN677" i="1"/>
  <c r="AN945" i="1"/>
  <c r="AN1418" i="1"/>
  <c r="AN1639" i="1"/>
  <c r="AN934" i="1"/>
  <c r="AN971" i="1"/>
  <c r="AN1702" i="1"/>
  <c r="AN115" i="1"/>
  <c r="AN724" i="1"/>
  <c r="AN409" i="1"/>
  <c r="AN1225" i="1"/>
  <c r="AN981" i="1"/>
  <c r="AN801" i="1"/>
  <c r="AN606" i="1"/>
  <c r="AN1690" i="1"/>
  <c r="AN591" i="1"/>
  <c r="AN1043" i="1"/>
  <c r="AN740" i="1"/>
  <c r="AN1273" i="1"/>
  <c r="AN1337" i="1"/>
  <c r="AN353" i="1"/>
  <c r="AN1114" i="1"/>
  <c r="AN337" i="1"/>
  <c r="AN1552" i="1"/>
  <c r="AN275" i="1"/>
  <c r="AN1419" i="1"/>
  <c r="AN1513" i="1"/>
  <c r="AN385" i="1"/>
  <c r="AN1746" i="1"/>
  <c r="AN1145" i="1"/>
  <c r="AN890" i="1"/>
  <c r="AN2006" i="1"/>
  <c r="AN830" i="1"/>
  <c r="AN883" i="1"/>
  <c r="AN580" i="1"/>
  <c r="AN1543" i="1"/>
  <c r="AN1447" i="1"/>
  <c r="AN1593" i="1"/>
  <c r="AN1340" i="1"/>
  <c r="AN1212" i="1"/>
  <c r="AN743" i="1"/>
  <c r="AN776" i="1"/>
  <c r="AN637" i="1"/>
  <c r="AN1055" i="1"/>
  <c r="AN501" i="1"/>
  <c r="AN912" i="1"/>
  <c r="AN859" i="1"/>
  <c r="AN543" i="1"/>
  <c r="AN231" i="1"/>
  <c r="AN254" i="1"/>
  <c r="AN1482" i="1"/>
  <c r="AN1616" i="1"/>
  <c r="AN1657" i="1"/>
  <c r="AN1946" i="1"/>
  <c r="AN1630" i="1"/>
  <c r="AN1854" i="1"/>
  <c r="AN1311" i="1"/>
  <c r="AN701" i="1"/>
  <c r="AN486" i="1"/>
  <c r="AN1456" i="1"/>
  <c r="AN1603" i="1"/>
  <c r="AN1230" i="1"/>
  <c r="AN1559" i="1"/>
  <c r="AN1177" i="1"/>
  <c r="AN1416" i="1"/>
  <c r="AN1381" i="1"/>
  <c r="AN607" i="1"/>
  <c r="AN148" i="1"/>
  <c r="AN1627" i="1"/>
  <c r="AN1726" i="1"/>
  <c r="AN551" i="1"/>
  <c r="AN939" i="1"/>
  <c r="AN829" i="1"/>
  <c r="AN1084" i="1"/>
  <c r="AN1790" i="1"/>
  <c r="AN1369" i="1"/>
  <c r="AN827" i="1"/>
  <c r="AN558" i="1"/>
  <c r="AN343" i="1"/>
  <c r="AN1645" i="1"/>
  <c r="AN1031" i="1"/>
  <c r="AN1191" i="1"/>
  <c r="AN1122" i="1"/>
  <c r="AN1712" i="1"/>
  <c r="AN1183" i="1"/>
  <c r="AN773" i="1"/>
  <c r="AN252" i="1"/>
  <c r="AN1113" i="1"/>
  <c r="AN1189" i="1"/>
  <c r="AN1488" i="1"/>
  <c r="AN1243" i="1"/>
  <c r="AN550" i="1"/>
  <c r="AN414" i="1"/>
  <c r="AN1537" i="1"/>
  <c r="AN373" i="1"/>
  <c r="AN1770" i="1"/>
  <c r="AN1664" i="1"/>
  <c r="AN951" i="1"/>
  <c r="AN2002" i="1"/>
  <c r="AN1047" i="1"/>
  <c r="AN1826" i="1"/>
  <c r="AN1962" i="1"/>
  <c r="AN1302" i="1"/>
  <c r="AN1584" i="1"/>
  <c r="AN1007" i="1"/>
  <c r="AN446" i="1"/>
  <c r="AN986" i="1"/>
  <c r="AN1006" i="1"/>
  <c r="AN1970" i="1"/>
  <c r="AN1882" i="1"/>
  <c r="AN34" i="1"/>
  <c r="AN1317" i="1"/>
  <c r="AN246" i="1"/>
  <c r="AN490" i="1"/>
  <c r="AN1231" i="1"/>
  <c r="AN415" i="1"/>
  <c r="AN1778" i="1"/>
  <c r="AN1558" i="1"/>
  <c r="AN1601" i="1"/>
  <c r="AN1383" i="1"/>
  <c r="AN1280" i="1"/>
  <c r="AN1175" i="1"/>
  <c r="AN1323" i="1"/>
  <c r="AN775" i="1"/>
  <c r="AN1986" i="1"/>
  <c r="AN1994" i="1"/>
  <c r="AN1846" i="1"/>
  <c r="AN1950" i="1"/>
  <c r="AN1623" i="1"/>
  <c r="AN150" i="1"/>
  <c r="AN1982" i="1"/>
  <c r="AN1711" i="1"/>
  <c r="AN1058" i="1"/>
  <c r="AN1526" i="1"/>
  <c r="AN531" i="1"/>
  <c r="AN1942" i="1"/>
  <c r="AN1722" i="1"/>
  <c r="AN1176" i="1"/>
  <c r="AN1417" i="1"/>
  <c r="AN1886" i="1"/>
  <c r="AN1360" i="1"/>
  <c r="AN1169" i="1"/>
  <c r="AN1467" i="1"/>
  <c r="AN437" i="1"/>
  <c r="AN402" i="1"/>
  <c r="AN1428" i="1"/>
  <c r="AN1095" i="1"/>
  <c r="AN1318" i="1"/>
  <c r="AN417" i="1"/>
  <c r="AN1641" i="1"/>
  <c r="AN1585" i="1"/>
  <c r="AN633" i="1"/>
  <c r="AN1129" i="1"/>
  <c r="AN1618" i="1"/>
  <c r="AN1890" i="1"/>
  <c r="AN1902" i="1"/>
  <c r="AN1838" i="1"/>
  <c r="AN449" i="1"/>
  <c r="AN179" i="1"/>
  <c r="AN495" i="1"/>
  <c r="AN1802" i="1"/>
  <c r="AN90" i="1"/>
  <c r="AN807" i="1"/>
  <c r="AN1658" i="1"/>
  <c r="AN1382" i="1"/>
  <c r="AN1525" i="1"/>
  <c r="AN1679" i="1"/>
  <c r="AN1199" i="1"/>
  <c r="AN627" i="1"/>
  <c r="AN1510" i="1"/>
  <c r="AN1594" i="1"/>
  <c r="AN715" i="1"/>
  <c r="AN803" i="1"/>
  <c r="AN266" i="1"/>
  <c r="AN892" i="1"/>
  <c r="AN1008" i="1"/>
  <c r="AN1620" i="1"/>
  <c r="AN870" i="1"/>
  <c r="AN370" i="1"/>
  <c r="AN1362" i="1"/>
  <c r="AN66" i="1"/>
  <c r="AN1090" i="1"/>
  <c r="AN858" i="1"/>
  <c r="AN1186" i="1"/>
  <c r="AN1874" i="1"/>
  <c r="AN1549" i="1"/>
  <c r="AN579" i="1"/>
  <c r="AN1511" i="1"/>
  <c r="AN636" i="1"/>
  <c r="AN1287" i="1"/>
  <c r="AN1836" i="1"/>
  <c r="AN1793" i="1"/>
  <c r="AN1779" i="1"/>
  <c r="AN2014" i="1"/>
  <c r="AN202" i="1"/>
  <c r="AN1782" i="1"/>
  <c r="AN1425" i="1"/>
  <c r="AN1410" i="1"/>
  <c r="AN1138" i="1"/>
  <c r="AN365" i="1"/>
  <c r="AN1054" i="1"/>
  <c r="AN1281" i="1"/>
  <c r="AN1914" i="1"/>
  <c r="AN1990" i="1"/>
  <c r="AN186" i="1"/>
  <c r="AN1602" i="1"/>
  <c r="AN1295" i="1"/>
  <c r="AN1682" i="1"/>
  <c r="AN1551" i="1"/>
  <c r="AN1254" i="1"/>
  <c r="AN1159" i="1"/>
  <c r="AN1473" i="1"/>
  <c r="AN1415" i="1"/>
  <c r="AN1267" i="1"/>
  <c r="AN534" i="1"/>
  <c r="AN1466" i="1"/>
  <c r="AN1194" i="1"/>
  <c r="AN1205" i="1"/>
  <c r="AN1666" i="1"/>
  <c r="AN1002" i="1"/>
  <c r="AN1197" i="1"/>
  <c r="AN1738" i="1"/>
  <c r="AN1862" i="1"/>
  <c r="AN1517" i="1"/>
  <c r="AN282" i="1"/>
  <c r="AN1638" i="1"/>
  <c r="AN1800" i="1"/>
  <c r="AN1772" i="1"/>
  <c r="AN1814" i="1"/>
  <c r="AN1979" i="1"/>
  <c r="AN1972" i="1"/>
  <c r="AN1951" i="1"/>
  <c r="AN1945" i="1"/>
  <c r="AN1909" i="1"/>
  <c r="AN1895" i="1"/>
  <c r="AN1992" i="1"/>
  <c r="AN1985" i="1"/>
  <c r="AN1971" i="1"/>
  <c r="AN1965" i="1"/>
  <c r="AN1759" i="1"/>
  <c r="AN1752" i="1"/>
  <c r="AN1787" i="1"/>
  <c r="AN1780" i="1"/>
  <c r="AN1773" i="1"/>
  <c r="AN1715" i="1"/>
  <c r="AN1877" i="1"/>
  <c r="AN1863" i="1"/>
  <c r="AN1856" i="1"/>
  <c r="AN1849" i="1"/>
  <c r="AN1813" i="1"/>
  <c r="AN1799" i="1"/>
  <c r="AN1792" i="1"/>
  <c r="AN2022" i="1"/>
  <c r="AN1883" i="1"/>
  <c r="AN1876" i="1"/>
  <c r="AN1855" i="1"/>
  <c r="AN1812" i="1"/>
  <c r="AN1791" i="1"/>
  <c r="AN1785" i="1"/>
  <c r="AN1960" i="1"/>
  <c r="AN1953" i="1"/>
  <c r="AN1939" i="1"/>
  <c r="AN1933" i="1"/>
  <c r="AN1889" i="1"/>
  <c r="AN1875" i="1"/>
  <c r="AN1869" i="1"/>
  <c r="AN1819" i="1"/>
  <c r="AN2015" i="1"/>
  <c r="AN2009" i="1"/>
  <c r="AN1973" i="1"/>
  <c r="AN1959" i="1"/>
  <c r="AN1952" i="1"/>
  <c r="AN1932" i="1"/>
  <c r="AN1896" i="1"/>
  <c r="AN1888" i="1"/>
  <c r="AN1868" i="1"/>
  <c r="AN2016" i="1"/>
  <c r="AN1996" i="1"/>
  <c r="AN1947" i="1"/>
  <c r="AN1940" i="1"/>
  <c r="AN1919" i="1"/>
  <c r="AN1913" i="1"/>
  <c r="AN1864" i="1"/>
  <c r="AN1857" i="1"/>
  <c r="AN1843" i="1"/>
  <c r="AN1837" i="1"/>
  <c r="AN1781" i="1"/>
  <c r="AN1767" i="1"/>
  <c r="AN1760" i="1"/>
  <c r="AN1753" i="1"/>
  <c r="AN1739" i="1"/>
  <c r="AN1733" i="1"/>
  <c r="AN1647" i="1"/>
  <c r="AN1572" i="1"/>
  <c r="AN1667" i="1"/>
  <c r="AN1660" i="1"/>
  <c r="AN1653" i="1"/>
  <c r="AN1672" i="1"/>
  <c r="AN1665" i="1"/>
  <c r="AN1652" i="1"/>
  <c r="AN1484" i="1"/>
  <c r="AN1452" i="1"/>
  <c r="AN2005" i="1"/>
  <c r="AN1991" i="1"/>
  <c r="AN1984" i="1"/>
  <c r="AN1964" i="1"/>
  <c r="AN1915" i="1"/>
  <c r="AN1908" i="1"/>
  <c r="AN1887" i="1"/>
  <c r="AN1881" i="1"/>
  <c r="AN1832" i="1"/>
  <c r="AN1825" i="1"/>
  <c r="AN1811" i="1"/>
  <c r="AN1805" i="1"/>
  <c r="AN1728" i="1"/>
  <c r="AN1721" i="1"/>
  <c r="AN1685" i="1"/>
  <c r="AN1567" i="1"/>
  <c r="AN1503" i="1"/>
  <c r="AN2011" i="1"/>
  <c r="AN2004" i="1"/>
  <c r="AN1983" i="1"/>
  <c r="AN1977" i="1"/>
  <c r="AN1928" i="1"/>
  <c r="AN1921" i="1"/>
  <c r="AN1907" i="1"/>
  <c r="AN1901" i="1"/>
  <c r="AN1845" i="1"/>
  <c r="AN1831" i="1"/>
  <c r="AN1824" i="1"/>
  <c r="AN1804" i="1"/>
  <c r="AN1755" i="1"/>
  <c r="AN1747" i="1"/>
  <c r="AN1741" i="1"/>
  <c r="AN1727" i="1"/>
  <c r="AN1720" i="1"/>
  <c r="AN1713" i="1"/>
  <c r="AN1708" i="1"/>
  <c r="AN1684" i="1"/>
  <c r="AN2017" i="1"/>
  <c r="AN2003" i="1"/>
  <c r="AN1997" i="1"/>
  <c r="AN1941" i="1"/>
  <c r="AN1927" i="1"/>
  <c r="AN1920" i="1"/>
  <c r="AN1900" i="1"/>
  <c r="AN1851" i="1"/>
  <c r="AN1844" i="1"/>
  <c r="AN1823" i="1"/>
  <c r="AN1817" i="1"/>
  <c r="AN1768" i="1"/>
  <c r="AN1740" i="1"/>
  <c r="AN1719" i="1"/>
  <c r="AN1707" i="1"/>
  <c r="AN1701" i="1"/>
  <c r="AN1683" i="1"/>
  <c r="AN1580" i="1"/>
  <c r="AN1508" i="1"/>
  <c r="AN2012" i="1"/>
  <c r="AN1999" i="1"/>
  <c r="AN1993" i="1"/>
  <c r="AN1980" i="1"/>
  <c r="AN1967" i="1"/>
  <c r="AN1961" i="1"/>
  <c r="AN1948" i="1"/>
  <c r="AN1935" i="1"/>
  <c r="AN1929" i="1"/>
  <c r="AN1916" i="1"/>
  <c r="AN1903" i="1"/>
  <c r="AN1897" i="1"/>
  <c r="AN1884" i="1"/>
  <c r="AN1871" i="1"/>
  <c r="AN1865" i="1"/>
  <c r="AN1852" i="1"/>
  <c r="AN1839" i="1"/>
  <c r="AN1833" i="1"/>
  <c r="AN1820" i="1"/>
  <c r="AN1807" i="1"/>
  <c r="AN1801" i="1"/>
  <c r="AN1788" i="1"/>
  <c r="AN1775" i="1"/>
  <c r="AN1769" i="1"/>
  <c r="AN1756" i="1"/>
  <c r="AN1749" i="1"/>
  <c r="AN1736" i="1"/>
  <c r="AN1723" i="1"/>
  <c r="AN1661" i="1"/>
  <c r="AN1624" i="1"/>
  <c r="AN1485" i="1"/>
  <c r="AN1453" i="1"/>
  <c r="AN1352" i="1"/>
  <c r="AN1164" i="1"/>
  <c r="AN1403" i="1"/>
  <c r="AN2021" i="1"/>
  <c r="AN2008" i="1"/>
  <c r="AN1995" i="1"/>
  <c r="AN1989" i="1"/>
  <c r="AN1976" i="1"/>
  <c r="AN1963" i="1"/>
  <c r="AN1957" i="1"/>
  <c r="AN1944" i="1"/>
  <c r="AN1931" i="1"/>
  <c r="AN1925" i="1"/>
  <c r="AN1912" i="1"/>
  <c r="AN1899" i="1"/>
  <c r="AN1893" i="1"/>
  <c r="AN1880" i="1"/>
  <c r="AN1867" i="1"/>
  <c r="AN1861" i="1"/>
  <c r="AN1848" i="1"/>
  <c r="AN1835" i="1"/>
  <c r="AN1829" i="1"/>
  <c r="AN1816" i="1"/>
  <c r="AN1803" i="1"/>
  <c r="AN1797" i="1"/>
  <c r="AN1784" i="1"/>
  <c r="AN1771" i="1"/>
  <c r="AN1765" i="1"/>
  <c r="AN1751" i="1"/>
  <c r="AN1745" i="1"/>
  <c r="AN1732" i="1"/>
  <c r="AN1695" i="1"/>
  <c r="AN1608" i="1"/>
  <c r="AN1557" i="1"/>
  <c r="AN1507" i="1"/>
  <c r="AN1220" i="1"/>
  <c r="AN2020" i="1"/>
  <c r="AN2007" i="1"/>
  <c r="AN2001" i="1"/>
  <c r="AN1988" i="1"/>
  <c r="AN1975" i="1"/>
  <c r="AN1969" i="1"/>
  <c r="AN1956" i="1"/>
  <c r="AN1943" i="1"/>
  <c r="AN1937" i="1"/>
  <c r="AN1924" i="1"/>
  <c r="AN1911" i="1"/>
  <c r="AN1905" i="1"/>
  <c r="AN1892" i="1"/>
  <c r="AN1879" i="1"/>
  <c r="AN1873" i="1"/>
  <c r="AN1860" i="1"/>
  <c r="AN1847" i="1"/>
  <c r="AN1841" i="1"/>
  <c r="AN1828" i="1"/>
  <c r="AN1815" i="1"/>
  <c r="AN1809" i="1"/>
  <c r="AN1796" i="1"/>
  <c r="AN1783" i="1"/>
  <c r="AN1777" i="1"/>
  <c r="AN1764" i="1"/>
  <c r="AN1744" i="1"/>
  <c r="AN1731" i="1"/>
  <c r="AN1725" i="1"/>
  <c r="AN1531" i="1"/>
  <c r="AN2019" i="1"/>
  <c r="AN2013" i="1"/>
  <c r="AN2000" i="1"/>
  <c r="AN1987" i="1"/>
  <c r="AN1981" i="1"/>
  <c r="AN1968" i="1"/>
  <c r="AN1955" i="1"/>
  <c r="AN1949" i="1"/>
  <c r="AN1936" i="1"/>
  <c r="AN1923" i="1"/>
  <c r="AN1917" i="1"/>
  <c r="AN1904" i="1"/>
  <c r="AN1891" i="1"/>
  <c r="AN1885" i="1"/>
  <c r="AN1872" i="1"/>
  <c r="AN1859" i="1"/>
  <c r="AN1853" i="1"/>
  <c r="AN1840" i="1"/>
  <c r="AN1827" i="1"/>
  <c r="AN1821" i="1"/>
  <c r="AN1808" i="1"/>
  <c r="AN1795" i="1"/>
  <c r="AN1789" i="1"/>
  <c r="AN1776" i="1"/>
  <c r="AN1763" i="1"/>
  <c r="AN1757" i="1"/>
  <c r="AN1743" i="1"/>
  <c r="AN1737" i="1"/>
  <c r="AN1724" i="1"/>
  <c r="AN1717" i="1"/>
  <c r="AN1656" i="1"/>
  <c r="AN1649" i="1"/>
  <c r="AN1643" i="1"/>
  <c r="AN1631" i="1"/>
  <c r="AN1439" i="1"/>
  <c r="AN1325" i="1"/>
  <c r="AN1699" i="1"/>
  <c r="AN1693" i="1"/>
  <c r="AN1681" i="1"/>
  <c r="AN1676" i="1"/>
  <c r="AN1651" i="1"/>
  <c r="AN1633" i="1"/>
  <c r="AN1621" i="1"/>
  <c r="AN1599" i="1"/>
  <c r="AN1535" i="1"/>
  <c r="AN1407" i="1"/>
  <c r="AN1315" i="1"/>
  <c r="AN1252" i="1"/>
  <c r="AN1233" i="1"/>
  <c r="AN1228" i="1"/>
  <c r="AN1761" i="1"/>
  <c r="AN1748" i="1"/>
  <c r="AN1735" i="1"/>
  <c r="AN1729" i="1"/>
  <c r="AN1716" i="1"/>
  <c r="AN1704" i="1"/>
  <c r="AN1692" i="1"/>
  <c r="AN1675" i="1"/>
  <c r="AN1669" i="1"/>
  <c r="AN1663" i="1"/>
  <c r="AN1644" i="1"/>
  <c r="AN1604" i="1"/>
  <c r="AN1540" i="1"/>
  <c r="AN1448" i="1"/>
  <c r="AN1412" i="1"/>
  <c r="AN1393" i="1"/>
  <c r="AN1297" i="1"/>
  <c r="AN1192" i="1"/>
  <c r="AN1365" i="1"/>
  <c r="AN1279" i="1"/>
  <c r="AN1256" i="1"/>
  <c r="AN1215" i="1"/>
  <c r="AN1165" i="1"/>
  <c r="AN1141" i="1"/>
  <c r="AN1324" i="1"/>
  <c r="AN1301" i="1"/>
  <c r="AN1284" i="1"/>
  <c r="AN1237" i="1"/>
  <c r="AN1283" i="1"/>
  <c r="AN1201" i="1"/>
  <c r="AN1196" i="1"/>
  <c r="AN1179" i="1"/>
  <c r="AN1640" i="1"/>
  <c r="AN1635" i="1"/>
  <c r="AN1628" i="1"/>
  <c r="AN1589" i="1"/>
  <c r="AN1475" i="1"/>
  <c r="AN1457" i="1"/>
  <c r="AN1444" i="1"/>
  <c r="AN1421" i="1"/>
  <c r="AN1265" i="1"/>
  <c r="AN1260" i="1"/>
  <c r="AN1548" i="1"/>
  <c r="AN1512" i="1"/>
  <c r="AN1493" i="1"/>
  <c r="AN1480" i="1"/>
  <c r="AN1443" i="1"/>
  <c r="AN1420" i="1"/>
  <c r="AN1356" i="1"/>
  <c r="AN1339" i="1"/>
  <c r="AN1333" i="1"/>
  <c r="AN1316" i="1"/>
  <c r="AN1293" i="1"/>
  <c r="AN1247" i="1"/>
  <c r="AN1211" i="1"/>
  <c r="AN1160" i="1"/>
  <c r="AN1155" i="1"/>
  <c r="AN426" i="1"/>
  <c r="AN930" i="1"/>
  <c r="AN1089" i="1"/>
  <c r="AN156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<sst xmlns="http://schemas.openxmlformats.org/spreadsheetml/2006/main" count="60" uniqueCount="56">
  <si>
    <t>CustomerID</t>
  </si>
  <si>
    <t>Income</t>
  </si>
  <si>
    <t>MntTotal</t>
  </si>
  <si>
    <t>PCT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</si>
  <si>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</si>
  <si>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</si>
  <si>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</si>
  <si>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</si>
  <si>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</si>
  <si>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</si>
  <si>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</si>
  <si>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</si>
  <si>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</si>
  <si>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</si>
  <si>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</si>
  <si>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</si>
  <si>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</si>
  <si>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</si>
  <si>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</si>
  <si>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</si>
  <si>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</si>
  <si>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</si>
  <si>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</si>
  <si>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Complain</t>
  </si>
  <si>
    <t>AcceptedCmp6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</si>
  <si>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</si>
  <si>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</si>
  <si>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</si>
  <si>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</si>
  <si>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</si>
  <si>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</si>
  <si>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</si>
  <si>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</si>
  <si>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</si>
  <si>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</si>
  <si>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</si>
  <si>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</si>
  <si>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</si>
  <si>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Everyone</t>
  </si>
  <si>
    <t>Camp 6</t>
  </si>
  <si>
    <t>Oldest Customer</t>
  </si>
  <si>
    <t>Average Spent</t>
  </si>
  <si>
    <t>Total Spent</t>
  </si>
  <si>
    <t>Shortest Life Customer</t>
  </si>
  <si>
    <t>Age Group</t>
  </si>
  <si>
    <t>Grand Total</t>
  </si>
  <si>
    <t>Sum of MntTotal</t>
  </si>
  <si>
    <t>Count of MntTotal</t>
  </si>
  <si>
    <t>CustomerID Input</t>
  </si>
  <si>
    <t>Total Spent By Customer</t>
  </si>
  <si>
    <t>Total spent By Customer (Xlookup)</t>
  </si>
  <si>
    <t>Number of Customers</t>
  </si>
  <si>
    <t>ID</t>
  </si>
  <si>
    <t xml:space="preserve">Average Age </t>
  </si>
  <si>
    <t>(All)</t>
  </si>
  <si>
    <t>Kids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</si>
</sst>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0" fontId="1" fillId="0" borderId="0" xfId="0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MntTotal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alpha val="45000"/>
                </a:schemeClr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336992193959543E-2"/>
                  <c:y val="-0.19053899384377829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>
                      <a:alpha val="45000"/>
                    </a:schemeClr>
                  </a:solidFill>
                </a:ln>
                <a:effectLst>
                  <a:softEdge rad="0"/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Graphs!$A$2:$A$2022</c:f>
              <c:numCache>
                <c:formatCode>General</c:formatCode>
                <c:ptCount val="2021"/>
                <c:pt idx="0">
                  <c:v>87679</c:v>
                </c:pt>
                <c:pt idx="1">
                  <c:v>90638</c:v>
                </c:pt>
                <c:pt idx="2">
                  <c:v>90638</c:v>
                </c:pt>
                <c:pt idx="3">
                  <c:v>93790</c:v>
                </c:pt>
                <c:pt idx="4">
                  <c:v>75759</c:v>
                </c:pt>
                <c:pt idx="5">
                  <c:v>69098</c:v>
                </c:pt>
                <c:pt idx="6">
                  <c:v>90226</c:v>
                </c:pt>
                <c:pt idx="7">
                  <c:v>80360</c:v>
                </c:pt>
                <c:pt idx="8">
                  <c:v>91712</c:v>
                </c:pt>
                <c:pt idx="9">
                  <c:v>75825</c:v>
                </c:pt>
                <c:pt idx="10">
                  <c:v>82657</c:v>
                </c:pt>
                <c:pt idx="11">
                  <c:v>76653</c:v>
                </c:pt>
                <c:pt idx="12">
                  <c:v>83151</c:v>
                </c:pt>
                <c:pt idx="13">
                  <c:v>94384</c:v>
                </c:pt>
                <c:pt idx="14">
                  <c:v>77632</c:v>
                </c:pt>
                <c:pt idx="15">
                  <c:v>93027</c:v>
                </c:pt>
                <c:pt idx="16">
                  <c:v>72335</c:v>
                </c:pt>
                <c:pt idx="17">
                  <c:v>78618</c:v>
                </c:pt>
                <c:pt idx="18">
                  <c:v>86857</c:v>
                </c:pt>
                <c:pt idx="19">
                  <c:v>82326</c:v>
                </c:pt>
                <c:pt idx="20">
                  <c:v>73455</c:v>
                </c:pt>
                <c:pt idx="21">
                  <c:v>94642</c:v>
                </c:pt>
                <c:pt idx="22">
                  <c:v>92163</c:v>
                </c:pt>
                <c:pt idx="23">
                  <c:v>81169</c:v>
                </c:pt>
                <c:pt idx="24">
                  <c:v>92859</c:v>
                </c:pt>
                <c:pt idx="25">
                  <c:v>83512</c:v>
                </c:pt>
                <c:pt idx="26">
                  <c:v>80141</c:v>
                </c:pt>
                <c:pt idx="27">
                  <c:v>77568</c:v>
                </c:pt>
                <c:pt idx="28">
                  <c:v>92491</c:v>
                </c:pt>
                <c:pt idx="29">
                  <c:v>88347</c:v>
                </c:pt>
                <c:pt idx="30">
                  <c:v>89572</c:v>
                </c:pt>
                <c:pt idx="31">
                  <c:v>74918</c:v>
                </c:pt>
                <c:pt idx="32">
                  <c:v>82332</c:v>
                </c:pt>
                <c:pt idx="33">
                  <c:v>72903</c:v>
                </c:pt>
                <c:pt idx="34">
                  <c:v>98777</c:v>
                </c:pt>
                <c:pt idx="35">
                  <c:v>95529</c:v>
                </c:pt>
                <c:pt idx="36">
                  <c:v>68743</c:v>
                </c:pt>
                <c:pt idx="37">
                  <c:v>78952</c:v>
                </c:pt>
                <c:pt idx="38">
                  <c:v>75345</c:v>
                </c:pt>
                <c:pt idx="39">
                  <c:v>67546</c:v>
                </c:pt>
                <c:pt idx="40">
                  <c:v>91700</c:v>
                </c:pt>
                <c:pt idx="41">
                  <c:v>72309</c:v>
                </c:pt>
                <c:pt idx="42">
                  <c:v>87771</c:v>
                </c:pt>
                <c:pt idx="43">
                  <c:v>96876</c:v>
                </c:pt>
                <c:pt idx="44">
                  <c:v>85844</c:v>
                </c:pt>
                <c:pt idx="45">
                  <c:v>84169</c:v>
                </c:pt>
                <c:pt idx="46">
                  <c:v>88420</c:v>
                </c:pt>
                <c:pt idx="47">
                  <c:v>79174</c:v>
                </c:pt>
                <c:pt idx="48">
                  <c:v>72968</c:v>
                </c:pt>
                <c:pt idx="49">
                  <c:v>80184</c:v>
                </c:pt>
                <c:pt idx="50">
                  <c:v>80695</c:v>
                </c:pt>
                <c:pt idx="51">
                  <c:v>82576</c:v>
                </c:pt>
                <c:pt idx="52">
                  <c:v>78687</c:v>
                </c:pt>
                <c:pt idx="53">
                  <c:v>82072</c:v>
                </c:pt>
                <c:pt idx="54">
                  <c:v>74116</c:v>
                </c:pt>
                <c:pt idx="55">
                  <c:v>75702</c:v>
                </c:pt>
                <c:pt idx="56">
                  <c:v>95169</c:v>
                </c:pt>
                <c:pt idx="57">
                  <c:v>90273</c:v>
                </c:pt>
                <c:pt idx="58">
                  <c:v>81205</c:v>
                </c:pt>
                <c:pt idx="59">
                  <c:v>75251</c:v>
                </c:pt>
                <c:pt idx="60">
                  <c:v>85606</c:v>
                </c:pt>
                <c:pt idx="61">
                  <c:v>82170</c:v>
                </c:pt>
                <c:pt idx="62">
                  <c:v>89120</c:v>
                </c:pt>
                <c:pt idx="63">
                  <c:v>87188</c:v>
                </c:pt>
                <c:pt idx="64">
                  <c:v>81929</c:v>
                </c:pt>
                <c:pt idx="65">
                  <c:v>83829</c:v>
                </c:pt>
                <c:pt idx="66">
                  <c:v>80427</c:v>
                </c:pt>
                <c:pt idx="67">
                  <c:v>70971</c:v>
                </c:pt>
                <c:pt idx="68">
                  <c:v>82333</c:v>
                </c:pt>
                <c:pt idx="69">
                  <c:v>76998</c:v>
                </c:pt>
                <c:pt idx="70">
                  <c:v>78642</c:v>
                </c:pt>
                <c:pt idx="71">
                  <c:v>81574</c:v>
                </c:pt>
                <c:pt idx="72">
                  <c:v>70643</c:v>
                </c:pt>
                <c:pt idx="73">
                  <c:v>67536</c:v>
                </c:pt>
                <c:pt idx="74">
                  <c:v>78427</c:v>
                </c:pt>
                <c:pt idx="75">
                  <c:v>76412</c:v>
                </c:pt>
                <c:pt idx="76">
                  <c:v>82347</c:v>
                </c:pt>
                <c:pt idx="77">
                  <c:v>82347</c:v>
                </c:pt>
                <c:pt idx="78">
                  <c:v>81380</c:v>
                </c:pt>
                <c:pt idx="79">
                  <c:v>71964</c:v>
                </c:pt>
                <c:pt idx="80">
                  <c:v>74985</c:v>
                </c:pt>
                <c:pt idx="81">
                  <c:v>92344</c:v>
                </c:pt>
                <c:pt idx="82">
                  <c:v>61839</c:v>
                </c:pt>
                <c:pt idx="83">
                  <c:v>82384</c:v>
                </c:pt>
                <c:pt idx="84">
                  <c:v>73450</c:v>
                </c:pt>
                <c:pt idx="85">
                  <c:v>92910</c:v>
                </c:pt>
                <c:pt idx="86">
                  <c:v>63159</c:v>
                </c:pt>
                <c:pt idx="87">
                  <c:v>72066</c:v>
                </c:pt>
                <c:pt idx="88">
                  <c:v>85683</c:v>
                </c:pt>
                <c:pt idx="89">
                  <c:v>79930</c:v>
                </c:pt>
                <c:pt idx="90">
                  <c:v>68126</c:v>
                </c:pt>
                <c:pt idx="91">
                  <c:v>2447</c:v>
                </c:pt>
                <c:pt idx="92">
                  <c:v>90687</c:v>
                </c:pt>
                <c:pt idx="93">
                  <c:v>83033</c:v>
                </c:pt>
                <c:pt idx="94">
                  <c:v>70123</c:v>
                </c:pt>
                <c:pt idx="95">
                  <c:v>75261</c:v>
                </c:pt>
                <c:pt idx="96">
                  <c:v>83145</c:v>
                </c:pt>
                <c:pt idx="97">
                  <c:v>82497</c:v>
                </c:pt>
                <c:pt idx="98">
                  <c:v>80952</c:v>
                </c:pt>
                <c:pt idx="99">
                  <c:v>78579</c:v>
                </c:pt>
                <c:pt idx="100">
                  <c:v>79607</c:v>
                </c:pt>
                <c:pt idx="101">
                  <c:v>77598</c:v>
                </c:pt>
                <c:pt idx="102">
                  <c:v>72025</c:v>
                </c:pt>
                <c:pt idx="103">
                  <c:v>72190</c:v>
                </c:pt>
                <c:pt idx="104">
                  <c:v>92955</c:v>
                </c:pt>
                <c:pt idx="105">
                  <c:v>90765</c:v>
                </c:pt>
                <c:pt idx="106">
                  <c:v>74485</c:v>
                </c:pt>
                <c:pt idx="107">
                  <c:v>77870</c:v>
                </c:pt>
                <c:pt idx="108">
                  <c:v>76005</c:v>
                </c:pt>
                <c:pt idx="109">
                  <c:v>90300</c:v>
                </c:pt>
                <c:pt idx="110">
                  <c:v>74214</c:v>
                </c:pt>
                <c:pt idx="111">
                  <c:v>72025</c:v>
                </c:pt>
                <c:pt idx="112">
                  <c:v>64176</c:v>
                </c:pt>
                <c:pt idx="113">
                  <c:v>94472</c:v>
                </c:pt>
                <c:pt idx="114">
                  <c:v>70356</c:v>
                </c:pt>
                <c:pt idx="115">
                  <c:v>84618</c:v>
                </c:pt>
                <c:pt idx="116">
                  <c:v>84865</c:v>
                </c:pt>
                <c:pt idx="117">
                  <c:v>78789</c:v>
                </c:pt>
                <c:pt idx="118">
                  <c:v>86979</c:v>
                </c:pt>
                <c:pt idx="119">
                  <c:v>77610</c:v>
                </c:pt>
                <c:pt idx="120">
                  <c:v>79143</c:v>
                </c:pt>
                <c:pt idx="121">
                  <c:v>70503</c:v>
                </c:pt>
                <c:pt idx="122">
                  <c:v>79908</c:v>
                </c:pt>
                <c:pt idx="123">
                  <c:v>69209</c:v>
                </c:pt>
                <c:pt idx="124">
                  <c:v>91249</c:v>
                </c:pt>
                <c:pt idx="125">
                  <c:v>64509</c:v>
                </c:pt>
                <c:pt idx="126">
                  <c:v>80812</c:v>
                </c:pt>
                <c:pt idx="127">
                  <c:v>79800</c:v>
                </c:pt>
                <c:pt idx="128">
                  <c:v>78569</c:v>
                </c:pt>
                <c:pt idx="129">
                  <c:v>74637</c:v>
                </c:pt>
                <c:pt idx="130">
                  <c:v>75794</c:v>
                </c:pt>
                <c:pt idx="131">
                  <c:v>89616</c:v>
                </c:pt>
                <c:pt idx="132">
                  <c:v>86358</c:v>
                </c:pt>
                <c:pt idx="133">
                  <c:v>68462</c:v>
                </c:pt>
                <c:pt idx="134">
                  <c:v>68281</c:v>
                </c:pt>
                <c:pt idx="135">
                  <c:v>64497</c:v>
                </c:pt>
                <c:pt idx="136">
                  <c:v>80134</c:v>
                </c:pt>
                <c:pt idx="137">
                  <c:v>74004</c:v>
                </c:pt>
                <c:pt idx="138">
                  <c:v>82571</c:v>
                </c:pt>
                <c:pt idx="139">
                  <c:v>76995</c:v>
                </c:pt>
                <c:pt idx="140">
                  <c:v>71670</c:v>
                </c:pt>
                <c:pt idx="141">
                  <c:v>90933</c:v>
                </c:pt>
                <c:pt idx="142">
                  <c:v>90247</c:v>
                </c:pt>
                <c:pt idx="143">
                  <c:v>93404</c:v>
                </c:pt>
                <c:pt idx="144">
                  <c:v>79419</c:v>
                </c:pt>
                <c:pt idx="145">
                  <c:v>83790</c:v>
                </c:pt>
                <c:pt idx="146">
                  <c:v>73705</c:v>
                </c:pt>
                <c:pt idx="147">
                  <c:v>61416</c:v>
                </c:pt>
                <c:pt idx="148">
                  <c:v>71128</c:v>
                </c:pt>
                <c:pt idx="149">
                  <c:v>78331</c:v>
                </c:pt>
                <c:pt idx="150">
                  <c:v>90369</c:v>
                </c:pt>
                <c:pt idx="151">
                  <c:v>80398</c:v>
                </c:pt>
                <c:pt idx="152">
                  <c:v>88325</c:v>
                </c:pt>
                <c:pt idx="153">
                  <c:v>74068</c:v>
                </c:pt>
                <c:pt idx="154">
                  <c:v>73926</c:v>
                </c:pt>
                <c:pt idx="155">
                  <c:v>81975</c:v>
                </c:pt>
                <c:pt idx="156">
                  <c:v>69084</c:v>
                </c:pt>
                <c:pt idx="157">
                  <c:v>84906</c:v>
                </c:pt>
                <c:pt idx="158">
                  <c:v>85620</c:v>
                </c:pt>
                <c:pt idx="159">
                  <c:v>68682</c:v>
                </c:pt>
                <c:pt idx="160">
                  <c:v>83003</c:v>
                </c:pt>
                <c:pt idx="161">
                  <c:v>62847</c:v>
                </c:pt>
                <c:pt idx="162">
                  <c:v>73538</c:v>
                </c:pt>
                <c:pt idx="163">
                  <c:v>86610</c:v>
                </c:pt>
                <c:pt idx="164">
                  <c:v>70300</c:v>
                </c:pt>
                <c:pt idx="165">
                  <c:v>80067</c:v>
                </c:pt>
                <c:pt idx="166">
                  <c:v>80573</c:v>
                </c:pt>
                <c:pt idx="167">
                  <c:v>60896</c:v>
                </c:pt>
                <c:pt idx="168">
                  <c:v>64260</c:v>
                </c:pt>
                <c:pt idx="169">
                  <c:v>78353</c:v>
                </c:pt>
                <c:pt idx="170">
                  <c:v>80739</c:v>
                </c:pt>
                <c:pt idx="171">
                  <c:v>84117</c:v>
                </c:pt>
                <c:pt idx="172">
                  <c:v>64140</c:v>
                </c:pt>
                <c:pt idx="173">
                  <c:v>81741</c:v>
                </c:pt>
                <c:pt idx="174">
                  <c:v>58138</c:v>
                </c:pt>
                <c:pt idx="175">
                  <c:v>96843</c:v>
                </c:pt>
                <c:pt idx="176">
                  <c:v>105471</c:v>
                </c:pt>
                <c:pt idx="177">
                  <c:v>76467</c:v>
                </c:pt>
                <c:pt idx="178">
                  <c:v>83917</c:v>
                </c:pt>
                <c:pt idx="179">
                  <c:v>70116</c:v>
                </c:pt>
                <c:pt idx="180">
                  <c:v>81843</c:v>
                </c:pt>
                <c:pt idx="181">
                  <c:v>83528</c:v>
                </c:pt>
                <c:pt idx="182">
                  <c:v>77766</c:v>
                </c:pt>
                <c:pt idx="183">
                  <c:v>68655</c:v>
                </c:pt>
                <c:pt idx="184">
                  <c:v>48192</c:v>
                </c:pt>
                <c:pt idx="185">
                  <c:v>64857</c:v>
                </c:pt>
                <c:pt idx="186">
                  <c:v>70893</c:v>
                </c:pt>
                <c:pt idx="187">
                  <c:v>75437</c:v>
                </c:pt>
                <c:pt idx="188">
                  <c:v>69969</c:v>
                </c:pt>
                <c:pt idx="189">
                  <c:v>74859</c:v>
                </c:pt>
                <c:pt idx="190">
                  <c:v>70044</c:v>
                </c:pt>
                <c:pt idx="191">
                  <c:v>74854</c:v>
                </c:pt>
                <c:pt idx="192">
                  <c:v>69267</c:v>
                </c:pt>
                <c:pt idx="193">
                  <c:v>81051</c:v>
                </c:pt>
                <c:pt idx="194">
                  <c:v>57333</c:v>
                </c:pt>
                <c:pt idx="195">
                  <c:v>70440</c:v>
                </c:pt>
                <c:pt idx="196">
                  <c:v>62981</c:v>
                </c:pt>
                <c:pt idx="197">
                  <c:v>82014</c:v>
                </c:pt>
                <c:pt idx="198">
                  <c:v>73454</c:v>
                </c:pt>
                <c:pt idx="199">
                  <c:v>79823</c:v>
                </c:pt>
                <c:pt idx="200">
                  <c:v>72828</c:v>
                </c:pt>
                <c:pt idx="201">
                  <c:v>66465</c:v>
                </c:pt>
                <c:pt idx="202">
                  <c:v>76542</c:v>
                </c:pt>
                <c:pt idx="203">
                  <c:v>77520</c:v>
                </c:pt>
                <c:pt idx="204">
                  <c:v>91820</c:v>
                </c:pt>
                <c:pt idx="205">
                  <c:v>69930</c:v>
                </c:pt>
                <c:pt idx="206">
                  <c:v>57036</c:v>
                </c:pt>
                <c:pt idx="207">
                  <c:v>73892</c:v>
                </c:pt>
                <c:pt idx="208">
                  <c:v>65176</c:v>
                </c:pt>
                <c:pt idx="209">
                  <c:v>69109</c:v>
                </c:pt>
                <c:pt idx="210">
                  <c:v>79946</c:v>
                </c:pt>
                <c:pt idx="211">
                  <c:v>73687</c:v>
                </c:pt>
                <c:pt idx="212">
                  <c:v>81702</c:v>
                </c:pt>
                <c:pt idx="213">
                  <c:v>79529</c:v>
                </c:pt>
                <c:pt idx="214">
                  <c:v>74538</c:v>
                </c:pt>
                <c:pt idx="215">
                  <c:v>63207</c:v>
                </c:pt>
                <c:pt idx="216">
                  <c:v>89694</c:v>
                </c:pt>
                <c:pt idx="217">
                  <c:v>67419</c:v>
                </c:pt>
                <c:pt idx="218">
                  <c:v>71706</c:v>
                </c:pt>
                <c:pt idx="219">
                  <c:v>80995</c:v>
                </c:pt>
                <c:pt idx="220">
                  <c:v>78420</c:v>
                </c:pt>
                <c:pt idx="221">
                  <c:v>68142</c:v>
                </c:pt>
                <c:pt idx="222">
                  <c:v>67369</c:v>
                </c:pt>
                <c:pt idx="223">
                  <c:v>72217</c:v>
                </c:pt>
                <c:pt idx="224">
                  <c:v>83443</c:v>
                </c:pt>
                <c:pt idx="225">
                  <c:v>86429</c:v>
                </c:pt>
                <c:pt idx="226">
                  <c:v>75693</c:v>
                </c:pt>
                <c:pt idx="227">
                  <c:v>63120</c:v>
                </c:pt>
                <c:pt idx="228">
                  <c:v>71819</c:v>
                </c:pt>
                <c:pt idx="229">
                  <c:v>80617</c:v>
                </c:pt>
                <c:pt idx="230">
                  <c:v>80589</c:v>
                </c:pt>
                <c:pt idx="231">
                  <c:v>73356</c:v>
                </c:pt>
                <c:pt idx="232">
                  <c:v>72258</c:v>
                </c:pt>
                <c:pt idx="233">
                  <c:v>78285</c:v>
                </c:pt>
                <c:pt idx="234">
                  <c:v>72504</c:v>
                </c:pt>
                <c:pt idx="235">
                  <c:v>63684</c:v>
                </c:pt>
                <c:pt idx="236">
                  <c:v>83844</c:v>
                </c:pt>
                <c:pt idx="237">
                  <c:v>67384</c:v>
                </c:pt>
                <c:pt idx="238">
                  <c:v>82582</c:v>
                </c:pt>
                <c:pt idx="239">
                  <c:v>72643</c:v>
                </c:pt>
                <c:pt idx="240">
                  <c:v>76445</c:v>
                </c:pt>
                <c:pt idx="241">
                  <c:v>69016</c:v>
                </c:pt>
                <c:pt idx="242">
                  <c:v>82584</c:v>
                </c:pt>
                <c:pt idx="243">
                  <c:v>76618</c:v>
                </c:pt>
                <c:pt idx="244">
                  <c:v>69520</c:v>
                </c:pt>
                <c:pt idx="245">
                  <c:v>75507</c:v>
                </c:pt>
                <c:pt idx="246">
                  <c:v>91065</c:v>
                </c:pt>
                <c:pt idx="247">
                  <c:v>75777</c:v>
                </c:pt>
                <c:pt idx="248">
                  <c:v>85738</c:v>
                </c:pt>
                <c:pt idx="249">
                  <c:v>49667</c:v>
                </c:pt>
                <c:pt idx="250">
                  <c:v>79410</c:v>
                </c:pt>
                <c:pt idx="251">
                  <c:v>73803</c:v>
                </c:pt>
                <c:pt idx="252">
                  <c:v>80134</c:v>
                </c:pt>
                <c:pt idx="253">
                  <c:v>71952</c:v>
                </c:pt>
                <c:pt idx="254">
                  <c:v>82427</c:v>
                </c:pt>
                <c:pt idx="255">
                  <c:v>72159</c:v>
                </c:pt>
                <c:pt idx="256">
                  <c:v>81246</c:v>
                </c:pt>
                <c:pt idx="257">
                  <c:v>69372</c:v>
                </c:pt>
                <c:pt idx="258">
                  <c:v>68397</c:v>
                </c:pt>
                <c:pt idx="259">
                  <c:v>55951</c:v>
                </c:pt>
                <c:pt idx="260">
                  <c:v>80395</c:v>
                </c:pt>
                <c:pt idx="261">
                  <c:v>90842</c:v>
                </c:pt>
                <c:pt idx="262">
                  <c:v>85485</c:v>
                </c:pt>
                <c:pt idx="263">
                  <c:v>76045</c:v>
                </c:pt>
                <c:pt idx="264">
                  <c:v>76140</c:v>
                </c:pt>
                <c:pt idx="265">
                  <c:v>77845</c:v>
                </c:pt>
                <c:pt idx="266">
                  <c:v>65819</c:v>
                </c:pt>
                <c:pt idx="267">
                  <c:v>79530</c:v>
                </c:pt>
                <c:pt idx="268">
                  <c:v>75027</c:v>
                </c:pt>
                <c:pt idx="269">
                  <c:v>69882</c:v>
                </c:pt>
                <c:pt idx="270">
                  <c:v>72905</c:v>
                </c:pt>
                <c:pt idx="271">
                  <c:v>64590</c:v>
                </c:pt>
                <c:pt idx="272">
                  <c:v>78939</c:v>
                </c:pt>
                <c:pt idx="273">
                  <c:v>79456</c:v>
                </c:pt>
                <c:pt idx="274">
                  <c:v>78041</c:v>
                </c:pt>
                <c:pt idx="275">
                  <c:v>85696</c:v>
                </c:pt>
                <c:pt idx="276">
                  <c:v>76068</c:v>
                </c:pt>
                <c:pt idx="277">
                  <c:v>61456</c:v>
                </c:pt>
                <c:pt idx="278">
                  <c:v>83257</c:v>
                </c:pt>
                <c:pt idx="279">
                  <c:v>81795</c:v>
                </c:pt>
                <c:pt idx="280">
                  <c:v>80011</c:v>
                </c:pt>
                <c:pt idx="281">
                  <c:v>64355</c:v>
                </c:pt>
                <c:pt idx="282">
                  <c:v>83273</c:v>
                </c:pt>
                <c:pt idx="283">
                  <c:v>66582</c:v>
                </c:pt>
                <c:pt idx="284">
                  <c:v>70924</c:v>
                </c:pt>
                <c:pt idx="285">
                  <c:v>70713</c:v>
                </c:pt>
                <c:pt idx="286">
                  <c:v>82733</c:v>
                </c:pt>
                <c:pt idx="287">
                  <c:v>62859</c:v>
                </c:pt>
                <c:pt idx="288">
                  <c:v>82122</c:v>
                </c:pt>
                <c:pt idx="289">
                  <c:v>72550</c:v>
                </c:pt>
                <c:pt idx="290">
                  <c:v>74165</c:v>
                </c:pt>
                <c:pt idx="291">
                  <c:v>77863</c:v>
                </c:pt>
                <c:pt idx="292">
                  <c:v>68487</c:v>
                </c:pt>
                <c:pt idx="293">
                  <c:v>70638</c:v>
                </c:pt>
                <c:pt idx="294">
                  <c:v>63810</c:v>
                </c:pt>
                <c:pt idx="295">
                  <c:v>82800</c:v>
                </c:pt>
                <c:pt idx="296">
                  <c:v>65220</c:v>
                </c:pt>
                <c:pt idx="297">
                  <c:v>60000</c:v>
                </c:pt>
                <c:pt idx="298">
                  <c:v>78394</c:v>
                </c:pt>
                <c:pt idx="299">
                  <c:v>86111</c:v>
                </c:pt>
                <c:pt idx="300">
                  <c:v>80144</c:v>
                </c:pt>
                <c:pt idx="301">
                  <c:v>66664</c:v>
                </c:pt>
                <c:pt idx="302">
                  <c:v>63972</c:v>
                </c:pt>
                <c:pt idx="303">
                  <c:v>80124</c:v>
                </c:pt>
                <c:pt idx="304">
                  <c:v>87171</c:v>
                </c:pt>
                <c:pt idx="305">
                  <c:v>70617</c:v>
                </c:pt>
                <c:pt idx="306">
                  <c:v>67430</c:v>
                </c:pt>
                <c:pt idx="307">
                  <c:v>66991</c:v>
                </c:pt>
                <c:pt idx="308">
                  <c:v>62882</c:v>
                </c:pt>
                <c:pt idx="309">
                  <c:v>90000</c:v>
                </c:pt>
                <c:pt idx="310">
                  <c:v>78499</c:v>
                </c:pt>
                <c:pt idx="311">
                  <c:v>88194</c:v>
                </c:pt>
                <c:pt idx="312">
                  <c:v>92556</c:v>
                </c:pt>
                <c:pt idx="313">
                  <c:v>64325</c:v>
                </c:pt>
                <c:pt idx="314">
                  <c:v>61787</c:v>
                </c:pt>
                <c:pt idx="315">
                  <c:v>68092</c:v>
                </c:pt>
                <c:pt idx="316">
                  <c:v>71626</c:v>
                </c:pt>
                <c:pt idx="317">
                  <c:v>71434</c:v>
                </c:pt>
                <c:pt idx="318">
                  <c:v>75865</c:v>
                </c:pt>
                <c:pt idx="319">
                  <c:v>71466</c:v>
                </c:pt>
                <c:pt idx="320">
                  <c:v>75114</c:v>
                </c:pt>
                <c:pt idx="321">
                  <c:v>64849</c:v>
                </c:pt>
                <c:pt idx="322">
                  <c:v>80872</c:v>
                </c:pt>
                <c:pt idx="323">
                  <c:v>78128</c:v>
                </c:pt>
                <c:pt idx="324">
                  <c:v>66303</c:v>
                </c:pt>
                <c:pt idx="325">
                  <c:v>79593</c:v>
                </c:pt>
                <c:pt idx="326">
                  <c:v>66426</c:v>
                </c:pt>
                <c:pt idx="327">
                  <c:v>56981</c:v>
                </c:pt>
                <c:pt idx="328">
                  <c:v>51563</c:v>
                </c:pt>
                <c:pt idx="329">
                  <c:v>62220</c:v>
                </c:pt>
                <c:pt idx="330">
                  <c:v>84574</c:v>
                </c:pt>
                <c:pt idx="331">
                  <c:v>71022</c:v>
                </c:pt>
                <c:pt idx="332">
                  <c:v>54959</c:v>
                </c:pt>
                <c:pt idx="333">
                  <c:v>58656</c:v>
                </c:pt>
                <c:pt idx="334">
                  <c:v>83837</c:v>
                </c:pt>
                <c:pt idx="335">
                  <c:v>64504</c:v>
                </c:pt>
                <c:pt idx="336">
                  <c:v>61996</c:v>
                </c:pt>
                <c:pt idx="337">
                  <c:v>81300</c:v>
                </c:pt>
                <c:pt idx="338">
                  <c:v>74290</c:v>
                </c:pt>
                <c:pt idx="339">
                  <c:v>75922</c:v>
                </c:pt>
                <c:pt idx="340">
                  <c:v>75032</c:v>
                </c:pt>
                <c:pt idx="341">
                  <c:v>79689</c:v>
                </c:pt>
                <c:pt idx="342">
                  <c:v>72228</c:v>
                </c:pt>
                <c:pt idx="343">
                  <c:v>72071</c:v>
                </c:pt>
                <c:pt idx="344">
                  <c:v>70321</c:v>
                </c:pt>
                <c:pt idx="345">
                  <c:v>80763</c:v>
                </c:pt>
                <c:pt idx="346">
                  <c:v>85072</c:v>
                </c:pt>
                <c:pt idx="347">
                  <c:v>102160</c:v>
                </c:pt>
                <c:pt idx="348">
                  <c:v>81044</c:v>
                </c:pt>
                <c:pt idx="349">
                  <c:v>66973</c:v>
                </c:pt>
                <c:pt idx="350">
                  <c:v>72282</c:v>
                </c:pt>
                <c:pt idx="351">
                  <c:v>68316</c:v>
                </c:pt>
                <c:pt idx="352">
                  <c:v>82032</c:v>
                </c:pt>
                <c:pt idx="353">
                  <c:v>65308</c:v>
                </c:pt>
                <c:pt idx="354">
                  <c:v>68657</c:v>
                </c:pt>
                <c:pt idx="355">
                  <c:v>80317</c:v>
                </c:pt>
                <c:pt idx="356">
                  <c:v>81168</c:v>
                </c:pt>
                <c:pt idx="357">
                  <c:v>80982</c:v>
                </c:pt>
                <c:pt idx="358">
                  <c:v>72099</c:v>
                </c:pt>
                <c:pt idx="359">
                  <c:v>67432</c:v>
                </c:pt>
                <c:pt idx="360">
                  <c:v>77027</c:v>
                </c:pt>
                <c:pt idx="361">
                  <c:v>67445</c:v>
                </c:pt>
                <c:pt idx="362">
                  <c:v>74250</c:v>
                </c:pt>
                <c:pt idx="363">
                  <c:v>86424</c:v>
                </c:pt>
                <c:pt idx="364">
                  <c:v>70792</c:v>
                </c:pt>
                <c:pt idx="365">
                  <c:v>62187</c:v>
                </c:pt>
                <c:pt idx="366">
                  <c:v>63887</c:v>
                </c:pt>
                <c:pt idx="367">
                  <c:v>84219</c:v>
                </c:pt>
                <c:pt idx="368">
                  <c:v>80950</c:v>
                </c:pt>
                <c:pt idx="369">
                  <c:v>63564</c:v>
                </c:pt>
                <c:pt idx="370">
                  <c:v>70091</c:v>
                </c:pt>
                <c:pt idx="371">
                  <c:v>71691</c:v>
                </c:pt>
                <c:pt idx="372">
                  <c:v>55212</c:v>
                </c:pt>
                <c:pt idx="373">
                  <c:v>77457</c:v>
                </c:pt>
                <c:pt idx="374">
                  <c:v>82716</c:v>
                </c:pt>
                <c:pt idx="375">
                  <c:v>70951</c:v>
                </c:pt>
                <c:pt idx="376">
                  <c:v>62845</c:v>
                </c:pt>
                <c:pt idx="377">
                  <c:v>62845</c:v>
                </c:pt>
                <c:pt idx="378">
                  <c:v>65169</c:v>
                </c:pt>
                <c:pt idx="379">
                  <c:v>61618</c:v>
                </c:pt>
                <c:pt idx="380">
                  <c:v>76773</c:v>
                </c:pt>
                <c:pt idx="381">
                  <c:v>66334</c:v>
                </c:pt>
                <c:pt idx="382">
                  <c:v>71107</c:v>
                </c:pt>
                <c:pt idx="383">
                  <c:v>75433</c:v>
                </c:pt>
                <c:pt idx="384">
                  <c:v>75484</c:v>
                </c:pt>
                <c:pt idx="385">
                  <c:v>60839</c:v>
                </c:pt>
                <c:pt idx="386">
                  <c:v>75702</c:v>
                </c:pt>
                <c:pt idx="387">
                  <c:v>70515</c:v>
                </c:pt>
                <c:pt idx="388">
                  <c:v>61014</c:v>
                </c:pt>
                <c:pt idx="389">
                  <c:v>71853</c:v>
                </c:pt>
                <c:pt idx="390">
                  <c:v>77226</c:v>
                </c:pt>
                <c:pt idx="391">
                  <c:v>72679</c:v>
                </c:pt>
                <c:pt idx="392">
                  <c:v>70038</c:v>
                </c:pt>
                <c:pt idx="393">
                  <c:v>77037</c:v>
                </c:pt>
                <c:pt idx="394">
                  <c:v>71855</c:v>
                </c:pt>
                <c:pt idx="395">
                  <c:v>85431</c:v>
                </c:pt>
                <c:pt idx="396">
                  <c:v>49118</c:v>
                </c:pt>
                <c:pt idx="397">
                  <c:v>73691</c:v>
                </c:pt>
                <c:pt idx="398">
                  <c:v>77343</c:v>
                </c:pt>
                <c:pt idx="399">
                  <c:v>53653</c:v>
                </c:pt>
                <c:pt idx="400">
                  <c:v>79632</c:v>
                </c:pt>
                <c:pt idx="401">
                  <c:v>71322</c:v>
                </c:pt>
                <c:pt idx="402">
                  <c:v>71604</c:v>
                </c:pt>
                <c:pt idx="403">
                  <c:v>86718</c:v>
                </c:pt>
                <c:pt idx="404">
                  <c:v>76842</c:v>
                </c:pt>
                <c:pt idx="405">
                  <c:v>72906</c:v>
                </c:pt>
                <c:pt idx="406">
                  <c:v>63693</c:v>
                </c:pt>
                <c:pt idx="407">
                  <c:v>77437</c:v>
                </c:pt>
                <c:pt idx="408">
                  <c:v>78093</c:v>
                </c:pt>
                <c:pt idx="409">
                  <c:v>61223</c:v>
                </c:pt>
                <c:pt idx="410">
                  <c:v>69508</c:v>
                </c:pt>
                <c:pt idx="411">
                  <c:v>65777</c:v>
                </c:pt>
                <c:pt idx="412">
                  <c:v>77972</c:v>
                </c:pt>
                <c:pt idx="413">
                  <c:v>82025</c:v>
                </c:pt>
                <c:pt idx="414">
                  <c:v>92533</c:v>
                </c:pt>
                <c:pt idx="415">
                  <c:v>83664</c:v>
                </c:pt>
                <c:pt idx="416">
                  <c:v>62745</c:v>
                </c:pt>
                <c:pt idx="417">
                  <c:v>63943</c:v>
                </c:pt>
                <c:pt idx="418">
                  <c:v>66636</c:v>
                </c:pt>
                <c:pt idx="419">
                  <c:v>63342</c:v>
                </c:pt>
                <c:pt idx="420">
                  <c:v>63342</c:v>
                </c:pt>
                <c:pt idx="421">
                  <c:v>64108</c:v>
                </c:pt>
                <c:pt idx="422">
                  <c:v>71969</c:v>
                </c:pt>
                <c:pt idx="423">
                  <c:v>81217</c:v>
                </c:pt>
                <c:pt idx="424">
                  <c:v>63033</c:v>
                </c:pt>
                <c:pt idx="425">
                  <c:v>87305</c:v>
                </c:pt>
                <c:pt idx="426">
                  <c:v>65706</c:v>
                </c:pt>
                <c:pt idx="427">
                  <c:v>75154</c:v>
                </c:pt>
                <c:pt idx="428">
                  <c:v>87195</c:v>
                </c:pt>
                <c:pt idx="429">
                  <c:v>81698</c:v>
                </c:pt>
                <c:pt idx="430">
                  <c:v>85693</c:v>
                </c:pt>
                <c:pt idx="431">
                  <c:v>63998</c:v>
                </c:pt>
                <c:pt idx="432">
                  <c:v>67786</c:v>
                </c:pt>
                <c:pt idx="433">
                  <c:v>70287</c:v>
                </c:pt>
                <c:pt idx="434">
                  <c:v>57136</c:v>
                </c:pt>
                <c:pt idx="435">
                  <c:v>68695</c:v>
                </c:pt>
                <c:pt idx="436">
                  <c:v>47111</c:v>
                </c:pt>
                <c:pt idx="437">
                  <c:v>75330</c:v>
                </c:pt>
                <c:pt idx="438">
                  <c:v>84196</c:v>
                </c:pt>
                <c:pt idx="439">
                  <c:v>81657</c:v>
                </c:pt>
                <c:pt idx="440">
                  <c:v>70666</c:v>
                </c:pt>
                <c:pt idx="441">
                  <c:v>74293</c:v>
                </c:pt>
                <c:pt idx="442">
                  <c:v>72354</c:v>
                </c:pt>
                <c:pt idx="443">
                  <c:v>78710</c:v>
                </c:pt>
                <c:pt idx="444">
                  <c:v>77583</c:v>
                </c:pt>
                <c:pt idx="445">
                  <c:v>59868</c:v>
                </c:pt>
                <c:pt idx="446">
                  <c:v>65846</c:v>
                </c:pt>
                <c:pt idx="447">
                  <c:v>59304</c:v>
                </c:pt>
                <c:pt idx="448">
                  <c:v>72460</c:v>
                </c:pt>
                <c:pt idx="449">
                  <c:v>59235</c:v>
                </c:pt>
                <c:pt idx="450">
                  <c:v>91172</c:v>
                </c:pt>
                <c:pt idx="451">
                  <c:v>76982</c:v>
                </c:pt>
                <c:pt idx="452">
                  <c:v>53374</c:v>
                </c:pt>
                <c:pt idx="453">
                  <c:v>57513</c:v>
                </c:pt>
                <c:pt idx="454">
                  <c:v>85710</c:v>
                </c:pt>
                <c:pt idx="455">
                  <c:v>69759</c:v>
                </c:pt>
                <c:pt idx="456">
                  <c:v>44802</c:v>
                </c:pt>
                <c:pt idx="457">
                  <c:v>63211</c:v>
                </c:pt>
                <c:pt idx="458">
                  <c:v>55914</c:v>
                </c:pt>
                <c:pt idx="459">
                  <c:v>60230</c:v>
                </c:pt>
                <c:pt idx="460">
                  <c:v>73059</c:v>
                </c:pt>
                <c:pt idx="461">
                  <c:v>52278</c:v>
                </c:pt>
                <c:pt idx="462">
                  <c:v>52278</c:v>
                </c:pt>
                <c:pt idx="463">
                  <c:v>66565</c:v>
                </c:pt>
                <c:pt idx="464">
                  <c:v>72117</c:v>
                </c:pt>
                <c:pt idx="465">
                  <c:v>46757</c:v>
                </c:pt>
                <c:pt idx="466">
                  <c:v>75276</c:v>
                </c:pt>
                <c:pt idx="467">
                  <c:v>58512</c:v>
                </c:pt>
                <c:pt idx="468">
                  <c:v>69805</c:v>
                </c:pt>
                <c:pt idx="469">
                  <c:v>82504</c:v>
                </c:pt>
                <c:pt idx="470">
                  <c:v>51537</c:v>
                </c:pt>
                <c:pt idx="471">
                  <c:v>58710</c:v>
                </c:pt>
                <c:pt idx="472">
                  <c:v>56715</c:v>
                </c:pt>
                <c:pt idx="473">
                  <c:v>60474</c:v>
                </c:pt>
                <c:pt idx="474">
                  <c:v>59184</c:v>
                </c:pt>
                <c:pt idx="475">
                  <c:v>65487</c:v>
                </c:pt>
                <c:pt idx="476">
                  <c:v>65487</c:v>
                </c:pt>
                <c:pt idx="477">
                  <c:v>57072</c:v>
                </c:pt>
                <c:pt idx="478">
                  <c:v>65104</c:v>
                </c:pt>
                <c:pt idx="479">
                  <c:v>65104</c:v>
                </c:pt>
                <c:pt idx="480">
                  <c:v>62000</c:v>
                </c:pt>
                <c:pt idx="481">
                  <c:v>65492</c:v>
                </c:pt>
                <c:pt idx="482">
                  <c:v>78416</c:v>
                </c:pt>
                <c:pt idx="483">
                  <c:v>66951</c:v>
                </c:pt>
                <c:pt idx="484">
                  <c:v>69932</c:v>
                </c:pt>
                <c:pt idx="485">
                  <c:v>46772</c:v>
                </c:pt>
                <c:pt idx="486">
                  <c:v>77044</c:v>
                </c:pt>
                <c:pt idx="487">
                  <c:v>67309</c:v>
                </c:pt>
                <c:pt idx="488">
                  <c:v>77382</c:v>
                </c:pt>
                <c:pt idx="489">
                  <c:v>80336</c:v>
                </c:pt>
                <c:pt idx="490">
                  <c:v>71847</c:v>
                </c:pt>
                <c:pt idx="491">
                  <c:v>69702</c:v>
                </c:pt>
                <c:pt idx="492">
                  <c:v>69476</c:v>
                </c:pt>
                <c:pt idx="493">
                  <c:v>67911</c:v>
                </c:pt>
                <c:pt idx="494">
                  <c:v>64831</c:v>
                </c:pt>
                <c:pt idx="495">
                  <c:v>73113</c:v>
                </c:pt>
                <c:pt idx="496">
                  <c:v>84835</c:v>
                </c:pt>
                <c:pt idx="497">
                  <c:v>64961</c:v>
                </c:pt>
                <c:pt idx="498">
                  <c:v>79244</c:v>
                </c:pt>
                <c:pt idx="499">
                  <c:v>78468</c:v>
                </c:pt>
                <c:pt idx="500">
                  <c:v>63285</c:v>
                </c:pt>
                <c:pt idx="501">
                  <c:v>101970</c:v>
                </c:pt>
                <c:pt idx="502">
                  <c:v>70647</c:v>
                </c:pt>
                <c:pt idx="503">
                  <c:v>71965</c:v>
                </c:pt>
                <c:pt idx="504">
                  <c:v>56796</c:v>
                </c:pt>
                <c:pt idx="505">
                  <c:v>102692</c:v>
                </c:pt>
                <c:pt idx="506">
                  <c:v>65991</c:v>
                </c:pt>
                <c:pt idx="507">
                  <c:v>67433</c:v>
                </c:pt>
                <c:pt idx="508">
                  <c:v>65148</c:v>
                </c:pt>
                <c:pt idx="509">
                  <c:v>81698</c:v>
                </c:pt>
                <c:pt idx="510">
                  <c:v>55956</c:v>
                </c:pt>
                <c:pt idx="511">
                  <c:v>67716</c:v>
                </c:pt>
                <c:pt idx="512">
                  <c:v>82460</c:v>
                </c:pt>
                <c:pt idx="513">
                  <c:v>62450</c:v>
                </c:pt>
                <c:pt idx="514">
                  <c:v>68148</c:v>
                </c:pt>
                <c:pt idx="515">
                  <c:v>74806</c:v>
                </c:pt>
                <c:pt idx="516">
                  <c:v>55686</c:v>
                </c:pt>
                <c:pt idx="517">
                  <c:v>66476</c:v>
                </c:pt>
                <c:pt idx="518">
                  <c:v>65196</c:v>
                </c:pt>
                <c:pt idx="519">
                  <c:v>75236</c:v>
                </c:pt>
                <c:pt idx="520">
                  <c:v>65106</c:v>
                </c:pt>
                <c:pt idx="521">
                  <c:v>58607</c:v>
                </c:pt>
                <c:pt idx="522">
                  <c:v>75283</c:v>
                </c:pt>
                <c:pt idx="523">
                  <c:v>52973</c:v>
                </c:pt>
                <c:pt idx="524">
                  <c:v>52614</c:v>
                </c:pt>
                <c:pt idx="525">
                  <c:v>84953</c:v>
                </c:pt>
                <c:pt idx="526">
                  <c:v>60491</c:v>
                </c:pt>
                <c:pt idx="527">
                  <c:v>61074</c:v>
                </c:pt>
                <c:pt idx="528">
                  <c:v>80685</c:v>
                </c:pt>
                <c:pt idx="529">
                  <c:v>75072</c:v>
                </c:pt>
                <c:pt idx="530">
                  <c:v>67893</c:v>
                </c:pt>
                <c:pt idx="531">
                  <c:v>61010</c:v>
                </c:pt>
                <c:pt idx="532">
                  <c:v>70596</c:v>
                </c:pt>
                <c:pt idx="533">
                  <c:v>94871</c:v>
                </c:pt>
                <c:pt idx="534">
                  <c:v>71796</c:v>
                </c:pt>
                <c:pt idx="535">
                  <c:v>62820</c:v>
                </c:pt>
                <c:pt idx="536">
                  <c:v>70053</c:v>
                </c:pt>
                <c:pt idx="537">
                  <c:v>58350</c:v>
                </c:pt>
                <c:pt idx="538">
                  <c:v>57304</c:v>
                </c:pt>
                <c:pt idx="539">
                  <c:v>83715</c:v>
                </c:pt>
                <c:pt idx="540">
                  <c:v>63855</c:v>
                </c:pt>
                <c:pt idx="541">
                  <c:v>52513</c:v>
                </c:pt>
                <c:pt idx="542">
                  <c:v>65665</c:v>
                </c:pt>
                <c:pt idx="543">
                  <c:v>71163</c:v>
                </c:pt>
                <c:pt idx="544">
                  <c:v>67131</c:v>
                </c:pt>
                <c:pt idx="545">
                  <c:v>58330</c:v>
                </c:pt>
                <c:pt idx="546">
                  <c:v>87000</c:v>
                </c:pt>
                <c:pt idx="547">
                  <c:v>52203</c:v>
                </c:pt>
                <c:pt idx="548">
                  <c:v>74881</c:v>
                </c:pt>
                <c:pt idx="549">
                  <c:v>65488</c:v>
                </c:pt>
                <c:pt idx="550">
                  <c:v>78075</c:v>
                </c:pt>
                <c:pt idx="551">
                  <c:v>78931</c:v>
                </c:pt>
                <c:pt idx="552">
                  <c:v>70886</c:v>
                </c:pt>
                <c:pt idx="553">
                  <c:v>72298</c:v>
                </c:pt>
                <c:pt idx="554">
                  <c:v>64950</c:v>
                </c:pt>
                <c:pt idx="555">
                  <c:v>71391</c:v>
                </c:pt>
                <c:pt idx="556">
                  <c:v>56775</c:v>
                </c:pt>
                <c:pt idx="557">
                  <c:v>63206</c:v>
                </c:pt>
                <c:pt idx="558">
                  <c:v>69063</c:v>
                </c:pt>
                <c:pt idx="559">
                  <c:v>70179</c:v>
                </c:pt>
                <c:pt idx="560">
                  <c:v>61064</c:v>
                </c:pt>
                <c:pt idx="561">
                  <c:v>71232</c:v>
                </c:pt>
                <c:pt idx="562">
                  <c:v>56937</c:v>
                </c:pt>
                <c:pt idx="563">
                  <c:v>55260</c:v>
                </c:pt>
                <c:pt idx="564">
                  <c:v>79734</c:v>
                </c:pt>
                <c:pt idx="565">
                  <c:v>76320</c:v>
                </c:pt>
                <c:pt idx="566">
                  <c:v>44953</c:v>
                </c:pt>
                <c:pt idx="567">
                  <c:v>69283</c:v>
                </c:pt>
                <c:pt idx="568">
                  <c:v>60161</c:v>
                </c:pt>
                <c:pt idx="569">
                  <c:v>59666</c:v>
                </c:pt>
                <c:pt idx="570">
                  <c:v>68117</c:v>
                </c:pt>
                <c:pt idx="571">
                  <c:v>54693</c:v>
                </c:pt>
                <c:pt idx="572">
                  <c:v>77142</c:v>
                </c:pt>
                <c:pt idx="573">
                  <c:v>66835</c:v>
                </c:pt>
                <c:pt idx="574">
                  <c:v>65073</c:v>
                </c:pt>
                <c:pt idx="575">
                  <c:v>62568</c:v>
                </c:pt>
                <c:pt idx="576">
                  <c:v>59462</c:v>
                </c:pt>
                <c:pt idx="577">
                  <c:v>77298</c:v>
                </c:pt>
                <c:pt idx="578">
                  <c:v>53103</c:v>
                </c:pt>
                <c:pt idx="579">
                  <c:v>53858</c:v>
                </c:pt>
                <c:pt idx="580">
                  <c:v>67023</c:v>
                </c:pt>
                <c:pt idx="581">
                  <c:v>66731</c:v>
                </c:pt>
                <c:pt idx="582">
                  <c:v>67381</c:v>
                </c:pt>
                <c:pt idx="583">
                  <c:v>67046</c:v>
                </c:pt>
                <c:pt idx="584">
                  <c:v>63404</c:v>
                </c:pt>
                <c:pt idx="585">
                  <c:v>67605</c:v>
                </c:pt>
                <c:pt idx="586">
                  <c:v>56242</c:v>
                </c:pt>
                <c:pt idx="587">
                  <c:v>57912</c:v>
                </c:pt>
                <c:pt idx="588">
                  <c:v>67353</c:v>
                </c:pt>
                <c:pt idx="589">
                  <c:v>78825</c:v>
                </c:pt>
                <c:pt idx="590">
                  <c:v>75012</c:v>
                </c:pt>
                <c:pt idx="591">
                  <c:v>72635</c:v>
                </c:pt>
                <c:pt idx="592">
                  <c:v>52845</c:v>
                </c:pt>
                <c:pt idx="593">
                  <c:v>81320</c:v>
                </c:pt>
                <c:pt idx="594">
                  <c:v>69867</c:v>
                </c:pt>
                <c:pt idx="595">
                  <c:v>76234</c:v>
                </c:pt>
                <c:pt idx="596">
                  <c:v>72940</c:v>
                </c:pt>
                <c:pt idx="597">
                  <c:v>72570</c:v>
                </c:pt>
                <c:pt idx="598">
                  <c:v>82224</c:v>
                </c:pt>
                <c:pt idx="599">
                  <c:v>48948</c:v>
                </c:pt>
                <c:pt idx="600">
                  <c:v>61209</c:v>
                </c:pt>
                <c:pt idx="601">
                  <c:v>75278</c:v>
                </c:pt>
                <c:pt idx="602">
                  <c:v>62503</c:v>
                </c:pt>
                <c:pt idx="603">
                  <c:v>60152</c:v>
                </c:pt>
                <c:pt idx="604">
                  <c:v>70379</c:v>
                </c:pt>
                <c:pt idx="605">
                  <c:v>79205</c:v>
                </c:pt>
                <c:pt idx="606">
                  <c:v>74268</c:v>
                </c:pt>
                <c:pt idx="607">
                  <c:v>66294</c:v>
                </c:pt>
                <c:pt idx="608">
                  <c:v>61346</c:v>
                </c:pt>
                <c:pt idx="609">
                  <c:v>63381</c:v>
                </c:pt>
                <c:pt idx="610">
                  <c:v>52413</c:v>
                </c:pt>
                <c:pt idx="611">
                  <c:v>48240</c:v>
                </c:pt>
                <c:pt idx="612">
                  <c:v>54233</c:v>
                </c:pt>
                <c:pt idx="613">
                  <c:v>68352</c:v>
                </c:pt>
                <c:pt idx="614">
                  <c:v>62772</c:v>
                </c:pt>
                <c:pt idx="615">
                  <c:v>55250</c:v>
                </c:pt>
                <c:pt idx="616">
                  <c:v>64892</c:v>
                </c:pt>
                <c:pt idx="617">
                  <c:v>61314</c:v>
                </c:pt>
                <c:pt idx="618">
                  <c:v>57959</c:v>
                </c:pt>
                <c:pt idx="619">
                  <c:v>79803</c:v>
                </c:pt>
                <c:pt idx="620">
                  <c:v>76081</c:v>
                </c:pt>
                <c:pt idx="621">
                  <c:v>76624</c:v>
                </c:pt>
                <c:pt idx="622">
                  <c:v>49269</c:v>
                </c:pt>
                <c:pt idx="623">
                  <c:v>49912</c:v>
                </c:pt>
                <c:pt idx="624">
                  <c:v>52852</c:v>
                </c:pt>
                <c:pt idx="625">
                  <c:v>59809</c:v>
                </c:pt>
                <c:pt idx="626">
                  <c:v>76630</c:v>
                </c:pt>
                <c:pt idx="627">
                  <c:v>71113</c:v>
                </c:pt>
                <c:pt idx="628">
                  <c:v>60597</c:v>
                </c:pt>
                <c:pt idx="629">
                  <c:v>69661</c:v>
                </c:pt>
                <c:pt idx="630">
                  <c:v>53977</c:v>
                </c:pt>
                <c:pt idx="631">
                  <c:v>69674</c:v>
                </c:pt>
                <c:pt idx="632">
                  <c:v>60934</c:v>
                </c:pt>
                <c:pt idx="633">
                  <c:v>66825</c:v>
                </c:pt>
                <c:pt idx="634">
                  <c:v>79941</c:v>
                </c:pt>
                <c:pt idx="635">
                  <c:v>64191</c:v>
                </c:pt>
                <c:pt idx="636">
                  <c:v>75315</c:v>
                </c:pt>
                <c:pt idx="637">
                  <c:v>34445</c:v>
                </c:pt>
                <c:pt idx="638">
                  <c:v>69627</c:v>
                </c:pt>
                <c:pt idx="639">
                  <c:v>89058</c:v>
                </c:pt>
                <c:pt idx="640">
                  <c:v>62204</c:v>
                </c:pt>
                <c:pt idx="641">
                  <c:v>62466</c:v>
                </c:pt>
                <c:pt idx="642">
                  <c:v>55434</c:v>
                </c:pt>
                <c:pt idx="643">
                  <c:v>70165</c:v>
                </c:pt>
                <c:pt idx="644">
                  <c:v>77882</c:v>
                </c:pt>
                <c:pt idx="645">
                  <c:v>69755</c:v>
                </c:pt>
                <c:pt idx="646">
                  <c:v>75903</c:v>
                </c:pt>
                <c:pt idx="647">
                  <c:v>83891</c:v>
                </c:pt>
                <c:pt idx="648">
                  <c:v>60554</c:v>
                </c:pt>
                <c:pt idx="649">
                  <c:v>60714</c:v>
                </c:pt>
                <c:pt idx="650">
                  <c:v>73807</c:v>
                </c:pt>
                <c:pt idx="651">
                  <c:v>52750</c:v>
                </c:pt>
                <c:pt idx="652">
                  <c:v>64722</c:v>
                </c:pt>
                <c:pt idx="653">
                  <c:v>76532</c:v>
                </c:pt>
                <c:pt idx="654">
                  <c:v>65569</c:v>
                </c:pt>
                <c:pt idx="655">
                  <c:v>74716</c:v>
                </c:pt>
                <c:pt idx="656">
                  <c:v>68627</c:v>
                </c:pt>
                <c:pt idx="657">
                  <c:v>62670</c:v>
                </c:pt>
                <c:pt idx="658">
                  <c:v>74805</c:v>
                </c:pt>
                <c:pt idx="659">
                  <c:v>69389</c:v>
                </c:pt>
                <c:pt idx="660">
                  <c:v>69245</c:v>
                </c:pt>
                <c:pt idx="661">
                  <c:v>60894</c:v>
                </c:pt>
                <c:pt idx="662">
                  <c:v>65031</c:v>
                </c:pt>
                <c:pt idx="663">
                  <c:v>63841</c:v>
                </c:pt>
                <c:pt idx="664">
                  <c:v>55759</c:v>
                </c:pt>
                <c:pt idx="665">
                  <c:v>58086</c:v>
                </c:pt>
                <c:pt idx="666">
                  <c:v>54356</c:v>
                </c:pt>
                <c:pt idx="667">
                  <c:v>68118</c:v>
                </c:pt>
                <c:pt idx="668">
                  <c:v>59601</c:v>
                </c:pt>
                <c:pt idx="669">
                  <c:v>63915</c:v>
                </c:pt>
                <c:pt idx="670">
                  <c:v>58308</c:v>
                </c:pt>
                <c:pt idx="671">
                  <c:v>55424</c:v>
                </c:pt>
                <c:pt idx="672">
                  <c:v>88097</c:v>
                </c:pt>
                <c:pt idx="673">
                  <c:v>56534</c:v>
                </c:pt>
                <c:pt idx="674">
                  <c:v>65333</c:v>
                </c:pt>
                <c:pt idx="675">
                  <c:v>82623</c:v>
                </c:pt>
                <c:pt idx="676">
                  <c:v>75774</c:v>
                </c:pt>
                <c:pt idx="677">
                  <c:v>61284</c:v>
                </c:pt>
                <c:pt idx="678">
                  <c:v>63246</c:v>
                </c:pt>
                <c:pt idx="679">
                  <c:v>66313</c:v>
                </c:pt>
                <c:pt idx="680">
                  <c:v>51983</c:v>
                </c:pt>
                <c:pt idx="681">
                  <c:v>62061</c:v>
                </c:pt>
                <c:pt idx="682">
                  <c:v>71499</c:v>
                </c:pt>
                <c:pt idx="683">
                  <c:v>69719</c:v>
                </c:pt>
                <c:pt idx="684">
                  <c:v>66375</c:v>
                </c:pt>
                <c:pt idx="685">
                  <c:v>78497</c:v>
                </c:pt>
                <c:pt idx="686">
                  <c:v>79865</c:v>
                </c:pt>
                <c:pt idx="687">
                  <c:v>67087</c:v>
                </c:pt>
                <c:pt idx="688">
                  <c:v>77297</c:v>
                </c:pt>
                <c:pt idx="689">
                  <c:v>96547</c:v>
                </c:pt>
                <c:pt idx="690">
                  <c:v>70566</c:v>
                </c:pt>
                <c:pt idx="691">
                  <c:v>64449</c:v>
                </c:pt>
                <c:pt idx="692">
                  <c:v>71613</c:v>
                </c:pt>
                <c:pt idx="693">
                  <c:v>69901</c:v>
                </c:pt>
                <c:pt idx="694">
                  <c:v>70421</c:v>
                </c:pt>
                <c:pt idx="695">
                  <c:v>64474</c:v>
                </c:pt>
                <c:pt idx="696">
                  <c:v>83151</c:v>
                </c:pt>
                <c:pt idx="697">
                  <c:v>58684</c:v>
                </c:pt>
                <c:pt idx="698">
                  <c:v>86580</c:v>
                </c:pt>
                <c:pt idx="699">
                  <c:v>65275</c:v>
                </c:pt>
                <c:pt idx="700">
                  <c:v>67225</c:v>
                </c:pt>
                <c:pt idx="701">
                  <c:v>50898</c:v>
                </c:pt>
                <c:pt idx="702">
                  <c:v>57811</c:v>
                </c:pt>
                <c:pt idx="703">
                  <c:v>70932</c:v>
                </c:pt>
                <c:pt idx="704">
                  <c:v>58482</c:v>
                </c:pt>
                <c:pt idx="705">
                  <c:v>49505</c:v>
                </c:pt>
                <c:pt idx="706">
                  <c:v>58582</c:v>
                </c:pt>
                <c:pt idx="707">
                  <c:v>62807</c:v>
                </c:pt>
                <c:pt idx="708">
                  <c:v>63967</c:v>
                </c:pt>
                <c:pt idx="709">
                  <c:v>67272</c:v>
                </c:pt>
                <c:pt idx="710">
                  <c:v>61823</c:v>
                </c:pt>
                <c:pt idx="711">
                  <c:v>80910</c:v>
                </c:pt>
                <c:pt idx="712">
                  <c:v>60585</c:v>
                </c:pt>
                <c:pt idx="713">
                  <c:v>59111</c:v>
                </c:pt>
                <c:pt idx="714">
                  <c:v>44511</c:v>
                </c:pt>
                <c:pt idx="715">
                  <c:v>65685</c:v>
                </c:pt>
                <c:pt idx="716">
                  <c:v>58597</c:v>
                </c:pt>
                <c:pt idx="717">
                  <c:v>65814</c:v>
                </c:pt>
                <c:pt idx="718">
                  <c:v>59925</c:v>
                </c:pt>
                <c:pt idx="719">
                  <c:v>70777</c:v>
                </c:pt>
                <c:pt idx="720">
                  <c:v>86037</c:v>
                </c:pt>
                <c:pt idx="721">
                  <c:v>82017</c:v>
                </c:pt>
                <c:pt idx="722">
                  <c:v>61671</c:v>
                </c:pt>
                <c:pt idx="723">
                  <c:v>65210</c:v>
                </c:pt>
                <c:pt idx="724">
                  <c:v>62513</c:v>
                </c:pt>
                <c:pt idx="725">
                  <c:v>81361</c:v>
                </c:pt>
                <c:pt idx="726">
                  <c:v>71367</c:v>
                </c:pt>
                <c:pt idx="727">
                  <c:v>81361</c:v>
                </c:pt>
                <c:pt idx="728">
                  <c:v>55284</c:v>
                </c:pt>
                <c:pt idx="729">
                  <c:v>77622</c:v>
                </c:pt>
                <c:pt idx="730">
                  <c:v>58821</c:v>
                </c:pt>
                <c:pt idx="731">
                  <c:v>78901</c:v>
                </c:pt>
                <c:pt idx="732">
                  <c:v>59821</c:v>
                </c:pt>
                <c:pt idx="733">
                  <c:v>73170</c:v>
                </c:pt>
                <c:pt idx="734">
                  <c:v>64813</c:v>
                </c:pt>
                <c:pt idx="735">
                  <c:v>62335</c:v>
                </c:pt>
                <c:pt idx="736">
                  <c:v>71866</c:v>
                </c:pt>
                <c:pt idx="737">
                  <c:v>54880</c:v>
                </c:pt>
                <c:pt idx="738">
                  <c:v>58113</c:v>
                </c:pt>
                <c:pt idx="739">
                  <c:v>55239</c:v>
                </c:pt>
                <c:pt idx="740">
                  <c:v>61250</c:v>
                </c:pt>
                <c:pt idx="741">
                  <c:v>51250</c:v>
                </c:pt>
                <c:pt idx="742">
                  <c:v>52531</c:v>
                </c:pt>
                <c:pt idx="743">
                  <c:v>72063</c:v>
                </c:pt>
                <c:pt idx="744">
                  <c:v>66000</c:v>
                </c:pt>
                <c:pt idx="745">
                  <c:v>44529</c:v>
                </c:pt>
                <c:pt idx="746">
                  <c:v>55357</c:v>
                </c:pt>
                <c:pt idx="747">
                  <c:v>64090</c:v>
                </c:pt>
                <c:pt idx="748">
                  <c:v>53378</c:v>
                </c:pt>
                <c:pt idx="749">
                  <c:v>57731</c:v>
                </c:pt>
                <c:pt idx="750">
                  <c:v>60200</c:v>
                </c:pt>
                <c:pt idx="751">
                  <c:v>65295</c:v>
                </c:pt>
                <c:pt idx="752">
                  <c:v>62694</c:v>
                </c:pt>
                <c:pt idx="753">
                  <c:v>55614</c:v>
                </c:pt>
                <c:pt idx="754">
                  <c:v>50965</c:v>
                </c:pt>
                <c:pt idx="755">
                  <c:v>89891</c:v>
                </c:pt>
                <c:pt idx="756">
                  <c:v>54450</c:v>
                </c:pt>
                <c:pt idx="757">
                  <c:v>57642</c:v>
                </c:pt>
                <c:pt idx="758">
                  <c:v>59432</c:v>
                </c:pt>
                <c:pt idx="759">
                  <c:v>69401</c:v>
                </c:pt>
                <c:pt idx="760">
                  <c:v>65695</c:v>
                </c:pt>
                <c:pt idx="761">
                  <c:v>54108</c:v>
                </c:pt>
                <c:pt idx="762">
                  <c:v>77376</c:v>
                </c:pt>
                <c:pt idx="763">
                  <c:v>55012</c:v>
                </c:pt>
                <c:pt idx="764">
                  <c:v>60093</c:v>
                </c:pt>
                <c:pt idx="765">
                  <c:v>60631</c:v>
                </c:pt>
                <c:pt idx="766">
                  <c:v>56046</c:v>
                </c:pt>
                <c:pt idx="767">
                  <c:v>56320</c:v>
                </c:pt>
                <c:pt idx="768">
                  <c:v>42000</c:v>
                </c:pt>
                <c:pt idx="769">
                  <c:v>33051</c:v>
                </c:pt>
                <c:pt idx="770">
                  <c:v>42564</c:v>
                </c:pt>
                <c:pt idx="771">
                  <c:v>60689</c:v>
                </c:pt>
                <c:pt idx="772">
                  <c:v>44010</c:v>
                </c:pt>
                <c:pt idx="773">
                  <c:v>56129</c:v>
                </c:pt>
                <c:pt idx="774">
                  <c:v>66033</c:v>
                </c:pt>
                <c:pt idx="775">
                  <c:v>77353</c:v>
                </c:pt>
                <c:pt idx="776">
                  <c:v>66476</c:v>
                </c:pt>
                <c:pt idx="777">
                  <c:v>53700</c:v>
                </c:pt>
                <c:pt idx="778">
                  <c:v>54058</c:v>
                </c:pt>
                <c:pt idx="779">
                  <c:v>57957</c:v>
                </c:pt>
                <c:pt idx="780">
                  <c:v>45938</c:v>
                </c:pt>
                <c:pt idx="781">
                  <c:v>43185</c:v>
                </c:pt>
                <c:pt idx="782">
                  <c:v>66653</c:v>
                </c:pt>
                <c:pt idx="783">
                  <c:v>75127</c:v>
                </c:pt>
                <c:pt idx="784">
                  <c:v>47025</c:v>
                </c:pt>
                <c:pt idx="785">
                  <c:v>56067</c:v>
                </c:pt>
                <c:pt idx="786">
                  <c:v>62159</c:v>
                </c:pt>
                <c:pt idx="787">
                  <c:v>77981</c:v>
                </c:pt>
                <c:pt idx="788">
                  <c:v>64795</c:v>
                </c:pt>
                <c:pt idx="789">
                  <c:v>67680</c:v>
                </c:pt>
                <c:pt idx="790">
                  <c:v>61794</c:v>
                </c:pt>
                <c:pt idx="791">
                  <c:v>63777</c:v>
                </c:pt>
                <c:pt idx="792">
                  <c:v>49476</c:v>
                </c:pt>
                <c:pt idx="793">
                  <c:v>54753</c:v>
                </c:pt>
                <c:pt idx="794">
                  <c:v>60208</c:v>
                </c:pt>
                <c:pt idx="795">
                  <c:v>55517</c:v>
                </c:pt>
                <c:pt idx="796">
                  <c:v>73448</c:v>
                </c:pt>
                <c:pt idx="797">
                  <c:v>62187</c:v>
                </c:pt>
                <c:pt idx="798">
                  <c:v>62710</c:v>
                </c:pt>
                <c:pt idx="799">
                  <c:v>57867</c:v>
                </c:pt>
                <c:pt idx="800">
                  <c:v>79761</c:v>
                </c:pt>
                <c:pt idx="801">
                  <c:v>56253</c:v>
                </c:pt>
                <c:pt idx="802">
                  <c:v>61331</c:v>
                </c:pt>
                <c:pt idx="803">
                  <c:v>71427</c:v>
                </c:pt>
                <c:pt idx="804">
                  <c:v>56628</c:v>
                </c:pt>
                <c:pt idx="805">
                  <c:v>40464</c:v>
                </c:pt>
                <c:pt idx="806">
                  <c:v>49090</c:v>
                </c:pt>
                <c:pt idx="807">
                  <c:v>74190</c:v>
                </c:pt>
                <c:pt idx="808">
                  <c:v>65704</c:v>
                </c:pt>
                <c:pt idx="809">
                  <c:v>55635</c:v>
                </c:pt>
                <c:pt idx="810">
                  <c:v>62905</c:v>
                </c:pt>
                <c:pt idx="811">
                  <c:v>76800</c:v>
                </c:pt>
                <c:pt idx="812">
                  <c:v>50334</c:v>
                </c:pt>
                <c:pt idx="813">
                  <c:v>61872</c:v>
                </c:pt>
                <c:pt idx="814">
                  <c:v>50002</c:v>
                </c:pt>
                <c:pt idx="815">
                  <c:v>54803</c:v>
                </c:pt>
                <c:pt idx="816">
                  <c:v>58275</c:v>
                </c:pt>
                <c:pt idx="817">
                  <c:v>57937</c:v>
                </c:pt>
                <c:pt idx="818">
                  <c:v>57136</c:v>
                </c:pt>
                <c:pt idx="819">
                  <c:v>57288</c:v>
                </c:pt>
                <c:pt idx="820">
                  <c:v>79146</c:v>
                </c:pt>
                <c:pt idx="821">
                  <c:v>64713</c:v>
                </c:pt>
                <c:pt idx="822">
                  <c:v>58398</c:v>
                </c:pt>
                <c:pt idx="823">
                  <c:v>69263</c:v>
                </c:pt>
                <c:pt idx="824">
                  <c:v>42021</c:v>
                </c:pt>
                <c:pt idx="825">
                  <c:v>65463</c:v>
                </c:pt>
                <c:pt idx="826">
                  <c:v>64866</c:v>
                </c:pt>
                <c:pt idx="827">
                  <c:v>61467</c:v>
                </c:pt>
                <c:pt idx="828">
                  <c:v>69096</c:v>
                </c:pt>
                <c:pt idx="829">
                  <c:v>49767</c:v>
                </c:pt>
                <c:pt idx="830">
                  <c:v>56337</c:v>
                </c:pt>
                <c:pt idx="831">
                  <c:v>42720</c:v>
                </c:pt>
                <c:pt idx="832">
                  <c:v>57183</c:v>
                </c:pt>
                <c:pt idx="833">
                  <c:v>57091</c:v>
                </c:pt>
                <c:pt idx="834">
                  <c:v>65324</c:v>
                </c:pt>
                <c:pt idx="835">
                  <c:v>50725</c:v>
                </c:pt>
                <c:pt idx="836">
                  <c:v>53790</c:v>
                </c:pt>
                <c:pt idx="837">
                  <c:v>56386</c:v>
                </c:pt>
                <c:pt idx="838">
                  <c:v>75342</c:v>
                </c:pt>
                <c:pt idx="839">
                  <c:v>44325</c:v>
                </c:pt>
                <c:pt idx="840">
                  <c:v>64100</c:v>
                </c:pt>
                <c:pt idx="841">
                  <c:v>52597</c:v>
                </c:pt>
                <c:pt idx="842">
                  <c:v>48789</c:v>
                </c:pt>
                <c:pt idx="843">
                  <c:v>56575</c:v>
                </c:pt>
                <c:pt idx="844">
                  <c:v>47703</c:v>
                </c:pt>
                <c:pt idx="845">
                  <c:v>47916</c:v>
                </c:pt>
                <c:pt idx="846">
                  <c:v>32632</c:v>
                </c:pt>
                <c:pt idx="847">
                  <c:v>38410</c:v>
                </c:pt>
                <c:pt idx="848">
                  <c:v>41003</c:v>
                </c:pt>
                <c:pt idx="849">
                  <c:v>56939</c:v>
                </c:pt>
                <c:pt idx="850">
                  <c:v>65748</c:v>
                </c:pt>
                <c:pt idx="851">
                  <c:v>51195</c:v>
                </c:pt>
                <c:pt idx="852">
                  <c:v>53230</c:v>
                </c:pt>
                <c:pt idx="853">
                  <c:v>22507</c:v>
                </c:pt>
                <c:pt idx="854">
                  <c:v>58554</c:v>
                </c:pt>
                <c:pt idx="855">
                  <c:v>66373</c:v>
                </c:pt>
                <c:pt idx="856">
                  <c:v>46014</c:v>
                </c:pt>
                <c:pt idx="857">
                  <c:v>42835</c:v>
                </c:pt>
                <c:pt idx="858">
                  <c:v>65526</c:v>
                </c:pt>
                <c:pt idx="859">
                  <c:v>69142</c:v>
                </c:pt>
                <c:pt idx="860">
                  <c:v>61559</c:v>
                </c:pt>
                <c:pt idx="861">
                  <c:v>46049</c:v>
                </c:pt>
                <c:pt idx="862">
                  <c:v>54591</c:v>
                </c:pt>
                <c:pt idx="863">
                  <c:v>55842</c:v>
                </c:pt>
                <c:pt idx="864">
                  <c:v>86836</c:v>
                </c:pt>
                <c:pt idx="865">
                  <c:v>41769</c:v>
                </c:pt>
                <c:pt idx="866">
                  <c:v>65486</c:v>
                </c:pt>
                <c:pt idx="867">
                  <c:v>59292</c:v>
                </c:pt>
                <c:pt idx="868">
                  <c:v>42387</c:v>
                </c:pt>
                <c:pt idx="869">
                  <c:v>60504</c:v>
                </c:pt>
                <c:pt idx="870">
                  <c:v>57091</c:v>
                </c:pt>
                <c:pt idx="871">
                  <c:v>61286</c:v>
                </c:pt>
                <c:pt idx="872">
                  <c:v>59247</c:v>
                </c:pt>
                <c:pt idx="873">
                  <c:v>65968</c:v>
                </c:pt>
                <c:pt idx="874">
                  <c:v>50387</c:v>
                </c:pt>
                <c:pt idx="875">
                  <c:v>43783</c:v>
                </c:pt>
                <c:pt idx="876">
                  <c:v>59594</c:v>
                </c:pt>
                <c:pt idx="877">
                  <c:v>78028</c:v>
                </c:pt>
                <c:pt idx="878">
                  <c:v>50611</c:v>
                </c:pt>
                <c:pt idx="879">
                  <c:v>50611</c:v>
                </c:pt>
                <c:pt idx="880">
                  <c:v>53843</c:v>
                </c:pt>
                <c:pt idx="881">
                  <c:v>50437</c:v>
                </c:pt>
                <c:pt idx="882">
                  <c:v>61180</c:v>
                </c:pt>
                <c:pt idx="883">
                  <c:v>70337</c:v>
                </c:pt>
                <c:pt idx="884">
                  <c:v>48070</c:v>
                </c:pt>
                <c:pt idx="885">
                  <c:v>57954</c:v>
                </c:pt>
                <c:pt idx="886">
                  <c:v>54006</c:v>
                </c:pt>
                <c:pt idx="887">
                  <c:v>60482</c:v>
                </c:pt>
                <c:pt idx="888">
                  <c:v>43974</c:v>
                </c:pt>
                <c:pt idx="889">
                  <c:v>55954</c:v>
                </c:pt>
                <c:pt idx="890">
                  <c:v>47682</c:v>
                </c:pt>
                <c:pt idx="891">
                  <c:v>59052</c:v>
                </c:pt>
                <c:pt idx="892">
                  <c:v>32727</c:v>
                </c:pt>
                <c:pt idx="893">
                  <c:v>36550</c:v>
                </c:pt>
                <c:pt idx="894">
                  <c:v>66886</c:v>
                </c:pt>
                <c:pt idx="895">
                  <c:v>56559</c:v>
                </c:pt>
                <c:pt idx="896">
                  <c:v>36130</c:v>
                </c:pt>
                <c:pt idx="897">
                  <c:v>61798</c:v>
                </c:pt>
                <c:pt idx="898">
                  <c:v>58025</c:v>
                </c:pt>
                <c:pt idx="899">
                  <c:v>65747</c:v>
                </c:pt>
                <c:pt idx="900">
                  <c:v>54998</c:v>
                </c:pt>
                <c:pt idx="901">
                  <c:v>59354</c:v>
                </c:pt>
                <c:pt idx="902">
                  <c:v>57705</c:v>
                </c:pt>
                <c:pt idx="903">
                  <c:v>51529</c:v>
                </c:pt>
                <c:pt idx="904">
                  <c:v>51518</c:v>
                </c:pt>
                <c:pt idx="905">
                  <c:v>54386</c:v>
                </c:pt>
                <c:pt idx="906">
                  <c:v>57537</c:v>
                </c:pt>
                <c:pt idx="907">
                  <c:v>50729</c:v>
                </c:pt>
                <c:pt idx="908">
                  <c:v>53863</c:v>
                </c:pt>
                <c:pt idx="909">
                  <c:v>84460</c:v>
                </c:pt>
                <c:pt idx="910">
                  <c:v>55521</c:v>
                </c:pt>
                <c:pt idx="911">
                  <c:v>55593</c:v>
                </c:pt>
                <c:pt idx="912">
                  <c:v>62010</c:v>
                </c:pt>
                <c:pt idx="913">
                  <c:v>39767</c:v>
                </c:pt>
                <c:pt idx="914">
                  <c:v>52413</c:v>
                </c:pt>
                <c:pt idx="915">
                  <c:v>53593</c:v>
                </c:pt>
                <c:pt idx="916">
                  <c:v>49681</c:v>
                </c:pt>
                <c:pt idx="917">
                  <c:v>57045</c:v>
                </c:pt>
                <c:pt idx="918">
                  <c:v>64014</c:v>
                </c:pt>
                <c:pt idx="919">
                  <c:v>50664</c:v>
                </c:pt>
                <c:pt idx="920">
                  <c:v>51569</c:v>
                </c:pt>
                <c:pt idx="921">
                  <c:v>49094</c:v>
                </c:pt>
                <c:pt idx="922">
                  <c:v>65370</c:v>
                </c:pt>
                <c:pt idx="923">
                  <c:v>55801</c:v>
                </c:pt>
                <c:pt idx="924">
                  <c:v>51479</c:v>
                </c:pt>
                <c:pt idx="925">
                  <c:v>46374</c:v>
                </c:pt>
                <c:pt idx="926">
                  <c:v>41039</c:v>
                </c:pt>
                <c:pt idx="927">
                  <c:v>70829</c:v>
                </c:pt>
                <c:pt idx="928">
                  <c:v>58293</c:v>
                </c:pt>
                <c:pt idx="929">
                  <c:v>50353</c:v>
                </c:pt>
                <c:pt idx="930">
                  <c:v>62998</c:v>
                </c:pt>
                <c:pt idx="931">
                  <c:v>59481</c:v>
                </c:pt>
                <c:pt idx="932">
                  <c:v>50150</c:v>
                </c:pt>
                <c:pt idx="933">
                  <c:v>37087</c:v>
                </c:pt>
                <c:pt idx="934">
                  <c:v>61825</c:v>
                </c:pt>
                <c:pt idx="935">
                  <c:v>53034</c:v>
                </c:pt>
                <c:pt idx="936">
                  <c:v>65640</c:v>
                </c:pt>
                <c:pt idx="937">
                  <c:v>59412</c:v>
                </c:pt>
                <c:pt idx="938">
                  <c:v>62972</c:v>
                </c:pt>
                <c:pt idx="939">
                  <c:v>55158</c:v>
                </c:pt>
                <c:pt idx="940">
                  <c:v>62972</c:v>
                </c:pt>
                <c:pt idx="941">
                  <c:v>47320</c:v>
                </c:pt>
                <c:pt idx="942">
                  <c:v>62551</c:v>
                </c:pt>
                <c:pt idx="943">
                  <c:v>51369</c:v>
                </c:pt>
                <c:pt idx="944">
                  <c:v>37070</c:v>
                </c:pt>
                <c:pt idx="945">
                  <c:v>37292</c:v>
                </c:pt>
                <c:pt idx="946">
                  <c:v>45736</c:v>
                </c:pt>
                <c:pt idx="947">
                  <c:v>41443</c:v>
                </c:pt>
                <c:pt idx="948">
                  <c:v>55707</c:v>
                </c:pt>
                <c:pt idx="949">
                  <c:v>62058</c:v>
                </c:pt>
                <c:pt idx="950">
                  <c:v>57744</c:v>
                </c:pt>
                <c:pt idx="951">
                  <c:v>58116</c:v>
                </c:pt>
                <c:pt idx="952">
                  <c:v>66726</c:v>
                </c:pt>
                <c:pt idx="953">
                  <c:v>60432</c:v>
                </c:pt>
                <c:pt idx="954">
                  <c:v>32644</c:v>
                </c:pt>
                <c:pt idx="955">
                  <c:v>54456</c:v>
                </c:pt>
                <c:pt idx="956">
                  <c:v>38508</c:v>
                </c:pt>
                <c:pt idx="957">
                  <c:v>47025</c:v>
                </c:pt>
                <c:pt idx="958">
                  <c:v>56243</c:v>
                </c:pt>
                <c:pt idx="959">
                  <c:v>53367</c:v>
                </c:pt>
                <c:pt idx="960">
                  <c:v>53201</c:v>
                </c:pt>
                <c:pt idx="961">
                  <c:v>71488</c:v>
                </c:pt>
                <c:pt idx="962">
                  <c:v>46681</c:v>
                </c:pt>
                <c:pt idx="963">
                  <c:v>41124</c:v>
                </c:pt>
                <c:pt idx="964">
                  <c:v>57906</c:v>
                </c:pt>
                <c:pt idx="965">
                  <c:v>43456</c:v>
                </c:pt>
                <c:pt idx="966">
                  <c:v>42014</c:v>
                </c:pt>
                <c:pt idx="967">
                  <c:v>73395</c:v>
                </c:pt>
                <c:pt idx="968">
                  <c:v>56962</c:v>
                </c:pt>
                <c:pt idx="969">
                  <c:v>47958</c:v>
                </c:pt>
                <c:pt idx="970">
                  <c:v>43795</c:v>
                </c:pt>
                <c:pt idx="971">
                  <c:v>65735</c:v>
                </c:pt>
                <c:pt idx="972">
                  <c:v>40794</c:v>
                </c:pt>
                <c:pt idx="973">
                  <c:v>58692</c:v>
                </c:pt>
                <c:pt idx="974">
                  <c:v>59973</c:v>
                </c:pt>
                <c:pt idx="975">
                  <c:v>65352</c:v>
                </c:pt>
                <c:pt idx="976">
                  <c:v>48432</c:v>
                </c:pt>
                <c:pt idx="977">
                  <c:v>48432</c:v>
                </c:pt>
                <c:pt idx="978">
                  <c:v>49544</c:v>
                </c:pt>
                <c:pt idx="979">
                  <c:v>58494</c:v>
                </c:pt>
                <c:pt idx="980">
                  <c:v>57967</c:v>
                </c:pt>
                <c:pt idx="981">
                  <c:v>31907</c:v>
                </c:pt>
                <c:pt idx="982">
                  <c:v>72967</c:v>
                </c:pt>
                <c:pt idx="983">
                  <c:v>46923</c:v>
                </c:pt>
                <c:pt idx="984">
                  <c:v>53172</c:v>
                </c:pt>
                <c:pt idx="985">
                  <c:v>55267</c:v>
                </c:pt>
                <c:pt idx="986">
                  <c:v>47009</c:v>
                </c:pt>
                <c:pt idx="987">
                  <c:v>42081</c:v>
                </c:pt>
                <c:pt idx="988">
                  <c:v>50014</c:v>
                </c:pt>
                <c:pt idx="989">
                  <c:v>60905</c:v>
                </c:pt>
                <c:pt idx="990">
                  <c:v>40101</c:v>
                </c:pt>
                <c:pt idx="991">
                  <c:v>24401</c:v>
                </c:pt>
                <c:pt idx="992">
                  <c:v>54984</c:v>
                </c:pt>
                <c:pt idx="993">
                  <c:v>66503</c:v>
                </c:pt>
                <c:pt idx="994">
                  <c:v>37150</c:v>
                </c:pt>
                <c:pt idx="995">
                  <c:v>49854</c:v>
                </c:pt>
                <c:pt idx="996">
                  <c:v>46998</c:v>
                </c:pt>
                <c:pt idx="997">
                  <c:v>41638</c:v>
                </c:pt>
                <c:pt idx="998">
                  <c:v>45837</c:v>
                </c:pt>
                <c:pt idx="999">
                  <c:v>54730</c:v>
                </c:pt>
                <c:pt idx="1000">
                  <c:v>49431</c:v>
                </c:pt>
                <c:pt idx="1001">
                  <c:v>50501</c:v>
                </c:pt>
                <c:pt idx="1002">
                  <c:v>52914</c:v>
                </c:pt>
                <c:pt idx="1003">
                  <c:v>30538</c:v>
                </c:pt>
                <c:pt idx="1004">
                  <c:v>62535</c:v>
                </c:pt>
                <c:pt idx="1005">
                  <c:v>40689</c:v>
                </c:pt>
                <c:pt idx="1006">
                  <c:v>44124</c:v>
                </c:pt>
                <c:pt idx="1007">
                  <c:v>56181</c:v>
                </c:pt>
                <c:pt idx="1008">
                  <c:v>67472</c:v>
                </c:pt>
                <c:pt idx="1009">
                  <c:v>48904</c:v>
                </c:pt>
                <c:pt idx="1010">
                  <c:v>40780</c:v>
                </c:pt>
                <c:pt idx="1011">
                  <c:v>42213</c:v>
                </c:pt>
                <c:pt idx="1012">
                  <c:v>39552</c:v>
                </c:pt>
                <c:pt idx="1013">
                  <c:v>45906</c:v>
                </c:pt>
                <c:pt idx="1014">
                  <c:v>46610</c:v>
                </c:pt>
                <c:pt idx="1015">
                  <c:v>48920</c:v>
                </c:pt>
                <c:pt idx="1016">
                  <c:v>36715</c:v>
                </c:pt>
                <c:pt idx="1017">
                  <c:v>51651</c:v>
                </c:pt>
                <c:pt idx="1018">
                  <c:v>49154</c:v>
                </c:pt>
                <c:pt idx="1019">
                  <c:v>35416</c:v>
                </c:pt>
                <c:pt idx="1020">
                  <c:v>43263</c:v>
                </c:pt>
                <c:pt idx="1021">
                  <c:v>46344</c:v>
                </c:pt>
                <c:pt idx="1022">
                  <c:v>50388</c:v>
                </c:pt>
                <c:pt idx="1023">
                  <c:v>54111</c:v>
                </c:pt>
                <c:pt idx="1024">
                  <c:v>50200</c:v>
                </c:pt>
                <c:pt idx="1025">
                  <c:v>59754</c:v>
                </c:pt>
                <c:pt idx="1026">
                  <c:v>46149</c:v>
                </c:pt>
                <c:pt idx="1027">
                  <c:v>54210</c:v>
                </c:pt>
                <c:pt idx="1028">
                  <c:v>48752</c:v>
                </c:pt>
                <c:pt idx="1029">
                  <c:v>70545</c:v>
                </c:pt>
                <c:pt idx="1030">
                  <c:v>57100</c:v>
                </c:pt>
                <c:pt idx="1031">
                  <c:v>53253</c:v>
                </c:pt>
                <c:pt idx="1032">
                  <c:v>45989</c:v>
                </c:pt>
                <c:pt idx="1033">
                  <c:v>35196</c:v>
                </c:pt>
                <c:pt idx="1034">
                  <c:v>35196</c:v>
                </c:pt>
                <c:pt idx="1035">
                  <c:v>46692</c:v>
                </c:pt>
                <c:pt idx="1036">
                  <c:v>51039</c:v>
                </c:pt>
                <c:pt idx="1037">
                  <c:v>71322</c:v>
                </c:pt>
                <c:pt idx="1038">
                  <c:v>48799</c:v>
                </c:pt>
                <c:pt idx="1039">
                  <c:v>38988</c:v>
                </c:pt>
                <c:pt idx="1040">
                  <c:v>66480</c:v>
                </c:pt>
                <c:pt idx="1041">
                  <c:v>27683</c:v>
                </c:pt>
                <c:pt idx="1042">
                  <c:v>38513</c:v>
                </c:pt>
                <c:pt idx="1043">
                  <c:v>50127</c:v>
                </c:pt>
                <c:pt idx="1044">
                  <c:v>36634</c:v>
                </c:pt>
                <c:pt idx="1045">
                  <c:v>47352</c:v>
                </c:pt>
                <c:pt idx="1046">
                  <c:v>42710</c:v>
                </c:pt>
                <c:pt idx="1047">
                  <c:v>54237</c:v>
                </c:pt>
                <c:pt idx="1048">
                  <c:v>51876</c:v>
                </c:pt>
                <c:pt idx="1049">
                  <c:v>49967</c:v>
                </c:pt>
                <c:pt idx="1050">
                  <c:v>51148</c:v>
                </c:pt>
                <c:pt idx="1051">
                  <c:v>45183</c:v>
                </c:pt>
                <c:pt idx="1052">
                  <c:v>49494</c:v>
                </c:pt>
                <c:pt idx="1053">
                  <c:v>42607</c:v>
                </c:pt>
                <c:pt idx="1054">
                  <c:v>34600</c:v>
                </c:pt>
                <c:pt idx="1055">
                  <c:v>46734</c:v>
                </c:pt>
                <c:pt idx="1056">
                  <c:v>42691</c:v>
                </c:pt>
                <c:pt idx="1057">
                  <c:v>30522</c:v>
                </c:pt>
                <c:pt idx="1058">
                  <c:v>62994</c:v>
                </c:pt>
                <c:pt idx="1059">
                  <c:v>57420</c:v>
                </c:pt>
                <c:pt idx="1060">
                  <c:v>51390</c:v>
                </c:pt>
                <c:pt idx="1061">
                  <c:v>49669</c:v>
                </c:pt>
                <c:pt idx="1062">
                  <c:v>45143</c:v>
                </c:pt>
                <c:pt idx="1063">
                  <c:v>37774</c:v>
                </c:pt>
                <c:pt idx="1064">
                  <c:v>45688</c:v>
                </c:pt>
                <c:pt idx="1065">
                  <c:v>59354</c:v>
                </c:pt>
                <c:pt idx="1066">
                  <c:v>46310</c:v>
                </c:pt>
                <c:pt idx="1067">
                  <c:v>49678</c:v>
                </c:pt>
                <c:pt idx="1068">
                  <c:v>63516</c:v>
                </c:pt>
                <c:pt idx="1069">
                  <c:v>57100</c:v>
                </c:pt>
                <c:pt idx="1070">
                  <c:v>46086</c:v>
                </c:pt>
                <c:pt idx="1071">
                  <c:v>70844</c:v>
                </c:pt>
                <c:pt idx="1072">
                  <c:v>36108</c:v>
                </c:pt>
                <c:pt idx="1073">
                  <c:v>26997</c:v>
                </c:pt>
                <c:pt idx="1074">
                  <c:v>37760</c:v>
                </c:pt>
                <c:pt idx="1075">
                  <c:v>57107</c:v>
                </c:pt>
                <c:pt idx="1076">
                  <c:v>49514</c:v>
                </c:pt>
                <c:pt idx="1077">
                  <c:v>51373</c:v>
                </c:pt>
                <c:pt idx="1078">
                  <c:v>38683</c:v>
                </c:pt>
                <c:pt idx="1079">
                  <c:v>113734</c:v>
                </c:pt>
                <c:pt idx="1080">
                  <c:v>36262</c:v>
                </c:pt>
                <c:pt idx="1081">
                  <c:v>48721</c:v>
                </c:pt>
                <c:pt idx="1082">
                  <c:v>51948</c:v>
                </c:pt>
                <c:pt idx="1083">
                  <c:v>27421</c:v>
                </c:pt>
                <c:pt idx="1084">
                  <c:v>28071</c:v>
                </c:pt>
                <c:pt idx="1085">
                  <c:v>40059</c:v>
                </c:pt>
                <c:pt idx="1086">
                  <c:v>59686</c:v>
                </c:pt>
                <c:pt idx="1087">
                  <c:v>37040</c:v>
                </c:pt>
                <c:pt idx="1088">
                  <c:v>44159</c:v>
                </c:pt>
                <c:pt idx="1089">
                  <c:v>50300</c:v>
                </c:pt>
                <c:pt idx="1090">
                  <c:v>36864</c:v>
                </c:pt>
                <c:pt idx="1091">
                  <c:v>23331</c:v>
                </c:pt>
                <c:pt idx="1092">
                  <c:v>67506</c:v>
                </c:pt>
                <c:pt idx="1093">
                  <c:v>44989</c:v>
                </c:pt>
                <c:pt idx="1094">
                  <c:v>39660</c:v>
                </c:pt>
                <c:pt idx="1095">
                  <c:v>68805</c:v>
                </c:pt>
                <c:pt idx="1096">
                  <c:v>65808</c:v>
                </c:pt>
                <c:pt idx="1097">
                  <c:v>40049</c:v>
                </c:pt>
                <c:pt idx="1098">
                  <c:v>59060</c:v>
                </c:pt>
                <c:pt idx="1099">
                  <c:v>43057</c:v>
                </c:pt>
                <c:pt idx="1100">
                  <c:v>44267</c:v>
                </c:pt>
                <c:pt idx="1101">
                  <c:v>44375</c:v>
                </c:pt>
                <c:pt idx="1102">
                  <c:v>33955</c:v>
                </c:pt>
                <c:pt idx="1103">
                  <c:v>48195</c:v>
                </c:pt>
                <c:pt idx="1104">
                  <c:v>64413</c:v>
                </c:pt>
                <c:pt idx="1105">
                  <c:v>68274</c:v>
                </c:pt>
                <c:pt idx="1106">
                  <c:v>52034</c:v>
                </c:pt>
                <c:pt idx="1107">
                  <c:v>46610</c:v>
                </c:pt>
                <c:pt idx="1108">
                  <c:v>52117</c:v>
                </c:pt>
                <c:pt idx="1109">
                  <c:v>51267</c:v>
                </c:pt>
                <c:pt idx="1110">
                  <c:v>49166</c:v>
                </c:pt>
                <c:pt idx="1111">
                  <c:v>44602</c:v>
                </c:pt>
                <c:pt idx="1112">
                  <c:v>36930</c:v>
                </c:pt>
                <c:pt idx="1113">
                  <c:v>53083</c:v>
                </c:pt>
                <c:pt idx="1114">
                  <c:v>49413</c:v>
                </c:pt>
                <c:pt idx="1115">
                  <c:v>52332</c:v>
                </c:pt>
                <c:pt idx="1116">
                  <c:v>53187</c:v>
                </c:pt>
                <c:pt idx="1117">
                  <c:v>54222</c:v>
                </c:pt>
                <c:pt idx="1118">
                  <c:v>28973</c:v>
                </c:pt>
                <c:pt idx="1119">
                  <c:v>41551</c:v>
                </c:pt>
                <c:pt idx="1120">
                  <c:v>45006</c:v>
                </c:pt>
                <c:pt idx="1121">
                  <c:v>38201</c:v>
                </c:pt>
                <c:pt idx="1122">
                  <c:v>61482</c:v>
                </c:pt>
                <c:pt idx="1123">
                  <c:v>42557</c:v>
                </c:pt>
                <c:pt idx="1124">
                  <c:v>43776</c:v>
                </c:pt>
                <c:pt idx="1125">
                  <c:v>37929</c:v>
                </c:pt>
                <c:pt idx="1126">
                  <c:v>47743</c:v>
                </c:pt>
                <c:pt idx="1127">
                  <c:v>44377</c:v>
                </c:pt>
                <c:pt idx="1128">
                  <c:v>45072</c:v>
                </c:pt>
                <c:pt idx="1129">
                  <c:v>58917</c:v>
                </c:pt>
                <c:pt idx="1130">
                  <c:v>53761</c:v>
                </c:pt>
                <c:pt idx="1131">
                  <c:v>60544</c:v>
                </c:pt>
                <c:pt idx="1132">
                  <c:v>42873</c:v>
                </c:pt>
                <c:pt idx="1133">
                  <c:v>53312</c:v>
                </c:pt>
                <c:pt idx="1134">
                  <c:v>30168</c:v>
                </c:pt>
                <c:pt idx="1135">
                  <c:v>42586</c:v>
                </c:pt>
                <c:pt idx="1136">
                  <c:v>46231</c:v>
                </c:pt>
                <c:pt idx="1137">
                  <c:v>46097</c:v>
                </c:pt>
                <c:pt idx="1138">
                  <c:v>30507</c:v>
                </c:pt>
                <c:pt idx="1139">
                  <c:v>38620</c:v>
                </c:pt>
                <c:pt idx="1140">
                  <c:v>50272</c:v>
                </c:pt>
                <c:pt idx="1141">
                  <c:v>27573</c:v>
                </c:pt>
                <c:pt idx="1142">
                  <c:v>26877</c:v>
                </c:pt>
                <c:pt idx="1143">
                  <c:v>42670</c:v>
                </c:pt>
                <c:pt idx="1144">
                  <c:v>57247</c:v>
                </c:pt>
                <c:pt idx="1145">
                  <c:v>43462</c:v>
                </c:pt>
                <c:pt idx="1146">
                  <c:v>52157</c:v>
                </c:pt>
                <c:pt idx="1147">
                  <c:v>54165</c:v>
                </c:pt>
                <c:pt idx="1148">
                  <c:v>46463</c:v>
                </c:pt>
                <c:pt idx="1149">
                  <c:v>54197</c:v>
                </c:pt>
                <c:pt idx="1150">
                  <c:v>43140</c:v>
                </c:pt>
                <c:pt idx="1151">
                  <c:v>51766</c:v>
                </c:pt>
                <c:pt idx="1152">
                  <c:v>54549</c:v>
                </c:pt>
                <c:pt idx="1153">
                  <c:v>32233</c:v>
                </c:pt>
                <c:pt idx="1154">
                  <c:v>54603</c:v>
                </c:pt>
                <c:pt idx="1155">
                  <c:v>65316</c:v>
                </c:pt>
                <c:pt idx="1156">
                  <c:v>46904</c:v>
                </c:pt>
                <c:pt idx="1157">
                  <c:v>39747</c:v>
                </c:pt>
                <c:pt idx="1158">
                  <c:v>47353</c:v>
                </c:pt>
                <c:pt idx="1159">
                  <c:v>56721</c:v>
                </c:pt>
                <c:pt idx="1160">
                  <c:v>69139</c:v>
                </c:pt>
                <c:pt idx="1161">
                  <c:v>67267</c:v>
                </c:pt>
                <c:pt idx="1162">
                  <c:v>47175</c:v>
                </c:pt>
                <c:pt idx="1163">
                  <c:v>49160</c:v>
                </c:pt>
                <c:pt idx="1164">
                  <c:v>57113</c:v>
                </c:pt>
                <c:pt idx="1165">
                  <c:v>40590</c:v>
                </c:pt>
                <c:pt idx="1166">
                  <c:v>57338</c:v>
                </c:pt>
                <c:pt idx="1167">
                  <c:v>42731</c:v>
                </c:pt>
                <c:pt idx="1168">
                  <c:v>54252</c:v>
                </c:pt>
                <c:pt idx="1169">
                  <c:v>44551</c:v>
                </c:pt>
                <c:pt idx="1170">
                  <c:v>34968</c:v>
                </c:pt>
                <c:pt idx="1171">
                  <c:v>42207</c:v>
                </c:pt>
                <c:pt idx="1172">
                  <c:v>48150</c:v>
                </c:pt>
                <c:pt idx="1173">
                  <c:v>61905</c:v>
                </c:pt>
                <c:pt idx="1174">
                  <c:v>54198</c:v>
                </c:pt>
                <c:pt idx="1175">
                  <c:v>62499</c:v>
                </c:pt>
                <c:pt idx="1176">
                  <c:v>53359</c:v>
                </c:pt>
                <c:pt idx="1177">
                  <c:v>48178</c:v>
                </c:pt>
                <c:pt idx="1178">
                  <c:v>55282</c:v>
                </c:pt>
                <c:pt idx="1179">
                  <c:v>38946</c:v>
                </c:pt>
                <c:pt idx="1180">
                  <c:v>50183</c:v>
                </c:pt>
                <c:pt idx="1181">
                  <c:v>40344</c:v>
                </c:pt>
                <c:pt idx="1182">
                  <c:v>38808</c:v>
                </c:pt>
                <c:pt idx="1183">
                  <c:v>45207</c:v>
                </c:pt>
                <c:pt idx="1184">
                  <c:v>41883</c:v>
                </c:pt>
                <c:pt idx="1185">
                  <c:v>54414</c:v>
                </c:pt>
                <c:pt idx="1186">
                  <c:v>28457</c:v>
                </c:pt>
                <c:pt idx="1187">
                  <c:v>42315</c:v>
                </c:pt>
                <c:pt idx="1188">
                  <c:v>34916</c:v>
                </c:pt>
                <c:pt idx="1189">
                  <c:v>28769</c:v>
                </c:pt>
                <c:pt idx="1190">
                  <c:v>34074</c:v>
                </c:pt>
                <c:pt idx="1191">
                  <c:v>54178</c:v>
                </c:pt>
                <c:pt idx="1192">
                  <c:v>45921</c:v>
                </c:pt>
                <c:pt idx="1193">
                  <c:v>26490</c:v>
                </c:pt>
                <c:pt idx="1194">
                  <c:v>51012</c:v>
                </c:pt>
                <c:pt idx="1195">
                  <c:v>39665</c:v>
                </c:pt>
                <c:pt idx="1196">
                  <c:v>48186</c:v>
                </c:pt>
                <c:pt idx="1197">
                  <c:v>51650</c:v>
                </c:pt>
                <c:pt idx="1198">
                  <c:v>46390</c:v>
                </c:pt>
                <c:pt idx="1199">
                  <c:v>46053</c:v>
                </c:pt>
                <c:pt idx="1200">
                  <c:v>46854</c:v>
                </c:pt>
                <c:pt idx="1201">
                  <c:v>44911</c:v>
                </c:pt>
                <c:pt idx="1202">
                  <c:v>48726</c:v>
                </c:pt>
                <c:pt idx="1203">
                  <c:v>54137</c:v>
                </c:pt>
                <c:pt idx="1204">
                  <c:v>30732</c:v>
                </c:pt>
                <c:pt idx="1205">
                  <c:v>42618</c:v>
                </c:pt>
                <c:pt idx="1206">
                  <c:v>43638</c:v>
                </c:pt>
                <c:pt idx="1207">
                  <c:v>41335</c:v>
                </c:pt>
                <c:pt idx="1208">
                  <c:v>44421</c:v>
                </c:pt>
                <c:pt idx="1209">
                  <c:v>45579</c:v>
                </c:pt>
                <c:pt idx="1210">
                  <c:v>44392</c:v>
                </c:pt>
                <c:pt idx="1211">
                  <c:v>49980</c:v>
                </c:pt>
                <c:pt idx="1212">
                  <c:v>51412</c:v>
                </c:pt>
                <c:pt idx="1213">
                  <c:v>51315</c:v>
                </c:pt>
                <c:pt idx="1214">
                  <c:v>41020</c:v>
                </c:pt>
                <c:pt idx="1215">
                  <c:v>35893</c:v>
                </c:pt>
                <c:pt idx="1216">
                  <c:v>49096</c:v>
                </c:pt>
                <c:pt idx="1217">
                  <c:v>54690</c:v>
                </c:pt>
                <c:pt idx="1218">
                  <c:v>43020</c:v>
                </c:pt>
                <c:pt idx="1219">
                  <c:v>62637</c:v>
                </c:pt>
                <c:pt idx="1220">
                  <c:v>35688</c:v>
                </c:pt>
                <c:pt idx="1221">
                  <c:v>8028</c:v>
                </c:pt>
                <c:pt idx="1222">
                  <c:v>42395</c:v>
                </c:pt>
                <c:pt idx="1223">
                  <c:v>40442</c:v>
                </c:pt>
                <c:pt idx="1224">
                  <c:v>24279</c:v>
                </c:pt>
                <c:pt idx="1225">
                  <c:v>43824</c:v>
                </c:pt>
                <c:pt idx="1226">
                  <c:v>34412</c:v>
                </c:pt>
                <c:pt idx="1227">
                  <c:v>36145</c:v>
                </c:pt>
                <c:pt idx="1228">
                  <c:v>38593</c:v>
                </c:pt>
                <c:pt idx="1229">
                  <c:v>44051</c:v>
                </c:pt>
                <c:pt idx="1230">
                  <c:v>39791</c:v>
                </c:pt>
                <c:pt idx="1231">
                  <c:v>39146</c:v>
                </c:pt>
                <c:pt idx="1232">
                  <c:v>56223</c:v>
                </c:pt>
                <c:pt idx="1233">
                  <c:v>51287</c:v>
                </c:pt>
                <c:pt idx="1234">
                  <c:v>54809</c:v>
                </c:pt>
                <c:pt idx="1235">
                  <c:v>45503</c:v>
                </c:pt>
                <c:pt idx="1236">
                  <c:v>55761</c:v>
                </c:pt>
                <c:pt idx="1237">
                  <c:v>54809</c:v>
                </c:pt>
                <c:pt idx="1238">
                  <c:v>47808</c:v>
                </c:pt>
                <c:pt idx="1239">
                  <c:v>32313</c:v>
                </c:pt>
                <c:pt idx="1240">
                  <c:v>31497</c:v>
                </c:pt>
                <c:pt idx="1241">
                  <c:v>34380</c:v>
                </c:pt>
                <c:pt idx="1242">
                  <c:v>52869</c:v>
                </c:pt>
                <c:pt idx="1243">
                  <c:v>39763</c:v>
                </c:pt>
                <c:pt idx="1244">
                  <c:v>51141</c:v>
                </c:pt>
                <c:pt idx="1245">
                  <c:v>53154</c:v>
                </c:pt>
                <c:pt idx="1246">
                  <c:v>42011</c:v>
                </c:pt>
                <c:pt idx="1247">
                  <c:v>61278</c:v>
                </c:pt>
                <c:pt idx="1248">
                  <c:v>62307</c:v>
                </c:pt>
                <c:pt idx="1249">
                  <c:v>60033</c:v>
                </c:pt>
                <c:pt idx="1250">
                  <c:v>38175</c:v>
                </c:pt>
                <c:pt idx="1251">
                  <c:v>35641</c:v>
                </c:pt>
                <c:pt idx="1252">
                  <c:v>29999</c:v>
                </c:pt>
                <c:pt idx="1253">
                  <c:v>54342</c:v>
                </c:pt>
                <c:pt idx="1254">
                  <c:v>43300</c:v>
                </c:pt>
                <c:pt idx="1255">
                  <c:v>21888</c:v>
                </c:pt>
                <c:pt idx="1256">
                  <c:v>59385</c:v>
                </c:pt>
                <c:pt idx="1257">
                  <c:v>24570</c:v>
                </c:pt>
                <c:pt idx="1258">
                  <c:v>41713</c:v>
                </c:pt>
                <c:pt idx="1259">
                  <c:v>29760</c:v>
                </c:pt>
                <c:pt idx="1260">
                  <c:v>55375</c:v>
                </c:pt>
                <c:pt idx="1261">
                  <c:v>33629</c:v>
                </c:pt>
                <c:pt idx="1262">
                  <c:v>46734</c:v>
                </c:pt>
                <c:pt idx="1263">
                  <c:v>40233</c:v>
                </c:pt>
                <c:pt idx="1264">
                  <c:v>37716</c:v>
                </c:pt>
                <c:pt idx="1265">
                  <c:v>33454</c:v>
                </c:pt>
                <c:pt idx="1266">
                  <c:v>36138</c:v>
                </c:pt>
                <c:pt idx="1267">
                  <c:v>44213</c:v>
                </c:pt>
                <c:pt idx="1268">
                  <c:v>50616</c:v>
                </c:pt>
                <c:pt idx="1269">
                  <c:v>42373</c:v>
                </c:pt>
                <c:pt idx="1270">
                  <c:v>27803</c:v>
                </c:pt>
                <c:pt idx="1271">
                  <c:v>48526</c:v>
                </c:pt>
                <c:pt idx="1272">
                  <c:v>6835</c:v>
                </c:pt>
                <c:pt idx="1273">
                  <c:v>46524</c:v>
                </c:pt>
                <c:pt idx="1274">
                  <c:v>25545</c:v>
                </c:pt>
                <c:pt idx="1275">
                  <c:v>7144</c:v>
                </c:pt>
                <c:pt idx="1276">
                  <c:v>22669</c:v>
                </c:pt>
                <c:pt idx="1277">
                  <c:v>47850</c:v>
                </c:pt>
                <c:pt idx="1278">
                  <c:v>38361</c:v>
                </c:pt>
                <c:pt idx="1279">
                  <c:v>34838</c:v>
                </c:pt>
                <c:pt idx="1280">
                  <c:v>45203</c:v>
                </c:pt>
                <c:pt idx="1281">
                  <c:v>43322</c:v>
                </c:pt>
                <c:pt idx="1282">
                  <c:v>46891</c:v>
                </c:pt>
                <c:pt idx="1283">
                  <c:v>39898</c:v>
                </c:pt>
                <c:pt idx="1284">
                  <c:v>56551</c:v>
                </c:pt>
                <c:pt idx="1285">
                  <c:v>38360</c:v>
                </c:pt>
                <c:pt idx="1286">
                  <c:v>50447</c:v>
                </c:pt>
                <c:pt idx="1287">
                  <c:v>41411</c:v>
                </c:pt>
                <c:pt idx="1288">
                  <c:v>50520</c:v>
                </c:pt>
                <c:pt idx="1289">
                  <c:v>17117</c:v>
                </c:pt>
                <c:pt idx="1290">
                  <c:v>39190</c:v>
                </c:pt>
                <c:pt idx="1291">
                  <c:v>36957</c:v>
                </c:pt>
                <c:pt idx="1292">
                  <c:v>34529</c:v>
                </c:pt>
                <c:pt idx="1293">
                  <c:v>22419</c:v>
                </c:pt>
                <c:pt idx="1294">
                  <c:v>61923</c:v>
                </c:pt>
                <c:pt idx="1295">
                  <c:v>39922</c:v>
                </c:pt>
                <c:pt idx="1296">
                  <c:v>36317</c:v>
                </c:pt>
                <c:pt idx="1297">
                  <c:v>45576</c:v>
                </c:pt>
                <c:pt idx="1298">
                  <c:v>42160</c:v>
                </c:pt>
                <c:pt idx="1299">
                  <c:v>48877</c:v>
                </c:pt>
                <c:pt idx="1300">
                  <c:v>49605</c:v>
                </c:pt>
                <c:pt idx="1301">
                  <c:v>20180</c:v>
                </c:pt>
                <c:pt idx="1302">
                  <c:v>33168</c:v>
                </c:pt>
                <c:pt idx="1303">
                  <c:v>31605</c:v>
                </c:pt>
                <c:pt idx="1304">
                  <c:v>55249</c:v>
                </c:pt>
                <c:pt idx="1305">
                  <c:v>33316</c:v>
                </c:pt>
                <c:pt idx="1306">
                  <c:v>42473</c:v>
                </c:pt>
                <c:pt idx="1307">
                  <c:v>38557</c:v>
                </c:pt>
                <c:pt idx="1308">
                  <c:v>36443</c:v>
                </c:pt>
                <c:pt idx="1309">
                  <c:v>42162</c:v>
                </c:pt>
                <c:pt idx="1310">
                  <c:v>40887</c:v>
                </c:pt>
                <c:pt idx="1311">
                  <c:v>30983</c:v>
                </c:pt>
                <c:pt idx="1312">
                  <c:v>58646</c:v>
                </c:pt>
                <c:pt idx="1313">
                  <c:v>23477</c:v>
                </c:pt>
                <c:pt idx="1314">
                  <c:v>37509</c:v>
                </c:pt>
                <c:pt idx="1315">
                  <c:v>40548</c:v>
                </c:pt>
                <c:pt idx="1316">
                  <c:v>32011</c:v>
                </c:pt>
                <c:pt idx="1317">
                  <c:v>34935</c:v>
                </c:pt>
                <c:pt idx="1318">
                  <c:v>57236</c:v>
                </c:pt>
                <c:pt idx="1319">
                  <c:v>36947</c:v>
                </c:pt>
                <c:pt idx="1320">
                  <c:v>51717</c:v>
                </c:pt>
                <c:pt idx="1321">
                  <c:v>23228</c:v>
                </c:pt>
                <c:pt idx="1322">
                  <c:v>49187</c:v>
                </c:pt>
                <c:pt idx="1323">
                  <c:v>43641</c:v>
                </c:pt>
                <c:pt idx="1324">
                  <c:v>52854</c:v>
                </c:pt>
                <c:pt idx="1325">
                  <c:v>29435</c:v>
                </c:pt>
                <c:pt idx="1326">
                  <c:v>43586</c:v>
                </c:pt>
                <c:pt idx="1327">
                  <c:v>49618</c:v>
                </c:pt>
                <c:pt idx="1328">
                  <c:v>35876</c:v>
                </c:pt>
                <c:pt idx="1329">
                  <c:v>38097</c:v>
                </c:pt>
                <c:pt idx="1330">
                  <c:v>6560</c:v>
                </c:pt>
                <c:pt idx="1331">
                  <c:v>45204</c:v>
                </c:pt>
                <c:pt idx="1332">
                  <c:v>34487</c:v>
                </c:pt>
                <c:pt idx="1333">
                  <c:v>33812</c:v>
                </c:pt>
                <c:pt idx="1334">
                  <c:v>42767</c:v>
                </c:pt>
                <c:pt idx="1335">
                  <c:v>33585</c:v>
                </c:pt>
                <c:pt idx="1336">
                  <c:v>35322</c:v>
                </c:pt>
                <c:pt idx="1337">
                  <c:v>22979</c:v>
                </c:pt>
                <c:pt idx="1338">
                  <c:v>42192</c:v>
                </c:pt>
                <c:pt idx="1339">
                  <c:v>41850</c:v>
                </c:pt>
                <c:pt idx="1340">
                  <c:v>46107</c:v>
                </c:pt>
                <c:pt idx="1341">
                  <c:v>27038</c:v>
                </c:pt>
                <c:pt idx="1342">
                  <c:v>38823</c:v>
                </c:pt>
                <c:pt idx="1343">
                  <c:v>27450</c:v>
                </c:pt>
                <c:pt idx="1344">
                  <c:v>34053</c:v>
                </c:pt>
                <c:pt idx="1345">
                  <c:v>28087</c:v>
                </c:pt>
                <c:pt idx="1346">
                  <c:v>57530</c:v>
                </c:pt>
                <c:pt idx="1347">
                  <c:v>34213</c:v>
                </c:pt>
                <c:pt idx="1348">
                  <c:v>33762</c:v>
                </c:pt>
                <c:pt idx="1349">
                  <c:v>46377</c:v>
                </c:pt>
                <c:pt idx="1350">
                  <c:v>59041</c:v>
                </c:pt>
                <c:pt idx="1351">
                  <c:v>50523</c:v>
                </c:pt>
                <c:pt idx="1352">
                  <c:v>42523</c:v>
                </c:pt>
                <c:pt idx="1353">
                  <c:v>29236</c:v>
                </c:pt>
                <c:pt idx="1354">
                  <c:v>58217</c:v>
                </c:pt>
                <c:pt idx="1355">
                  <c:v>47570</c:v>
                </c:pt>
                <c:pt idx="1356">
                  <c:v>25509</c:v>
                </c:pt>
                <c:pt idx="1357">
                  <c:v>61917</c:v>
                </c:pt>
                <c:pt idx="1358">
                  <c:v>23478</c:v>
                </c:pt>
                <c:pt idx="1359">
                  <c:v>33378</c:v>
                </c:pt>
                <c:pt idx="1360">
                  <c:v>42386</c:v>
                </c:pt>
                <c:pt idx="1361">
                  <c:v>50737</c:v>
                </c:pt>
                <c:pt idx="1362">
                  <c:v>44931</c:v>
                </c:pt>
                <c:pt idx="1363">
                  <c:v>40800</c:v>
                </c:pt>
                <c:pt idx="1364">
                  <c:v>44322</c:v>
                </c:pt>
                <c:pt idx="1365">
                  <c:v>38232</c:v>
                </c:pt>
                <c:pt idx="1366">
                  <c:v>39435</c:v>
                </c:pt>
                <c:pt idx="1367">
                  <c:v>36075</c:v>
                </c:pt>
                <c:pt idx="1368">
                  <c:v>41580</c:v>
                </c:pt>
                <c:pt idx="1369">
                  <c:v>64587</c:v>
                </c:pt>
                <c:pt idx="1370">
                  <c:v>34377</c:v>
                </c:pt>
                <c:pt idx="1371">
                  <c:v>37787</c:v>
                </c:pt>
                <c:pt idx="1372">
                  <c:v>52569</c:v>
                </c:pt>
                <c:pt idx="1373">
                  <c:v>42769</c:v>
                </c:pt>
                <c:pt idx="1374">
                  <c:v>50785</c:v>
                </c:pt>
                <c:pt idx="1375">
                  <c:v>53537</c:v>
                </c:pt>
                <c:pt idx="1376">
                  <c:v>40760</c:v>
                </c:pt>
                <c:pt idx="1377">
                  <c:v>59892</c:v>
                </c:pt>
                <c:pt idx="1378">
                  <c:v>31560</c:v>
                </c:pt>
                <c:pt idx="1379">
                  <c:v>54348</c:v>
                </c:pt>
                <c:pt idx="1380">
                  <c:v>24480</c:v>
                </c:pt>
                <c:pt idx="1381">
                  <c:v>46098</c:v>
                </c:pt>
                <c:pt idx="1382">
                  <c:v>46423</c:v>
                </c:pt>
                <c:pt idx="1383">
                  <c:v>33438</c:v>
                </c:pt>
                <c:pt idx="1384">
                  <c:v>46098</c:v>
                </c:pt>
                <c:pt idx="1385">
                  <c:v>33183</c:v>
                </c:pt>
                <c:pt idx="1386">
                  <c:v>38829</c:v>
                </c:pt>
                <c:pt idx="1387">
                  <c:v>33471</c:v>
                </c:pt>
                <c:pt idx="1388">
                  <c:v>7500</c:v>
                </c:pt>
                <c:pt idx="1389">
                  <c:v>34961</c:v>
                </c:pt>
                <c:pt idx="1390">
                  <c:v>38236</c:v>
                </c:pt>
                <c:pt idx="1391">
                  <c:v>40706</c:v>
                </c:pt>
                <c:pt idx="1392">
                  <c:v>37697</c:v>
                </c:pt>
                <c:pt idx="1393">
                  <c:v>40321</c:v>
                </c:pt>
                <c:pt idx="1394">
                  <c:v>31089</c:v>
                </c:pt>
                <c:pt idx="1395">
                  <c:v>27215</c:v>
                </c:pt>
                <c:pt idx="1396">
                  <c:v>34941</c:v>
                </c:pt>
                <c:pt idx="1397">
                  <c:v>36778</c:v>
                </c:pt>
                <c:pt idx="1398">
                  <c:v>20193</c:v>
                </c:pt>
                <c:pt idx="1399">
                  <c:v>28510</c:v>
                </c:pt>
                <c:pt idx="1400">
                  <c:v>7500</c:v>
                </c:pt>
                <c:pt idx="1401">
                  <c:v>52074</c:v>
                </c:pt>
                <c:pt idx="1402">
                  <c:v>37155</c:v>
                </c:pt>
                <c:pt idx="1403">
                  <c:v>36065</c:v>
                </c:pt>
                <c:pt idx="1404">
                  <c:v>22123</c:v>
                </c:pt>
                <c:pt idx="1405">
                  <c:v>38179</c:v>
                </c:pt>
                <c:pt idx="1406">
                  <c:v>33249</c:v>
                </c:pt>
                <c:pt idx="1407">
                  <c:v>38578</c:v>
                </c:pt>
                <c:pt idx="1408">
                  <c:v>38452</c:v>
                </c:pt>
                <c:pt idx="1409">
                  <c:v>38136</c:v>
                </c:pt>
                <c:pt idx="1410">
                  <c:v>38578</c:v>
                </c:pt>
                <c:pt idx="1411">
                  <c:v>32557</c:v>
                </c:pt>
                <c:pt idx="1412">
                  <c:v>31761</c:v>
                </c:pt>
                <c:pt idx="1413">
                  <c:v>35790</c:v>
                </c:pt>
                <c:pt idx="1414">
                  <c:v>34176</c:v>
                </c:pt>
                <c:pt idx="1415">
                  <c:v>26091</c:v>
                </c:pt>
                <c:pt idx="1416">
                  <c:v>38872</c:v>
                </c:pt>
                <c:pt idx="1417">
                  <c:v>38702</c:v>
                </c:pt>
                <c:pt idx="1418">
                  <c:v>40662</c:v>
                </c:pt>
                <c:pt idx="1419">
                  <c:v>33622</c:v>
                </c:pt>
                <c:pt idx="1420">
                  <c:v>39858</c:v>
                </c:pt>
                <c:pt idx="1421">
                  <c:v>43018</c:v>
                </c:pt>
                <c:pt idx="1422">
                  <c:v>33419</c:v>
                </c:pt>
                <c:pt idx="1423">
                  <c:v>23748</c:v>
                </c:pt>
                <c:pt idx="1424">
                  <c:v>43050</c:v>
                </c:pt>
                <c:pt idx="1425">
                  <c:v>28647</c:v>
                </c:pt>
                <c:pt idx="1426">
                  <c:v>47472</c:v>
                </c:pt>
                <c:pt idx="1427">
                  <c:v>48985</c:v>
                </c:pt>
                <c:pt idx="1428">
                  <c:v>58401</c:v>
                </c:pt>
                <c:pt idx="1429">
                  <c:v>18929</c:v>
                </c:pt>
                <c:pt idx="1430">
                  <c:v>31928</c:v>
                </c:pt>
                <c:pt idx="1431">
                  <c:v>41473</c:v>
                </c:pt>
                <c:pt idx="1432">
                  <c:v>36273</c:v>
                </c:pt>
                <c:pt idx="1433">
                  <c:v>31158</c:v>
                </c:pt>
                <c:pt idx="1434">
                  <c:v>27242</c:v>
                </c:pt>
                <c:pt idx="1435">
                  <c:v>27213</c:v>
                </c:pt>
                <c:pt idx="1436">
                  <c:v>38680</c:v>
                </c:pt>
                <c:pt idx="1437">
                  <c:v>36927</c:v>
                </c:pt>
                <c:pt idx="1438">
                  <c:v>36997</c:v>
                </c:pt>
                <c:pt idx="1439">
                  <c:v>33039</c:v>
                </c:pt>
                <c:pt idx="1440">
                  <c:v>15716</c:v>
                </c:pt>
                <c:pt idx="1441">
                  <c:v>28164</c:v>
                </c:pt>
                <c:pt idx="1442">
                  <c:v>36301</c:v>
                </c:pt>
                <c:pt idx="1443">
                  <c:v>33228</c:v>
                </c:pt>
                <c:pt idx="1444">
                  <c:v>21024</c:v>
                </c:pt>
                <c:pt idx="1445">
                  <c:v>7500</c:v>
                </c:pt>
                <c:pt idx="1446">
                  <c:v>33996</c:v>
                </c:pt>
                <c:pt idx="1447">
                  <c:v>44635</c:v>
                </c:pt>
                <c:pt idx="1448">
                  <c:v>37126</c:v>
                </c:pt>
                <c:pt idx="1449">
                  <c:v>28587</c:v>
                </c:pt>
                <c:pt idx="1450">
                  <c:v>45759</c:v>
                </c:pt>
                <c:pt idx="1451">
                  <c:v>35704</c:v>
                </c:pt>
                <c:pt idx="1452">
                  <c:v>33564</c:v>
                </c:pt>
                <c:pt idx="1453">
                  <c:v>33235</c:v>
                </c:pt>
                <c:pt idx="1454">
                  <c:v>39684</c:v>
                </c:pt>
                <c:pt idx="1455">
                  <c:v>43815</c:v>
                </c:pt>
                <c:pt idx="1456">
                  <c:v>50116</c:v>
                </c:pt>
                <c:pt idx="1457">
                  <c:v>42429</c:v>
                </c:pt>
                <c:pt idx="1458">
                  <c:v>31632</c:v>
                </c:pt>
                <c:pt idx="1459">
                  <c:v>25965</c:v>
                </c:pt>
                <c:pt idx="1460">
                  <c:v>56850</c:v>
                </c:pt>
                <c:pt idx="1461">
                  <c:v>19419</c:v>
                </c:pt>
                <c:pt idx="1462">
                  <c:v>31814</c:v>
                </c:pt>
                <c:pt idx="1463">
                  <c:v>47889</c:v>
                </c:pt>
                <c:pt idx="1464">
                  <c:v>28440</c:v>
                </c:pt>
                <c:pt idx="1465">
                  <c:v>45903</c:v>
                </c:pt>
                <c:pt idx="1466">
                  <c:v>35544</c:v>
                </c:pt>
                <c:pt idx="1467">
                  <c:v>32218</c:v>
                </c:pt>
                <c:pt idx="1468">
                  <c:v>32146</c:v>
                </c:pt>
                <c:pt idx="1469">
                  <c:v>18589</c:v>
                </c:pt>
                <c:pt idx="1470">
                  <c:v>49389</c:v>
                </c:pt>
                <c:pt idx="1471">
                  <c:v>47823</c:v>
                </c:pt>
                <c:pt idx="1472">
                  <c:v>36959</c:v>
                </c:pt>
                <c:pt idx="1473">
                  <c:v>46931</c:v>
                </c:pt>
                <c:pt idx="1474">
                  <c:v>40211</c:v>
                </c:pt>
                <c:pt idx="1475">
                  <c:v>59062</c:v>
                </c:pt>
                <c:pt idx="1476">
                  <c:v>33402</c:v>
                </c:pt>
                <c:pt idx="1477">
                  <c:v>41154</c:v>
                </c:pt>
                <c:pt idx="1478">
                  <c:v>46910</c:v>
                </c:pt>
                <c:pt idx="1479">
                  <c:v>16653</c:v>
                </c:pt>
                <c:pt idx="1480">
                  <c:v>51813</c:v>
                </c:pt>
                <c:pt idx="1481">
                  <c:v>44794</c:v>
                </c:pt>
                <c:pt idx="1482">
                  <c:v>50870</c:v>
                </c:pt>
                <c:pt idx="1483">
                  <c:v>23724</c:v>
                </c:pt>
                <c:pt idx="1484">
                  <c:v>48918</c:v>
                </c:pt>
                <c:pt idx="1485">
                  <c:v>14515</c:v>
                </c:pt>
                <c:pt idx="1486">
                  <c:v>9722</c:v>
                </c:pt>
                <c:pt idx="1487">
                  <c:v>16185</c:v>
                </c:pt>
                <c:pt idx="1488">
                  <c:v>11012</c:v>
                </c:pt>
                <c:pt idx="1489">
                  <c:v>43482</c:v>
                </c:pt>
                <c:pt idx="1490">
                  <c:v>35765</c:v>
                </c:pt>
                <c:pt idx="1491">
                  <c:v>30390</c:v>
                </c:pt>
                <c:pt idx="1492">
                  <c:v>47139</c:v>
                </c:pt>
                <c:pt idx="1493">
                  <c:v>34026</c:v>
                </c:pt>
                <c:pt idx="1494">
                  <c:v>52190</c:v>
                </c:pt>
                <c:pt idx="1495">
                  <c:v>8940</c:v>
                </c:pt>
                <c:pt idx="1496">
                  <c:v>22682</c:v>
                </c:pt>
                <c:pt idx="1497">
                  <c:v>50616</c:v>
                </c:pt>
                <c:pt idx="1498">
                  <c:v>21846</c:v>
                </c:pt>
                <c:pt idx="1499">
                  <c:v>21255</c:v>
                </c:pt>
                <c:pt idx="1500">
                  <c:v>23331</c:v>
                </c:pt>
                <c:pt idx="1501">
                  <c:v>37085</c:v>
                </c:pt>
                <c:pt idx="1502">
                  <c:v>31395</c:v>
                </c:pt>
                <c:pt idx="1503">
                  <c:v>30545</c:v>
                </c:pt>
                <c:pt idx="1504">
                  <c:v>26759</c:v>
                </c:pt>
                <c:pt idx="1505">
                  <c:v>18793</c:v>
                </c:pt>
                <c:pt idx="1506">
                  <c:v>41120</c:v>
                </c:pt>
                <c:pt idx="1507">
                  <c:v>21474</c:v>
                </c:pt>
                <c:pt idx="1508">
                  <c:v>28332</c:v>
                </c:pt>
                <c:pt idx="1509">
                  <c:v>23559</c:v>
                </c:pt>
                <c:pt idx="1510">
                  <c:v>14849</c:v>
                </c:pt>
                <c:pt idx="1511">
                  <c:v>36230</c:v>
                </c:pt>
                <c:pt idx="1512">
                  <c:v>36790</c:v>
                </c:pt>
                <c:pt idx="1513">
                  <c:v>16005</c:v>
                </c:pt>
                <c:pt idx="1514">
                  <c:v>23539</c:v>
                </c:pt>
                <c:pt idx="1515">
                  <c:v>16626</c:v>
                </c:pt>
                <c:pt idx="1516">
                  <c:v>35523</c:v>
                </c:pt>
                <c:pt idx="1517">
                  <c:v>19329</c:v>
                </c:pt>
                <c:pt idx="1518">
                  <c:v>55412</c:v>
                </c:pt>
                <c:pt idx="1519">
                  <c:v>27244</c:v>
                </c:pt>
                <c:pt idx="1520">
                  <c:v>26290</c:v>
                </c:pt>
                <c:pt idx="1521">
                  <c:v>26518</c:v>
                </c:pt>
                <c:pt idx="1522">
                  <c:v>30477</c:v>
                </c:pt>
                <c:pt idx="1523">
                  <c:v>31788</c:v>
                </c:pt>
                <c:pt idx="1524">
                  <c:v>37760</c:v>
                </c:pt>
                <c:pt idx="1525">
                  <c:v>26850</c:v>
                </c:pt>
                <c:pt idx="1526">
                  <c:v>23910</c:v>
                </c:pt>
                <c:pt idx="1527">
                  <c:v>15038</c:v>
                </c:pt>
                <c:pt idx="1528">
                  <c:v>27238</c:v>
                </c:pt>
                <c:pt idx="1529">
                  <c:v>40304</c:v>
                </c:pt>
                <c:pt idx="1530">
                  <c:v>32952</c:v>
                </c:pt>
                <c:pt idx="1531">
                  <c:v>29440</c:v>
                </c:pt>
                <c:pt idx="1532">
                  <c:v>39453</c:v>
                </c:pt>
                <c:pt idx="1533">
                  <c:v>48767</c:v>
                </c:pt>
                <c:pt idx="1534">
                  <c:v>18222</c:v>
                </c:pt>
                <c:pt idx="1535">
                  <c:v>18358</c:v>
                </c:pt>
                <c:pt idx="1536">
                  <c:v>30093</c:v>
                </c:pt>
                <c:pt idx="1537">
                  <c:v>49572</c:v>
                </c:pt>
                <c:pt idx="1538">
                  <c:v>35246</c:v>
                </c:pt>
                <c:pt idx="1539">
                  <c:v>30015</c:v>
                </c:pt>
                <c:pt idx="1540">
                  <c:v>51111</c:v>
                </c:pt>
                <c:pt idx="1541">
                  <c:v>19656</c:v>
                </c:pt>
                <c:pt idx="1542">
                  <c:v>41021</c:v>
                </c:pt>
                <c:pt idx="1543">
                  <c:v>31626</c:v>
                </c:pt>
                <c:pt idx="1544">
                  <c:v>23957</c:v>
                </c:pt>
                <c:pt idx="1545">
                  <c:v>41275</c:v>
                </c:pt>
                <c:pt idx="1546">
                  <c:v>17148</c:v>
                </c:pt>
                <c:pt idx="1547">
                  <c:v>30753</c:v>
                </c:pt>
                <c:pt idx="1548">
                  <c:v>31160</c:v>
                </c:pt>
                <c:pt idx="1549">
                  <c:v>28442</c:v>
                </c:pt>
                <c:pt idx="1550">
                  <c:v>14906</c:v>
                </c:pt>
                <c:pt idx="1551">
                  <c:v>41986</c:v>
                </c:pt>
                <c:pt idx="1552">
                  <c:v>24711</c:v>
                </c:pt>
                <c:pt idx="1553">
                  <c:v>32144</c:v>
                </c:pt>
                <c:pt idx="1554">
                  <c:v>34554</c:v>
                </c:pt>
                <c:pt idx="1555">
                  <c:v>30631</c:v>
                </c:pt>
                <c:pt idx="1556">
                  <c:v>19789</c:v>
                </c:pt>
                <c:pt idx="1557">
                  <c:v>22944</c:v>
                </c:pt>
                <c:pt idx="1558">
                  <c:v>42243</c:v>
                </c:pt>
                <c:pt idx="1559">
                  <c:v>34469</c:v>
                </c:pt>
                <c:pt idx="1560">
                  <c:v>22634</c:v>
                </c:pt>
                <c:pt idx="1561">
                  <c:v>44393</c:v>
                </c:pt>
                <c:pt idx="1562">
                  <c:v>36781</c:v>
                </c:pt>
                <c:pt idx="1563">
                  <c:v>30368</c:v>
                </c:pt>
                <c:pt idx="1564">
                  <c:v>16927</c:v>
                </c:pt>
                <c:pt idx="1565">
                  <c:v>38998</c:v>
                </c:pt>
                <c:pt idx="1566">
                  <c:v>43602</c:v>
                </c:pt>
                <c:pt idx="1567">
                  <c:v>26646</c:v>
                </c:pt>
                <c:pt idx="1568">
                  <c:v>16248</c:v>
                </c:pt>
                <c:pt idx="1569">
                  <c:v>22212</c:v>
                </c:pt>
                <c:pt idx="1570">
                  <c:v>26224</c:v>
                </c:pt>
                <c:pt idx="1571">
                  <c:v>15056</c:v>
                </c:pt>
                <c:pt idx="1572">
                  <c:v>38741</c:v>
                </c:pt>
                <c:pt idx="1573">
                  <c:v>14188</c:v>
                </c:pt>
                <c:pt idx="1574">
                  <c:v>33562</c:v>
                </c:pt>
                <c:pt idx="1575">
                  <c:v>15315</c:v>
                </c:pt>
                <c:pt idx="1576">
                  <c:v>35797</c:v>
                </c:pt>
                <c:pt idx="1577">
                  <c:v>37334</c:v>
                </c:pt>
                <c:pt idx="1578">
                  <c:v>32889</c:v>
                </c:pt>
                <c:pt idx="1579">
                  <c:v>31878</c:v>
                </c:pt>
                <c:pt idx="1580">
                  <c:v>23616</c:v>
                </c:pt>
                <c:pt idx="1581">
                  <c:v>45057</c:v>
                </c:pt>
                <c:pt idx="1582">
                  <c:v>20559</c:v>
                </c:pt>
                <c:pt idx="1583">
                  <c:v>22070</c:v>
                </c:pt>
                <c:pt idx="1584">
                  <c:v>38961</c:v>
                </c:pt>
                <c:pt idx="1585">
                  <c:v>17345</c:v>
                </c:pt>
                <c:pt idx="1586">
                  <c:v>23091</c:v>
                </c:pt>
                <c:pt idx="1587">
                  <c:v>28427</c:v>
                </c:pt>
                <c:pt idx="1588">
                  <c:v>18393</c:v>
                </c:pt>
                <c:pt idx="1589">
                  <c:v>24762</c:v>
                </c:pt>
                <c:pt idx="1590">
                  <c:v>21645</c:v>
                </c:pt>
                <c:pt idx="1591">
                  <c:v>26487</c:v>
                </c:pt>
                <c:pt idx="1592">
                  <c:v>7500</c:v>
                </c:pt>
                <c:pt idx="1593">
                  <c:v>23718</c:v>
                </c:pt>
                <c:pt idx="1594">
                  <c:v>37401</c:v>
                </c:pt>
                <c:pt idx="1595">
                  <c:v>29543</c:v>
                </c:pt>
                <c:pt idx="1596">
                  <c:v>38054</c:v>
                </c:pt>
                <c:pt idx="1597">
                  <c:v>24882</c:v>
                </c:pt>
                <c:pt idx="1598">
                  <c:v>29315</c:v>
                </c:pt>
                <c:pt idx="1599">
                  <c:v>30351</c:v>
                </c:pt>
                <c:pt idx="1600">
                  <c:v>21063</c:v>
                </c:pt>
                <c:pt idx="1601">
                  <c:v>22063</c:v>
                </c:pt>
                <c:pt idx="1602">
                  <c:v>32892</c:v>
                </c:pt>
                <c:pt idx="1603">
                  <c:v>16269</c:v>
                </c:pt>
                <c:pt idx="1604">
                  <c:v>46831</c:v>
                </c:pt>
                <c:pt idx="1605">
                  <c:v>36026</c:v>
                </c:pt>
                <c:pt idx="1606">
                  <c:v>12393</c:v>
                </c:pt>
                <c:pt idx="1607">
                  <c:v>18746</c:v>
                </c:pt>
                <c:pt idx="1608">
                  <c:v>21955</c:v>
                </c:pt>
                <c:pt idx="1609">
                  <c:v>44359</c:v>
                </c:pt>
                <c:pt idx="1610">
                  <c:v>30351</c:v>
                </c:pt>
                <c:pt idx="1611">
                  <c:v>19444</c:v>
                </c:pt>
                <c:pt idx="1612">
                  <c:v>17649</c:v>
                </c:pt>
                <c:pt idx="1613">
                  <c:v>30828</c:v>
                </c:pt>
                <c:pt idx="1614">
                  <c:v>26067</c:v>
                </c:pt>
                <c:pt idx="1615">
                  <c:v>23626</c:v>
                </c:pt>
                <c:pt idx="1616">
                  <c:v>38853</c:v>
                </c:pt>
                <c:pt idx="1617">
                  <c:v>25271</c:v>
                </c:pt>
                <c:pt idx="1618">
                  <c:v>24027</c:v>
                </c:pt>
                <c:pt idx="1619">
                  <c:v>25851</c:v>
                </c:pt>
                <c:pt idx="1620">
                  <c:v>25804</c:v>
                </c:pt>
                <c:pt idx="1621">
                  <c:v>33462</c:v>
                </c:pt>
                <c:pt idx="1622">
                  <c:v>22434</c:v>
                </c:pt>
                <c:pt idx="1623">
                  <c:v>41658</c:v>
                </c:pt>
                <c:pt idx="1624">
                  <c:v>24639</c:v>
                </c:pt>
                <c:pt idx="1625">
                  <c:v>23162</c:v>
                </c:pt>
                <c:pt idx="1626">
                  <c:v>32765</c:v>
                </c:pt>
                <c:pt idx="1627">
                  <c:v>20981</c:v>
                </c:pt>
                <c:pt idx="1628">
                  <c:v>41728</c:v>
                </c:pt>
                <c:pt idx="1629">
                  <c:v>31615</c:v>
                </c:pt>
                <c:pt idx="1630">
                  <c:v>30630</c:v>
                </c:pt>
                <c:pt idx="1631">
                  <c:v>13260</c:v>
                </c:pt>
                <c:pt idx="1632">
                  <c:v>29103</c:v>
                </c:pt>
                <c:pt idx="1633">
                  <c:v>28072</c:v>
                </c:pt>
                <c:pt idx="1634">
                  <c:v>22585</c:v>
                </c:pt>
                <c:pt idx="1635">
                  <c:v>29009</c:v>
                </c:pt>
                <c:pt idx="1636">
                  <c:v>17323</c:v>
                </c:pt>
                <c:pt idx="1637">
                  <c:v>30992</c:v>
                </c:pt>
                <c:pt idx="1638">
                  <c:v>28718</c:v>
                </c:pt>
                <c:pt idx="1639">
                  <c:v>23976</c:v>
                </c:pt>
                <c:pt idx="1640">
                  <c:v>30675</c:v>
                </c:pt>
                <c:pt idx="1641">
                  <c:v>55563</c:v>
                </c:pt>
                <c:pt idx="1642">
                  <c:v>18690</c:v>
                </c:pt>
                <c:pt idx="1643">
                  <c:v>17144</c:v>
                </c:pt>
                <c:pt idx="1644">
                  <c:v>38576</c:v>
                </c:pt>
                <c:pt idx="1645">
                  <c:v>21675</c:v>
                </c:pt>
                <c:pt idx="1646">
                  <c:v>19514</c:v>
                </c:pt>
                <c:pt idx="1647">
                  <c:v>38196</c:v>
                </c:pt>
                <c:pt idx="1648">
                  <c:v>42693</c:v>
                </c:pt>
                <c:pt idx="1649">
                  <c:v>37235</c:v>
                </c:pt>
                <c:pt idx="1650">
                  <c:v>20895</c:v>
                </c:pt>
                <c:pt idx="1651">
                  <c:v>27161</c:v>
                </c:pt>
                <c:pt idx="1652">
                  <c:v>35701</c:v>
                </c:pt>
                <c:pt idx="1653">
                  <c:v>35178</c:v>
                </c:pt>
                <c:pt idx="1654">
                  <c:v>42554</c:v>
                </c:pt>
                <c:pt idx="1655">
                  <c:v>19514</c:v>
                </c:pt>
                <c:pt idx="1656">
                  <c:v>32414</c:v>
                </c:pt>
                <c:pt idx="1657">
                  <c:v>50943</c:v>
                </c:pt>
                <c:pt idx="1658">
                  <c:v>38415</c:v>
                </c:pt>
                <c:pt idx="1659">
                  <c:v>27203</c:v>
                </c:pt>
                <c:pt idx="1660">
                  <c:v>32880</c:v>
                </c:pt>
                <c:pt idx="1661">
                  <c:v>28567</c:v>
                </c:pt>
                <c:pt idx="1662">
                  <c:v>20425</c:v>
                </c:pt>
                <c:pt idx="1663">
                  <c:v>26872</c:v>
                </c:pt>
                <c:pt idx="1664">
                  <c:v>23228</c:v>
                </c:pt>
                <c:pt idx="1665">
                  <c:v>46015</c:v>
                </c:pt>
                <c:pt idx="1666">
                  <c:v>46106</c:v>
                </c:pt>
                <c:pt idx="1667">
                  <c:v>35340</c:v>
                </c:pt>
                <c:pt idx="1668">
                  <c:v>30023</c:v>
                </c:pt>
                <c:pt idx="1669">
                  <c:v>17256</c:v>
                </c:pt>
                <c:pt idx="1670">
                  <c:v>36732</c:v>
                </c:pt>
                <c:pt idx="1671">
                  <c:v>38725</c:v>
                </c:pt>
                <c:pt idx="1672">
                  <c:v>44503</c:v>
                </c:pt>
                <c:pt idx="1673">
                  <c:v>36038</c:v>
                </c:pt>
                <c:pt idx="1674">
                  <c:v>27733</c:v>
                </c:pt>
                <c:pt idx="1675">
                  <c:v>35788</c:v>
                </c:pt>
                <c:pt idx="1676">
                  <c:v>53233</c:v>
                </c:pt>
                <c:pt idx="1677">
                  <c:v>29604</c:v>
                </c:pt>
                <c:pt idx="1678">
                  <c:v>44300</c:v>
                </c:pt>
                <c:pt idx="1679">
                  <c:v>38643</c:v>
                </c:pt>
                <c:pt idx="1680">
                  <c:v>30822</c:v>
                </c:pt>
                <c:pt idx="1681">
                  <c:v>48006</c:v>
                </c:pt>
                <c:pt idx="1682">
                  <c:v>35682</c:v>
                </c:pt>
                <c:pt idx="1683">
                  <c:v>51124</c:v>
                </c:pt>
                <c:pt idx="1684">
                  <c:v>37758</c:v>
                </c:pt>
                <c:pt idx="1685">
                  <c:v>31056</c:v>
                </c:pt>
                <c:pt idx="1686">
                  <c:v>39722</c:v>
                </c:pt>
                <c:pt idx="1687">
                  <c:v>40451</c:v>
                </c:pt>
                <c:pt idx="1688">
                  <c:v>31454</c:v>
                </c:pt>
                <c:pt idx="1689">
                  <c:v>33986</c:v>
                </c:pt>
                <c:pt idx="1690">
                  <c:v>34043</c:v>
                </c:pt>
                <c:pt idx="1691">
                  <c:v>46094</c:v>
                </c:pt>
                <c:pt idx="1692">
                  <c:v>44964</c:v>
                </c:pt>
                <c:pt idx="1693">
                  <c:v>38887</c:v>
                </c:pt>
                <c:pt idx="1694">
                  <c:v>54132</c:v>
                </c:pt>
                <c:pt idx="1695">
                  <c:v>54072</c:v>
                </c:pt>
                <c:pt idx="1696">
                  <c:v>42403</c:v>
                </c:pt>
                <c:pt idx="1697">
                  <c:v>49638</c:v>
                </c:pt>
                <c:pt idx="1698">
                  <c:v>28320</c:v>
                </c:pt>
                <c:pt idx="1699">
                  <c:v>48794</c:v>
                </c:pt>
                <c:pt idx="1700">
                  <c:v>33569</c:v>
                </c:pt>
                <c:pt idx="1701">
                  <c:v>17459</c:v>
                </c:pt>
                <c:pt idx="1702">
                  <c:v>7500</c:v>
                </c:pt>
                <c:pt idx="1703">
                  <c:v>48699</c:v>
                </c:pt>
                <c:pt idx="1704">
                  <c:v>53204</c:v>
                </c:pt>
                <c:pt idx="1705">
                  <c:v>41967</c:v>
                </c:pt>
                <c:pt idx="1706">
                  <c:v>54432</c:v>
                </c:pt>
                <c:pt idx="1707">
                  <c:v>30081</c:v>
                </c:pt>
                <c:pt idx="1708">
                  <c:v>35441</c:v>
                </c:pt>
                <c:pt idx="1709">
                  <c:v>45889</c:v>
                </c:pt>
                <c:pt idx="1710">
                  <c:v>45894</c:v>
                </c:pt>
                <c:pt idx="1711">
                  <c:v>27116</c:v>
                </c:pt>
                <c:pt idx="1712">
                  <c:v>22148</c:v>
                </c:pt>
                <c:pt idx="1713">
                  <c:v>4428</c:v>
                </c:pt>
                <c:pt idx="1714">
                  <c:v>32871</c:v>
                </c:pt>
                <c:pt idx="1715">
                  <c:v>21359</c:v>
                </c:pt>
                <c:pt idx="1716">
                  <c:v>25224</c:v>
                </c:pt>
                <c:pt idx="1717">
                  <c:v>45146</c:v>
                </c:pt>
                <c:pt idx="1718">
                  <c:v>32303</c:v>
                </c:pt>
                <c:pt idx="1719">
                  <c:v>7500</c:v>
                </c:pt>
                <c:pt idx="1720">
                  <c:v>30372</c:v>
                </c:pt>
                <c:pt idx="1721">
                  <c:v>38443</c:v>
                </c:pt>
                <c:pt idx="1722">
                  <c:v>47821</c:v>
                </c:pt>
                <c:pt idx="1723">
                  <c:v>16813</c:v>
                </c:pt>
                <c:pt idx="1724">
                  <c:v>38197</c:v>
                </c:pt>
                <c:pt idx="1725">
                  <c:v>37633</c:v>
                </c:pt>
                <c:pt idx="1726">
                  <c:v>44078</c:v>
                </c:pt>
                <c:pt idx="1727">
                  <c:v>22448</c:v>
                </c:pt>
                <c:pt idx="1728">
                  <c:v>22554</c:v>
                </c:pt>
                <c:pt idx="1729">
                  <c:v>31859</c:v>
                </c:pt>
                <c:pt idx="1730">
                  <c:v>29819</c:v>
                </c:pt>
                <c:pt idx="1731">
                  <c:v>34350</c:v>
                </c:pt>
                <c:pt idx="1732">
                  <c:v>21355</c:v>
                </c:pt>
                <c:pt idx="1733">
                  <c:v>5648</c:v>
                </c:pt>
                <c:pt idx="1734">
                  <c:v>30096</c:v>
                </c:pt>
                <c:pt idx="1735">
                  <c:v>12571</c:v>
                </c:pt>
                <c:pt idx="1736">
                  <c:v>30279</c:v>
                </c:pt>
                <c:pt idx="1737">
                  <c:v>39548</c:v>
                </c:pt>
                <c:pt idx="1738">
                  <c:v>39771</c:v>
                </c:pt>
                <c:pt idx="1739">
                  <c:v>18351</c:v>
                </c:pt>
                <c:pt idx="1740">
                  <c:v>21059</c:v>
                </c:pt>
                <c:pt idx="1741">
                  <c:v>23763</c:v>
                </c:pt>
                <c:pt idx="1742">
                  <c:v>40637</c:v>
                </c:pt>
                <c:pt idx="1743">
                  <c:v>22574</c:v>
                </c:pt>
                <c:pt idx="1744">
                  <c:v>27255</c:v>
                </c:pt>
                <c:pt idx="1745">
                  <c:v>24683</c:v>
                </c:pt>
                <c:pt idx="1746">
                  <c:v>31590</c:v>
                </c:pt>
                <c:pt idx="1747">
                  <c:v>15072</c:v>
                </c:pt>
                <c:pt idx="1748">
                  <c:v>34704</c:v>
                </c:pt>
                <c:pt idx="1749">
                  <c:v>19740</c:v>
                </c:pt>
                <c:pt idx="1750">
                  <c:v>34984</c:v>
                </c:pt>
                <c:pt idx="1751">
                  <c:v>14796</c:v>
                </c:pt>
                <c:pt idx="1752">
                  <c:v>40851</c:v>
                </c:pt>
                <c:pt idx="1753">
                  <c:v>36921</c:v>
                </c:pt>
                <c:pt idx="1754">
                  <c:v>18701</c:v>
                </c:pt>
                <c:pt idx="1755">
                  <c:v>44319</c:v>
                </c:pt>
                <c:pt idx="1756">
                  <c:v>30801</c:v>
                </c:pt>
                <c:pt idx="1757">
                  <c:v>37859</c:v>
                </c:pt>
                <c:pt idx="1758">
                  <c:v>23529</c:v>
                </c:pt>
                <c:pt idx="1759">
                  <c:v>26642</c:v>
                </c:pt>
                <c:pt idx="1760">
                  <c:v>25410</c:v>
                </c:pt>
                <c:pt idx="1761">
                  <c:v>27943</c:v>
                </c:pt>
                <c:pt idx="1762">
                  <c:v>23272</c:v>
                </c:pt>
                <c:pt idx="1763">
                  <c:v>22518</c:v>
                </c:pt>
                <c:pt idx="1764">
                  <c:v>29732</c:v>
                </c:pt>
                <c:pt idx="1765">
                  <c:v>28249</c:v>
                </c:pt>
                <c:pt idx="1766">
                  <c:v>24221</c:v>
                </c:pt>
                <c:pt idx="1767">
                  <c:v>33178</c:v>
                </c:pt>
                <c:pt idx="1768">
                  <c:v>46984</c:v>
                </c:pt>
                <c:pt idx="1769">
                  <c:v>32300</c:v>
                </c:pt>
                <c:pt idx="1770">
                  <c:v>16531</c:v>
                </c:pt>
                <c:pt idx="1771">
                  <c:v>42231</c:v>
                </c:pt>
                <c:pt idx="1772">
                  <c:v>24434</c:v>
                </c:pt>
                <c:pt idx="1773">
                  <c:v>30899</c:v>
                </c:pt>
                <c:pt idx="1774">
                  <c:v>48330</c:v>
                </c:pt>
                <c:pt idx="1775">
                  <c:v>25315</c:v>
                </c:pt>
                <c:pt idx="1776">
                  <c:v>35791</c:v>
                </c:pt>
                <c:pt idx="1777">
                  <c:v>54162</c:v>
                </c:pt>
                <c:pt idx="1778">
                  <c:v>29187</c:v>
                </c:pt>
                <c:pt idx="1779">
                  <c:v>25130</c:v>
                </c:pt>
                <c:pt idx="1780">
                  <c:v>7500</c:v>
                </c:pt>
                <c:pt idx="1781">
                  <c:v>34853</c:v>
                </c:pt>
                <c:pt idx="1782">
                  <c:v>31086</c:v>
                </c:pt>
                <c:pt idx="1783">
                  <c:v>20194</c:v>
                </c:pt>
                <c:pt idx="1784">
                  <c:v>27071</c:v>
                </c:pt>
                <c:pt idx="1785">
                  <c:v>44155</c:v>
                </c:pt>
                <c:pt idx="1786">
                  <c:v>31535</c:v>
                </c:pt>
                <c:pt idx="1787">
                  <c:v>39062</c:v>
                </c:pt>
                <c:pt idx="1788">
                  <c:v>7500</c:v>
                </c:pt>
                <c:pt idx="1789">
                  <c:v>28839</c:v>
                </c:pt>
                <c:pt idx="1790">
                  <c:v>10404</c:v>
                </c:pt>
                <c:pt idx="1791">
                  <c:v>26095</c:v>
                </c:pt>
                <c:pt idx="1792">
                  <c:v>36975</c:v>
                </c:pt>
                <c:pt idx="1793">
                  <c:v>17003</c:v>
                </c:pt>
                <c:pt idx="1794">
                  <c:v>13724</c:v>
                </c:pt>
                <c:pt idx="1795">
                  <c:v>41437</c:v>
                </c:pt>
                <c:pt idx="1796">
                  <c:v>16014</c:v>
                </c:pt>
                <c:pt idx="1797">
                  <c:v>13533</c:v>
                </c:pt>
                <c:pt idx="1798">
                  <c:v>8820</c:v>
                </c:pt>
                <c:pt idx="1799">
                  <c:v>21918</c:v>
                </c:pt>
                <c:pt idx="1800">
                  <c:v>28691</c:v>
                </c:pt>
                <c:pt idx="1801">
                  <c:v>13624</c:v>
                </c:pt>
                <c:pt idx="1802">
                  <c:v>27922</c:v>
                </c:pt>
                <c:pt idx="1803">
                  <c:v>19107</c:v>
                </c:pt>
                <c:pt idx="1804">
                  <c:v>36663</c:v>
                </c:pt>
                <c:pt idx="1805">
                  <c:v>44512</c:v>
                </c:pt>
                <c:pt idx="1806">
                  <c:v>37244</c:v>
                </c:pt>
                <c:pt idx="1807">
                  <c:v>34728</c:v>
                </c:pt>
                <c:pt idx="1808">
                  <c:v>25959</c:v>
                </c:pt>
                <c:pt idx="1809">
                  <c:v>33456</c:v>
                </c:pt>
                <c:pt idx="1810">
                  <c:v>41644</c:v>
                </c:pt>
                <c:pt idx="1811">
                  <c:v>35860</c:v>
                </c:pt>
                <c:pt idx="1812">
                  <c:v>40049</c:v>
                </c:pt>
                <c:pt idx="1813">
                  <c:v>35860</c:v>
                </c:pt>
                <c:pt idx="1814">
                  <c:v>35860</c:v>
                </c:pt>
                <c:pt idx="1815">
                  <c:v>42394</c:v>
                </c:pt>
                <c:pt idx="1816">
                  <c:v>10245</c:v>
                </c:pt>
                <c:pt idx="1817">
                  <c:v>42169</c:v>
                </c:pt>
                <c:pt idx="1818">
                  <c:v>37395</c:v>
                </c:pt>
                <c:pt idx="1819">
                  <c:v>31163</c:v>
                </c:pt>
                <c:pt idx="1820">
                  <c:v>25293</c:v>
                </c:pt>
                <c:pt idx="1821">
                  <c:v>30298</c:v>
                </c:pt>
                <c:pt idx="1822">
                  <c:v>15345</c:v>
                </c:pt>
                <c:pt idx="1823">
                  <c:v>14918</c:v>
                </c:pt>
                <c:pt idx="1824">
                  <c:v>35684</c:v>
                </c:pt>
                <c:pt idx="1825">
                  <c:v>7500</c:v>
                </c:pt>
                <c:pt idx="1826">
                  <c:v>26150</c:v>
                </c:pt>
                <c:pt idx="1827">
                  <c:v>27100</c:v>
                </c:pt>
                <c:pt idx="1828">
                  <c:v>23148</c:v>
                </c:pt>
                <c:pt idx="1829">
                  <c:v>35924</c:v>
                </c:pt>
                <c:pt idx="1830">
                  <c:v>23830</c:v>
                </c:pt>
                <c:pt idx="1831">
                  <c:v>5305</c:v>
                </c:pt>
                <c:pt idx="1832">
                  <c:v>10979</c:v>
                </c:pt>
                <c:pt idx="1833">
                  <c:v>30843</c:v>
                </c:pt>
                <c:pt idx="1834">
                  <c:v>21282</c:v>
                </c:pt>
                <c:pt idx="1835">
                  <c:v>15862</c:v>
                </c:pt>
                <c:pt idx="1836">
                  <c:v>21840</c:v>
                </c:pt>
                <c:pt idx="1837">
                  <c:v>34176</c:v>
                </c:pt>
                <c:pt idx="1838">
                  <c:v>22804</c:v>
                </c:pt>
                <c:pt idx="1839">
                  <c:v>22010</c:v>
                </c:pt>
                <c:pt idx="1840">
                  <c:v>25443</c:v>
                </c:pt>
                <c:pt idx="1841">
                  <c:v>19414</c:v>
                </c:pt>
                <c:pt idx="1842">
                  <c:v>22108</c:v>
                </c:pt>
                <c:pt idx="1843">
                  <c:v>25008</c:v>
                </c:pt>
                <c:pt idx="1844">
                  <c:v>27938</c:v>
                </c:pt>
                <c:pt idx="1845">
                  <c:v>31353</c:v>
                </c:pt>
                <c:pt idx="1846">
                  <c:v>35388</c:v>
                </c:pt>
                <c:pt idx="1847">
                  <c:v>14661</c:v>
                </c:pt>
                <c:pt idx="1848">
                  <c:v>36283</c:v>
                </c:pt>
                <c:pt idx="1849">
                  <c:v>16860</c:v>
                </c:pt>
                <c:pt idx="1850">
                  <c:v>26887</c:v>
                </c:pt>
                <c:pt idx="1851">
                  <c:v>30560</c:v>
                </c:pt>
                <c:pt idx="1852">
                  <c:v>25358</c:v>
                </c:pt>
                <c:pt idx="1853">
                  <c:v>42664</c:v>
                </c:pt>
                <c:pt idx="1854">
                  <c:v>31353</c:v>
                </c:pt>
                <c:pt idx="1855">
                  <c:v>19510</c:v>
                </c:pt>
                <c:pt idx="1856">
                  <c:v>37971</c:v>
                </c:pt>
                <c:pt idx="1857">
                  <c:v>28520</c:v>
                </c:pt>
                <c:pt idx="1858">
                  <c:v>44689</c:v>
                </c:pt>
                <c:pt idx="1859">
                  <c:v>23661</c:v>
                </c:pt>
                <c:pt idx="1860">
                  <c:v>30833</c:v>
                </c:pt>
                <c:pt idx="1861">
                  <c:v>23442</c:v>
                </c:pt>
                <c:pt idx="1862">
                  <c:v>20130</c:v>
                </c:pt>
                <c:pt idx="1863">
                  <c:v>18978</c:v>
                </c:pt>
                <c:pt idx="1864">
                  <c:v>24206</c:v>
                </c:pt>
                <c:pt idx="1865">
                  <c:v>30396</c:v>
                </c:pt>
                <c:pt idx="1866">
                  <c:v>46344</c:v>
                </c:pt>
                <c:pt idx="1867">
                  <c:v>34421</c:v>
                </c:pt>
                <c:pt idx="1868">
                  <c:v>16529</c:v>
                </c:pt>
                <c:pt idx="1869">
                  <c:v>45684</c:v>
                </c:pt>
                <c:pt idx="1870">
                  <c:v>22390</c:v>
                </c:pt>
                <c:pt idx="1871">
                  <c:v>24594</c:v>
                </c:pt>
                <c:pt idx="1872">
                  <c:v>9548</c:v>
                </c:pt>
                <c:pt idx="1873">
                  <c:v>37717</c:v>
                </c:pt>
                <c:pt idx="1874">
                  <c:v>27159</c:v>
                </c:pt>
                <c:pt idx="1875">
                  <c:v>32173</c:v>
                </c:pt>
                <c:pt idx="1876">
                  <c:v>26907</c:v>
                </c:pt>
                <c:pt idx="1877">
                  <c:v>43776</c:v>
                </c:pt>
                <c:pt idx="1878">
                  <c:v>37368</c:v>
                </c:pt>
                <c:pt idx="1879">
                  <c:v>29791</c:v>
                </c:pt>
                <c:pt idx="1880">
                  <c:v>20491</c:v>
                </c:pt>
                <c:pt idx="1881">
                  <c:v>37054</c:v>
                </c:pt>
                <c:pt idx="1882">
                  <c:v>28389</c:v>
                </c:pt>
                <c:pt idx="1883">
                  <c:v>13672</c:v>
                </c:pt>
                <c:pt idx="1884">
                  <c:v>34587</c:v>
                </c:pt>
                <c:pt idx="1885">
                  <c:v>19346</c:v>
                </c:pt>
                <c:pt idx="1886">
                  <c:v>18890</c:v>
                </c:pt>
                <c:pt idx="1887">
                  <c:v>21994</c:v>
                </c:pt>
                <c:pt idx="1888">
                  <c:v>7500</c:v>
                </c:pt>
                <c:pt idx="1889">
                  <c:v>38590</c:v>
                </c:pt>
                <c:pt idx="1890">
                  <c:v>47025</c:v>
                </c:pt>
                <c:pt idx="1891">
                  <c:v>24072</c:v>
                </c:pt>
                <c:pt idx="1892">
                  <c:v>48686</c:v>
                </c:pt>
                <c:pt idx="1893">
                  <c:v>14045</c:v>
                </c:pt>
                <c:pt idx="1894">
                  <c:v>13084</c:v>
                </c:pt>
                <c:pt idx="1895">
                  <c:v>34824</c:v>
                </c:pt>
                <c:pt idx="1896">
                  <c:v>30467</c:v>
                </c:pt>
                <c:pt idx="1897">
                  <c:v>22327</c:v>
                </c:pt>
                <c:pt idx="1898">
                  <c:v>24367</c:v>
                </c:pt>
                <c:pt idx="1899">
                  <c:v>36408</c:v>
                </c:pt>
                <c:pt idx="1900">
                  <c:v>24336</c:v>
                </c:pt>
                <c:pt idx="1901">
                  <c:v>36802</c:v>
                </c:pt>
                <c:pt idx="1902">
                  <c:v>34230</c:v>
                </c:pt>
                <c:pt idx="1903">
                  <c:v>22701</c:v>
                </c:pt>
                <c:pt idx="1904">
                  <c:v>29478</c:v>
                </c:pt>
                <c:pt idx="1905">
                  <c:v>22263</c:v>
                </c:pt>
                <c:pt idx="1906">
                  <c:v>25818</c:v>
                </c:pt>
                <c:pt idx="1907">
                  <c:v>25721</c:v>
                </c:pt>
                <c:pt idx="1908">
                  <c:v>26816</c:v>
                </c:pt>
                <c:pt idx="1909">
                  <c:v>38547</c:v>
                </c:pt>
                <c:pt idx="1910">
                  <c:v>60199</c:v>
                </c:pt>
                <c:pt idx="1911">
                  <c:v>29548</c:v>
                </c:pt>
                <c:pt idx="1912">
                  <c:v>45160</c:v>
                </c:pt>
                <c:pt idx="1913">
                  <c:v>25707</c:v>
                </c:pt>
                <c:pt idx="1914">
                  <c:v>43269</c:v>
                </c:pt>
                <c:pt idx="1915">
                  <c:v>9255</c:v>
                </c:pt>
                <c:pt idx="1916">
                  <c:v>42033</c:v>
                </c:pt>
                <c:pt idx="1917">
                  <c:v>34738</c:v>
                </c:pt>
                <c:pt idx="1918">
                  <c:v>27889</c:v>
                </c:pt>
                <c:pt idx="1919">
                  <c:v>34109</c:v>
                </c:pt>
                <c:pt idx="1920">
                  <c:v>31385</c:v>
                </c:pt>
                <c:pt idx="1921">
                  <c:v>26576</c:v>
                </c:pt>
                <c:pt idx="1922">
                  <c:v>15287</c:v>
                </c:pt>
                <c:pt idx="1923">
                  <c:v>34320</c:v>
                </c:pt>
                <c:pt idx="1924">
                  <c:v>29672</c:v>
                </c:pt>
                <c:pt idx="1925">
                  <c:v>47691</c:v>
                </c:pt>
                <c:pt idx="1926">
                  <c:v>45068</c:v>
                </c:pt>
                <c:pt idx="1927">
                  <c:v>33697</c:v>
                </c:pt>
                <c:pt idx="1928">
                  <c:v>41014</c:v>
                </c:pt>
                <c:pt idx="1929">
                  <c:v>40521</c:v>
                </c:pt>
                <c:pt idx="1930">
                  <c:v>39356</c:v>
                </c:pt>
                <c:pt idx="1931">
                  <c:v>18227</c:v>
                </c:pt>
                <c:pt idx="1932">
                  <c:v>51411</c:v>
                </c:pt>
                <c:pt idx="1933">
                  <c:v>37284</c:v>
                </c:pt>
                <c:pt idx="1934">
                  <c:v>24645</c:v>
                </c:pt>
                <c:pt idx="1935">
                  <c:v>39228</c:v>
                </c:pt>
                <c:pt idx="1936">
                  <c:v>27469</c:v>
                </c:pt>
                <c:pt idx="1937">
                  <c:v>52195</c:v>
                </c:pt>
                <c:pt idx="1938">
                  <c:v>31686</c:v>
                </c:pt>
                <c:pt idx="1939">
                  <c:v>33581</c:v>
                </c:pt>
                <c:pt idx="1940">
                  <c:v>19986</c:v>
                </c:pt>
                <c:pt idx="1941">
                  <c:v>20518</c:v>
                </c:pt>
                <c:pt idx="1942">
                  <c:v>38200</c:v>
                </c:pt>
                <c:pt idx="1943">
                  <c:v>41452</c:v>
                </c:pt>
                <c:pt idx="1944">
                  <c:v>20587</c:v>
                </c:pt>
                <c:pt idx="1945">
                  <c:v>30772</c:v>
                </c:pt>
                <c:pt idx="1946">
                  <c:v>46779</c:v>
                </c:pt>
                <c:pt idx="1947">
                  <c:v>24884</c:v>
                </c:pt>
                <c:pt idx="1948">
                  <c:v>22304</c:v>
                </c:pt>
                <c:pt idx="1949">
                  <c:v>54466</c:v>
                </c:pt>
                <c:pt idx="1950">
                  <c:v>33444</c:v>
                </c:pt>
                <c:pt idx="1951">
                  <c:v>26954</c:v>
                </c:pt>
                <c:pt idx="1952">
                  <c:v>26228</c:v>
                </c:pt>
                <c:pt idx="1953">
                  <c:v>43142</c:v>
                </c:pt>
                <c:pt idx="1954">
                  <c:v>34596</c:v>
                </c:pt>
                <c:pt idx="1955">
                  <c:v>33279</c:v>
                </c:pt>
                <c:pt idx="1956">
                  <c:v>30261</c:v>
                </c:pt>
                <c:pt idx="1957">
                  <c:v>15253</c:v>
                </c:pt>
                <c:pt idx="1958">
                  <c:v>34596</c:v>
                </c:pt>
                <c:pt idx="1959">
                  <c:v>15033</c:v>
                </c:pt>
                <c:pt idx="1960">
                  <c:v>29938</c:v>
                </c:pt>
                <c:pt idx="1961">
                  <c:v>40737</c:v>
                </c:pt>
                <c:pt idx="1962">
                  <c:v>23295</c:v>
                </c:pt>
                <c:pt idx="1963">
                  <c:v>46102</c:v>
                </c:pt>
                <c:pt idx="1964">
                  <c:v>18988</c:v>
                </c:pt>
                <c:pt idx="1965">
                  <c:v>36627</c:v>
                </c:pt>
                <c:pt idx="1966">
                  <c:v>40479</c:v>
                </c:pt>
                <c:pt idx="1967">
                  <c:v>24163</c:v>
                </c:pt>
                <c:pt idx="1968">
                  <c:v>31859</c:v>
                </c:pt>
                <c:pt idx="1969">
                  <c:v>27190</c:v>
                </c:pt>
                <c:pt idx="1970">
                  <c:v>15759</c:v>
                </c:pt>
                <c:pt idx="1971">
                  <c:v>39996</c:v>
                </c:pt>
                <c:pt idx="1972">
                  <c:v>34633</c:v>
                </c:pt>
                <c:pt idx="1973">
                  <c:v>28359</c:v>
                </c:pt>
                <c:pt idx="1974">
                  <c:v>22775</c:v>
                </c:pt>
                <c:pt idx="1975">
                  <c:v>18169</c:v>
                </c:pt>
                <c:pt idx="1976">
                  <c:v>34242</c:v>
                </c:pt>
                <c:pt idx="1977">
                  <c:v>37406</c:v>
                </c:pt>
                <c:pt idx="1978">
                  <c:v>36143</c:v>
                </c:pt>
                <c:pt idx="1979">
                  <c:v>18100</c:v>
                </c:pt>
                <c:pt idx="1980">
                  <c:v>36736</c:v>
                </c:pt>
                <c:pt idx="1981">
                  <c:v>16581</c:v>
                </c:pt>
                <c:pt idx="1982">
                  <c:v>7500</c:v>
                </c:pt>
                <c:pt idx="1983">
                  <c:v>28420</c:v>
                </c:pt>
                <c:pt idx="1984">
                  <c:v>40246</c:v>
                </c:pt>
                <c:pt idx="1985">
                  <c:v>26304</c:v>
                </c:pt>
                <c:pt idx="1986">
                  <c:v>33181</c:v>
                </c:pt>
                <c:pt idx="1987">
                  <c:v>31880</c:v>
                </c:pt>
                <c:pt idx="1988">
                  <c:v>25252</c:v>
                </c:pt>
                <c:pt idx="1989">
                  <c:v>17487</c:v>
                </c:pt>
                <c:pt idx="1990">
                  <c:v>26868</c:v>
                </c:pt>
                <c:pt idx="1991">
                  <c:v>41145</c:v>
                </c:pt>
                <c:pt idx="1992">
                  <c:v>32474</c:v>
                </c:pt>
                <c:pt idx="1993">
                  <c:v>35946</c:v>
                </c:pt>
                <c:pt idx="1994">
                  <c:v>28764</c:v>
                </c:pt>
                <c:pt idx="1995">
                  <c:v>27590</c:v>
                </c:pt>
                <c:pt idx="1996">
                  <c:v>25930</c:v>
                </c:pt>
                <c:pt idx="1997">
                  <c:v>22280</c:v>
                </c:pt>
                <c:pt idx="1998">
                  <c:v>36807</c:v>
                </c:pt>
                <c:pt idx="1999">
                  <c:v>29298</c:v>
                </c:pt>
                <c:pt idx="2000">
                  <c:v>26751</c:v>
                </c:pt>
                <c:pt idx="2001">
                  <c:v>7500</c:v>
                </c:pt>
                <c:pt idx="2002">
                  <c:v>19485</c:v>
                </c:pt>
                <c:pt idx="2003">
                  <c:v>42997</c:v>
                </c:pt>
                <c:pt idx="2004">
                  <c:v>26326</c:v>
                </c:pt>
                <c:pt idx="2005">
                  <c:v>38285</c:v>
                </c:pt>
                <c:pt idx="2006">
                  <c:v>18492</c:v>
                </c:pt>
                <c:pt idx="2007">
                  <c:v>20427</c:v>
                </c:pt>
                <c:pt idx="2008">
                  <c:v>23536</c:v>
                </c:pt>
                <c:pt idx="2009">
                  <c:v>17688</c:v>
                </c:pt>
                <c:pt idx="2010">
                  <c:v>30523</c:v>
                </c:pt>
                <c:pt idx="2011">
                  <c:v>14421</c:v>
                </c:pt>
                <c:pt idx="2012">
                  <c:v>34578</c:v>
                </c:pt>
                <c:pt idx="2013">
                  <c:v>32583</c:v>
                </c:pt>
                <c:pt idx="2014">
                  <c:v>4023</c:v>
                </c:pt>
                <c:pt idx="2015">
                  <c:v>11448</c:v>
                </c:pt>
                <c:pt idx="2016">
                  <c:v>25176</c:v>
                </c:pt>
                <c:pt idx="2017">
                  <c:v>1730</c:v>
                </c:pt>
                <c:pt idx="2018">
                  <c:v>33590</c:v>
                </c:pt>
                <c:pt idx="2019">
                  <c:v>4861</c:v>
                </c:pt>
                <c:pt idx="2020">
                  <c:v>3502</c:v>
                </c:pt>
              </c:numCache>
            </c:numRef>
          </c:xVal>
          <c:yVal>
            <c:numRef>
              <c:f>Graphs!$B$2:$B$2022</c:f>
              <c:numCache>
                <c:formatCode>General</c:formatCode>
                <c:ptCount val="2021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0-428D-AF5A-25929D3F5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321096"/>
        <c:axId val="615327240"/>
      </c:scatterChart>
      <c:valAx>
        <c:axId val="615321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27240"/>
        <c:crosses val="autoZero"/>
        <c:crossBetween val="midCat"/>
      </c:valAx>
      <c:valAx>
        <c:axId val="615327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21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Amount Spent Histagram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Amount Spent Histagram</a:t>
          </a:r>
        </a:p>
      </cx:txPr>
    </cx:title>
    <cx:plotArea>
      <cx:plotAreaRegion>
        <cx:series layoutId="clusteredColumn" uniqueId="{8A78D6EE-7202-9F4E-BFC4-7C688D47088F}">
          <cx:tx>
            <cx:txData>
              <cx:f>_xlchart.v1.0</cx:f>
              <cx:v>MntTotal</cx:v>
            </cx:txData>
          </cx:tx>
          <cx:dataId val="0"/>
          <cx:layoutPr>
            <cx:binning intervalClosed="r">
              <cx:binCount val="3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0</xdr:colOff>
      <xdr:row>30</xdr:row>
      <xdr:rowOff>50800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39A56C6-FBD9-80A1-54EB-F4AA6F9E7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660400</xdr:colOff>
      <xdr:row>0</xdr:row>
      <xdr:rowOff>0</xdr:rowOff>
    </xdr:from>
    <xdr:to>
      <xdr:col>24</xdr:col>
      <xdr:colOff>393700</xdr:colOff>
      <xdr:row>30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2">
              <a:extLst>
                <a:ext uri="{FF2B5EF4-FFF2-40B4-BE49-F238E27FC236}">
                  <a16:creationId xmlns:a16="http://schemas.microsoft.com/office/drawing/2014/main" id="{1998E642-0FF5-E3BB-991B-5AE3439F0C04}"/>
                </a:ext>
                <a:ext uri="{147F2762-F138-4A5C-976F-8EAC2B608ADB}">
                  <a16:predDERef xmlns:a16="http://schemas.microsoft.com/office/drawing/2014/main" pred="{E39A56C6-FBD9-80A1-54EB-F4AA6F9E7A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10700" y="0"/>
              <a:ext cx="7137400" cy="501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804333</xdr:colOff>
      <xdr:row>0</xdr:row>
      <xdr:rowOff>0</xdr:rowOff>
    </xdr:from>
    <xdr:to>
      <xdr:col>12</xdr:col>
      <xdr:colOff>805576</xdr:colOff>
      <xdr:row>21</xdr:row>
      <xdr:rowOff>21167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1A7773A-B322-DEF4-BC95-C6F222B44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0" y="0"/>
          <a:ext cx="6605243" cy="35771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8.454471527781" createdVersion="8" refreshedVersion="8" minRefreshableVersion="3" recordCount="2032" xr:uid="{2F580752-2EBB-094A-9D67-BDE3A5F39DCF}">
  <cacheSource type="worksheet">
    <worksheetSource ref="A1:AM1048576" sheet="Main Data set"/>
  </cacheSource>
  <cacheFields count="39">
    <cacheField name="CustomerID" numFmtId="0">
      <sharedItems containsString="0" containsBlank="1" containsNumber="1" containsInteger="1" minValue="1" maxValue="2021"/>
    </cacheField>
    <cacheField name="Income" numFmtId="0">
      <sharedItems containsString="0" containsBlank="1" containsNumber="1" containsInteger="1" minValue="1730" maxValue="113734"/>
    </cacheField>
    <cacheField name="MntTotal" numFmtId="0">
      <sharedItems containsString="0" containsBlank="1" containsNumber="1" containsInteger="1" minValue="4" maxValue="2491"/>
    </cacheField>
    <cacheField name="PCT" numFmtId="10">
      <sharedItems containsString="0" containsBlank="1" containsNumber="1" minValue="1.7862459065197975E-4" maxValue="0.7065794850837761"/>
    </cacheField>
    <cacheField name="Kid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 count="57">
        <n v="32"/>
        <n v="29"/>
        <n v="50"/>
        <n v="51"/>
        <n v="71"/>
        <n v="64"/>
        <n v="73"/>
        <n v="44"/>
        <n v="74"/>
        <n v="48"/>
        <n v="67"/>
        <n v="79"/>
        <n v="63"/>
        <n v="43"/>
        <n v="52"/>
        <n v="69"/>
        <n v="45"/>
        <n v="28"/>
        <n v="34"/>
        <n v="41"/>
        <n v="37"/>
        <n v="59"/>
        <n v="54"/>
        <n v="35"/>
        <n v="60"/>
        <n v="26"/>
        <n v="53"/>
        <n v="62"/>
        <n v="49"/>
        <n v="61"/>
        <n v="47"/>
        <n v="38"/>
        <n v="31"/>
        <n v="57"/>
        <n v="76"/>
        <n v="46"/>
        <n v="33"/>
        <n v="42"/>
        <n v="65"/>
        <n v="36"/>
        <n v="72"/>
        <n v="40"/>
        <n v="56"/>
        <n v="39"/>
        <n v="66"/>
        <n v="77"/>
        <n v="58"/>
        <n v="55"/>
        <n v="30"/>
        <n v="75"/>
        <n v="68"/>
        <n v="70"/>
        <n v="25"/>
        <n v="27"/>
        <n v="80"/>
        <n v="24"/>
        <m/>
      </sharedItems>
    </cacheField>
    <cacheField name="Age Group" numFmtId="0">
      <sharedItems containsBlank="1"/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0">
      <sharedItems containsNonDate="0" containsDate="1" containsString="0" containsBlank="1" minDate="2014-12-18T00:00:00" maxDate="2016-11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2">
  <r>
    <n v="1"/>
    <n v="87679"/>
    <n v="2491"/>
    <n v="2.8410451761539252E-2"/>
    <x v="0"/>
    <n v="0"/>
    <n v="62"/>
    <n v="1259"/>
    <n v="172"/>
    <n v="815"/>
    <n v="97"/>
    <n v="148"/>
    <n v="33"/>
    <n v="1"/>
    <n v="7"/>
    <n v="11"/>
    <n v="10"/>
    <n v="4"/>
    <n v="1"/>
    <n v="0"/>
    <n v="1"/>
    <n v="0"/>
    <n v="1"/>
    <n v="0"/>
    <x v="0"/>
    <x v="0"/>
    <s v="24-35"/>
    <n v="2496"/>
    <n v="0"/>
    <n v="0"/>
    <n v="0"/>
    <n v="1"/>
    <n v="0"/>
    <n v="0"/>
    <n v="1"/>
    <n v="0"/>
    <n v="0"/>
    <n v="2458"/>
    <d v="2015-12-15T00:00:00"/>
  </r>
  <r>
    <n v="9"/>
    <n v="90638"/>
    <n v="2429"/>
    <n v="2.6798914362629361E-2"/>
    <x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x v="0"/>
    <x v="1"/>
    <s v="24-35"/>
    <n v="2295"/>
    <n v="0"/>
    <n v="0"/>
    <n v="1"/>
    <n v="0"/>
    <n v="0"/>
    <n v="0"/>
    <n v="0"/>
    <n v="1"/>
    <n v="0"/>
    <n v="2333"/>
    <d v="2016-07-03T00:00:00"/>
  </r>
  <r>
    <n v="1107"/>
    <n v="90638"/>
    <n v="2429"/>
    <n v="2.6798914362629361E-2"/>
    <x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x v="1"/>
    <x v="1"/>
    <s v="24-35"/>
    <n v="2295"/>
    <n v="0"/>
    <n v="0"/>
    <n v="1"/>
    <n v="0"/>
    <n v="0"/>
    <n v="0"/>
    <n v="0"/>
    <n v="1"/>
    <n v="0"/>
    <n v="2333"/>
    <d v="2016-07-03T00:00:00"/>
  </r>
  <r>
    <n v="32"/>
    <n v="93790"/>
    <n v="2304"/>
    <n v="2.4565518712016208E-2"/>
    <x v="0"/>
    <n v="0"/>
    <n v="16"/>
    <n v="1302"/>
    <n v="68"/>
    <n v="731"/>
    <n v="89"/>
    <n v="114"/>
    <n v="45"/>
    <n v="0"/>
    <n v="6"/>
    <n v="7"/>
    <n v="12"/>
    <n v="2"/>
    <n v="1"/>
    <n v="0"/>
    <n v="0"/>
    <n v="1"/>
    <n v="1"/>
    <n v="0"/>
    <x v="0"/>
    <x v="2"/>
    <s v="36-50"/>
    <n v="2296"/>
    <n v="0"/>
    <n v="0"/>
    <n v="1"/>
    <n v="0"/>
    <n v="0"/>
    <n v="0"/>
    <n v="1"/>
    <n v="0"/>
    <n v="0"/>
    <n v="2259"/>
    <d v="2016-07-02T00:00:00"/>
  </r>
  <r>
    <n v="15"/>
    <n v="75759"/>
    <n v="2304"/>
    <n v="3.0412228250108898E-2"/>
    <x v="0"/>
    <n v="0"/>
    <n v="46"/>
    <n v="1394"/>
    <n v="22"/>
    <n v="708"/>
    <n v="89"/>
    <n v="91"/>
    <n v="182"/>
    <n v="1"/>
    <n v="9"/>
    <n v="7"/>
    <n v="9"/>
    <n v="5"/>
    <n v="1"/>
    <n v="0"/>
    <n v="1"/>
    <n v="0"/>
    <n v="1"/>
    <n v="0"/>
    <x v="0"/>
    <x v="3"/>
    <s v="51-66"/>
    <n v="2406"/>
    <n v="0"/>
    <n v="1"/>
    <n v="0"/>
    <n v="0"/>
    <n v="0"/>
    <n v="0"/>
    <n v="1"/>
    <n v="0"/>
    <n v="0"/>
    <n v="2122"/>
    <d v="2016-03-14T00:00:00"/>
  </r>
  <r>
    <n v="988"/>
    <n v="69098"/>
    <n v="2262"/>
    <n v="3.2736113925149787E-2"/>
    <x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x v="1"/>
    <x v="4"/>
    <s v="66+"/>
    <n v="2657"/>
    <n v="0"/>
    <n v="1"/>
    <n v="0"/>
    <n v="0"/>
    <n v="0"/>
    <n v="0"/>
    <n v="0"/>
    <n v="0"/>
    <n v="1"/>
    <n v="2084"/>
    <d v="2015-07-07T00:00:00"/>
  </r>
  <r>
    <n v="1473"/>
    <n v="90226"/>
    <n v="2244"/>
    <n v="2.4870879790747678E-2"/>
    <x v="0"/>
    <n v="0"/>
    <n v="26"/>
    <n v="1083"/>
    <n v="108"/>
    <n v="649"/>
    <n v="253"/>
    <n v="151"/>
    <n v="108"/>
    <n v="1"/>
    <n v="4"/>
    <n v="7"/>
    <n v="12"/>
    <n v="2"/>
    <n v="1"/>
    <n v="0"/>
    <n v="0"/>
    <n v="0"/>
    <n v="0"/>
    <n v="0"/>
    <x v="1"/>
    <x v="5"/>
    <s v="51-66"/>
    <n v="2800"/>
    <n v="0"/>
    <n v="1"/>
    <n v="0"/>
    <n v="0"/>
    <n v="0"/>
    <n v="0"/>
    <n v="0"/>
    <n v="1"/>
    <n v="0"/>
    <n v="2136"/>
    <d v="2015-02-14T00:00:00"/>
  </r>
  <r>
    <n v="1602"/>
    <n v="80360"/>
    <n v="2188"/>
    <n v="2.7227476356396219E-2"/>
    <x v="0"/>
    <n v="0"/>
    <n v="56"/>
    <n v="1493"/>
    <n v="86"/>
    <n v="454"/>
    <n v="112"/>
    <n v="43"/>
    <n v="43"/>
    <n v="2"/>
    <n v="4"/>
    <n v="4"/>
    <n v="5"/>
    <n v="2"/>
    <n v="1"/>
    <n v="0"/>
    <n v="0"/>
    <n v="1"/>
    <n v="1"/>
    <n v="0"/>
    <x v="1"/>
    <x v="4"/>
    <s v="66+"/>
    <n v="2642"/>
    <n v="0"/>
    <n v="1"/>
    <n v="0"/>
    <n v="0"/>
    <n v="0"/>
    <n v="0"/>
    <n v="0"/>
    <n v="0"/>
    <n v="1"/>
    <n v="2145"/>
    <d v="2015-07-22T00:00:00"/>
  </r>
  <r>
    <n v="38"/>
    <n v="91712"/>
    <n v="2169"/>
    <n v="2.3650122121423586E-2"/>
    <x v="0"/>
    <n v="0"/>
    <n v="47"/>
    <n v="1276"/>
    <n v="24"/>
    <n v="746"/>
    <n v="94"/>
    <n v="29"/>
    <n v="48"/>
    <n v="0"/>
    <n v="9"/>
    <n v="7"/>
    <n v="11"/>
    <n v="3"/>
    <n v="0"/>
    <n v="0"/>
    <n v="0"/>
    <n v="0"/>
    <n v="1"/>
    <n v="0"/>
    <x v="0"/>
    <x v="6"/>
    <s v="66+"/>
    <n v="2414"/>
    <n v="0"/>
    <n v="0"/>
    <n v="1"/>
    <n v="0"/>
    <n v="0"/>
    <n v="0"/>
    <n v="0"/>
    <n v="1"/>
    <n v="0"/>
    <n v="2121"/>
    <d v="2016-03-06T00:00:00"/>
  </r>
  <r>
    <n v="44"/>
    <n v="75825"/>
    <n v="2158"/>
    <n v="2.846027035938015E-2"/>
    <x v="0"/>
    <n v="0"/>
    <n v="40"/>
    <n v="1032"/>
    <n v="105"/>
    <n v="779"/>
    <n v="137"/>
    <n v="105"/>
    <n v="51"/>
    <n v="0"/>
    <n v="5"/>
    <n v="8"/>
    <n v="9"/>
    <n v="4"/>
    <n v="0"/>
    <n v="0"/>
    <n v="1"/>
    <n v="0"/>
    <n v="0"/>
    <n v="0"/>
    <x v="0"/>
    <x v="7"/>
    <s v="36-50"/>
    <n v="2784"/>
    <n v="0"/>
    <n v="0"/>
    <n v="1"/>
    <n v="0"/>
    <n v="0"/>
    <n v="0"/>
    <n v="1"/>
    <n v="0"/>
    <n v="0"/>
    <n v="2107"/>
    <d v="2015-03-02T00:00:00"/>
  </r>
  <r>
    <n v="1340"/>
    <n v="82657"/>
    <n v="2157"/>
    <n v="2.6095793459719081E-2"/>
    <x v="0"/>
    <n v="0"/>
    <n v="71"/>
    <n v="966"/>
    <n v="168"/>
    <n v="672"/>
    <n v="246"/>
    <n v="105"/>
    <n v="126"/>
    <n v="1"/>
    <n v="7"/>
    <n v="5"/>
    <n v="10"/>
    <n v="4"/>
    <n v="1"/>
    <n v="0"/>
    <n v="0"/>
    <n v="1"/>
    <n v="0"/>
    <n v="0"/>
    <x v="1"/>
    <x v="8"/>
    <s v="66+"/>
    <n v="2434"/>
    <n v="0"/>
    <n v="0"/>
    <n v="0"/>
    <n v="1"/>
    <n v="0"/>
    <n v="0"/>
    <n v="1"/>
    <n v="0"/>
    <n v="0"/>
    <n v="2031"/>
    <d v="2016-02-15T00:00:00"/>
  </r>
  <r>
    <n v="1181"/>
    <n v="76653"/>
    <n v="2153"/>
    <n v="2.808761561843633E-2"/>
    <x v="0"/>
    <n v="0"/>
    <n v="91"/>
    <n v="736"/>
    <n v="63"/>
    <n v="946"/>
    <n v="219"/>
    <n v="189"/>
    <n v="126"/>
    <n v="1"/>
    <n v="4"/>
    <n v="7"/>
    <n v="11"/>
    <n v="2"/>
    <n v="1"/>
    <n v="0"/>
    <n v="0"/>
    <n v="0"/>
    <n v="1"/>
    <n v="0"/>
    <x v="1"/>
    <x v="3"/>
    <s v="51-66"/>
    <n v="2476"/>
    <n v="0"/>
    <n v="0"/>
    <n v="0"/>
    <n v="1"/>
    <n v="0"/>
    <n v="0"/>
    <n v="1"/>
    <n v="0"/>
    <n v="0"/>
    <n v="2027"/>
    <d v="2016-01-04T00:00:00"/>
  </r>
  <r>
    <n v="50"/>
    <n v="83151"/>
    <n v="2136"/>
    <n v="2.5688205794277882E-2"/>
    <x v="0"/>
    <n v="0"/>
    <n v="80"/>
    <n v="968"/>
    <n v="147"/>
    <n v="842"/>
    <n v="137"/>
    <n v="42"/>
    <n v="210"/>
    <n v="1"/>
    <n v="5"/>
    <n v="7"/>
    <n v="10"/>
    <n v="2"/>
    <n v="1"/>
    <n v="0"/>
    <n v="1"/>
    <n v="0"/>
    <n v="1"/>
    <n v="0"/>
    <x v="0"/>
    <x v="9"/>
    <s v="36-50"/>
    <n v="2663"/>
    <n v="0"/>
    <n v="1"/>
    <n v="0"/>
    <n v="0"/>
    <n v="0"/>
    <n v="0"/>
    <n v="0"/>
    <n v="1"/>
    <n v="0"/>
    <n v="1926"/>
    <d v="2015-07-01T00:00:00"/>
  </r>
  <r>
    <n v="52"/>
    <n v="94384"/>
    <n v="2130"/>
    <n v="2.2567384302424141E-2"/>
    <x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x v="0"/>
    <x v="10"/>
    <s v="66+"/>
    <n v="2641"/>
    <n v="0"/>
    <n v="0"/>
    <n v="0"/>
    <n v="1"/>
    <n v="0"/>
    <n v="0"/>
    <n v="1"/>
    <n v="0"/>
    <n v="0"/>
    <n v="1958"/>
    <d v="2015-07-23T00:00:00"/>
  </r>
  <r>
    <n v="55"/>
    <n v="77632"/>
    <n v="2105"/>
    <n v="2.7115107172300083E-2"/>
    <x v="0"/>
    <n v="0"/>
    <n v="73"/>
    <n v="1200"/>
    <n v="105"/>
    <n v="758"/>
    <n v="0"/>
    <n v="42"/>
    <n v="147"/>
    <n v="1"/>
    <n v="4"/>
    <n v="2"/>
    <n v="6"/>
    <n v="2"/>
    <n v="0"/>
    <n v="0"/>
    <n v="0"/>
    <n v="1"/>
    <n v="1"/>
    <n v="0"/>
    <x v="0"/>
    <x v="6"/>
    <s v="66+"/>
    <n v="2635"/>
    <n v="0"/>
    <n v="0"/>
    <n v="0"/>
    <n v="1"/>
    <n v="0"/>
    <n v="0"/>
    <n v="0"/>
    <n v="1"/>
    <n v="0"/>
    <n v="1958"/>
    <d v="2015-07-29T00:00:00"/>
  </r>
  <r>
    <n v="396"/>
    <n v="93027"/>
    <n v="2098"/>
    <n v="2.255259225816161E-2"/>
    <x v="0"/>
    <n v="0"/>
    <n v="77"/>
    <n v="1285"/>
    <n v="42"/>
    <n v="716"/>
    <n v="55"/>
    <n v="0"/>
    <n v="21"/>
    <n v="0"/>
    <n v="7"/>
    <n v="10"/>
    <n v="5"/>
    <n v="2"/>
    <n v="0"/>
    <n v="0"/>
    <n v="0"/>
    <n v="0"/>
    <n v="1"/>
    <n v="0"/>
    <x v="1"/>
    <x v="11"/>
    <s v="66+"/>
    <n v="2601"/>
    <n v="0"/>
    <n v="1"/>
    <n v="0"/>
    <n v="0"/>
    <n v="0"/>
    <n v="0"/>
    <n v="0"/>
    <n v="0"/>
    <n v="1"/>
    <n v="2077"/>
    <d v="2015-09-01T00:00:00"/>
  </r>
  <r>
    <n v="60"/>
    <n v="72335"/>
    <n v="2092"/>
    <n v="2.8920992603857054E-2"/>
    <x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x v="0"/>
    <x v="7"/>
    <s v="36-50"/>
    <n v="2844"/>
    <n v="0"/>
    <n v="0"/>
    <n v="0"/>
    <n v="1"/>
    <n v="0"/>
    <n v="0"/>
    <n v="0"/>
    <n v="0"/>
    <n v="1"/>
    <n v="2092"/>
    <d v="2015-01-01T00:00:00"/>
  </r>
  <r>
    <n v="335"/>
    <n v="78618"/>
    <n v="2092"/>
    <n v="2.6609682261059808E-2"/>
    <x v="0"/>
    <n v="0"/>
    <n v="87"/>
    <n v="736"/>
    <n v="163"/>
    <n v="818"/>
    <n v="212"/>
    <n v="163"/>
    <n v="61"/>
    <n v="1"/>
    <n v="4"/>
    <n v="7"/>
    <n v="10"/>
    <n v="2"/>
    <n v="0"/>
    <n v="0"/>
    <n v="0"/>
    <n v="1"/>
    <n v="0"/>
    <n v="0"/>
    <x v="1"/>
    <x v="12"/>
    <s v="51-66"/>
    <n v="2798"/>
    <n v="0"/>
    <n v="1"/>
    <n v="0"/>
    <n v="0"/>
    <n v="0"/>
    <n v="0"/>
    <n v="1"/>
    <n v="0"/>
    <n v="0"/>
    <n v="2031"/>
    <d v="2015-02-16T00:00:00"/>
  </r>
  <r>
    <n v="62"/>
    <n v="86857"/>
    <n v="2074"/>
    <n v="2.387832874725123E-2"/>
    <x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  <x v="9"/>
    <s v="36-50"/>
    <n v="2814"/>
    <n v="0"/>
    <n v="0"/>
    <n v="1"/>
    <n v="0"/>
    <n v="0"/>
    <n v="0"/>
    <n v="0"/>
    <n v="0"/>
    <n v="1"/>
    <n v="2034"/>
    <d v="2015-01-31T00:00:00"/>
  </r>
  <r>
    <n v="70"/>
    <n v="82326"/>
    <n v="2074"/>
    <n v="2.5192527269635352E-2"/>
    <x v="0"/>
    <n v="0"/>
    <n v="30"/>
    <n v="938"/>
    <n v="142"/>
    <n v="754"/>
    <n v="159"/>
    <n v="81"/>
    <n v="183"/>
    <n v="1"/>
    <n v="5"/>
    <n v="10"/>
    <n v="6"/>
    <n v="2"/>
    <n v="1"/>
    <n v="0"/>
    <n v="0"/>
    <n v="1"/>
    <n v="1"/>
    <n v="0"/>
    <x v="0"/>
    <x v="13"/>
    <s v="36-50"/>
    <n v="2270"/>
    <n v="0"/>
    <n v="0"/>
    <n v="0"/>
    <n v="1"/>
    <n v="0"/>
    <n v="1"/>
    <n v="0"/>
    <n v="0"/>
    <n v="0"/>
    <n v="1891"/>
    <d v="2016-07-28T00:00:00"/>
  </r>
  <r>
    <n v="221"/>
    <n v="73455"/>
    <n v="2068"/>
    <n v="2.8153291130624192E-2"/>
    <x v="0"/>
    <n v="0"/>
    <n v="98"/>
    <n v="901"/>
    <n v="61"/>
    <n v="757"/>
    <n v="186"/>
    <n v="163"/>
    <n v="20"/>
    <n v="1"/>
    <n v="6"/>
    <n v="5"/>
    <n v="10"/>
    <n v="3"/>
    <n v="0"/>
    <n v="0"/>
    <n v="0"/>
    <n v="1"/>
    <n v="0"/>
    <n v="0"/>
    <x v="1"/>
    <x v="14"/>
    <s v="51-66"/>
    <n v="2403"/>
    <n v="0"/>
    <n v="0"/>
    <n v="0"/>
    <n v="0"/>
    <n v="1"/>
    <n v="0"/>
    <n v="1"/>
    <n v="0"/>
    <n v="0"/>
    <n v="2048"/>
    <d v="2016-03-17T00:00:00"/>
  </r>
  <r>
    <n v="1805"/>
    <n v="94642"/>
    <n v="2068"/>
    <n v="2.1850763931446925E-2"/>
    <x v="0"/>
    <n v="0"/>
    <n v="35"/>
    <n v="879"/>
    <n v="143"/>
    <n v="797"/>
    <n v="106"/>
    <n v="143"/>
    <n v="143"/>
    <n v="0"/>
    <n v="5"/>
    <n v="7"/>
    <n v="9"/>
    <n v="1"/>
    <n v="1"/>
    <n v="0"/>
    <n v="0"/>
    <n v="0"/>
    <n v="1"/>
    <n v="0"/>
    <x v="1"/>
    <x v="15"/>
    <s v="66+"/>
    <n v="2296"/>
    <n v="0"/>
    <n v="1"/>
    <n v="0"/>
    <n v="0"/>
    <n v="0"/>
    <n v="0"/>
    <n v="1"/>
    <n v="0"/>
    <n v="0"/>
    <n v="1925"/>
    <d v="2016-07-02T00:00:00"/>
  </r>
  <r>
    <n v="72"/>
    <n v="92163"/>
    <n v="2066"/>
    <n v="2.2416805008517518E-2"/>
    <x v="0"/>
    <n v="0"/>
    <n v="25"/>
    <n v="817"/>
    <n v="183"/>
    <n v="797"/>
    <n v="106"/>
    <n v="163"/>
    <n v="20"/>
    <n v="0"/>
    <n v="5"/>
    <n v="11"/>
    <n v="5"/>
    <n v="2"/>
    <n v="1"/>
    <n v="0"/>
    <n v="0"/>
    <n v="0"/>
    <n v="1"/>
    <n v="0"/>
    <x v="0"/>
    <x v="16"/>
    <s v="36-50"/>
    <n v="2723"/>
    <n v="0"/>
    <n v="1"/>
    <n v="0"/>
    <n v="0"/>
    <n v="0"/>
    <n v="0"/>
    <n v="0"/>
    <n v="1"/>
    <n v="0"/>
    <n v="2046"/>
    <d v="2015-05-02T00:00:00"/>
  </r>
  <r>
    <n v="484"/>
    <n v="81169"/>
    <n v="2062"/>
    <n v="2.5403787160122707E-2"/>
    <x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x v="1"/>
    <x v="16"/>
    <s v="36-50"/>
    <n v="2600"/>
    <n v="0"/>
    <n v="0"/>
    <n v="1"/>
    <n v="0"/>
    <n v="0"/>
    <n v="0"/>
    <n v="0"/>
    <n v="1"/>
    <n v="0"/>
    <n v="2035"/>
    <d v="2015-09-02T00:00:00"/>
  </r>
  <r>
    <n v="127"/>
    <n v="92859"/>
    <n v="2057"/>
    <n v="2.2151864655014591E-2"/>
    <x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x v="1"/>
    <x v="17"/>
    <s v="24-35"/>
    <n v="2777"/>
    <n v="0"/>
    <n v="0"/>
    <n v="1"/>
    <n v="0"/>
    <n v="0"/>
    <n v="0"/>
    <n v="0"/>
    <n v="1"/>
    <n v="0"/>
    <n v="2037"/>
    <d v="2015-03-09T00:00:00"/>
  </r>
  <r>
    <n v="79"/>
    <n v="83512"/>
    <n v="2056"/>
    <n v="2.4619216400038318E-2"/>
    <x v="0"/>
    <n v="0"/>
    <n v="31"/>
    <n v="1060"/>
    <n v="61"/>
    <n v="835"/>
    <n v="80"/>
    <n v="20"/>
    <n v="101"/>
    <n v="1"/>
    <n v="4"/>
    <n v="7"/>
    <n v="10"/>
    <n v="1"/>
    <n v="1"/>
    <n v="1"/>
    <n v="1"/>
    <n v="0"/>
    <n v="1"/>
    <n v="0"/>
    <x v="0"/>
    <x v="18"/>
    <s v="24-35"/>
    <n v="2171"/>
    <n v="0"/>
    <n v="1"/>
    <n v="0"/>
    <n v="0"/>
    <n v="0"/>
    <n v="0"/>
    <n v="1"/>
    <n v="0"/>
    <n v="0"/>
    <n v="1955"/>
    <d v="2016-11-04T00:00:00"/>
  </r>
  <r>
    <n v="93"/>
    <n v="80141"/>
    <n v="2051"/>
    <n v="2.5592393406620832E-2"/>
    <x v="0"/>
    <n v="0"/>
    <n v="20"/>
    <n v="1184"/>
    <n v="102"/>
    <n v="673"/>
    <n v="52"/>
    <n v="40"/>
    <n v="40"/>
    <n v="1"/>
    <n v="7"/>
    <n v="4"/>
    <n v="10"/>
    <n v="6"/>
    <n v="0"/>
    <n v="0"/>
    <n v="0"/>
    <n v="0"/>
    <n v="1"/>
    <n v="0"/>
    <x v="0"/>
    <x v="18"/>
    <s v="24-35"/>
    <n v="2693"/>
    <n v="0"/>
    <n v="1"/>
    <n v="0"/>
    <n v="0"/>
    <n v="0"/>
    <n v="0"/>
    <n v="0"/>
    <n v="1"/>
    <n v="0"/>
    <n v="2011"/>
    <d v="2015-06-01T00:00:00"/>
  </r>
  <r>
    <n v="948"/>
    <n v="77568"/>
    <n v="2036"/>
    <n v="2.6247937293729373E-2"/>
    <x v="0"/>
    <n v="1"/>
    <n v="30"/>
    <n v="1230"/>
    <n v="0"/>
    <n v="396"/>
    <n v="232"/>
    <n v="178"/>
    <n v="158"/>
    <n v="1"/>
    <n v="10"/>
    <n v="2"/>
    <n v="8"/>
    <n v="5"/>
    <n v="1"/>
    <n v="0"/>
    <n v="0"/>
    <n v="1"/>
    <n v="1"/>
    <n v="0"/>
    <x v="1"/>
    <x v="19"/>
    <s v="36-50"/>
    <n v="2832"/>
    <n v="0"/>
    <n v="0"/>
    <n v="0"/>
    <n v="1"/>
    <n v="0"/>
    <n v="0"/>
    <n v="1"/>
    <n v="0"/>
    <n v="0"/>
    <n v="1878"/>
    <d v="2015-01-13T00:00:00"/>
  </r>
  <r>
    <n v="100"/>
    <n v="92491"/>
    <n v="2012"/>
    <n v="2.1753467904985349E-2"/>
    <x v="0"/>
    <n v="0"/>
    <n v="71"/>
    <n v="979"/>
    <n v="44"/>
    <n v="935"/>
    <n v="29"/>
    <n v="25"/>
    <n v="22"/>
    <n v="1"/>
    <n v="7"/>
    <n v="5"/>
    <n v="12"/>
    <n v="3"/>
    <n v="1"/>
    <n v="0"/>
    <n v="0"/>
    <n v="1"/>
    <n v="1"/>
    <n v="0"/>
    <x v="0"/>
    <x v="20"/>
    <s v="36-50"/>
    <n v="2583"/>
    <n v="0"/>
    <n v="1"/>
    <n v="0"/>
    <n v="0"/>
    <n v="0"/>
    <n v="0"/>
    <n v="0"/>
    <n v="0"/>
    <n v="1"/>
    <n v="1990"/>
    <d v="2015-09-19T00:00:00"/>
  </r>
  <r>
    <n v="1010"/>
    <n v="88347"/>
    <n v="1998"/>
    <n v="2.2615368942918265E-2"/>
    <x v="0"/>
    <n v="0"/>
    <n v="32"/>
    <n v="1050"/>
    <n v="178"/>
    <n v="555"/>
    <n v="77"/>
    <n v="138"/>
    <n v="118"/>
    <n v="1"/>
    <n v="4"/>
    <n v="7"/>
    <n v="9"/>
    <n v="1"/>
    <n v="1"/>
    <n v="0"/>
    <n v="0"/>
    <n v="0"/>
    <n v="0"/>
    <n v="0"/>
    <x v="1"/>
    <x v="21"/>
    <s v="51-66"/>
    <n v="2520"/>
    <n v="0"/>
    <n v="0"/>
    <n v="0"/>
    <n v="1"/>
    <n v="0"/>
    <n v="0"/>
    <n v="1"/>
    <n v="0"/>
    <n v="0"/>
    <n v="1880"/>
    <d v="2015-11-21T00:00:00"/>
  </r>
  <r>
    <n v="102"/>
    <n v="89572"/>
    <n v="1995"/>
    <n v="2.2272585182869648E-2"/>
    <x v="0"/>
    <n v="0"/>
    <n v="44"/>
    <n v="606"/>
    <n v="24"/>
    <n v="974"/>
    <n v="197"/>
    <n v="194"/>
    <n v="64"/>
    <n v="1"/>
    <n v="7"/>
    <n v="7"/>
    <n v="9"/>
    <n v="4"/>
    <n v="1"/>
    <n v="0"/>
    <n v="0"/>
    <n v="1"/>
    <n v="0"/>
    <n v="0"/>
    <x v="0"/>
    <x v="22"/>
    <s v="51-66"/>
    <n v="2811"/>
    <n v="0"/>
    <n v="0"/>
    <n v="1"/>
    <n v="0"/>
    <n v="0"/>
    <n v="1"/>
    <n v="0"/>
    <n v="0"/>
    <n v="0"/>
    <n v="1931"/>
    <d v="2015-02-03T00:00:00"/>
  </r>
  <r>
    <n v="1138"/>
    <n v="74918"/>
    <n v="1988"/>
    <n v="2.6535679009049896E-2"/>
    <x v="0"/>
    <n v="0"/>
    <n v="78"/>
    <n v="972"/>
    <n v="59"/>
    <n v="913"/>
    <n v="25"/>
    <n v="19"/>
    <n v="59"/>
    <n v="1"/>
    <n v="5"/>
    <n v="9"/>
    <n v="6"/>
    <n v="3"/>
    <n v="0"/>
    <n v="0"/>
    <n v="0"/>
    <n v="0"/>
    <n v="1"/>
    <n v="0"/>
    <x v="1"/>
    <x v="3"/>
    <s v="51-66"/>
    <n v="2633"/>
    <n v="0"/>
    <n v="0"/>
    <n v="0"/>
    <n v="1"/>
    <n v="0"/>
    <n v="0"/>
    <n v="1"/>
    <n v="0"/>
    <n v="0"/>
    <n v="1929"/>
    <d v="2015-07-31T00:00:00"/>
  </r>
  <r>
    <n v="110"/>
    <n v="82332"/>
    <n v="1987"/>
    <n v="2.4133994072778508E-2"/>
    <x v="0"/>
    <n v="0"/>
    <n v="89"/>
    <n v="830"/>
    <n v="59"/>
    <n v="968"/>
    <n v="51"/>
    <n v="79"/>
    <n v="19"/>
    <n v="1"/>
    <n v="5"/>
    <n v="3"/>
    <n v="12"/>
    <n v="2"/>
    <n v="0"/>
    <n v="0"/>
    <n v="0"/>
    <n v="0"/>
    <n v="1"/>
    <n v="0"/>
    <x v="0"/>
    <x v="21"/>
    <s v="51-66"/>
    <n v="2809"/>
    <n v="0"/>
    <n v="0"/>
    <n v="1"/>
    <n v="0"/>
    <n v="0"/>
    <n v="0"/>
    <n v="1"/>
    <n v="0"/>
    <n v="0"/>
    <n v="1968"/>
    <d v="2015-02-05T00:00:00"/>
  </r>
  <r>
    <n v="113"/>
    <n v="72903"/>
    <n v="1974"/>
    <n v="2.7077075017488992E-2"/>
    <x v="0"/>
    <n v="0"/>
    <n v="74"/>
    <n v="1067"/>
    <n v="138"/>
    <n v="750"/>
    <n v="0"/>
    <n v="19"/>
    <n v="39"/>
    <n v="1"/>
    <n v="7"/>
    <n v="5"/>
    <n v="8"/>
    <n v="4"/>
    <n v="1"/>
    <n v="0"/>
    <n v="0"/>
    <n v="1"/>
    <n v="1"/>
    <n v="0"/>
    <x v="0"/>
    <x v="23"/>
    <s v="24-35"/>
    <n v="2402"/>
    <n v="0"/>
    <n v="0"/>
    <n v="1"/>
    <n v="0"/>
    <n v="0"/>
    <n v="0"/>
    <n v="1"/>
    <n v="0"/>
    <n v="0"/>
    <n v="1935"/>
    <d v="2016-03-18T00:00:00"/>
  </r>
  <r>
    <n v="611"/>
    <n v="98777"/>
    <n v="1970"/>
    <n v="1.994391406906466E-2"/>
    <x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x v="1"/>
    <x v="24"/>
    <s v="51-66"/>
    <n v="2291"/>
    <n v="0"/>
    <n v="0"/>
    <n v="1"/>
    <n v="0"/>
    <n v="0"/>
    <n v="0"/>
    <n v="0"/>
    <n v="1"/>
    <n v="0"/>
    <n v="1932"/>
    <d v="2016-07-07T00:00:00"/>
  </r>
  <r>
    <n v="115"/>
    <n v="95529"/>
    <n v="1966"/>
    <n v="2.0580137968574989E-2"/>
    <x v="0"/>
    <n v="0"/>
    <n v="29"/>
    <n v="770"/>
    <n v="29"/>
    <n v="890"/>
    <n v="250"/>
    <n v="27"/>
    <n v="24"/>
    <n v="1"/>
    <n v="7"/>
    <n v="3"/>
    <n v="7"/>
    <n v="3"/>
    <n v="0"/>
    <n v="0"/>
    <n v="0"/>
    <n v="0"/>
    <n v="1"/>
    <n v="0"/>
    <x v="0"/>
    <x v="25"/>
    <s v="24-35"/>
    <n v="2732"/>
    <n v="0"/>
    <n v="0"/>
    <n v="1"/>
    <n v="0"/>
    <n v="0"/>
    <n v="0"/>
    <n v="1"/>
    <n v="0"/>
    <n v="0"/>
    <n v="1942"/>
    <d v="2015-04-23T00:00:00"/>
  </r>
  <r>
    <n v="638"/>
    <n v="68743"/>
    <n v="1959"/>
    <n v="2.8497447012786756E-2"/>
    <x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x v="1"/>
    <x v="26"/>
    <s v="51-66"/>
    <n v="2827"/>
    <n v="1"/>
    <n v="0"/>
    <n v="0"/>
    <n v="0"/>
    <n v="0"/>
    <n v="0"/>
    <n v="1"/>
    <n v="0"/>
    <n v="0"/>
    <n v="1844"/>
    <d v="2015-01-18T00:00:00"/>
  </r>
  <r>
    <n v="460"/>
    <n v="78952"/>
    <n v="1958"/>
    <n v="2.4799878407133449E-2"/>
    <x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x v="1"/>
    <x v="27"/>
    <s v="51-66"/>
    <n v="2802"/>
    <n v="0"/>
    <n v="0"/>
    <n v="0"/>
    <n v="1"/>
    <n v="0"/>
    <n v="0"/>
    <n v="0"/>
    <n v="0"/>
    <n v="1"/>
    <n v="1824"/>
    <d v="2015-02-12T00:00:00"/>
  </r>
  <r>
    <n v="125"/>
    <n v="75345"/>
    <n v="1954"/>
    <n v="2.5934036764217933E-2"/>
    <x v="0"/>
    <n v="0"/>
    <n v="16"/>
    <n v="918"/>
    <n v="57"/>
    <n v="842"/>
    <n v="99"/>
    <n v="38"/>
    <n v="133"/>
    <n v="1"/>
    <n v="5"/>
    <n v="8"/>
    <n v="6"/>
    <n v="3"/>
    <n v="1"/>
    <n v="0"/>
    <n v="0"/>
    <n v="0"/>
    <n v="0"/>
    <n v="0"/>
    <x v="0"/>
    <x v="2"/>
    <s v="36-50"/>
    <n v="2671"/>
    <n v="0"/>
    <n v="0"/>
    <n v="1"/>
    <n v="0"/>
    <n v="0"/>
    <n v="0"/>
    <n v="0"/>
    <n v="1"/>
    <n v="0"/>
    <n v="1821"/>
    <d v="2015-06-23T00:00:00"/>
  </r>
  <r>
    <n v="229"/>
    <n v="67546"/>
    <n v="1954"/>
    <n v="2.8928433956118792E-2"/>
    <x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  <x v="0"/>
    <s v="24-35"/>
    <n v="2826"/>
    <n v="0"/>
    <n v="1"/>
    <n v="0"/>
    <n v="0"/>
    <n v="0"/>
    <n v="0"/>
    <n v="0"/>
    <n v="0"/>
    <n v="1"/>
    <n v="1782"/>
    <d v="2015-01-19T00:00:00"/>
  </r>
  <r>
    <n v="128"/>
    <n v="91700"/>
    <n v="1949"/>
    <n v="2.1254089422028354E-2"/>
    <x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x v="0"/>
    <x v="28"/>
    <s v="36-50"/>
    <n v="2687"/>
    <n v="0"/>
    <n v="0"/>
    <n v="1"/>
    <n v="0"/>
    <n v="0"/>
    <n v="0"/>
    <n v="1"/>
    <n v="0"/>
    <n v="0"/>
    <n v="1930"/>
    <d v="2015-06-07T00:00:00"/>
  </r>
  <r>
    <n v="133"/>
    <n v="72309"/>
    <n v="1931"/>
    <n v="2.670483618913275E-2"/>
    <x v="0"/>
    <n v="0"/>
    <n v="64"/>
    <n v="960"/>
    <n v="0"/>
    <n v="883"/>
    <n v="50"/>
    <n v="38"/>
    <n v="0"/>
    <n v="1"/>
    <n v="5"/>
    <n v="6"/>
    <n v="8"/>
    <n v="3"/>
    <n v="1"/>
    <n v="0"/>
    <n v="0"/>
    <n v="0"/>
    <n v="0"/>
    <n v="0"/>
    <x v="0"/>
    <x v="7"/>
    <s v="36-50"/>
    <n v="2634"/>
    <n v="0"/>
    <n v="0"/>
    <n v="1"/>
    <n v="0"/>
    <n v="0"/>
    <n v="0"/>
    <n v="0"/>
    <n v="1"/>
    <n v="0"/>
    <n v="1931"/>
    <d v="2015-07-30T00:00:00"/>
  </r>
  <r>
    <n v="142"/>
    <n v="87771"/>
    <n v="1924"/>
    <n v="2.1920679951236741E-2"/>
    <x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x v="0"/>
    <x v="29"/>
    <s v="51-66"/>
    <n v="2562"/>
    <n v="0"/>
    <n v="0"/>
    <n v="0"/>
    <n v="1"/>
    <n v="0"/>
    <n v="0"/>
    <n v="1"/>
    <n v="0"/>
    <n v="0"/>
    <n v="1891"/>
    <d v="2015-10-10T00:00:00"/>
  </r>
  <r>
    <n v="182"/>
    <n v="96876"/>
    <n v="1920"/>
    <n v="1.9819150253932862E-2"/>
    <x v="0"/>
    <n v="0"/>
    <n v="79"/>
    <n v="908"/>
    <n v="43"/>
    <n v="735"/>
    <n v="40"/>
    <n v="194"/>
    <n v="21"/>
    <n v="1"/>
    <n v="7"/>
    <n v="7"/>
    <n v="9"/>
    <n v="2"/>
    <n v="1"/>
    <n v="0"/>
    <n v="0"/>
    <n v="1"/>
    <n v="1"/>
    <n v="0"/>
    <x v="0"/>
    <x v="13"/>
    <s v="36-50"/>
    <n v="2486"/>
    <n v="0"/>
    <n v="0"/>
    <n v="0"/>
    <n v="1"/>
    <n v="0"/>
    <n v="0"/>
    <n v="1"/>
    <n v="0"/>
    <n v="0"/>
    <n v="1899"/>
    <d v="2015-12-25T00:00:00"/>
  </r>
  <r>
    <n v="1025"/>
    <n v="85844"/>
    <n v="1920"/>
    <n v="2.236615255579889E-2"/>
    <x v="0"/>
    <n v="0"/>
    <n v="62"/>
    <n v="938"/>
    <n v="19"/>
    <n v="843"/>
    <n v="25"/>
    <n v="95"/>
    <n v="38"/>
    <n v="1"/>
    <n v="6"/>
    <n v="6"/>
    <n v="7"/>
    <n v="2"/>
    <n v="0"/>
    <n v="0"/>
    <n v="0"/>
    <n v="0"/>
    <n v="1"/>
    <n v="0"/>
    <x v="1"/>
    <x v="30"/>
    <s v="36-50"/>
    <n v="2190"/>
    <n v="0"/>
    <n v="1"/>
    <n v="0"/>
    <n v="0"/>
    <n v="0"/>
    <n v="0"/>
    <n v="0"/>
    <n v="0"/>
    <n v="1"/>
    <n v="1882"/>
    <d v="2016-10-16T00:00:00"/>
  </r>
  <r>
    <n v="186"/>
    <n v="84169"/>
    <n v="1919"/>
    <n v="2.279936793831458E-2"/>
    <x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x v="0"/>
    <x v="31"/>
    <s v="36-50"/>
    <n v="2485"/>
    <n v="0"/>
    <n v="1"/>
    <n v="0"/>
    <n v="0"/>
    <n v="0"/>
    <n v="0"/>
    <n v="0"/>
    <n v="0"/>
    <n v="1"/>
    <n v="1919"/>
    <d v="2015-12-26T00:00:00"/>
  </r>
  <r>
    <n v="1725"/>
    <n v="88420"/>
    <n v="1916"/>
    <n v="2.1669305586971273E-2"/>
    <x v="0"/>
    <n v="0"/>
    <n v="87"/>
    <n v="957"/>
    <n v="153"/>
    <n v="612"/>
    <n v="99"/>
    <n v="95"/>
    <n v="153"/>
    <n v="1"/>
    <n v="4"/>
    <n v="7"/>
    <n v="8"/>
    <n v="1"/>
    <n v="1"/>
    <n v="0"/>
    <n v="1"/>
    <n v="0"/>
    <n v="1"/>
    <n v="0"/>
    <x v="1"/>
    <x v="32"/>
    <s v="24-35"/>
    <n v="2217"/>
    <n v="0"/>
    <n v="0"/>
    <n v="0"/>
    <n v="1"/>
    <n v="0"/>
    <n v="0"/>
    <n v="0"/>
    <n v="1"/>
    <n v="0"/>
    <n v="1763"/>
    <d v="2016-09-19T00:00:00"/>
  </r>
  <r>
    <n v="191"/>
    <n v="79174"/>
    <n v="1914"/>
    <n v="2.417460277363781E-2"/>
    <x v="0"/>
    <n v="0"/>
    <n v="2"/>
    <n v="1074"/>
    <n v="37"/>
    <n v="518"/>
    <n v="193"/>
    <n v="92"/>
    <n v="129"/>
    <n v="1"/>
    <n v="5"/>
    <n v="6"/>
    <n v="7"/>
    <n v="2"/>
    <n v="1"/>
    <n v="0"/>
    <n v="0"/>
    <n v="0"/>
    <n v="1"/>
    <n v="0"/>
    <x v="0"/>
    <x v="16"/>
    <s v="36-50"/>
    <n v="2693"/>
    <n v="0"/>
    <n v="1"/>
    <n v="0"/>
    <n v="0"/>
    <n v="0"/>
    <n v="0"/>
    <n v="0"/>
    <n v="0"/>
    <n v="1"/>
    <n v="1785"/>
    <d v="2015-06-01T00:00:00"/>
  </r>
  <r>
    <n v="212"/>
    <n v="72968"/>
    <n v="1903"/>
    <n v="2.6079925446771186E-2"/>
    <x v="0"/>
    <n v="0"/>
    <n v="8"/>
    <n v="1092"/>
    <n v="37"/>
    <n v="592"/>
    <n v="145"/>
    <n v="37"/>
    <n v="55"/>
    <n v="1"/>
    <n v="5"/>
    <n v="5"/>
    <n v="8"/>
    <n v="3"/>
    <n v="1"/>
    <n v="0"/>
    <n v="0"/>
    <n v="0"/>
    <n v="0"/>
    <n v="0"/>
    <x v="0"/>
    <x v="33"/>
    <s v="51-66"/>
    <n v="2354"/>
    <n v="1"/>
    <n v="0"/>
    <n v="0"/>
    <n v="0"/>
    <n v="0"/>
    <n v="0"/>
    <n v="0"/>
    <n v="0"/>
    <n v="1"/>
    <n v="1848"/>
    <d v="2016-05-05T00:00:00"/>
  </r>
  <r>
    <n v="488"/>
    <n v="80184"/>
    <n v="1902"/>
    <n v="2.3720442981143369E-2"/>
    <x v="0"/>
    <n v="0"/>
    <n v="19"/>
    <n v="1035"/>
    <n v="134"/>
    <n v="670"/>
    <n v="25"/>
    <n v="38"/>
    <n v="0"/>
    <n v="1"/>
    <n v="6"/>
    <n v="3"/>
    <n v="10"/>
    <n v="3"/>
    <n v="1"/>
    <n v="0"/>
    <n v="0"/>
    <n v="0"/>
    <n v="1"/>
    <n v="0"/>
    <x v="1"/>
    <x v="34"/>
    <s v="66+"/>
    <n v="2279"/>
    <n v="0"/>
    <n v="1"/>
    <n v="0"/>
    <n v="0"/>
    <n v="0"/>
    <n v="0"/>
    <n v="0"/>
    <n v="1"/>
    <n v="0"/>
    <n v="1902"/>
    <d v="2016-07-19T00:00:00"/>
  </r>
  <r>
    <n v="1271"/>
    <n v="80695"/>
    <n v="1900"/>
    <n v="2.3545448912572032E-2"/>
    <x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x v="1"/>
    <x v="33"/>
    <s v="51-66"/>
    <n v="2341"/>
    <n v="0"/>
    <n v="0"/>
    <n v="1"/>
    <n v="0"/>
    <n v="0"/>
    <n v="0"/>
    <n v="1"/>
    <n v="0"/>
    <n v="0"/>
    <n v="1882"/>
    <d v="2016-05-18T00:00:00"/>
  </r>
  <r>
    <n v="919"/>
    <n v="82576"/>
    <n v="1892"/>
    <n v="2.2912226312730093E-2"/>
    <x v="0"/>
    <n v="0"/>
    <n v="66"/>
    <n v="1206"/>
    <n v="55"/>
    <n v="445"/>
    <n v="168"/>
    <n v="18"/>
    <n v="18"/>
    <n v="1"/>
    <n v="2"/>
    <n v="4"/>
    <n v="12"/>
    <n v="1"/>
    <n v="0"/>
    <n v="0"/>
    <n v="0"/>
    <n v="0"/>
    <n v="1"/>
    <n v="0"/>
    <x v="1"/>
    <x v="29"/>
    <s v="51-66"/>
    <n v="2856"/>
    <n v="0"/>
    <n v="0"/>
    <n v="0"/>
    <n v="1"/>
    <n v="0"/>
    <n v="0"/>
    <n v="0"/>
    <n v="1"/>
    <n v="0"/>
    <n v="1874"/>
    <d v="2014-12-20T00:00:00"/>
  </r>
  <r>
    <n v="224"/>
    <n v="78687"/>
    <n v="1889"/>
    <n v="2.4006506792735777E-2"/>
    <x v="0"/>
    <n v="0"/>
    <n v="13"/>
    <n v="817"/>
    <n v="185"/>
    <n v="687"/>
    <n v="145"/>
    <n v="55"/>
    <n v="241"/>
    <n v="1"/>
    <n v="4"/>
    <n v="6"/>
    <n v="8"/>
    <n v="2"/>
    <n v="0"/>
    <n v="0"/>
    <n v="0"/>
    <n v="0"/>
    <n v="1"/>
    <n v="0"/>
    <x v="0"/>
    <x v="20"/>
    <s v="36-50"/>
    <n v="2848"/>
    <n v="0"/>
    <n v="0"/>
    <n v="0"/>
    <n v="1"/>
    <n v="0"/>
    <n v="0"/>
    <n v="1"/>
    <n v="0"/>
    <n v="0"/>
    <n v="1648"/>
    <d v="2014-12-28T00:00:00"/>
  </r>
  <r>
    <n v="832"/>
    <n v="82072"/>
    <n v="1889"/>
    <n v="2.3016375865094064E-2"/>
    <x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x v="1"/>
    <x v="2"/>
    <s v="36-50"/>
    <n v="2521"/>
    <n v="0"/>
    <n v="0"/>
    <n v="0"/>
    <n v="1"/>
    <n v="0"/>
    <n v="0"/>
    <n v="0"/>
    <n v="0"/>
    <n v="1"/>
    <n v="1760"/>
    <d v="2015-11-20T00:00:00"/>
  </r>
  <r>
    <n v="872"/>
    <n v="74116"/>
    <n v="1886"/>
    <n v="2.5446597225970102E-2"/>
    <x v="0"/>
    <n v="0"/>
    <n v="53"/>
    <n v="871"/>
    <n v="111"/>
    <n v="704"/>
    <n v="145"/>
    <n v="55"/>
    <n v="166"/>
    <n v="1"/>
    <n v="4"/>
    <n v="4"/>
    <n v="10"/>
    <n v="2"/>
    <n v="0"/>
    <n v="0"/>
    <n v="0"/>
    <n v="1"/>
    <n v="0"/>
    <n v="0"/>
    <x v="1"/>
    <x v="31"/>
    <s v="36-50"/>
    <n v="2340"/>
    <n v="0"/>
    <n v="0"/>
    <n v="1"/>
    <n v="0"/>
    <n v="0"/>
    <n v="1"/>
    <n v="0"/>
    <n v="0"/>
    <n v="0"/>
    <n v="1720"/>
    <d v="2016-05-19T00:00:00"/>
  </r>
  <r>
    <n v="1642"/>
    <n v="75702"/>
    <n v="1884"/>
    <n v="2.4887057145121662E-2"/>
    <x v="0"/>
    <n v="1"/>
    <n v="87"/>
    <n v="1073"/>
    <n v="0"/>
    <n v="629"/>
    <n v="145"/>
    <n v="37"/>
    <n v="37"/>
    <n v="1"/>
    <n v="10"/>
    <n v="5"/>
    <n v="13"/>
    <n v="6"/>
    <n v="0"/>
    <n v="0"/>
    <n v="0"/>
    <n v="0"/>
    <n v="1"/>
    <n v="0"/>
    <x v="1"/>
    <x v="35"/>
    <s v="36-50"/>
    <n v="2782"/>
    <n v="0"/>
    <n v="0"/>
    <n v="0"/>
    <n v="1"/>
    <n v="0"/>
    <n v="0"/>
    <n v="1"/>
    <n v="0"/>
    <n v="0"/>
    <n v="1847"/>
    <d v="2015-03-04T00:00:00"/>
  </r>
  <r>
    <n v="227"/>
    <n v="95169"/>
    <n v="1881"/>
    <n v="1.9764839390978155E-2"/>
    <x v="0"/>
    <n v="0"/>
    <n v="1"/>
    <n v="1285"/>
    <n v="21"/>
    <n v="449"/>
    <n v="106"/>
    <n v="20"/>
    <n v="20"/>
    <n v="1"/>
    <n v="4"/>
    <n v="3"/>
    <n v="4"/>
    <n v="1"/>
    <n v="1"/>
    <n v="0"/>
    <n v="0"/>
    <n v="0"/>
    <n v="1"/>
    <n v="0"/>
    <x v="0"/>
    <x v="36"/>
    <s v="24-35"/>
    <n v="2422"/>
    <n v="0"/>
    <n v="0"/>
    <n v="1"/>
    <n v="0"/>
    <n v="0"/>
    <n v="0"/>
    <n v="0"/>
    <n v="0"/>
    <n v="1"/>
    <n v="1861"/>
    <d v="2016-02-27T00:00:00"/>
  </r>
  <r>
    <n v="233"/>
    <n v="90273"/>
    <n v="1880"/>
    <n v="2.0825717545667033E-2"/>
    <x v="0"/>
    <n v="0"/>
    <n v="32"/>
    <n v="704"/>
    <n v="129"/>
    <n v="853"/>
    <n v="120"/>
    <n v="74"/>
    <n v="111"/>
    <n v="1"/>
    <n v="5"/>
    <n v="6"/>
    <n v="7"/>
    <n v="2"/>
    <n v="1"/>
    <n v="0"/>
    <n v="0"/>
    <n v="1"/>
    <n v="1"/>
    <n v="0"/>
    <x v="0"/>
    <x v="1"/>
    <s v="24-35"/>
    <n v="2356"/>
    <n v="0"/>
    <n v="0"/>
    <n v="1"/>
    <n v="0"/>
    <n v="0"/>
    <n v="0"/>
    <n v="1"/>
    <n v="0"/>
    <n v="0"/>
    <n v="1769"/>
    <d v="2016-05-03T00:00:00"/>
  </r>
  <r>
    <n v="241"/>
    <n v="81205"/>
    <n v="1879"/>
    <n v="2.3138969275290931E-2"/>
    <x v="0"/>
    <n v="0"/>
    <n v="43"/>
    <n v="724"/>
    <n v="74"/>
    <n v="929"/>
    <n v="97"/>
    <n v="55"/>
    <n v="130"/>
    <n v="1"/>
    <n v="5"/>
    <n v="6"/>
    <n v="7"/>
    <n v="2"/>
    <n v="0"/>
    <n v="1"/>
    <n v="1"/>
    <n v="0"/>
    <n v="1"/>
    <n v="0"/>
    <x v="0"/>
    <x v="2"/>
    <s v="36-50"/>
    <n v="2326"/>
    <n v="0"/>
    <n v="0"/>
    <n v="0"/>
    <n v="1"/>
    <n v="0"/>
    <n v="0"/>
    <n v="1"/>
    <n v="0"/>
    <n v="0"/>
    <n v="1749"/>
    <d v="2016-06-02T00:00:00"/>
  </r>
  <r>
    <n v="245"/>
    <n v="75251"/>
    <n v="1872"/>
    <n v="2.4876745823975761E-2"/>
    <x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x v="0"/>
    <x v="9"/>
    <s v="36-50"/>
    <n v="2830"/>
    <n v="0"/>
    <n v="1"/>
    <n v="0"/>
    <n v="0"/>
    <n v="0"/>
    <n v="0"/>
    <n v="0"/>
    <n v="1"/>
    <n v="0"/>
    <n v="1854"/>
    <d v="2015-01-15T00:00:00"/>
  </r>
  <r>
    <n v="1065"/>
    <n v="85606"/>
    <n v="1872"/>
    <n v="2.186762610097423E-2"/>
    <x v="0"/>
    <n v="1"/>
    <n v="89"/>
    <n v="717"/>
    <n v="42"/>
    <n v="864"/>
    <n v="219"/>
    <n v="30"/>
    <n v="84"/>
    <n v="2"/>
    <n v="6"/>
    <n v="7"/>
    <n v="9"/>
    <n v="3"/>
    <n v="1"/>
    <n v="0"/>
    <n v="0"/>
    <n v="0"/>
    <n v="0"/>
    <n v="0"/>
    <x v="1"/>
    <x v="7"/>
    <s v="36-50"/>
    <n v="2753"/>
    <n v="0"/>
    <n v="0"/>
    <n v="0"/>
    <n v="1"/>
    <n v="0"/>
    <n v="0"/>
    <n v="1"/>
    <n v="0"/>
    <n v="0"/>
    <n v="1788"/>
    <d v="2015-04-02T00:00:00"/>
  </r>
  <r>
    <n v="927"/>
    <n v="82170"/>
    <n v="1871"/>
    <n v="2.2769867348180602E-2"/>
    <x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x v="1"/>
    <x v="37"/>
    <s v="36-50"/>
    <n v="2375"/>
    <n v="0"/>
    <n v="1"/>
    <n v="0"/>
    <n v="0"/>
    <n v="0"/>
    <n v="0"/>
    <n v="0"/>
    <n v="0"/>
    <n v="1"/>
    <n v="1834"/>
    <d v="2016-04-14T00:00:00"/>
  </r>
  <r>
    <n v="482"/>
    <n v="89120"/>
    <n v="1869"/>
    <n v="2.0971723518850988E-2"/>
    <x v="0"/>
    <n v="0"/>
    <n v="78"/>
    <n v="1168"/>
    <n v="92"/>
    <n v="408"/>
    <n v="72"/>
    <n v="129"/>
    <n v="55"/>
    <n v="1"/>
    <n v="5"/>
    <n v="6"/>
    <n v="7"/>
    <n v="1"/>
    <n v="0"/>
    <n v="0"/>
    <n v="0"/>
    <n v="0"/>
    <n v="1"/>
    <n v="0"/>
    <x v="1"/>
    <x v="29"/>
    <s v="51-66"/>
    <n v="2263"/>
    <n v="0"/>
    <n v="0"/>
    <n v="0"/>
    <n v="1"/>
    <n v="0"/>
    <n v="0"/>
    <n v="0"/>
    <n v="1"/>
    <n v="0"/>
    <n v="1814"/>
    <d v="2016-08-04T00:00:00"/>
  </r>
  <r>
    <n v="248"/>
    <n v="87188"/>
    <n v="1868"/>
    <n v="2.1424966738542002E-2"/>
    <x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x v="0"/>
    <x v="20"/>
    <s v="36-50"/>
    <n v="2550"/>
    <n v="0"/>
    <n v="0"/>
    <n v="1"/>
    <n v="0"/>
    <n v="0"/>
    <n v="0"/>
    <n v="0"/>
    <n v="0"/>
    <n v="1"/>
    <n v="1813"/>
    <d v="2015-10-22T00:00:00"/>
  </r>
  <r>
    <n v="251"/>
    <n v="81929"/>
    <n v="1868"/>
    <n v="2.2800229466977504E-2"/>
    <x v="1"/>
    <n v="0"/>
    <n v="60"/>
    <n v="1486"/>
    <n v="55"/>
    <n v="278"/>
    <n v="49"/>
    <n v="0"/>
    <n v="185"/>
    <n v="2"/>
    <n v="4"/>
    <n v="4"/>
    <n v="10"/>
    <n v="6"/>
    <n v="0"/>
    <n v="0"/>
    <n v="1"/>
    <n v="0"/>
    <n v="1"/>
    <n v="0"/>
    <x v="0"/>
    <x v="7"/>
    <s v="36-50"/>
    <n v="2797"/>
    <n v="0"/>
    <n v="1"/>
    <n v="0"/>
    <n v="0"/>
    <n v="0"/>
    <n v="0"/>
    <n v="0"/>
    <n v="1"/>
    <n v="0"/>
    <n v="1683"/>
    <d v="2015-02-17T00:00:00"/>
  </r>
  <r>
    <n v="257"/>
    <n v="83829"/>
    <n v="1835"/>
    <n v="2.1889799472736164E-2"/>
    <x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x v="0"/>
    <x v="16"/>
    <s v="36-50"/>
    <n v="2423"/>
    <n v="1"/>
    <n v="0"/>
    <n v="0"/>
    <n v="0"/>
    <n v="0"/>
    <n v="0"/>
    <n v="1"/>
    <n v="0"/>
    <n v="0"/>
    <n v="1808"/>
    <d v="2016-02-26T00:00:00"/>
  </r>
  <r>
    <n v="161"/>
    <n v="80427"/>
    <n v="1809"/>
    <n v="2.2492446566451565E-2"/>
    <x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x v="1"/>
    <x v="16"/>
    <s v="36-50"/>
    <n v="2814"/>
    <n v="0"/>
    <n v="1"/>
    <n v="0"/>
    <n v="0"/>
    <n v="0"/>
    <n v="0"/>
    <n v="0"/>
    <n v="0"/>
    <n v="1"/>
    <n v="1783"/>
    <d v="2015-01-31T00:00:00"/>
  </r>
  <r>
    <n v="284"/>
    <n v="70971"/>
    <n v="1808"/>
    <n v="2.5475194093362078E-2"/>
    <x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x v="0"/>
    <x v="24"/>
    <s v="51-66"/>
    <n v="2805"/>
    <n v="0"/>
    <n v="0"/>
    <n v="0"/>
    <n v="1"/>
    <n v="0"/>
    <n v="0"/>
    <n v="1"/>
    <n v="0"/>
    <n v="0"/>
    <n v="1791"/>
    <d v="2015-02-09T00:00:00"/>
  </r>
  <r>
    <n v="308"/>
    <n v="82333"/>
    <n v="1805"/>
    <n v="2.1923165680832715E-2"/>
    <x v="0"/>
    <n v="0"/>
    <n v="60"/>
    <n v="1311"/>
    <n v="0"/>
    <n v="359"/>
    <n v="46"/>
    <n v="89"/>
    <n v="17"/>
    <n v="1"/>
    <n v="4"/>
    <n v="3"/>
    <n v="10"/>
    <n v="2"/>
    <n v="0"/>
    <n v="0"/>
    <n v="0"/>
    <n v="0"/>
    <n v="1"/>
    <n v="0"/>
    <x v="0"/>
    <x v="18"/>
    <s v="24-35"/>
    <n v="2615"/>
    <n v="0"/>
    <n v="1"/>
    <n v="0"/>
    <n v="0"/>
    <n v="0"/>
    <n v="0"/>
    <n v="0"/>
    <n v="0"/>
    <n v="1"/>
    <n v="1788"/>
    <d v="2015-08-18T00:00:00"/>
  </r>
  <r>
    <n v="1378"/>
    <n v="76998"/>
    <n v="1803"/>
    <n v="2.3416192628379958E-2"/>
    <x v="0"/>
    <n v="1"/>
    <n v="85"/>
    <n v="1449"/>
    <n v="89"/>
    <n v="161"/>
    <n v="69"/>
    <n v="35"/>
    <n v="107"/>
    <n v="2"/>
    <n v="11"/>
    <n v="8"/>
    <n v="8"/>
    <n v="6"/>
    <n v="0"/>
    <n v="0"/>
    <n v="0"/>
    <n v="0"/>
    <n v="1"/>
    <n v="0"/>
    <x v="1"/>
    <x v="38"/>
    <s v="51-66"/>
    <n v="2693"/>
    <n v="0"/>
    <n v="1"/>
    <n v="0"/>
    <n v="0"/>
    <n v="0"/>
    <n v="0"/>
    <n v="1"/>
    <n v="0"/>
    <n v="0"/>
    <n v="1696"/>
    <d v="2015-06-01T00:00:00"/>
  </r>
  <r>
    <n v="467"/>
    <n v="78642"/>
    <n v="1799"/>
    <n v="2.2875816993464051E-2"/>
    <x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x v="1"/>
    <x v="28"/>
    <s v="36-50"/>
    <n v="2593"/>
    <n v="0"/>
    <n v="0"/>
    <n v="0"/>
    <n v="1"/>
    <n v="0"/>
    <n v="0"/>
    <n v="0"/>
    <n v="0"/>
    <n v="1"/>
    <n v="1782"/>
    <d v="2015-09-09T00:00:00"/>
  </r>
  <r>
    <n v="1453"/>
    <n v="81574"/>
    <n v="1798"/>
    <n v="2.2041336700419252E-2"/>
    <x v="0"/>
    <n v="0"/>
    <n v="89"/>
    <n v="1252"/>
    <n v="0"/>
    <n v="465"/>
    <n v="46"/>
    <n v="35"/>
    <n v="0"/>
    <n v="1"/>
    <n v="4"/>
    <n v="5"/>
    <n v="8"/>
    <n v="1"/>
    <n v="0"/>
    <n v="0"/>
    <n v="0"/>
    <n v="1"/>
    <n v="1"/>
    <n v="0"/>
    <x v="1"/>
    <x v="6"/>
    <s v="66+"/>
    <n v="2221"/>
    <n v="0"/>
    <n v="0"/>
    <n v="0"/>
    <n v="1"/>
    <n v="0"/>
    <n v="0"/>
    <n v="0"/>
    <n v="0"/>
    <n v="1"/>
    <n v="1798"/>
    <d v="2016-09-15T00:00:00"/>
  </r>
  <r>
    <n v="309"/>
    <n v="70643"/>
    <n v="1795"/>
    <n v="2.5409453165918774E-2"/>
    <x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x v="0"/>
    <x v="39"/>
    <s v="36-50"/>
    <n v="2781"/>
    <n v="0"/>
    <n v="1"/>
    <n v="0"/>
    <n v="0"/>
    <n v="0"/>
    <n v="0"/>
    <n v="0"/>
    <n v="0"/>
    <n v="1"/>
    <n v="1762"/>
    <d v="2015-03-05T00:00:00"/>
  </r>
  <r>
    <n v="880"/>
    <n v="67536"/>
    <n v="1794"/>
    <n v="2.65636105188344E-2"/>
    <x v="0"/>
    <n v="1"/>
    <n v="45"/>
    <n v="1253"/>
    <n v="0"/>
    <n v="447"/>
    <n v="23"/>
    <n v="71"/>
    <n v="35"/>
    <n v="3"/>
    <n v="11"/>
    <n v="5"/>
    <n v="11"/>
    <n v="8"/>
    <n v="1"/>
    <n v="0"/>
    <n v="0"/>
    <n v="0"/>
    <n v="0"/>
    <n v="0"/>
    <x v="1"/>
    <x v="2"/>
    <s v="36-50"/>
    <n v="2562"/>
    <n v="0"/>
    <n v="1"/>
    <n v="0"/>
    <n v="0"/>
    <n v="0"/>
    <n v="0"/>
    <n v="0"/>
    <n v="0"/>
    <n v="1"/>
    <n v="1759"/>
    <d v="2015-10-10T00:00:00"/>
  </r>
  <r>
    <n v="312"/>
    <n v="78427"/>
    <n v="1792"/>
    <n v="2.284927384701697E-2"/>
    <x v="0"/>
    <n v="0"/>
    <n v="36"/>
    <n v="972"/>
    <n v="19"/>
    <n v="595"/>
    <n v="180"/>
    <n v="26"/>
    <n v="138"/>
    <n v="3"/>
    <n v="3"/>
    <n v="7"/>
    <n v="10"/>
    <n v="3"/>
    <n v="1"/>
    <n v="0"/>
    <n v="0"/>
    <n v="0"/>
    <n v="0"/>
    <n v="0"/>
    <x v="0"/>
    <x v="40"/>
    <s v="66+"/>
    <n v="2772"/>
    <n v="0"/>
    <n v="0"/>
    <n v="0"/>
    <n v="0"/>
    <n v="1"/>
    <n v="0"/>
    <n v="0"/>
    <n v="1"/>
    <n v="0"/>
    <n v="1654"/>
    <d v="2015-03-14T00:00:00"/>
  </r>
  <r>
    <n v="314"/>
    <n v="76412"/>
    <n v="1791"/>
    <n v="2.3438726901533792E-2"/>
    <x v="0"/>
    <n v="0"/>
    <n v="15"/>
    <n v="840"/>
    <n v="53"/>
    <n v="804"/>
    <n v="23"/>
    <n v="71"/>
    <n v="17"/>
    <n v="1"/>
    <n v="5"/>
    <n v="4"/>
    <n v="8"/>
    <n v="3"/>
    <n v="1"/>
    <n v="0"/>
    <n v="0"/>
    <n v="0"/>
    <n v="1"/>
    <n v="0"/>
    <x v="0"/>
    <x v="41"/>
    <s v="36-50"/>
    <n v="2579"/>
    <n v="0"/>
    <n v="0"/>
    <n v="1"/>
    <n v="0"/>
    <n v="0"/>
    <n v="0"/>
    <n v="0"/>
    <n v="0"/>
    <n v="1"/>
    <n v="1774"/>
    <d v="2015-09-23T00:00:00"/>
  </r>
  <r>
    <n v="319"/>
    <n v="82347"/>
    <n v="1790"/>
    <n v="2.173728247537858E-2"/>
    <x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x v="0"/>
    <x v="12"/>
    <s v="51-66"/>
    <n v="2759"/>
    <n v="0"/>
    <n v="1"/>
    <n v="0"/>
    <n v="0"/>
    <n v="0"/>
    <n v="1"/>
    <n v="0"/>
    <n v="0"/>
    <n v="0"/>
    <n v="1727"/>
    <d v="2015-03-27T00:00:00"/>
  </r>
  <r>
    <n v="799"/>
    <n v="82347"/>
    <n v="1790"/>
    <n v="2.173728247537858E-2"/>
    <x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x v="1"/>
    <x v="12"/>
    <s v="51-66"/>
    <n v="2759"/>
    <n v="0"/>
    <n v="1"/>
    <n v="0"/>
    <n v="0"/>
    <n v="0"/>
    <n v="1"/>
    <n v="0"/>
    <n v="0"/>
    <n v="0"/>
    <n v="1727"/>
    <d v="2015-03-27T00:00:00"/>
  </r>
  <r>
    <n v="1970"/>
    <n v="81380"/>
    <n v="1790"/>
    <n v="2.1995576308675348E-2"/>
    <x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x v="1"/>
    <x v="26"/>
    <s v="51-66"/>
    <n v="2713"/>
    <n v="1"/>
    <n v="0"/>
    <n v="0"/>
    <n v="0"/>
    <n v="0"/>
    <n v="0"/>
    <n v="0"/>
    <n v="1"/>
    <n v="0"/>
    <n v="1687"/>
    <d v="2015-05-12T00:00:00"/>
  </r>
  <r>
    <n v="1831"/>
    <n v="71964"/>
    <n v="1784"/>
    <n v="2.4790172864209883E-2"/>
    <x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x v="1"/>
    <x v="27"/>
    <s v="51-66"/>
    <n v="2564"/>
    <n v="1"/>
    <n v="0"/>
    <n v="0"/>
    <n v="0"/>
    <n v="0"/>
    <n v="0"/>
    <n v="1"/>
    <n v="0"/>
    <n v="0"/>
    <n v="1698"/>
    <d v="2015-10-08T00:00:00"/>
  </r>
  <r>
    <n v="717"/>
    <n v="74985"/>
    <n v="1783"/>
    <n v="2.3778088951123558E-2"/>
    <x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x v="1"/>
    <x v="13"/>
    <s v="36-50"/>
    <n v="2815"/>
    <n v="0"/>
    <n v="1"/>
    <n v="0"/>
    <n v="0"/>
    <n v="0"/>
    <n v="0"/>
    <n v="1"/>
    <n v="0"/>
    <n v="0"/>
    <n v="1697"/>
    <d v="2015-01-30T00:00:00"/>
  </r>
  <r>
    <n v="1293"/>
    <n v="92344"/>
    <n v="1780"/>
    <n v="1.9275751537728494E-2"/>
    <x v="0"/>
    <n v="0"/>
    <n v="9"/>
    <n v="992"/>
    <n v="24"/>
    <n v="694"/>
    <n v="51"/>
    <n v="19"/>
    <n v="119"/>
    <n v="0"/>
    <n v="5"/>
    <n v="10"/>
    <n v="5"/>
    <n v="1"/>
    <n v="0"/>
    <n v="0"/>
    <n v="1"/>
    <n v="0"/>
    <n v="1"/>
    <n v="0"/>
    <x v="1"/>
    <x v="40"/>
    <s v="66+"/>
    <n v="2324"/>
    <n v="0"/>
    <n v="1"/>
    <n v="0"/>
    <n v="0"/>
    <n v="0"/>
    <n v="0"/>
    <n v="1"/>
    <n v="0"/>
    <n v="0"/>
    <n v="1661"/>
    <d v="2016-06-04T00:00:00"/>
  </r>
  <r>
    <n v="497"/>
    <n v="61839"/>
    <n v="1775"/>
    <n v="2.8703568945164053E-2"/>
    <x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x v="1"/>
    <x v="42"/>
    <s v="51-66"/>
    <n v="2845"/>
    <n v="0"/>
    <n v="0"/>
    <n v="1"/>
    <n v="0"/>
    <n v="0"/>
    <n v="0"/>
    <n v="1"/>
    <n v="0"/>
    <n v="0"/>
    <n v="1655"/>
    <d v="2014-12-31T00:00:00"/>
  </r>
  <r>
    <n v="322"/>
    <n v="82384"/>
    <n v="1767"/>
    <n v="2.1448339483394835E-2"/>
    <x v="0"/>
    <n v="0"/>
    <n v="55"/>
    <n v="984"/>
    <n v="51"/>
    <n v="432"/>
    <n v="180"/>
    <n v="120"/>
    <n v="190"/>
    <n v="1"/>
    <n v="3"/>
    <n v="10"/>
    <n v="13"/>
    <n v="1"/>
    <n v="0"/>
    <n v="0"/>
    <n v="0"/>
    <n v="0"/>
    <n v="1"/>
    <n v="0"/>
    <x v="0"/>
    <x v="38"/>
    <s v="51-66"/>
    <n v="2746"/>
    <n v="0"/>
    <n v="0"/>
    <n v="0"/>
    <n v="1"/>
    <n v="0"/>
    <n v="0"/>
    <n v="0"/>
    <n v="1"/>
    <n v="0"/>
    <n v="1577"/>
    <d v="2015-04-09T00:00:00"/>
  </r>
  <r>
    <n v="1182"/>
    <n v="73450"/>
    <n v="1767"/>
    <n v="2.40571817562968E-2"/>
    <x v="0"/>
    <n v="0"/>
    <n v="85"/>
    <n v="1142"/>
    <n v="51"/>
    <n v="415"/>
    <n v="90"/>
    <n v="69"/>
    <n v="37"/>
    <n v="1"/>
    <n v="7"/>
    <n v="8"/>
    <n v="11"/>
    <n v="3"/>
    <n v="1"/>
    <n v="0"/>
    <n v="1"/>
    <n v="0"/>
    <n v="0"/>
    <n v="0"/>
    <x v="1"/>
    <x v="31"/>
    <s v="36-50"/>
    <n v="2365"/>
    <n v="0"/>
    <n v="0"/>
    <n v="0"/>
    <n v="1"/>
    <n v="0"/>
    <n v="0"/>
    <n v="0"/>
    <n v="1"/>
    <n v="0"/>
    <n v="1730"/>
    <d v="2016-04-24T00:00:00"/>
  </r>
  <r>
    <n v="398"/>
    <n v="92910"/>
    <n v="1762"/>
    <n v="1.8964589387579379E-2"/>
    <x v="0"/>
    <n v="0"/>
    <n v="42"/>
    <n v="551"/>
    <n v="137"/>
    <n v="792"/>
    <n v="179"/>
    <n v="103"/>
    <n v="33"/>
    <n v="1"/>
    <n v="6"/>
    <n v="7"/>
    <n v="13"/>
    <n v="1"/>
    <n v="1"/>
    <n v="0"/>
    <n v="0"/>
    <n v="1"/>
    <n v="1"/>
    <n v="0"/>
    <x v="1"/>
    <x v="18"/>
    <s v="24-35"/>
    <n v="2225"/>
    <n v="0"/>
    <n v="1"/>
    <n v="0"/>
    <n v="0"/>
    <n v="0"/>
    <n v="0"/>
    <n v="1"/>
    <n v="0"/>
    <n v="0"/>
    <n v="1729"/>
    <d v="2016-09-11T00:00:00"/>
  </r>
  <r>
    <n v="1648"/>
    <n v="63159"/>
    <n v="1760"/>
    <n v="2.7866179008534019E-2"/>
    <x v="0"/>
    <n v="0"/>
    <n v="74"/>
    <n v="965"/>
    <n v="34"/>
    <n v="586"/>
    <n v="89"/>
    <n v="86"/>
    <n v="37"/>
    <n v="1"/>
    <n v="3"/>
    <n v="5"/>
    <n v="8"/>
    <n v="3"/>
    <n v="0"/>
    <n v="0"/>
    <n v="1"/>
    <n v="0"/>
    <n v="0"/>
    <n v="0"/>
    <x v="1"/>
    <x v="35"/>
    <s v="36-50"/>
    <n v="2760"/>
    <n v="0"/>
    <n v="0"/>
    <n v="1"/>
    <n v="0"/>
    <n v="0"/>
    <n v="0"/>
    <n v="0"/>
    <n v="0"/>
    <n v="1"/>
    <n v="1723"/>
    <d v="2015-03-26T00:00:00"/>
  </r>
  <r>
    <n v="327"/>
    <n v="72066"/>
    <n v="1758"/>
    <n v="2.4394305220214803E-2"/>
    <x v="0"/>
    <n v="0"/>
    <n v="55"/>
    <n v="1003"/>
    <n v="34"/>
    <n v="536"/>
    <n v="134"/>
    <n v="51"/>
    <n v="34"/>
    <n v="1"/>
    <n v="4"/>
    <n v="6"/>
    <n v="6"/>
    <n v="2"/>
    <n v="1"/>
    <n v="0"/>
    <n v="0"/>
    <n v="0"/>
    <n v="1"/>
    <n v="0"/>
    <x v="0"/>
    <x v="43"/>
    <s v="36-50"/>
    <n v="2165"/>
    <n v="0"/>
    <n v="0"/>
    <n v="1"/>
    <n v="0"/>
    <n v="0"/>
    <n v="0"/>
    <n v="1"/>
    <n v="0"/>
    <n v="0"/>
    <n v="1724"/>
    <d v="2016-11-10T00:00:00"/>
  </r>
  <r>
    <n v="348"/>
    <n v="85683"/>
    <n v="1738"/>
    <n v="2.0284070352345272E-2"/>
    <x v="0"/>
    <n v="0"/>
    <n v="6"/>
    <n v="1296"/>
    <n v="17"/>
    <n v="311"/>
    <n v="45"/>
    <n v="69"/>
    <n v="51"/>
    <n v="1"/>
    <n v="2"/>
    <n v="4"/>
    <n v="10"/>
    <n v="1"/>
    <n v="1"/>
    <n v="1"/>
    <n v="0"/>
    <n v="1"/>
    <n v="1"/>
    <n v="0"/>
    <x v="0"/>
    <x v="44"/>
    <s v="66+"/>
    <n v="2259"/>
    <n v="1"/>
    <n v="0"/>
    <n v="0"/>
    <n v="0"/>
    <n v="0"/>
    <n v="0"/>
    <n v="1"/>
    <n v="0"/>
    <n v="0"/>
    <n v="1687"/>
    <d v="2016-08-08T00:00:00"/>
  </r>
  <r>
    <n v="210"/>
    <n v="79930"/>
    <n v="1736"/>
    <n v="2.1719004128612537E-2"/>
    <x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x v="1"/>
    <x v="9"/>
    <s v="36-50"/>
    <n v="2849"/>
    <n v="0"/>
    <n v="1"/>
    <n v="0"/>
    <n v="0"/>
    <n v="0"/>
    <n v="0"/>
    <n v="0"/>
    <n v="0"/>
    <n v="1"/>
    <n v="1719"/>
    <d v="2014-12-27T00:00:00"/>
  </r>
  <r>
    <n v="350"/>
    <n v="68126"/>
    <n v="1734"/>
    <n v="2.5452837389542907E-2"/>
    <x v="0"/>
    <n v="0"/>
    <n v="40"/>
    <n v="1332"/>
    <n v="17"/>
    <n v="311"/>
    <n v="23"/>
    <n v="51"/>
    <n v="86"/>
    <n v="1"/>
    <n v="7"/>
    <n v="4"/>
    <n v="5"/>
    <n v="9"/>
    <n v="0"/>
    <n v="0"/>
    <n v="0"/>
    <n v="1"/>
    <n v="0"/>
    <n v="0"/>
    <x v="0"/>
    <x v="1"/>
    <s v="24-35"/>
    <n v="2755"/>
    <n v="0"/>
    <n v="0"/>
    <n v="1"/>
    <n v="0"/>
    <n v="0"/>
    <n v="0"/>
    <n v="0"/>
    <n v="0"/>
    <n v="1"/>
    <n v="1648"/>
    <d v="2015-03-31T00:00:00"/>
  </r>
  <r>
    <n v="21"/>
    <n v="2447"/>
    <n v="1729"/>
    <n v="0.7065794850837761"/>
    <x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x v="1"/>
    <x v="19"/>
    <s v="36-50"/>
    <n v="2698"/>
    <n v="0"/>
    <n v="1"/>
    <n v="0"/>
    <n v="0"/>
    <n v="0"/>
    <n v="0"/>
    <n v="1"/>
    <n v="0"/>
    <n v="0"/>
    <n v="1728"/>
    <d v="2015-05-27T00:00:00"/>
  </r>
  <r>
    <n v="359"/>
    <n v="90687"/>
    <n v="1728"/>
    <n v="1.9054550266300572E-2"/>
    <x v="0"/>
    <n v="0"/>
    <n v="98"/>
    <n v="982"/>
    <n v="17"/>
    <n v="672"/>
    <n v="23"/>
    <n v="34"/>
    <n v="51"/>
    <n v="1"/>
    <n v="6"/>
    <n v="2"/>
    <n v="8"/>
    <n v="2"/>
    <n v="0"/>
    <n v="0"/>
    <n v="0"/>
    <n v="0"/>
    <n v="1"/>
    <n v="0"/>
    <x v="0"/>
    <x v="20"/>
    <s v="36-50"/>
    <n v="2562"/>
    <n v="1"/>
    <n v="0"/>
    <n v="0"/>
    <n v="0"/>
    <n v="0"/>
    <n v="0"/>
    <n v="0"/>
    <n v="0"/>
    <n v="1"/>
    <n v="1677"/>
    <d v="2015-10-10T00:00:00"/>
  </r>
  <r>
    <n v="869"/>
    <n v="83033"/>
    <n v="1728"/>
    <n v="2.0811002854286848E-2"/>
    <x v="1"/>
    <n v="0"/>
    <n v="82"/>
    <n v="812"/>
    <n v="99"/>
    <n v="431"/>
    <n v="237"/>
    <n v="149"/>
    <n v="33"/>
    <n v="1"/>
    <n v="11"/>
    <n v="4"/>
    <n v="10"/>
    <n v="5"/>
    <n v="1"/>
    <n v="0"/>
    <n v="0"/>
    <n v="0"/>
    <n v="0"/>
    <n v="0"/>
    <x v="1"/>
    <x v="18"/>
    <s v="24-35"/>
    <n v="2201"/>
    <n v="0"/>
    <n v="0"/>
    <n v="0"/>
    <n v="1"/>
    <n v="0"/>
    <n v="0"/>
    <n v="1"/>
    <n v="0"/>
    <n v="0"/>
    <n v="1695"/>
    <d v="2016-10-05T00:00:00"/>
  </r>
  <r>
    <n v="817"/>
    <n v="70123"/>
    <n v="1727"/>
    <n v="2.4628153387618899E-2"/>
    <x v="0"/>
    <n v="0"/>
    <n v="27"/>
    <n v="1308"/>
    <n v="0"/>
    <n v="396"/>
    <n v="23"/>
    <n v="0"/>
    <n v="0"/>
    <n v="1"/>
    <n v="5"/>
    <n v="7"/>
    <n v="4"/>
    <n v="3"/>
    <n v="0"/>
    <n v="1"/>
    <n v="0"/>
    <n v="1"/>
    <n v="0"/>
    <n v="0"/>
    <x v="1"/>
    <x v="20"/>
    <s v="36-50"/>
    <n v="2433"/>
    <n v="0"/>
    <n v="0"/>
    <n v="0"/>
    <n v="1"/>
    <n v="0"/>
    <n v="0"/>
    <n v="0"/>
    <n v="0"/>
    <n v="1"/>
    <n v="1727"/>
    <d v="2016-02-16T00:00:00"/>
  </r>
  <r>
    <n v="370"/>
    <n v="75261"/>
    <n v="1726"/>
    <n v="2.2933524667490466E-2"/>
    <x v="0"/>
    <n v="0"/>
    <n v="17"/>
    <n v="1239"/>
    <n v="17"/>
    <n v="413"/>
    <n v="23"/>
    <n v="34"/>
    <n v="17"/>
    <n v="1"/>
    <n v="5"/>
    <n v="6"/>
    <n v="5"/>
    <n v="2"/>
    <n v="0"/>
    <n v="0"/>
    <n v="0"/>
    <n v="1"/>
    <n v="1"/>
    <n v="0"/>
    <x v="0"/>
    <x v="38"/>
    <s v="51-66"/>
    <n v="2591"/>
    <n v="0"/>
    <n v="0"/>
    <n v="0"/>
    <n v="1"/>
    <n v="0"/>
    <n v="0"/>
    <n v="0"/>
    <n v="0"/>
    <n v="1"/>
    <n v="1709"/>
    <d v="2015-09-11T00:00:00"/>
  </r>
  <r>
    <n v="372"/>
    <n v="83145"/>
    <n v="1719"/>
    <n v="2.0674724878224787E-2"/>
    <x v="0"/>
    <n v="0"/>
    <n v="14"/>
    <n v="777"/>
    <n v="35"/>
    <n v="731"/>
    <n v="39"/>
    <n v="137"/>
    <n v="114"/>
    <n v="1"/>
    <n v="5"/>
    <n v="9"/>
    <n v="11"/>
    <n v="2"/>
    <n v="0"/>
    <n v="0"/>
    <n v="0"/>
    <n v="0"/>
    <n v="1"/>
    <n v="0"/>
    <x v="0"/>
    <x v="35"/>
    <s v="36-50"/>
    <n v="2804"/>
    <n v="0"/>
    <n v="0"/>
    <n v="0"/>
    <n v="1"/>
    <n v="0"/>
    <n v="0"/>
    <n v="1"/>
    <n v="0"/>
    <n v="0"/>
    <n v="1605"/>
    <d v="2015-02-10T00:00:00"/>
  </r>
  <r>
    <n v="270"/>
    <n v="82497"/>
    <n v="1716"/>
    <n v="2.0800756391141498E-2"/>
    <x v="0"/>
    <n v="0"/>
    <n v="32"/>
    <n v="777"/>
    <n v="129"/>
    <n v="573"/>
    <n v="216"/>
    <n v="21"/>
    <n v="203"/>
    <n v="1"/>
    <n v="2"/>
    <n v="7"/>
    <n v="9"/>
    <n v="4"/>
    <n v="0"/>
    <n v="0"/>
    <n v="0"/>
    <n v="0"/>
    <n v="1"/>
    <n v="0"/>
    <x v="1"/>
    <x v="41"/>
    <s v="36-50"/>
    <n v="2765"/>
    <n v="0"/>
    <n v="1"/>
    <n v="0"/>
    <n v="0"/>
    <n v="0"/>
    <n v="0"/>
    <n v="1"/>
    <n v="0"/>
    <n v="0"/>
    <n v="1513"/>
    <d v="2015-03-21T00:00:00"/>
  </r>
  <r>
    <n v="377"/>
    <n v="80952"/>
    <n v="1713"/>
    <n v="2.1160687815001484E-2"/>
    <x v="0"/>
    <n v="0"/>
    <n v="20"/>
    <n v="778"/>
    <n v="178"/>
    <n v="689"/>
    <n v="41"/>
    <n v="27"/>
    <n v="44"/>
    <n v="1"/>
    <n v="8"/>
    <n v="5"/>
    <n v="11"/>
    <n v="8"/>
    <n v="1"/>
    <n v="0"/>
    <n v="0"/>
    <n v="1"/>
    <n v="1"/>
    <n v="0"/>
    <x v="0"/>
    <x v="3"/>
    <s v="51-66"/>
    <n v="2645"/>
    <n v="0"/>
    <n v="1"/>
    <n v="0"/>
    <n v="0"/>
    <n v="0"/>
    <n v="0"/>
    <n v="1"/>
    <n v="0"/>
    <n v="0"/>
    <n v="1669"/>
    <d v="2015-07-19T00:00:00"/>
  </r>
  <r>
    <n v="379"/>
    <n v="78579"/>
    <n v="1713"/>
    <n v="2.179971748176994E-2"/>
    <x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x v="0"/>
    <x v="2"/>
    <s v="36-50"/>
    <n v="2713"/>
    <n v="1"/>
    <n v="0"/>
    <n v="0"/>
    <n v="0"/>
    <n v="0"/>
    <n v="0"/>
    <n v="0"/>
    <n v="1"/>
    <n v="0"/>
    <n v="1614"/>
    <d v="2015-05-12T00:00:00"/>
  </r>
  <r>
    <n v="383"/>
    <n v="79607"/>
    <n v="1707"/>
    <n v="2.1442837941387065E-2"/>
    <x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x v="0"/>
    <x v="39"/>
    <s v="36-50"/>
    <n v="2593"/>
    <n v="0"/>
    <n v="0"/>
    <n v="1"/>
    <n v="0"/>
    <n v="0"/>
    <n v="0"/>
    <n v="1"/>
    <n v="0"/>
    <n v="0"/>
    <n v="1491"/>
    <d v="2015-09-09T00:00:00"/>
  </r>
  <r>
    <n v="1750"/>
    <n v="77598"/>
    <n v="1702"/>
    <n v="2.1933554988530633E-2"/>
    <x v="0"/>
    <n v="0"/>
    <n v="53"/>
    <n v="1193"/>
    <n v="33"/>
    <n v="281"/>
    <n v="129"/>
    <n v="66"/>
    <n v="33"/>
    <n v="1"/>
    <n v="7"/>
    <n v="5"/>
    <n v="13"/>
    <n v="3"/>
    <n v="0"/>
    <n v="0"/>
    <n v="0"/>
    <n v="0"/>
    <n v="1"/>
    <n v="0"/>
    <x v="1"/>
    <x v="45"/>
    <s v="66+"/>
    <n v="2430"/>
    <n v="0"/>
    <n v="0"/>
    <n v="1"/>
    <n v="0"/>
    <n v="0"/>
    <n v="0"/>
    <n v="0"/>
    <n v="1"/>
    <n v="0"/>
    <n v="1669"/>
    <d v="2016-02-19T00:00:00"/>
  </r>
  <r>
    <n v="342"/>
    <n v="72025"/>
    <n v="1699"/>
    <n v="2.3589031586254774E-2"/>
    <x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x v="1"/>
    <x v="46"/>
    <s v="51-66"/>
    <n v="2748"/>
    <n v="0"/>
    <n v="0"/>
    <n v="0"/>
    <n v="1"/>
    <n v="0"/>
    <n v="0"/>
    <n v="1"/>
    <n v="0"/>
    <n v="0"/>
    <n v="1466"/>
    <d v="2015-04-07T00:00:00"/>
  </r>
  <r>
    <n v="677"/>
    <n v="72190"/>
    <n v="1698"/>
    <n v="2.3521263332871589E-2"/>
    <x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x v="1"/>
    <x v="47"/>
    <s v="51-66"/>
    <n v="2660"/>
    <n v="0"/>
    <n v="1"/>
    <n v="0"/>
    <n v="0"/>
    <n v="0"/>
    <n v="0"/>
    <n v="1"/>
    <n v="0"/>
    <n v="0"/>
    <n v="1449"/>
    <d v="2015-07-04T00:00:00"/>
  </r>
  <r>
    <n v="391"/>
    <n v="92955"/>
    <n v="1694"/>
    <n v="1.8223871765908235E-2"/>
    <x v="0"/>
    <n v="0"/>
    <n v="35"/>
    <n v="693"/>
    <n v="21"/>
    <n v="925"/>
    <n v="31"/>
    <n v="24"/>
    <n v="84"/>
    <n v="1"/>
    <n v="6"/>
    <n v="7"/>
    <n v="9"/>
    <n v="2"/>
    <n v="1"/>
    <n v="0"/>
    <n v="0"/>
    <n v="0"/>
    <n v="1"/>
    <n v="0"/>
    <x v="0"/>
    <x v="30"/>
    <s v="36-50"/>
    <n v="2473"/>
    <n v="0"/>
    <n v="1"/>
    <n v="0"/>
    <n v="0"/>
    <n v="0"/>
    <n v="0"/>
    <n v="1"/>
    <n v="0"/>
    <n v="0"/>
    <n v="1610"/>
    <d v="2016-01-07T00:00:00"/>
  </r>
  <r>
    <n v="105"/>
    <n v="90765"/>
    <n v="1691"/>
    <n v="1.8630529389081694E-2"/>
    <x v="0"/>
    <n v="0"/>
    <n v="25"/>
    <n v="547"/>
    <n v="99"/>
    <n v="812"/>
    <n v="151"/>
    <n v="82"/>
    <n v="33"/>
    <n v="0"/>
    <n v="4"/>
    <n v="6"/>
    <n v="5"/>
    <n v="1"/>
    <n v="1"/>
    <n v="0"/>
    <n v="0"/>
    <n v="0"/>
    <n v="1"/>
    <n v="0"/>
    <x v="1"/>
    <x v="2"/>
    <s v="36-50"/>
    <n v="2315"/>
    <n v="0"/>
    <n v="1"/>
    <n v="0"/>
    <n v="0"/>
    <n v="0"/>
    <n v="0"/>
    <n v="1"/>
    <n v="0"/>
    <n v="0"/>
    <n v="1658"/>
    <d v="2016-06-13T00:00:00"/>
  </r>
  <r>
    <n v="1789"/>
    <n v="74485"/>
    <n v="1685"/>
    <n v="2.2622004430422234E-2"/>
    <x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x v="1"/>
    <x v="6"/>
    <s v="66+"/>
    <n v="2468"/>
    <n v="0"/>
    <n v="0"/>
    <n v="0"/>
    <n v="1"/>
    <n v="0"/>
    <n v="0"/>
    <n v="1"/>
    <n v="0"/>
    <n v="0"/>
    <n v="1636"/>
    <d v="2016-01-12T00:00:00"/>
  </r>
  <r>
    <n v="395"/>
    <n v="77870"/>
    <n v="1682"/>
    <n v="2.160010273532811E-2"/>
    <x v="0"/>
    <n v="1"/>
    <n v="93"/>
    <n v="1017"/>
    <n v="50"/>
    <n v="500"/>
    <n v="65"/>
    <n v="50"/>
    <n v="133"/>
    <n v="3"/>
    <n v="5"/>
    <n v="5"/>
    <n v="5"/>
    <n v="8"/>
    <n v="1"/>
    <n v="0"/>
    <n v="0"/>
    <n v="1"/>
    <n v="0"/>
    <n v="0"/>
    <x v="0"/>
    <x v="26"/>
    <s v="51-66"/>
    <n v="2835"/>
    <n v="0"/>
    <n v="1"/>
    <n v="0"/>
    <n v="0"/>
    <n v="0"/>
    <n v="0"/>
    <n v="1"/>
    <n v="0"/>
    <n v="0"/>
    <n v="1549"/>
    <d v="2015-01-10T00:00:00"/>
  </r>
  <r>
    <n v="462"/>
    <n v="76005"/>
    <n v="1682"/>
    <n v="2.2130123018222484E-2"/>
    <x v="0"/>
    <n v="0"/>
    <n v="72"/>
    <n v="983"/>
    <n v="20"/>
    <n v="389"/>
    <n v="240"/>
    <n v="50"/>
    <n v="40"/>
    <n v="1"/>
    <n v="3"/>
    <n v="5"/>
    <n v="13"/>
    <n v="6"/>
    <n v="1"/>
    <n v="0"/>
    <n v="0"/>
    <n v="0"/>
    <n v="0"/>
    <n v="0"/>
    <x v="1"/>
    <x v="38"/>
    <s v="51-66"/>
    <n v="2651"/>
    <n v="0"/>
    <n v="0"/>
    <n v="0"/>
    <n v="1"/>
    <n v="0"/>
    <n v="0"/>
    <n v="1"/>
    <n v="0"/>
    <n v="0"/>
    <n v="1642"/>
    <d v="2015-07-13T00:00:00"/>
  </r>
  <r>
    <n v="363"/>
    <n v="90300"/>
    <n v="1681"/>
    <n v="1.8615725359911406E-2"/>
    <x v="0"/>
    <n v="0"/>
    <n v="7"/>
    <n v="594"/>
    <n v="134"/>
    <n v="786"/>
    <n v="33"/>
    <n v="134"/>
    <n v="57"/>
    <n v="0"/>
    <n v="5"/>
    <n v="6"/>
    <n v="8"/>
    <n v="1"/>
    <n v="0"/>
    <n v="0"/>
    <n v="0"/>
    <n v="0"/>
    <n v="1"/>
    <n v="0"/>
    <x v="1"/>
    <x v="19"/>
    <s v="36-50"/>
    <n v="2336"/>
    <n v="0"/>
    <n v="0"/>
    <n v="0"/>
    <n v="1"/>
    <n v="0"/>
    <n v="0"/>
    <n v="1"/>
    <n v="0"/>
    <n v="0"/>
    <n v="1624"/>
    <d v="2016-05-23T00:00:00"/>
  </r>
  <r>
    <n v="1100"/>
    <n v="74214"/>
    <n v="1678"/>
    <n v="2.2610289163769639E-2"/>
    <x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x v="1"/>
    <x v="48"/>
    <s v="24-35"/>
    <n v="2831"/>
    <n v="0"/>
    <n v="1"/>
    <n v="0"/>
    <n v="0"/>
    <n v="0"/>
    <n v="0"/>
    <n v="0"/>
    <n v="0"/>
    <n v="1"/>
    <n v="1645"/>
    <d v="2015-01-14T00:00:00"/>
  </r>
  <r>
    <n v="402"/>
    <n v="72025"/>
    <n v="1677"/>
    <n v="2.3283582089552238E-2"/>
    <x v="0"/>
    <n v="0"/>
    <n v="46"/>
    <n v="967"/>
    <n v="0"/>
    <n v="617"/>
    <n v="43"/>
    <n v="50"/>
    <n v="0"/>
    <n v="1"/>
    <n v="4"/>
    <n v="8"/>
    <n v="13"/>
    <n v="2"/>
    <n v="1"/>
    <n v="0"/>
    <n v="0"/>
    <n v="1"/>
    <n v="1"/>
    <n v="0"/>
    <x v="0"/>
    <x v="4"/>
    <s v="66+"/>
    <n v="2220"/>
    <n v="0"/>
    <n v="1"/>
    <n v="0"/>
    <n v="0"/>
    <n v="0"/>
    <n v="0"/>
    <n v="1"/>
    <n v="0"/>
    <n v="0"/>
    <n v="1677"/>
    <d v="2016-09-16T00:00:00"/>
  </r>
  <r>
    <n v="1003"/>
    <n v="64176"/>
    <n v="1677"/>
    <n v="2.6131264023934182E-2"/>
    <x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x v="1"/>
    <x v="47"/>
    <s v="51-66"/>
    <n v="2854"/>
    <n v="1"/>
    <n v="0"/>
    <n v="0"/>
    <n v="0"/>
    <n v="0"/>
    <n v="1"/>
    <n v="0"/>
    <n v="0"/>
    <n v="0"/>
    <n v="1528"/>
    <d v="2014-12-22T00:00:00"/>
  </r>
  <r>
    <n v="1815"/>
    <n v="94472"/>
    <n v="1675"/>
    <n v="1.7730121094080786E-2"/>
    <x v="0"/>
    <n v="1"/>
    <n v="75"/>
    <n v="1017"/>
    <n v="33"/>
    <n v="417"/>
    <n v="108"/>
    <n v="100"/>
    <n v="16"/>
    <n v="1"/>
    <n v="5"/>
    <n v="5"/>
    <n v="5"/>
    <n v="5"/>
    <n v="0"/>
    <n v="0"/>
    <n v="0"/>
    <n v="1"/>
    <n v="1"/>
    <n v="0"/>
    <x v="1"/>
    <x v="27"/>
    <s v="51-66"/>
    <n v="2246"/>
    <n v="0"/>
    <n v="0"/>
    <n v="1"/>
    <n v="0"/>
    <n v="0"/>
    <n v="0"/>
    <n v="1"/>
    <n v="0"/>
    <n v="0"/>
    <n v="1659"/>
    <d v="2016-08-21T00:00:00"/>
  </r>
  <r>
    <n v="148"/>
    <n v="70356"/>
    <n v="1673"/>
    <n v="2.3779066461993292E-2"/>
    <x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x v="1"/>
    <x v="49"/>
    <s v="66+"/>
    <n v="2760"/>
    <n v="0"/>
    <n v="1"/>
    <n v="0"/>
    <n v="0"/>
    <n v="0"/>
    <n v="0"/>
    <n v="0"/>
    <n v="0"/>
    <n v="1"/>
    <n v="1640"/>
    <d v="2015-03-26T00:00:00"/>
  </r>
  <r>
    <n v="28"/>
    <n v="84618"/>
    <n v="1672"/>
    <n v="1.9759389255241202E-2"/>
    <x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x v="1"/>
    <x v="47"/>
    <s v="51-66"/>
    <n v="2378"/>
    <n v="0"/>
    <n v="1"/>
    <n v="0"/>
    <n v="0"/>
    <n v="0"/>
    <n v="0"/>
    <n v="0"/>
    <n v="0"/>
    <n v="1"/>
    <n v="1672"/>
    <d v="2016-04-11T00:00:00"/>
  </r>
  <r>
    <n v="427"/>
    <n v="84865"/>
    <n v="1672"/>
    <n v="1.9701879455605961E-2"/>
    <x v="0"/>
    <n v="0"/>
    <n v="1"/>
    <n v="1248"/>
    <n v="16"/>
    <n v="349"/>
    <n v="43"/>
    <n v="16"/>
    <n v="16"/>
    <n v="1"/>
    <n v="2"/>
    <n v="4"/>
    <n v="9"/>
    <n v="4"/>
    <n v="1"/>
    <n v="1"/>
    <n v="0"/>
    <n v="1"/>
    <n v="1"/>
    <n v="0"/>
    <x v="0"/>
    <x v="21"/>
    <s v="51-66"/>
    <n v="2575"/>
    <n v="0"/>
    <n v="0"/>
    <n v="1"/>
    <n v="0"/>
    <n v="0"/>
    <n v="0"/>
    <n v="0"/>
    <n v="0"/>
    <n v="1"/>
    <n v="1656"/>
    <d v="2015-09-27T00:00:00"/>
  </r>
  <r>
    <n v="428"/>
    <n v="78789"/>
    <n v="1671"/>
    <n v="2.1208544339945932E-2"/>
    <x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x v="0"/>
    <x v="41"/>
    <s v="36-50"/>
    <n v="2849"/>
    <n v="1"/>
    <n v="0"/>
    <n v="0"/>
    <n v="0"/>
    <n v="0"/>
    <n v="0"/>
    <n v="0"/>
    <n v="1"/>
    <n v="0"/>
    <n v="1588"/>
    <d v="2014-12-27T00:00:00"/>
  </r>
  <r>
    <n v="431"/>
    <n v="86979"/>
    <n v="1667"/>
    <n v="1.9165545706434885E-2"/>
    <x v="0"/>
    <n v="0"/>
    <n v="67"/>
    <n v="584"/>
    <n v="100"/>
    <n v="835"/>
    <n v="65"/>
    <n v="83"/>
    <n v="35"/>
    <n v="1"/>
    <n v="5"/>
    <n v="5"/>
    <n v="5"/>
    <n v="2"/>
    <n v="0"/>
    <n v="0"/>
    <n v="1"/>
    <n v="0"/>
    <n v="0"/>
    <n v="0"/>
    <x v="0"/>
    <x v="28"/>
    <s v="36-50"/>
    <n v="2393"/>
    <n v="1"/>
    <n v="0"/>
    <n v="0"/>
    <n v="0"/>
    <n v="0"/>
    <n v="0"/>
    <n v="0"/>
    <n v="0"/>
    <n v="1"/>
    <n v="1632"/>
    <d v="2016-03-27T00:00:00"/>
  </r>
  <r>
    <n v="1880"/>
    <n v="77610"/>
    <n v="1664"/>
    <n v="2.1440536013400336E-2"/>
    <x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x v="1"/>
    <x v="50"/>
    <s v="66+"/>
    <n v="2767"/>
    <n v="0"/>
    <n v="1"/>
    <n v="0"/>
    <n v="0"/>
    <n v="0"/>
    <n v="0"/>
    <n v="0"/>
    <n v="0"/>
    <n v="1"/>
    <n v="1648"/>
    <d v="2015-03-19T00:00:00"/>
  </r>
  <r>
    <n v="48"/>
    <n v="79143"/>
    <n v="1661"/>
    <n v="2.0987326737677368E-2"/>
    <x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x v="1"/>
    <x v="42"/>
    <s v="51-66"/>
    <n v="2846"/>
    <n v="0"/>
    <n v="1"/>
    <n v="0"/>
    <n v="0"/>
    <n v="0"/>
    <n v="0"/>
    <n v="0"/>
    <n v="1"/>
    <n v="0"/>
    <n v="1629"/>
    <d v="2014-12-30T00:00:00"/>
  </r>
  <r>
    <n v="492"/>
    <n v="70503"/>
    <n v="1661"/>
    <n v="2.3559281165340482E-2"/>
    <x v="0"/>
    <n v="0"/>
    <n v="73"/>
    <n v="1379"/>
    <n v="33"/>
    <n v="216"/>
    <n v="0"/>
    <n v="33"/>
    <n v="66"/>
    <n v="1"/>
    <n v="2"/>
    <n v="4"/>
    <n v="9"/>
    <n v="6"/>
    <n v="0"/>
    <n v="0"/>
    <n v="0"/>
    <n v="1"/>
    <n v="1"/>
    <n v="0"/>
    <x v="1"/>
    <x v="10"/>
    <s v="66+"/>
    <n v="2796"/>
    <n v="0"/>
    <n v="1"/>
    <n v="0"/>
    <n v="0"/>
    <n v="0"/>
    <n v="0"/>
    <n v="1"/>
    <n v="0"/>
    <n v="0"/>
    <n v="1595"/>
    <d v="2015-02-18T00:00:00"/>
  </r>
  <r>
    <n v="525"/>
    <n v="79908"/>
    <n v="1661"/>
    <n v="2.0786404365019773E-2"/>
    <x v="0"/>
    <n v="0"/>
    <n v="30"/>
    <n v="557"/>
    <n v="129"/>
    <n v="761"/>
    <n v="29"/>
    <n v="185"/>
    <n v="111"/>
    <n v="1"/>
    <n v="5"/>
    <n v="6"/>
    <n v="7"/>
    <n v="2"/>
    <n v="0"/>
    <n v="0"/>
    <n v="0"/>
    <n v="0"/>
    <n v="1"/>
    <n v="0"/>
    <x v="1"/>
    <x v="31"/>
    <s v="36-50"/>
    <n v="2609"/>
    <n v="0"/>
    <n v="1"/>
    <n v="0"/>
    <n v="0"/>
    <n v="0"/>
    <n v="0"/>
    <n v="1"/>
    <n v="0"/>
    <n v="0"/>
    <n v="1550"/>
    <d v="2015-08-24T00:00:00"/>
  </r>
  <r>
    <n v="1948"/>
    <n v="69209"/>
    <n v="1654"/>
    <n v="2.3898625901255618E-2"/>
    <x v="0"/>
    <n v="0"/>
    <n v="4"/>
    <n v="496"/>
    <n v="32"/>
    <n v="849"/>
    <n v="229"/>
    <n v="48"/>
    <n v="128"/>
    <n v="2"/>
    <n v="5"/>
    <n v="3"/>
    <n v="6"/>
    <n v="4"/>
    <n v="1"/>
    <n v="0"/>
    <n v="0"/>
    <n v="0"/>
    <n v="0"/>
    <n v="0"/>
    <x v="1"/>
    <x v="9"/>
    <s v="36-50"/>
    <n v="2809"/>
    <n v="0"/>
    <n v="1"/>
    <n v="0"/>
    <n v="0"/>
    <n v="0"/>
    <n v="0"/>
    <n v="1"/>
    <n v="0"/>
    <n v="0"/>
    <n v="1526"/>
    <d v="2015-02-05T00:00:00"/>
  </r>
  <r>
    <n v="436"/>
    <n v="91249"/>
    <n v="1649"/>
    <n v="1.8071430919790903E-2"/>
    <x v="0"/>
    <n v="0"/>
    <n v="84"/>
    <n v="1324"/>
    <n v="27"/>
    <n v="119"/>
    <n v="71"/>
    <n v="108"/>
    <n v="27"/>
    <n v="0"/>
    <n v="7"/>
    <n v="9"/>
    <n v="6"/>
    <n v="4"/>
    <n v="1"/>
    <n v="1"/>
    <n v="0"/>
    <n v="1"/>
    <n v="1"/>
    <n v="0"/>
    <x v="0"/>
    <x v="5"/>
    <s v="51-66"/>
    <n v="2776"/>
    <n v="0"/>
    <n v="0"/>
    <n v="1"/>
    <n v="0"/>
    <n v="0"/>
    <n v="0"/>
    <n v="1"/>
    <n v="0"/>
    <n v="0"/>
    <n v="1622"/>
    <d v="2015-03-10T00:00:00"/>
  </r>
  <r>
    <n v="441"/>
    <n v="64509"/>
    <n v="1645"/>
    <n v="2.5500317785115256E-2"/>
    <x v="0"/>
    <n v="0"/>
    <n v="19"/>
    <n v="836"/>
    <n v="185"/>
    <n v="575"/>
    <n v="24"/>
    <n v="25"/>
    <n v="77"/>
    <n v="1"/>
    <n v="6"/>
    <n v="3"/>
    <n v="9"/>
    <n v="4"/>
    <n v="0"/>
    <n v="0"/>
    <n v="1"/>
    <n v="0"/>
    <n v="0"/>
    <n v="0"/>
    <x v="0"/>
    <x v="48"/>
    <s v="24-35"/>
    <n v="2475"/>
    <n v="0"/>
    <n v="0"/>
    <n v="1"/>
    <n v="0"/>
    <n v="0"/>
    <n v="0"/>
    <n v="1"/>
    <n v="0"/>
    <n v="0"/>
    <n v="1568"/>
    <d v="2016-01-05T00:00:00"/>
  </r>
  <r>
    <n v="822"/>
    <n v="80812"/>
    <n v="1644"/>
    <n v="2.034351333960303E-2"/>
    <x v="0"/>
    <n v="0"/>
    <n v="95"/>
    <n v="769"/>
    <n v="22"/>
    <n v="500"/>
    <n v="210"/>
    <n v="143"/>
    <n v="33"/>
    <n v="1"/>
    <n v="4"/>
    <n v="8"/>
    <n v="5"/>
    <n v="2"/>
    <n v="1"/>
    <n v="0"/>
    <n v="1"/>
    <n v="0"/>
    <n v="1"/>
    <n v="0"/>
    <x v="1"/>
    <x v="10"/>
    <s v="66+"/>
    <n v="2444"/>
    <n v="0"/>
    <n v="0"/>
    <n v="0"/>
    <n v="1"/>
    <n v="0"/>
    <n v="0"/>
    <n v="1"/>
    <n v="0"/>
    <n v="0"/>
    <n v="1611"/>
    <d v="2016-02-05T00:00:00"/>
  </r>
  <r>
    <n v="442"/>
    <n v="79800"/>
    <n v="1643"/>
    <n v="2.0588972431077695E-2"/>
    <x v="0"/>
    <n v="0"/>
    <n v="65"/>
    <n v="1060"/>
    <n v="21"/>
    <n v="530"/>
    <n v="32"/>
    <n v="0"/>
    <n v="224"/>
    <n v="1"/>
    <n v="5"/>
    <n v="11"/>
    <n v="5"/>
    <n v="3"/>
    <n v="1"/>
    <n v="0"/>
    <n v="1"/>
    <n v="0"/>
    <n v="1"/>
    <n v="0"/>
    <x v="0"/>
    <x v="38"/>
    <s v="51-66"/>
    <n v="2803"/>
    <n v="0"/>
    <n v="0"/>
    <n v="0"/>
    <n v="0"/>
    <n v="1"/>
    <n v="0"/>
    <n v="1"/>
    <n v="0"/>
    <n v="0"/>
    <n v="1419"/>
    <d v="2015-02-11T00:00:00"/>
  </r>
  <r>
    <n v="452"/>
    <n v="78569"/>
    <n v="1641"/>
    <n v="2.0886100115821763E-2"/>
    <x v="0"/>
    <n v="0"/>
    <n v="14"/>
    <n v="558"/>
    <n v="79"/>
    <n v="622"/>
    <n v="207"/>
    <n v="175"/>
    <n v="95"/>
    <n v="1"/>
    <n v="4"/>
    <n v="6"/>
    <n v="4"/>
    <n v="1"/>
    <n v="0"/>
    <n v="0"/>
    <n v="0"/>
    <n v="0"/>
    <n v="1"/>
    <n v="0"/>
    <x v="0"/>
    <x v="8"/>
    <s v="66+"/>
    <n v="2289"/>
    <n v="0"/>
    <n v="1"/>
    <n v="0"/>
    <n v="0"/>
    <n v="0"/>
    <n v="0"/>
    <n v="1"/>
    <n v="0"/>
    <n v="0"/>
    <n v="1546"/>
    <d v="2016-07-09T00:00:00"/>
  </r>
  <r>
    <n v="864"/>
    <n v="74637"/>
    <n v="1634"/>
    <n v="2.1892626981255946E-2"/>
    <x v="0"/>
    <n v="0"/>
    <n v="73"/>
    <n v="960"/>
    <n v="64"/>
    <n v="464"/>
    <n v="146"/>
    <n v="0"/>
    <n v="16"/>
    <n v="1"/>
    <n v="6"/>
    <n v="9"/>
    <n v="9"/>
    <n v="3"/>
    <n v="1"/>
    <n v="0"/>
    <n v="0"/>
    <n v="0"/>
    <n v="0"/>
    <n v="0"/>
    <x v="1"/>
    <x v="44"/>
    <s v="66+"/>
    <n v="2566"/>
    <n v="0"/>
    <n v="0"/>
    <n v="1"/>
    <n v="0"/>
    <n v="0"/>
    <n v="0"/>
    <n v="0"/>
    <n v="0"/>
    <n v="1"/>
    <n v="1618"/>
    <d v="2015-10-06T00:00:00"/>
  </r>
  <r>
    <n v="1464"/>
    <n v="75794"/>
    <n v="1634"/>
    <n v="2.155843470459403E-2"/>
    <x v="0"/>
    <n v="0"/>
    <n v="33"/>
    <n v="754"/>
    <n v="160"/>
    <n v="625"/>
    <n v="63"/>
    <n v="32"/>
    <n v="48"/>
    <n v="1"/>
    <n v="7"/>
    <n v="5"/>
    <n v="12"/>
    <n v="3"/>
    <n v="1"/>
    <n v="0"/>
    <n v="0"/>
    <n v="0"/>
    <n v="0"/>
    <n v="0"/>
    <x v="1"/>
    <x v="36"/>
    <s v="24-35"/>
    <n v="2346"/>
    <n v="0"/>
    <n v="1"/>
    <n v="0"/>
    <n v="0"/>
    <n v="0"/>
    <n v="0"/>
    <n v="1"/>
    <n v="0"/>
    <n v="0"/>
    <n v="1586"/>
    <d v="2016-05-13T00:00:00"/>
  </r>
  <r>
    <n v="455"/>
    <n v="89616"/>
    <n v="1629"/>
    <n v="1.8177557579003748E-2"/>
    <x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x v="0"/>
    <x v="20"/>
    <s v="36-50"/>
    <n v="2648"/>
    <n v="0"/>
    <n v="0"/>
    <n v="1"/>
    <n v="0"/>
    <n v="0"/>
    <n v="0"/>
    <n v="0"/>
    <n v="1"/>
    <n v="0"/>
    <n v="1614"/>
    <d v="2015-07-16T00:00:00"/>
  </r>
  <r>
    <n v="1058"/>
    <n v="86358"/>
    <n v="1627"/>
    <n v="1.8840176937863311E-2"/>
    <x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x v="1"/>
    <x v="22"/>
    <s v="51-66"/>
    <n v="2849"/>
    <n v="0"/>
    <n v="0"/>
    <n v="1"/>
    <n v="0"/>
    <n v="0"/>
    <n v="0"/>
    <n v="1"/>
    <n v="0"/>
    <n v="0"/>
    <n v="1532"/>
    <d v="2014-12-27T00:00:00"/>
  </r>
  <r>
    <n v="332"/>
    <n v="68462"/>
    <n v="1622"/>
    <n v="2.3691975110280157E-2"/>
    <x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x v="1"/>
    <x v="3"/>
    <s v="51-66"/>
    <n v="2723"/>
    <n v="0"/>
    <n v="1"/>
    <n v="0"/>
    <n v="0"/>
    <n v="0"/>
    <n v="0"/>
    <n v="0"/>
    <n v="0"/>
    <n v="1"/>
    <n v="1574"/>
    <d v="2015-05-02T00:00:00"/>
  </r>
  <r>
    <n v="493"/>
    <n v="68281"/>
    <n v="1614"/>
    <n v="2.3637615149163016E-2"/>
    <x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x v="0"/>
    <x v="27"/>
    <s v="51-66"/>
    <n v="2850"/>
    <n v="0"/>
    <n v="0"/>
    <n v="1"/>
    <n v="0"/>
    <n v="0"/>
    <n v="0"/>
    <n v="1"/>
    <n v="0"/>
    <n v="0"/>
    <n v="1573"/>
    <d v="2014-12-26T00:00:00"/>
  </r>
  <r>
    <n v="506"/>
    <n v="64497"/>
    <n v="1612"/>
    <n v="2.4993410546226957E-2"/>
    <x v="0"/>
    <n v="1"/>
    <n v="17"/>
    <n v="1170"/>
    <n v="48"/>
    <n v="320"/>
    <n v="42"/>
    <n v="32"/>
    <n v="192"/>
    <n v="5"/>
    <n v="11"/>
    <n v="4"/>
    <n v="9"/>
    <n v="8"/>
    <n v="0"/>
    <n v="0"/>
    <n v="1"/>
    <n v="0"/>
    <n v="0"/>
    <n v="0"/>
    <x v="0"/>
    <x v="44"/>
    <s v="66+"/>
    <n v="2816"/>
    <n v="1"/>
    <n v="0"/>
    <n v="0"/>
    <n v="0"/>
    <n v="0"/>
    <n v="0"/>
    <n v="1"/>
    <n v="0"/>
    <n v="0"/>
    <n v="1420"/>
    <d v="2015-01-29T00:00:00"/>
  </r>
  <r>
    <n v="512"/>
    <n v="80134"/>
    <n v="1610"/>
    <n v="2.0091346993785411E-2"/>
    <x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x v="0"/>
    <x v="9"/>
    <s v="36-50"/>
    <n v="2564"/>
    <n v="0"/>
    <n v="1"/>
    <n v="0"/>
    <n v="0"/>
    <n v="0"/>
    <n v="0"/>
    <n v="1"/>
    <n v="0"/>
    <n v="0"/>
    <n v="1530"/>
    <d v="2015-10-08T00:00:00"/>
  </r>
  <r>
    <n v="516"/>
    <n v="74004"/>
    <n v="1610"/>
    <n v="2.1755580779417329E-2"/>
    <x v="0"/>
    <n v="0"/>
    <n v="5"/>
    <n v="784"/>
    <n v="48"/>
    <n v="560"/>
    <n v="42"/>
    <n v="176"/>
    <n v="48"/>
    <n v="1"/>
    <n v="4"/>
    <n v="6"/>
    <n v="4"/>
    <n v="3"/>
    <n v="1"/>
    <n v="0"/>
    <n v="0"/>
    <n v="0"/>
    <n v="1"/>
    <n v="0"/>
    <x v="0"/>
    <x v="36"/>
    <s v="24-35"/>
    <n v="2284"/>
    <n v="0"/>
    <n v="0"/>
    <n v="1"/>
    <n v="0"/>
    <n v="0"/>
    <n v="0"/>
    <n v="0"/>
    <n v="0"/>
    <n v="1"/>
    <n v="1562"/>
    <d v="2016-07-14T00:00:00"/>
  </r>
  <r>
    <n v="1580"/>
    <n v="82571"/>
    <n v="1607"/>
    <n v="1.9462038730304828E-2"/>
    <x v="0"/>
    <n v="0"/>
    <n v="28"/>
    <n v="861"/>
    <n v="31"/>
    <n v="558"/>
    <n v="62"/>
    <n v="95"/>
    <n v="79"/>
    <n v="0"/>
    <n v="6"/>
    <n v="5"/>
    <n v="13"/>
    <n v="2"/>
    <n v="0"/>
    <n v="0"/>
    <n v="0"/>
    <n v="0"/>
    <n v="1"/>
    <n v="0"/>
    <x v="1"/>
    <x v="46"/>
    <s v="51-66"/>
    <n v="2247"/>
    <n v="0"/>
    <n v="0"/>
    <n v="0"/>
    <n v="0"/>
    <n v="1"/>
    <n v="0"/>
    <n v="0"/>
    <n v="0"/>
    <n v="1"/>
    <n v="1528"/>
    <d v="2016-08-20T00:00:00"/>
  </r>
  <r>
    <n v="18"/>
    <n v="76995"/>
    <n v="1606"/>
    <n v="2.0858497305019808E-2"/>
    <x v="0"/>
    <n v="1"/>
    <n v="91"/>
    <n v="1012"/>
    <n v="80"/>
    <n v="498"/>
    <n v="0"/>
    <n v="16"/>
    <n v="176"/>
    <n v="2"/>
    <n v="11"/>
    <n v="4"/>
    <n v="9"/>
    <n v="5"/>
    <n v="1"/>
    <n v="0"/>
    <n v="0"/>
    <n v="0"/>
    <n v="0"/>
    <n v="0"/>
    <x v="1"/>
    <x v="4"/>
    <s v="66+"/>
    <n v="2617"/>
    <n v="0"/>
    <n v="1"/>
    <n v="0"/>
    <n v="0"/>
    <n v="0"/>
    <n v="0"/>
    <n v="0"/>
    <n v="1"/>
    <n v="0"/>
    <n v="1430"/>
    <d v="2015-08-16T00:00:00"/>
  </r>
  <r>
    <n v="519"/>
    <n v="71670"/>
    <n v="1606"/>
    <n v="2.240826008092647E-2"/>
    <x v="0"/>
    <n v="0"/>
    <n v="8"/>
    <n v="1462"/>
    <n v="16"/>
    <n v="128"/>
    <n v="0"/>
    <n v="0"/>
    <n v="160"/>
    <n v="1"/>
    <n v="5"/>
    <n v="3"/>
    <n v="6"/>
    <n v="6"/>
    <n v="0"/>
    <n v="1"/>
    <n v="0"/>
    <n v="1"/>
    <n v="1"/>
    <n v="0"/>
    <x v="0"/>
    <x v="46"/>
    <s v="51-66"/>
    <n v="2514"/>
    <n v="0"/>
    <n v="0"/>
    <n v="0"/>
    <n v="0"/>
    <n v="1"/>
    <n v="0"/>
    <n v="0"/>
    <n v="0"/>
    <n v="1"/>
    <n v="1446"/>
    <d v="2015-11-27T00:00:00"/>
  </r>
  <r>
    <n v="1730"/>
    <n v="90933"/>
    <n v="1606"/>
    <n v="1.7661355063618267E-2"/>
    <x v="0"/>
    <n v="0"/>
    <n v="90"/>
    <n v="1020"/>
    <n v="31"/>
    <n v="430"/>
    <n v="62"/>
    <n v="63"/>
    <n v="79"/>
    <n v="1"/>
    <n v="4"/>
    <n v="6"/>
    <n v="4"/>
    <n v="1"/>
    <n v="0"/>
    <n v="0"/>
    <n v="0"/>
    <n v="0"/>
    <n v="1"/>
    <n v="0"/>
    <x v="1"/>
    <x v="44"/>
    <s v="66+"/>
    <n v="2249"/>
    <n v="0"/>
    <n v="0"/>
    <n v="1"/>
    <n v="0"/>
    <n v="0"/>
    <n v="0"/>
    <n v="0"/>
    <n v="0"/>
    <n v="1"/>
    <n v="1527"/>
    <d v="2016-08-18T00:00:00"/>
  </r>
  <r>
    <n v="522"/>
    <n v="90247"/>
    <n v="1605"/>
    <n v="1.7784524693341606E-2"/>
    <x v="0"/>
    <n v="0"/>
    <n v="27"/>
    <n v="1184"/>
    <n v="32"/>
    <n v="352"/>
    <n v="21"/>
    <n v="16"/>
    <n v="16"/>
    <n v="1"/>
    <n v="3"/>
    <n v="4"/>
    <n v="7"/>
    <n v="1"/>
    <n v="1"/>
    <n v="0"/>
    <n v="0"/>
    <n v="1"/>
    <n v="1"/>
    <n v="0"/>
    <x v="0"/>
    <x v="0"/>
    <s v="24-35"/>
    <n v="2220"/>
    <n v="0"/>
    <n v="0"/>
    <n v="1"/>
    <n v="0"/>
    <n v="0"/>
    <n v="0"/>
    <n v="0"/>
    <n v="1"/>
    <n v="0"/>
    <n v="1589"/>
    <d v="2016-09-16T00:00:00"/>
  </r>
  <r>
    <n v="775"/>
    <n v="93404"/>
    <n v="1601"/>
    <n v="1.7140593550597404E-2"/>
    <x v="1"/>
    <n v="2"/>
    <n v="97"/>
    <n v="1279"/>
    <n v="15"/>
    <n v="287"/>
    <n v="20"/>
    <n v="0"/>
    <n v="15"/>
    <n v="3"/>
    <n v="3"/>
    <n v="4"/>
    <n v="7"/>
    <n v="5"/>
    <n v="0"/>
    <n v="0"/>
    <n v="0"/>
    <n v="1"/>
    <n v="1"/>
    <n v="0"/>
    <x v="1"/>
    <x v="44"/>
    <s v="66+"/>
    <n v="2577"/>
    <n v="0"/>
    <n v="1"/>
    <n v="0"/>
    <n v="0"/>
    <n v="0"/>
    <n v="0"/>
    <n v="1"/>
    <n v="0"/>
    <n v="0"/>
    <n v="1586"/>
    <d v="2015-09-25T00:00:00"/>
  </r>
  <r>
    <n v="1376"/>
    <n v="79419"/>
    <n v="1600"/>
    <n v="2.0146312595222805E-2"/>
    <x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x v="1"/>
    <x v="2"/>
    <s v="36-50"/>
    <n v="2166"/>
    <n v="0"/>
    <n v="0"/>
    <n v="0"/>
    <n v="1"/>
    <n v="0"/>
    <n v="0"/>
    <n v="0"/>
    <n v="1"/>
    <n v="0"/>
    <n v="1569"/>
    <d v="2016-11-09T00:00:00"/>
  </r>
  <r>
    <n v="199"/>
    <n v="83790"/>
    <n v="1599"/>
    <n v="1.908342284282134E-2"/>
    <x v="0"/>
    <n v="0"/>
    <n v="81"/>
    <n v="1076"/>
    <n v="16"/>
    <n v="417"/>
    <n v="42"/>
    <n v="48"/>
    <n v="16"/>
    <n v="1"/>
    <n v="8"/>
    <n v="10"/>
    <n v="6"/>
    <n v="3"/>
    <n v="0"/>
    <n v="0"/>
    <n v="0"/>
    <n v="1"/>
    <n v="1"/>
    <n v="0"/>
    <x v="1"/>
    <x v="40"/>
    <s v="66+"/>
    <n v="2385"/>
    <n v="0"/>
    <n v="1"/>
    <n v="0"/>
    <n v="0"/>
    <n v="0"/>
    <n v="0"/>
    <n v="0"/>
    <n v="1"/>
    <n v="0"/>
    <n v="1583"/>
    <d v="2016-04-04T00:00:00"/>
  </r>
  <r>
    <n v="1558"/>
    <n v="73705"/>
    <n v="1588"/>
    <n v="2.1545349704904689E-2"/>
    <x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x v="1"/>
    <x v="15"/>
    <s v="66+"/>
    <n v="2275"/>
    <n v="0"/>
    <n v="0"/>
    <n v="0"/>
    <n v="0"/>
    <n v="1"/>
    <n v="0"/>
    <n v="0"/>
    <n v="1"/>
    <n v="0"/>
    <n v="1481"/>
    <d v="2016-07-23T00:00:00"/>
  </r>
  <r>
    <n v="1858"/>
    <n v="61416"/>
    <n v="1587"/>
    <n v="2.5840171942164907E-2"/>
    <x v="0"/>
    <n v="0"/>
    <n v="25"/>
    <n v="848"/>
    <n v="154"/>
    <n v="323"/>
    <n v="201"/>
    <n v="61"/>
    <n v="78"/>
    <n v="1"/>
    <n v="10"/>
    <n v="3"/>
    <n v="10"/>
    <n v="6"/>
    <n v="0"/>
    <n v="0"/>
    <n v="1"/>
    <n v="0"/>
    <n v="0"/>
    <n v="0"/>
    <x v="1"/>
    <x v="31"/>
    <s v="36-50"/>
    <n v="2665"/>
    <n v="0"/>
    <n v="0"/>
    <n v="0"/>
    <n v="1"/>
    <n v="0"/>
    <n v="0"/>
    <n v="1"/>
    <n v="0"/>
    <n v="0"/>
    <n v="1509"/>
    <d v="2015-06-29T00:00:00"/>
  </r>
  <r>
    <n v="1875"/>
    <n v="71128"/>
    <n v="1584"/>
    <n v="2.2269710943650881E-2"/>
    <x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x v="1"/>
    <x v="30"/>
    <s v="36-50"/>
    <n v="2790"/>
    <n v="1"/>
    <n v="0"/>
    <n v="0"/>
    <n v="0"/>
    <n v="0"/>
    <n v="0"/>
    <n v="1"/>
    <n v="0"/>
    <n v="0"/>
    <n v="1553"/>
    <d v="2015-02-24T00:00:00"/>
  </r>
  <r>
    <n v="843"/>
    <n v="78331"/>
    <n v="1577"/>
    <n v="2.0132514585540846E-2"/>
    <x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x v="1"/>
    <x v="27"/>
    <s v="51-66"/>
    <n v="2316"/>
    <n v="1"/>
    <n v="0"/>
    <n v="0"/>
    <n v="0"/>
    <n v="0"/>
    <n v="0"/>
    <n v="1"/>
    <n v="0"/>
    <n v="0"/>
    <n v="1516"/>
    <d v="2016-06-12T00:00:00"/>
  </r>
  <r>
    <n v="527"/>
    <n v="90369"/>
    <n v="1571"/>
    <n v="1.7384280007524705E-2"/>
    <x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x v="0"/>
    <x v="5"/>
    <s v="51-66"/>
    <n v="2221"/>
    <n v="0"/>
    <n v="1"/>
    <n v="0"/>
    <n v="0"/>
    <n v="0"/>
    <n v="0"/>
    <n v="1"/>
    <n v="0"/>
    <n v="0"/>
    <n v="1554"/>
    <d v="2016-09-15T00:00:00"/>
  </r>
  <r>
    <n v="1570"/>
    <n v="80398"/>
    <n v="1571"/>
    <n v="1.9540287071817708E-2"/>
    <x v="0"/>
    <n v="0"/>
    <n v="92"/>
    <n v="342"/>
    <n v="51"/>
    <n v="936"/>
    <n v="207"/>
    <n v="35"/>
    <n v="26"/>
    <n v="1"/>
    <n v="5"/>
    <n v="8"/>
    <n v="12"/>
    <n v="3"/>
    <n v="0"/>
    <n v="0"/>
    <n v="0"/>
    <n v="0"/>
    <n v="1"/>
    <n v="0"/>
    <x v="1"/>
    <x v="22"/>
    <s v="51-66"/>
    <n v="2755"/>
    <n v="0"/>
    <n v="1"/>
    <n v="0"/>
    <n v="0"/>
    <n v="0"/>
    <n v="0"/>
    <n v="1"/>
    <n v="0"/>
    <n v="0"/>
    <n v="1545"/>
    <d v="2015-03-31T00:00:00"/>
  </r>
  <r>
    <n v="2001"/>
    <n v="88325"/>
    <n v="1570"/>
    <n v="1.7775261817152561E-2"/>
    <x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x v="1"/>
    <x v="43"/>
    <s v="36-50"/>
    <n v="2303"/>
    <n v="0"/>
    <n v="0"/>
    <n v="0"/>
    <n v="1"/>
    <n v="0"/>
    <n v="0"/>
    <n v="1"/>
    <n v="0"/>
    <n v="0"/>
    <n v="1517"/>
    <d v="2016-06-25T00:00:00"/>
  </r>
  <r>
    <n v="172"/>
    <n v="74068"/>
    <n v="1566"/>
    <n v="2.1142733704163742E-2"/>
    <x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x v="1"/>
    <x v="7"/>
    <s v="36-50"/>
    <n v="2626"/>
    <n v="0"/>
    <n v="1"/>
    <n v="0"/>
    <n v="0"/>
    <n v="0"/>
    <n v="0"/>
    <n v="1"/>
    <n v="0"/>
    <n v="0"/>
    <n v="1551"/>
    <d v="2015-08-07T00:00:00"/>
  </r>
  <r>
    <n v="749"/>
    <n v="73926"/>
    <n v="1565"/>
    <n v="2.1169818467115763E-2"/>
    <x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x v="1"/>
    <x v="30"/>
    <s v="36-50"/>
    <n v="2643"/>
    <n v="0"/>
    <n v="0"/>
    <n v="0"/>
    <n v="1"/>
    <n v="0"/>
    <n v="0"/>
    <n v="1"/>
    <n v="0"/>
    <n v="0"/>
    <n v="1550"/>
    <d v="2015-07-21T00:00:00"/>
  </r>
  <r>
    <n v="213"/>
    <n v="81975"/>
    <n v="1561"/>
    <n v="1.9042390972857579E-2"/>
    <x v="0"/>
    <n v="1"/>
    <n v="2"/>
    <n v="983"/>
    <n v="76"/>
    <n v="184"/>
    <n v="180"/>
    <n v="138"/>
    <n v="27"/>
    <n v="1"/>
    <n v="6"/>
    <n v="3"/>
    <n v="4"/>
    <n v="7"/>
    <n v="0"/>
    <n v="0"/>
    <n v="0"/>
    <n v="0"/>
    <n v="1"/>
    <n v="0"/>
    <x v="1"/>
    <x v="46"/>
    <s v="51-66"/>
    <n v="2699"/>
    <n v="1"/>
    <n v="0"/>
    <n v="0"/>
    <n v="0"/>
    <n v="0"/>
    <n v="1"/>
    <n v="0"/>
    <n v="0"/>
    <n v="0"/>
    <n v="1534"/>
    <d v="2015-05-26T00:00:00"/>
  </r>
  <r>
    <n v="594"/>
    <n v="69084"/>
    <n v="1556"/>
    <n v="2.2523304962075157E-2"/>
    <x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  <x v="2"/>
    <s v="36-50"/>
    <n v="2381"/>
    <n v="0"/>
    <n v="1"/>
    <n v="0"/>
    <n v="0"/>
    <n v="0"/>
    <n v="0"/>
    <n v="0"/>
    <n v="0"/>
    <n v="1"/>
    <n v="1526"/>
    <d v="2016-04-08T00:00:00"/>
  </r>
  <r>
    <n v="1161"/>
    <n v="84906"/>
    <n v="1555"/>
    <n v="1.8314371186959697E-2"/>
    <x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x v="1"/>
    <x v="9"/>
    <s v="36-50"/>
    <n v="2427"/>
    <n v="0"/>
    <n v="0"/>
    <n v="0"/>
    <n v="1"/>
    <n v="0"/>
    <n v="0"/>
    <n v="1"/>
    <n v="0"/>
    <n v="0"/>
    <n v="1479"/>
    <d v="2016-02-22T00:00:00"/>
  </r>
  <r>
    <n v="543"/>
    <n v="85620"/>
    <n v="1554"/>
    <n v="1.8149964961457602E-2"/>
    <x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x v="0"/>
    <x v="42"/>
    <s v="51-66"/>
    <n v="2332"/>
    <n v="0"/>
    <n v="0"/>
    <n v="0"/>
    <n v="0"/>
    <n v="1"/>
    <n v="0"/>
    <n v="1"/>
    <n v="0"/>
    <n v="0"/>
    <n v="1508"/>
    <d v="2016-05-27T00:00:00"/>
  </r>
  <r>
    <n v="368"/>
    <n v="68682"/>
    <n v="1553"/>
    <n v="2.2611455694359513E-2"/>
    <x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  <x v="1"/>
    <s v="24-35"/>
    <n v="2425"/>
    <n v="0"/>
    <n v="0"/>
    <n v="0"/>
    <n v="1"/>
    <n v="0"/>
    <n v="0"/>
    <n v="0"/>
    <n v="0"/>
    <n v="1"/>
    <n v="1508"/>
    <d v="2016-02-24T00:00:00"/>
  </r>
  <r>
    <n v="553"/>
    <n v="83003"/>
    <n v="1552"/>
    <n v="1.8698119345083912E-2"/>
    <x v="0"/>
    <n v="0"/>
    <n v="18"/>
    <n v="856"/>
    <n v="61"/>
    <n v="570"/>
    <n v="40"/>
    <n v="25"/>
    <n v="122"/>
    <n v="1"/>
    <n v="7"/>
    <n v="6"/>
    <n v="8"/>
    <n v="3"/>
    <n v="0"/>
    <n v="0"/>
    <n v="0"/>
    <n v="0"/>
    <n v="1"/>
    <n v="0"/>
    <x v="0"/>
    <x v="47"/>
    <s v="51-66"/>
    <n v="2642"/>
    <n v="0"/>
    <n v="0"/>
    <n v="0"/>
    <n v="1"/>
    <n v="0"/>
    <n v="0"/>
    <n v="1"/>
    <n v="0"/>
    <n v="0"/>
    <n v="1430"/>
    <d v="2015-07-22T00:00:00"/>
  </r>
  <r>
    <n v="741"/>
    <n v="62847"/>
    <n v="1551"/>
    <n v="2.4678982290324121E-2"/>
    <x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x v="1"/>
    <x v="49"/>
    <s v="66+"/>
    <n v="2689"/>
    <n v="0"/>
    <n v="0"/>
    <n v="0"/>
    <n v="1"/>
    <n v="0"/>
    <n v="0"/>
    <n v="0"/>
    <n v="1"/>
    <n v="0"/>
    <n v="1490"/>
    <d v="2015-06-05T00:00:00"/>
  </r>
  <r>
    <n v="1399"/>
    <n v="73538"/>
    <n v="1551"/>
    <n v="2.1091136555250346E-2"/>
    <x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x v="1"/>
    <x v="47"/>
    <s v="51-66"/>
    <n v="2740"/>
    <n v="0"/>
    <n v="1"/>
    <n v="0"/>
    <n v="0"/>
    <n v="0"/>
    <n v="0"/>
    <n v="1"/>
    <n v="0"/>
    <n v="0"/>
    <n v="1444"/>
    <d v="2015-04-15T00:00:00"/>
  </r>
  <r>
    <n v="1532"/>
    <n v="86610"/>
    <n v="1550"/>
    <n v="1.7896316822537815E-2"/>
    <x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x v="1"/>
    <x v="15"/>
    <s v="66+"/>
    <n v="2456"/>
    <n v="0"/>
    <n v="0"/>
    <n v="0"/>
    <n v="1"/>
    <n v="0"/>
    <n v="0"/>
    <n v="1"/>
    <n v="0"/>
    <n v="0"/>
    <n v="1497"/>
    <d v="2016-01-24T00:00:00"/>
  </r>
  <r>
    <n v="1715"/>
    <n v="70300"/>
    <n v="1550"/>
    <n v="2.2048364153627313E-2"/>
    <x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x v="1"/>
    <x v="16"/>
    <s v="36-50"/>
    <n v="2508"/>
    <n v="1"/>
    <n v="0"/>
    <n v="0"/>
    <n v="0"/>
    <n v="0"/>
    <n v="0"/>
    <n v="1"/>
    <n v="0"/>
    <n v="0"/>
    <n v="1504"/>
    <d v="2015-12-03T00:00:00"/>
  </r>
  <r>
    <n v="180"/>
    <n v="80067"/>
    <n v="1549"/>
    <n v="1.9346297475863965E-2"/>
    <x v="0"/>
    <n v="0"/>
    <n v="82"/>
    <n v="519"/>
    <n v="17"/>
    <n v="813"/>
    <n v="27"/>
    <n v="173"/>
    <n v="51"/>
    <n v="1"/>
    <n v="4"/>
    <n v="6"/>
    <n v="6"/>
    <n v="2"/>
    <n v="0"/>
    <n v="0"/>
    <n v="0"/>
    <n v="0"/>
    <n v="1"/>
    <n v="0"/>
    <x v="1"/>
    <x v="44"/>
    <s v="66+"/>
    <n v="2442"/>
    <n v="0"/>
    <n v="1"/>
    <n v="0"/>
    <n v="0"/>
    <n v="0"/>
    <n v="0"/>
    <n v="1"/>
    <n v="0"/>
    <n v="0"/>
    <n v="1498"/>
    <d v="2016-02-07T00:00:00"/>
  </r>
  <r>
    <n v="917"/>
    <n v="80573"/>
    <n v="1549"/>
    <n v="1.9224802353145595E-2"/>
    <x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  <x v="28"/>
    <s v="36-50"/>
    <n v="2782"/>
    <n v="0"/>
    <n v="0"/>
    <n v="0"/>
    <n v="1"/>
    <n v="0"/>
    <n v="0"/>
    <n v="0"/>
    <n v="1"/>
    <n v="0"/>
    <n v="1534"/>
    <d v="2015-03-04T00:00:00"/>
  </r>
  <r>
    <n v="557"/>
    <n v="60896"/>
    <n v="1548"/>
    <n v="2.5420388859695216E-2"/>
    <x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x v="0"/>
    <x v="42"/>
    <s v="51-66"/>
    <n v="2785"/>
    <n v="0"/>
    <n v="1"/>
    <n v="0"/>
    <n v="0"/>
    <n v="0"/>
    <n v="0"/>
    <n v="0"/>
    <n v="0"/>
    <n v="1"/>
    <n v="1395"/>
    <d v="2015-03-01T00:00:00"/>
  </r>
  <r>
    <n v="558"/>
    <n v="64260"/>
    <n v="1544"/>
    <n v="2.4027388733271086E-2"/>
    <x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x v="0"/>
    <x v="21"/>
    <s v="51-66"/>
    <n v="2693"/>
    <n v="0"/>
    <n v="0"/>
    <n v="0"/>
    <n v="1"/>
    <n v="0"/>
    <n v="0"/>
    <n v="1"/>
    <n v="0"/>
    <n v="0"/>
    <n v="1514"/>
    <d v="2015-06-01T00:00:00"/>
  </r>
  <r>
    <n v="774"/>
    <n v="78353"/>
    <n v="1542"/>
    <n v="1.9680165405281228E-2"/>
    <x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x v="1"/>
    <x v="29"/>
    <s v="51-66"/>
    <n v="2598"/>
    <n v="1"/>
    <n v="0"/>
    <n v="0"/>
    <n v="0"/>
    <n v="0"/>
    <n v="1"/>
    <n v="0"/>
    <n v="0"/>
    <n v="0"/>
    <n v="1508"/>
    <d v="2015-09-04T00:00:00"/>
  </r>
  <r>
    <n v="1665"/>
    <n v="80739"/>
    <n v="1541"/>
    <n v="1.9086191307794251E-2"/>
    <x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x v="1"/>
    <x v="27"/>
    <s v="51-66"/>
    <n v="2561"/>
    <n v="0"/>
    <n v="1"/>
    <n v="0"/>
    <n v="0"/>
    <n v="0"/>
    <n v="0"/>
    <n v="0"/>
    <n v="1"/>
    <n v="0"/>
    <n v="1449"/>
    <d v="2015-10-11T00:00:00"/>
  </r>
  <r>
    <n v="1979"/>
    <n v="84117"/>
    <n v="1540"/>
    <n v="1.830783313717798E-2"/>
    <x v="0"/>
    <n v="0"/>
    <n v="60"/>
    <n v="611"/>
    <n v="76"/>
    <n v="749"/>
    <n v="59"/>
    <n v="45"/>
    <n v="26"/>
    <n v="1"/>
    <n v="7"/>
    <n v="10"/>
    <n v="6"/>
    <n v="2"/>
    <n v="0"/>
    <n v="0"/>
    <n v="0"/>
    <n v="0"/>
    <n v="1"/>
    <n v="0"/>
    <x v="1"/>
    <x v="5"/>
    <s v="51-66"/>
    <n v="2208"/>
    <n v="0"/>
    <n v="1"/>
    <n v="0"/>
    <n v="0"/>
    <n v="0"/>
    <n v="0"/>
    <n v="0"/>
    <n v="0"/>
    <n v="1"/>
    <n v="1514"/>
    <d v="2016-09-28T00:00:00"/>
  </r>
  <r>
    <n v="562"/>
    <n v="64140"/>
    <n v="1535"/>
    <n v="2.3932023698160273E-2"/>
    <x v="0"/>
    <n v="2"/>
    <n v="71"/>
    <n v="1459"/>
    <n v="0"/>
    <n v="61"/>
    <n v="0"/>
    <n v="15"/>
    <n v="215"/>
    <n v="5"/>
    <n v="2"/>
    <n v="5"/>
    <n v="6"/>
    <n v="5"/>
    <n v="0"/>
    <n v="1"/>
    <n v="1"/>
    <n v="0"/>
    <n v="1"/>
    <n v="0"/>
    <x v="0"/>
    <x v="42"/>
    <s v="51-66"/>
    <n v="2438"/>
    <n v="1"/>
    <n v="0"/>
    <n v="0"/>
    <n v="0"/>
    <n v="0"/>
    <n v="0"/>
    <n v="0"/>
    <n v="0"/>
    <n v="1"/>
    <n v="1320"/>
    <d v="2016-02-11T00:00:00"/>
  </r>
  <r>
    <n v="529"/>
    <n v="81741"/>
    <n v="1534"/>
    <n v="1.8766592040713962E-2"/>
    <x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x v="1"/>
    <x v="41"/>
    <s v="36-50"/>
    <n v="2537"/>
    <n v="0"/>
    <n v="0"/>
    <n v="1"/>
    <n v="0"/>
    <n v="0"/>
    <n v="0"/>
    <n v="1"/>
    <n v="0"/>
    <n v="0"/>
    <n v="1496"/>
    <d v="2015-11-04T00:00:00"/>
  </r>
  <r>
    <n v="572"/>
    <n v="58138"/>
    <n v="1529"/>
    <n v="2.6299494306649695E-2"/>
    <x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x v="0"/>
    <x v="12"/>
    <s v="51-66"/>
    <n v="2822"/>
    <n v="0"/>
    <n v="0"/>
    <n v="1"/>
    <n v="0"/>
    <n v="0"/>
    <n v="0"/>
    <n v="1"/>
    <n v="0"/>
    <n v="0"/>
    <n v="1441"/>
    <d v="2015-01-23T00:00:00"/>
  </r>
  <r>
    <n v="579"/>
    <n v="96843"/>
    <n v="1527"/>
    <n v="1.5767789101948513E-2"/>
    <x v="0"/>
    <n v="0"/>
    <n v="60"/>
    <n v="448"/>
    <n v="71"/>
    <n v="951"/>
    <n v="40"/>
    <n v="17"/>
    <n v="17"/>
    <n v="1"/>
    <n v="6"/>
    <n v="11"/>
    <n v="10"/>
    <n v="2"/>
    <n v="0"/>
    <n v="0"/>
    <n v="0"/>
    <n v="0"/>
    <n v="1"/>
    <n v="0"/>
    <x v="0"/>
    <x v="48"/>
    <s v="24-35"/>
    <n v="2591"/>
    <n v="0"/>
    <n v="0"/>
    <n v="1"/>
    <n v="0"/>
    <n v="0"/>
    <n v="0"/>
    <n v="1"/>
    <n v="0"/>
    <n v="0"/>
    <n v="1510"/>
    <d v="2015-09-11T00:00:00"/>
  </r>
  <r>
    <n v="591"/>
    <n v="105471"/>
    <n v="1517"/>
    <n v="1.4383100567928625E-2"/>
    <x v="0"/>
    <n v="0"/>
    <n v="36"/>
    <n v="1009"/>
    <n v="181"/>
    <n v="104"/>
    <n v="202"/>
    <n v="21"/>
    <n v="207"/>
    <n v="0"/>
    <n v="9"/>
    <n v="8"/>
    <n v="13"/>
    <n v="3"/>
    <n v="1"/>
    <n v="0"/>
    <n v="0"/>
    <n v="0"/>
    <n v="1"/>
    <n v="0"/>
    <x v="0"/>
    <x v="2"/>
    <s v="36-50"/>
    <n v="2683"/>
    <n v="0"/>
    <n v="0"/>
    <n v="0"/>
    <n v="1"/>
    <n v="0"/>
    <n v="0"/>
    <n v="1"/>
    <n v="0"/>
    <n v="0"/>
    <n v="1310"/>
    <d v="2015-06-11T00:00:00"/>
  </r>
  <r>
    <n v="596"/>
    <n v="76467"/>
    <n v="1517"/>
    <n v="1.9838623196934625E-2"/>
    <x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x v="0"/>
    <x v="2"/>
    <s v="36-50"/>
    <n v="2840"/>
    <n v="0"/>
    <n v="0"/>
    <n v="1"/>
    <n v="0"/>
    <n v="0"/>
    <n v="0"/>
    <n v="1"/>
    <n v="0"/>
    <n v="0"/>
    <n v="1459"/>
    <d v="2015-01-05T00:00:00"/>
  </r>
  <r>
    <n v="597"/>
    <n v="83917"/>
    <n v="1508"/>
    <n v="1.797013715933601E-2"/>
    <x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x v="0"/>
    <x v="30"/>
    <s v="36-50"/>
    <n v="2596"/>
    <n v="0"/>
    <n v="0"/>
    <n v="1"/>
    <n v="0"/>
    <n v="0"/>
    <n v="0"/>
    <n v="1"/>
    <n v="0"/>
    <n v="0"/>
    <n v="1429"/>
    <d v="2015-09-06T00:00:00"/>
  </r>
  <r>
    <n v="1695"/>
    <n v="70116"/>
    <n v="1507"/>
    <n v="2.149295453248902E-2"/>
    <x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x v="1"/>
    <x v="9"/>
    <s v="36-50"/>
    <n v="2678"/>
    <n v="0"/>
    <n v="1"/>
    <n v="0"/>
    <n v="0"/>
    <n v="0"/>
    <n v="0"/>
    <n v="0"/>
    <n v="0"/>
    <n v="1"/>
    <n v="1478"/>
    <d v="2015-06-16T00:00:00"/>
  </r>
  <r>
    <n v="1236"/>
    <n v="81843"/>
    <n v="1505"/>
    <n v="1.8388866488276333E-2"/>
    <x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x v="1"/>
    <x v="24"/>
    <s v="51-66"/>
    <n v="2592"/>
    <n v="0"/>
    <n v="1"/>
    <n v="0"/>
    <n v="0"/>
    <n v="0"/>
    <n v="0"/>
    <n v="0"/>
    <n v="1"/>
    <n v="0"/>
    <n v="1367"/>
    <d v="2015-09-10T00:00:00"/>
  </r>
  <r>
    <n v="601"/>
    <n v="83528"/>
    <n v="1503"/>
    <n v="1.7993966095201611E-2"/>
    <x v="0"/>
    <n v="0"/>
    <n v="7"/>
    <n v="530"/>
    <n v="117"/>
    <n v="678"/>
    <n v="134"/>
    <n v="44"/>
    <n v="147"/>
    <n v="1"/>
    <n v="4"/>
    <n v="10"/>
    <n v="8"/>
    <n v="1"/>
    <n v="1"/>
    <n v="0"/>
    <n v="1"/>
    <n v="0"/>
    <n v="0"/>
    <n v="0"/>
    <x v="0"/>
    <x v="17"/>
    <s v="24-35"/>
    <n v="2218"/>
    <n v="0"/>
    <n v="0"/>
    <n v="1"/>
    <n v="0"/>
    <n v="0"/>
    <n v="0"/>
    <n v="1"/>
    <n v="0"/>
    <n v="0"/>
    <n v="1356"/>
    <d v="2016-09-18T00:00:00"/>
  </r>
  <r>
    <n v="606"/>
    <n v="77766"/>
    <n v="1502"/>
    <n v="1.9314353316359334E-2"/>
    <x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x v="0"/>
    <x v="26"/>
    <s v="51-66"/>
    <n v="2651"/>
    <n v="0"/>
    <n v="1"/>
    <n v="0"/>
    <n v="0"/>
    <n v="0"/>
    <n v="0"/>
    <n v="0"/>
    <n v="0"/>
    <n v="1"/>
    <n v="1475"/>
    <d v="2015-07-13T00:00:00"/>
  </r>
  <r>
    <n v="315"/>
    <n v="68655"/>
    <n v="1500"/>
    <n v="2.1848372296263928E-2"/>
    <x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  <x v="0"/>
    <s v="24-35"/>
    <n v="2847"/>
    <n v="0"/>
    <n v="0"/>
    <n v="1"/>
    <n v="0"/>
    <n v="0"/>
    <n v="0"/>
    <n v="1"/>
    <n v="0"/>
    <n v="0"/>
    <n v="1462"/>
    <d v="2014-12-29T00:00:00"/>
  </r>
  <r>
    <n v="633"/>
    <n v="48192"/>
    <n v="1497"/>
    <n v="3.1063247011952191E-2"/>
    <x v="0"/>
    <n v="0"/>
    <n v="76"/>
    <n v="1039"/>
    <n v="43"/>
    <n v="204"/>
    <n v="153"/>
    <n v="58"/>
    <n v="29"/>
    <n v="3"/>
    <n v="2"/>
    <n v="8"/>
    <n v="12"/>
    <n v="8"/>
    <n v="1"/>
    <n v="1"/>
    <n v="0"/>
    <n v="1"/>
    <n v="0"/>
    <n v="0"/>
    <x v="0"/>
    <x v="27"/>
    <s v="51-66"/>
    <n v="2608"/>
    <n v="0"/>
    <n v="1"/>
    <n v="0"/>
    <n v="0"/>
    <n v="0"/>
    <n v="0"/>
    <n v="1"/>
    <n v="0"/>
    <n v="0"/>
    <n v="1468"/>
    <d v="2015-08-25T00:00:00"/>
  </r>
  <r>
    <n v="1228"/>
    <n v="64857"/>
    <n v="1497"/>
    <n v="2.3081548637772328E-2"/>
    <x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  <x v="5"/>
    <s v="51-66"/>
    <n v="2742"/>
    <n v="0"/>
    <n v="0"/>
    <n v="1"/>
    <n v="0"/>
    <n v="0"/>
    <n v="0"/>
    <n v="0"/>
    <n v="1"/>
    <n v="0"/>
    <n v="1454"/>
    <d v="2015-04-13T00:00:00"/>
  </r>
  <r>
    <n v="290"/>
    <n v="70893"/>
    <n v="1494"/>
    <n v="2.1074012949092294E-2"/>
    <x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x v="1"/>
    <x v="7"/>
    <s v="36-50"/>
    <n v="2667"/>
    <n v="0"/>
    <n v="0"/>
    <n v="1"/>
    <n v="0"/>
    <n v="0"/>
    <n v="0"/>
    <n v="0"/>
    <n v="1"/>
    <n v="0"/>
    <n v="1480"/>
    <d v="2015-06-27T00:00:00"/>
  </r>
  <r>
    <n v="936"/>
    <n v="75437"/>
    <n v="1493"/>
    <n v="1.9791349072736192E-2"/>
    <x v="0"/>
    <n v="0"/>
    <n v="25"/>
    <n v="795"/>
    <n v="0"/>
    <n v="545"/>
    <n v="95"/>
    <n v="58"/>
    <n v="0"/>
    <n v="1"/>
    <n v="8"/>
    <n v="4"/>
    <n v="10"/>
    <n v="6"/>
    <n v="1"/>
    <n v="0"/>
    <n v="0"/>
    <n v="0"/>
    <n v="0"/>
    <n v="0"/>
    <x v="1"/>
    <x v="37"/>
    <s v="36-50"/>
    <n v="2391"/>
    <n v="0"/>
    <n v="0"/>
    <n v="0"/>
    <n v="1"/>
    <n v="0"/>
    <n v="0"/>
    <n v="1"/>
    <n v="0"/>
    <n v="0"/>
    <n v="1493"/>
    <d v="2016-03-29T00:00:00"/>
  </r>
  <r>
    <n v="635"/>
    <n v="69969"/>
    <n v="1492"/>
    <n v="2.1323729080021152E-2"/>
    <x v="0"/>
    <n v="0"/>
    <n v="64"/>
    <n v="882"/>
    <n v="29"/>
    <n v="514"/>
    <n v="38"/>
    <n v="29"/>
    <n v="44"/>
    <n v="1"/>
    <n v="4"/>
    <n v="2"/>
    <n v="6"/>
    <n v="3"/>
    <n v="1"/>
    <n v="0"/>
    <n v="0"/>
    <n v="0"/>
    <n v="1"/>
    <n v="0"/>
    <x v="0"/>
    <x v="47"/>
    <s v="51-66"/>
    <n v="2465"/>
    <n v="0"/>
    <n v="1"/>
    <n v="0"/>
    <n v="0"/>
    <n v="0"/>
    <n v="0"/>
    <n v="0"/>
    <n v="0"/>
    <n v="1"/>
    <n v="1448"/>
    <d v="2016-01-15T00:00:00"/>
  </r>
  <r>
    <n v="1958"/>
    <n v="74859"/>
    <n v="1492"/>
    <n v="1.9930803243430984E-2"/>
    <x v="0"/>
    <n v="0"/>
    <n v="63"/>
    <n v="570"/>
    <n v="73"/>
    <n v="614"/>
    <n v="133"/>
    <n v="102"/>
    <n v="73"/>
    <n v="1"/>
    <n v="6"/>
    <n v="5"/>
    <n v="11"/>
    <n v="3"/>
    <n v="1"/>
    <n v="0"/>
    <n v="0"/>
    <n v="0"/>
    <n v="0"/>
    <n v="0"/>
    <x v="1"/>
    <x v="4"/>
    <s v="66+"/>
    <n v="2550"/>
    <n v="0"/>
    <n v="0"/>
    <n v="0"/>
    <n v="0"/>
    <n v="1"/>
    <n v="1"/>
    <n v="0"/>
    <n v="0"/>
    <n v="0"/>
    <n v="1419"/>
    <d v="2015-10-22T00:00:00"/>
  </r>
  <r>
    <n v="1590"/>
    <n v="70044"/>
    <n v="1490"/>
    <n v="2.1272343098623723E-2"/>
    <x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x v="1"/>
    <x v="44"/>
    <s v="66+"/>
    <n v="2655"/>
    <n v="1"/>
    <n v="0"/>
    <n v="0"/>
    <n v="0"/>
    <n v="0"/>
    <n v="0"/>
    <n v="1"/>
    <n v="0"/>
    <n v="0"/>
    <n v="1476"/>
    <d v="2015-07-09T00:00:00"/>
  </r>
  <r>
    <n v="64"/>
    <n v="74854"/>
    <n v="1489"/>
    <n v="1.9892056536724826E-2"/>
    <x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x v="1"/>
    <x v="2"/>
    <s v="36-50"/>
    <n v="2606"/>
    <n v="0"/>
    <n v="0"/>
    <n v="0"/>
    <n v="1"/>
    <n v="0"/>
    <n v="0"/>
    <n v="1"/>
    <n v="0"/>
    <n v="0"/>
    <n v="1416"/>
    <d v="2015-08-27T00:00:00"/>
  </r>
  <r>
    <n v="643"/>
    <n v="69267"/>
    <n v="1489"/>
    <n v="2.1496527928162038E-2"/>
    <x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x v="0"/>
    <x v="10"/>
    <s v="66+"/>
    <n v="2804"/>
    <n v="0"/>
    <n v="0"/>
    <n v="1"/>
    <n v="0"/>
    <n v="0"/>
    <n v="0"/>
    <n v="1"/>
    <n v="0"/>
    <n v="0"/>
    <n v="1343"/>
    <d v="2015-02-10T00:00:00"/>
  </r>
  <r>
    <n v="1224"/>
    <n v="81051"/>
    <n v="1487"/>
    <n v="1.834647320822692E-2"/>
    <x v="0"/>
    <n v="0"/>
    <n v="43"/>
    <n v="1142"/>
    <n v="29"/>
    <n v="249"/>
    <n v="38"/>
    <n v="29"/>
    <n v="14"/>
    <n v="1"/>
    <n v="5"/>
    <n v="5"/>
    <n v="12"/>
    <n v="2"/>
    <n v="0"/>
    <n v="0"/>
    <n v="0"/>
    <n v="1"/>
    <n v="1"/>
    <n v="0"/>
    <x v="1"/>
    <x v="47"/>
    <s v="51-66"/>
    <n v="2196"/>
    <n v="0"/>
    <n v="1"/>
    <n v="0"/>
    <n v="0"/>
    <n v="0"/>
    <n v="0"/>
    <n v="0"/>
    <n v="0"/>
    <n v="1"/>
    <n v="1473"/>
    <d v="2016-10-10T00:00:00"/>
  </r>
  <r>
    <n v="646"/>
    <n v="57333"/>
    <n v="1486"/>
    <n v="2.5918755341600822E-2"/>
    <x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x v="0"/>
    <x v="44"/>
    <s v="66+"/>
    <n v="2804"/>
    <n v="1"/>
    <n v="0"/>
    <n v="0"/>
    <n v="0"/>
    <n v="0"/>
    <n v="0"/>
    <n v="0"/>
    <n v="0"/>
    <n v="1"/>
    <n v="1310"/>
    <d v="2015-02-10T00:00:00"/>
  </r>
  <r>
    <n v="1540"/>
    <n v="70440"/>
    <n v="1484"/>
    <n v="2.1067575241340147E-2"/>
    <x v="0"/>
    <n v="0"/>
    <n v="49"/>
    <n v="690"/>
    <n v="117"/>
    <n v="499"/>
    <n v="76"/>
    <n v="102"/>
    <n v="88"/>
    <n v="1"/>
    <n v="5"/>
    <n v="10"/>
    <n v="7"/>
    <n v="3"/>
    <n v="1"/>
    <n v="0"/>
    <n v="0"/>
    <n v="0"/>
    <n v="0"/>
    <n v="0"/>
    <x v="1"/>
    <x v="37"/>
    <s v="36-50"/>
    <n v="2423"/>
    <n v="0"/>
    <n v="0"/>
    <n v="0"/>
    <n v="1"/>
    <n v="0"/>
    <n v="0"/>
    <n v="1"/>
    <n v="0"/>
    <n v="0"/>
    <n v="1396"/>
    <d v="2016-02-26T00:00:00"/>
  </r>
  <r>
    <n v="122"/>
    <n v="62981"/>
    <n v="1482"/>
    <n v="2.3530906146298089E-2"/>
    <x v="0"/>
    <n v="0"/>
    <n v="21"/>
    <n v="796"/>
    <n v="14"/>
    <n v="590"/>
    <n v="38"/>
    <n v="44"/>
    <n v="0"/>
    <n v="1"/>
    <n v="4"/>
    <n v="5"/>
    <n v="13"/>
    <n v="3"/>
    <n v="0"/>
    <n v="0"/>
    <n v="0"/>
    <n v="1"/>
    <n v="0"/>
    <n v="0"/>
    <x v="1"/>
    <x v="26"/>
    <s v="51-66"/>
    <n v="2628"/>
    <n v="0"/>
    <n v="0"/>
    <n v="0"/>
    <n v="1"/>
    <n v="0"/>
    <n v="0"/>
    <n v="0"/>
    <n v="0"/>
    <n v="1"/>
    <n v="1482"/>
    <d v="2015-08-05T00:00:00"/>
  </r>
  <r>
    <n v="650"/>
    <n v="82014"/>
    <n v="1480"/>
    <n v="1.8045699514717E-2"/>
    <x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x v="0"/>
    <x v="21"/>
    <s v="51-66"/>
    <n v="2837"/>
    <n v="0"/>
    <n v="0"/>
    <n v="1"/>
    <n v="0"/>
    <n v="0"/>
    <n v="0"/>
    <n v="1"/>
    <n v="0"/>
    <n v="0"/>
    <n v="1449"/>
    <d v="2015-01-08T00:00:00"/>
  </r>
  <r>
    <n v="490"/>
    <n v="73454"/>
    <n v="1476"/>
    <n v="2.0094208620361043E-2"/>
    <x v="0"/>
    <n v="0"/>
    <n v="95"/>
    <n v="982"/>
    <n v="73"/>
    <n v="351"/>
    <n v="56"/>
    <n v="14"/>
    <n v="175"/>
    <n v="1"/>
    <n v="2"/>
    <n v="4"/>
    <n v="6"/>
    <n v="5"/>
    <n v="0"/>
    <n v="0"/>
    <n v="1"/>
    <n v="0"/>
    <n v="0"/>
    <n v="0"/>
    <x v="1"/>
    <x v="36"/>
    <s v="24-35"/>
    <n v="2279"/>
    <n v="0"/>
    <n v="0"/>
    <n v="1"/>
    <n v="0"/>
    <n v="0"/>
    <n v="0"/>
    <n v="0"/>
    <n v="1"/>
    <n v="0"/>
    <n v="1301"/>
    <d v="2016-07-19T00:00:00"/>
  </r>
  <r>
    <n v="1892"/>
    <n v="79823"/>
    <n v="1475"/>
    <n v="1.8478383423324106E-2"/>
    <x v="0"/>
    <n v="1"/>
    <n v="6"/>
    <n v="835"/>
    <n v="73"/>
    <n v="380"/>
    <n v="114"/>
    <n v="73"/>
    <n v="43"/>
    <n v="1"/>
    <n v="6"/>
    <n v="9"/>
    <n v="7"/>
    <n v="2"/>
    <n v="0"/>
    <n v="0"/>
    <n v="0"/>
    <n v="1"/>
    <n v="0"/>
    <n v="0"/>
    <x v="1"/>
    <x v="29"/>
    <s v="51-66"/>
    <n v="2249"/>
    <n v="0"/>
    <n v="1"/>
    <n v="0"/>
    <n v="0"/>
    <n v="0"/>
    <n v="0"/>
    <n v="1"/>
    <n v="0"/>
    <n v="0"/>
    <n v="1432"/>
    <d v="2016-08-18T00:00:00"/>
  </r>
  <r>
    <n v="1241"/>
    <n v="72828"/>
    <n v="1473"/>
    <n v="2.0225737353765035E-2"/>
    <x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x v="1"/>
    <x v="46"/>
    <s v="51-66"/>
    <n v="2659"/>
    <n v="0"/>
    <n v="1"/>
    <n v="0"/>
    <n v="0"/>
    <n v="0"/>
    <n v="0"/>
    <n v="0"/>
    <n v="1"/>
    <n v="0"/>
    <n v="1268"/>
    <d v="2015-07-05T00:00:00"/>
  </r>
  <r>
    <n v="385"/>
    <n v="66465"/>
    <n v="1471"/>
    <n v="2.2131949146167156E-2"/>
    <x v="0"/>
    <n v="1"/>
    <n v="1"/>
    <n v="1200"/>
    <n v="0"/>
    <n v="204"/>
    <n v="38"/>
    <n v="29"/>
    <n v="14"/>
    <n v="3"/>
    <n v="11"/>
    <n v="9"/>
    <n v="12"/>
    <n v="6"/>
    <n v="1"/>
    <n v="0"/>
    <n v="0"/>
    <n v="0"/>
    <n v="0"/>
    <n v="0"/>
    <x v="1"/>
    <x v="38"/>
    <s v="51-66"/>
    <n v="2615"/>
    <n v="0"/>
    <n v="1"/>
    <n v="0"/>
    <n v="0"/>
    <n v="0"/>
    <n v="0"/>
    <n v="0"/>
    <n v="0"/>
    <n v="1"/>
    <n v="1457"/>
    <d v="2015-08-18T00:00:00"/>
  </r>
  <r>
    <n v="1264"/>
    <n v="76542"/>
    <n v="1469"/>
    <n v="1.9192077552193567E-2"/>
    <x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x v="1"/>
    <x v="5"/>
    <s v="51-66"/>
    <n v="2615"/>
    <n v="0"/>
    <n v="0"/>
    <n v="0"/>
    <n v="1"/>
    <n v="0"/>
    <n v="0"/>
    <n v="0"/>
    <n v="0"/>
    <n v="1"/>
    <n v="1455"/>
    <d v="2015-08-18T00:00:00"/>
  </r>
  <r>
    <n v="653"/>
    <n v="77520"/>
    <n v="1468"/>
    <n v="1.893704850361197E-2"/>
    <x v="0"/>
    <n v="1"/>
    <n v="30"/>
    <n v="940"/>
    <n v="44"/>
    <n v="396"/>
    <n v="0"/>
    <n v="88"/>
    <n v="58"/>
    <n v="1"/>
    <n v="8"/>
    <n v="7"/>
    <n v="7"/>
    <n v="4"/>
    <n v="1"/>
    <n v="0"/>
    <n v="1"/>
    <n v="0"/>
    <n v="1"/>
    <n v="0"/>
    <x v="0"/>
    <x v="29"/>
    <s v="51-66"/>
    <n v="2464"/>
    <n v="0"/>
    <n v="1"/>
    <n v="0"/>
    <n v="0"/>
    <n v="0"/>
    <n v="0"/>
    <n v="0"/>
    <n v="1"/>
    <n v="0"/>
    <n v="1410"/>
    <d v="2016-01-16T00:00:00"/>
  </r>
  <r>
    <n v="765"/>
    <n v="91820"/>
    <n v="1467"/>
    <n v="1.5976911348290133E-2"/>
    <x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x v="1"/>
    <x v="18"/>
    <s v="24-35"/>
    <n v="2377"/>
    <n v="0"/>
    <n v="0"/>
    <n v="0"/>
    <n v="1"/>
    <n v="0"/>
    <n v="0"/>
    <n v="0"/>
    <n v="0"/>
    <n v="1"/>
    <n v="1437"/>
    <d v="2016-04-12T00:00:00"/>
  </r>
  <r>
    <n v="1407"/>
    <n v="69930"/>
    <n v="1466"/>
    <n v="2.0963820963820965E-2"/>
    <x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x v="1"/>
    <x v="28"/>
    <s v="36-50"/>
    <n v="2558"/>
    <n v="0"/>
    <n v="0"/>
    <n v="0"/>
    <n v="1"/>
    <n v="0"/>
    <n v="0"/>
    <n v="1"/>
    <n v="0"/>
    <n v="0"/>
    <n v="1270"/>
    <d v="2015-10-14T00:00:00"/>
  </r>
  <r>
    <n v="1415"/>
    <n v="57036"/>
    <n v="1466"/>
    <n v="2.5703064731047057E-2"/>
    <x v="0"/>
    <n v="1"/>
    <n v="33"/>
    <n v="1171"/>
    <n v="43"/>
    <n v="219"/>
    <n v="19"/>
    <n v="14"/>
    <n v="47"/>
    <n v="4"/>
    <n v="6"/>
    <n v="3"/>
    <n v="13"/>
    <n v="9"/>
    <n v="0"/>
    <n v="0"/>
    <n v="1"/>
    <n v="0"/>
    <n v="0"/>
    <n v="0"/>
    <x v="1"/>
    <x v="16"/>
    <s v="36-50"/>
    <n v="2724"/>
    <n v="0"/>
    <n v="1"/>
    <n v="0"/>
    <n v="0"/>
    <n v="0"/>
    <n v="1"/>
    <n v="0"/>
    <n v="0"/>
    <n v="0"/>
    <n v="1419"/>
    <d v="2015-05-01T00:00:00"/>
  </r>
  <r>
    <n v="659"/>
    <n v="73892"/>
    <n v="1464"/>
    <n v="1.981269961565528E-2"/>
    <x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x v="0"/>
    <x v="10"/>
    <s v="66+"/>
    <n v="2387"/>
    <n v="0"/>
    <n v="0"/>
    <n v="1"/>
    <n v="0"/>
    <n v="0"/>
    <n v="0"/>
    <n v="1"/>
    <n v="0"/>
    <n v="0"/>
    <n v="1421"/>
    <d v="2016-04-02T00:00:00"/>
  </r>
  <r>
    <n v="230"/>
    <n v="65176"/>
    <n v="1461"/>
    <n v="2.2416226831962687E-2"/>
    <x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x v="1"/>
    <x v="3"/>
    <s v="51-66"/>
    <n v="2767"/>
    <n v="0"/>
    <n v="0"/>
    <n v="0"/>
    <n v="1"/>
    <n v="0"/>
    <n v="0"/>
    <n v="0"/>
    <n v="1"/>
    <n v="0"/>
    <n v="1391"/>
    <d v="2015-03-19T00:00:00"/>
  </r>
  <r>
    <n v="664"/>
    <n v="69109"/>
    <n v="1460"/>
    <n v="2.112604725867832E-2"/>
    <x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x v="0"/>
    <x v="31"/>
    <s v="36-50"/>
    <n v="2756"/>
    <n v="0"/>
    <n v="1"/>
    <n v="0"/>
    <n v="0"/>
    <n v="0"/>
    <n v="0"/>
    <n v="1"/>
    <n v="0"/>
    <n v="0"/>
    <n v="1365"/>
    <d v="2015-03-30T00:00:00"/>
  </r>
  <r>
    <n v="266"/>
    <n v="79946"/>
    <n v="1450"/>
    <n v="1.8137242638781179E-2"/>
    <x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x v="1"/>
    <x v="22"/>
    <s v="51-66"/>
    <n v="2207"/>
    <n v="0"/>
    <n v="0"/>
    <n v="0"/>
    <n v="0"/>
    <n v="1"/>
    <n v="0"/>
    <n v="1"/>
    <n v="0"/>
    <n v="0"/>
    <n v="1422"/>
    <d v="2016-09-29T00:00:00"/>
  </r>
  <r>
    <n v="678"/>
    <n v="73687"/>
    <n v="1446"/>
    <n v="1.96235428230217E-2"/>
    <x v="0"/>
    <n v="0"/>
    <n v="8"/>
    <n v="559"/>
    <n v="153"/>
    <n v="503"/>
    <n v="218"/>
    <n v="13"/>
    <n v="181"/>
    <n v="1"/>
    <n v="3"/>
    <n v="9"/>
    <n v="9"/>
    <n v="2"/>
    <n v="1"/>
    <n v="0"/>
    <n v="0"/>
    <n v="0"/>
    <n v="0"/>
    <n v="0"/>
    <x v="0"/>
    <x v="48"/>
    <s v="24-35"/>
    <n v="2372"/>
    <n v="0"/>
    <n v="1"/>
    <n v="0"/>
    <n v="0"/>
    <n v="0"/>
    <n v="0"/>
    <n v="1"/>
    <n v="0"/>
    <n v="0"/>
    <n v="1265"/>
    <d v="2016-04-17T00:00:00"/>
  </r>
  <r>
    <n v="786"/>
    <n v="81702"/>
    <n v="1446"/>
    <n v="1.7698465153851803E-2"/>
    <x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x v="1"/>
    <x v="41"/>
    <s v="36-50"/>
    <n v="2803"/>
    <n v="1"/>
    <n v="0"/>
    <n v="0"/>
    <n v="0"/>
    <n v="0"/>
    <n v="0"/>
    <n v="1"/>
    <n v="0"/>
    <n v="0"/>
    <n v="1259"/>
    <d v="2015-02-11T00:00:00"/>
  </r>
  <r>
    <n v="1400"/>
    <n v="79529"/>
    <n v="1441"/>
    <n v="1.8119176652541841E-2"/>
    <x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x v="1"/>
    <x v="18"/>
    <s v="24-35"/>
    <n v="2222"/>
    <n v="0"/>
    <n v="1"/>
    <n v="0"/>
    <n v="0"/>
    <n v="0"/>
    <n v="0"/>
    <n v="1"/>
    <n v="0"/>
    <n v="0"/>
    <n v="1244"/>
    <d v="2016-09-14T00:00:00"/>
  </r>
  <r>
    <n v="687"/>
    <n v="74538"/>
    <n v="1433"/>
    <n v="1.9225093241031419E-2"/>
    <x v="0"/>
    <n v="0"/>
    <n v="21"/>
    <n v="380"/>
    <n v="98"/>
    <n v="733"/>
    <n v="110"/>
    <n v="112"/>
    <n v="28"/>
    <n v="1"/>
    <n v="8"/>
    <n v="8"/>
    <n v="5"/>
    <n v="3"/>
    <n v="0"/>
    <n v="0"/>
    <n v="0"/>
    <n v="0"/>
    <n v="1"/>
    <n v="0"/>
    <x v="0"/>
    <x v="28"/>
    <s v="36-50"/>
    <n v="2524"/>
    <n v="0"/>
    <n v="0"/>
    <n v="0"/>
    <n v="1"/>
    <n v="0"/>
    <n v="0"/>
    <n v="1"/>
    <n v="0"/>
    <n v="0"/>
    <n v="1405"/>
    <d v="2015-11-17T00:00:00"/>
  </r>
  <r>
    <n v="1651"/>
    <n v="63207"/>
    <n v="1432"/>
    <n v="2.2655718512190105E-2"/>
    <x v="0"/>
    <n v="0"/>
    <n v="68"/>
    <n v="438"/>
    <n v="169"/>
    <n v="565"/>
    <n v="91"/>
    <n v="169"/>
    <n v="70"/>
    <n v="1"/>
    <n v="2"/>
    <n v="3"/>
    <n v="6"/>
    <n v="7"/>
    <n v="1"/>
    <n v="0"/>
    <n v="0"/>
    <n v="0"/>
    <n v="0"/>
    <n v="0"/>
    <x v="1"/>
    <x v="17"/>
    <s v="24-35"/>
    <n v="2684"/>
    <n v="0"/>
    <n v="0"/>
    <n v="0"/>
    <n v="1"/>
    <n v="0"/>
    <n v="0"/>
    <n v="1"/>
    <n v="0"/>
    <n v="0"/>
    <n v="1362"/>
    <d v="2015-06-10T00:00:00"/>
  </r>
  <r>
    <n v="686"/>
    <n v="89694"/>
    <n v="1430"/>
    <n v="1.5943095413294087E-2"/>
    <x v="1"/>
    <n v="1"/>
    <n v="22"/>
    <n v="1126"/>
    <n v="28"/>
    <n v="211"/>
    <n v="37"/>
    <n v="28"/>
    <n v="42"/>
    <n v="3"/>
    <n v="4"/>
    <n v="3"/>
    <n v="4"/>
    <n v="5"/>
    <n v="1"/>
    <n v="0"/>
    <n v="0"/>
    <n v="1"/>
    <n v="1"/>
    <n v="0"/>
    <x v="1"/>
    <x v="30"/>
    <s v="36-50"/>
    <n v="2422"/>
    <n v="1"/>
    <n v="0"/>
    <n v="0"/>
    <n v="0"/>
    <n v="0"/>
    <n v="0"/>
    <n v="1"/>
    <n v="0"/>
    <n v="0"/>
    <n v="1388"/>
    <d v="2016-02-27T00:00:00"/>
  </r>
  <r>
    <n v="1362"/>
    <n v="67419"/>
    <n v="1429"/>
    <n v="2.1195805336774499E-2"/>
    <x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x v="1"/>
    <x v="2"/>
    <s v="36-50"/>
    <n v="2688"/>
    <n v="0"/>
    <n v="0"/>
    <n v="0"/>
    <n v="1"/>
    <n v="0"/>
    <n v="0"/>
    <n v="1"/>
    <n v="0"/>
    <n v="0"/>
    <n v="1387"/>
    <d v="2015-06-06T00:00:00"/>
  </r>
  <r>
    <n v="1388"/>
    <n v="71706"/>
    <n v="1429"/>
    <n v="1.9928597327978134E-2"/>
    <x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x v="1"/>
    <x v="29"/>
    <s v="51-66"/>
    <n v="2752"/>
    <n v="0"/>
    <n v="0"/>
    <n v="0"/>
    <n v="1"/>
    <n v="0"/>
    <n v="0"/>
    <n v="1"/>
    <n v="0"/>
    <n v="0"/>
    <n v="1415"/>
    <d v="2015-04-03T00:00:00"/>
  </r>
  <r>
    <n v="777"/>
    <n v="80995"/>
    <n v="1426"/>
    <n v="1.7606025063275511E-2"/>
    <x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x v="1"/>
    <x v="27"/>
    <s v="51-66"/>
    <n v="2573"/>
    <n v="0"/>
    <n v="0"/>
    <n v="0"/>
    <n v="0"/>
    <n v="1"/>
    <n v="0"/>
    <n v="0"/>
    <n v="0"/>
    <n v="1"/>
    <n v="1370"/>
    <d v="2015-09-29T00:00:00"/>
  </r>
  <r>
    <n v="856"/>
    <n v="78420"/>
    <n v="1425"/>
    <n v="1.8171384850803367E-2"/>
    <x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x v="1"/>
    <x v="22"/>
    <s v="51-66"/>
    <n v="2524"/>
    <n v="0"/>
    <n v="0"/>
    <n v="1"/>
    <n v="0"/>
    <n v="0"/>
    <n v="0"/>
    <n v="0"/>
    <n v="0"/>
    <n v="1"/>
    <n v="1397"/>
    <d v="2015-11-17T00:00:00"/>
  </r>
  <r>
    <n v="1081"/>
    <n v="68142"/>
    <n v="1422"/>
    <n v="2.0868187021220393E-2"/>
    <x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x v="1"/>
    <x v="42"/>
    <s v="51-66"/>
    <n v="2828"/>
    <n v="0"/>
    <n v="0"/>
    <n v="0"/>
    <n v="1"/>
    <n v="0"/>
    <n v="0"/>
    <n v="1"/>
    <n v="0"/>
    <n v="0"/>
    <n v="1385"/>
    <d v="2015-01-17T00:00:00"/>
  </r>
  <r>
    <n v="701"/>
    <n v="67369"/>
    <n v="1419"/>
    <n v="2.1063100238982321E-2"/>
    <x v="0"/>
    <n v="1"/>
    <n v="81"/>
    <n v="1298"/>
    <n v="0"/>
    <n v="70"/>
    <n v="37"/>
    <n v="14"/>
    <n v="42"/>
    <n v="4"/>
    <n v="7"/>
    <n v="4"/>
    <n v="10"/>
    <n v="4"/>
    <n v="0"/>
    <n v="0"/>
    <n v="0"/>
    <n v="1"/>
    <n v="1"/>
    <n v="0"/>
    <x v="0"/>
    <x v="3"/>
    <s v="51-66"/>
    <n v="2748"/>
    <n v="0"/>
    <n v="0"/>
    <n v="0"/>
    <n v="0"/>
    <n v="1"/>
    <n v="0"/>
    <n v="0"/>
    <n v="1"/>
    <n v="0"/>
    <n v="1377"/>
    <d v="2015-04-07T00:00:00"/>
  </r>
  <r>
    <n v="1920"/>
    <n v="72217"/>
    <n v="1419"/>
    <n v="1.9649113089715717E-2"/>
    <x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x v="1"/>
    <x v="46"/>
    <s v="51-66"/>
    <n v="2604"/>
    <n v="0"/>
    <n v="0"/>
    <n v="1"/>
    <n v="0"/>
    <n v="0"/>
    <n v="0"/>
    <n v="0"/>
    <n v="1"/>
    <n v="0"/>
    <n v="1265"/>
    <d v="2015-08-29T00:00:00"/>
  </r>
  <r>
    <n v="702"/>
    <n v="83443"/>
    <n v="1413"/>
    <n v="1.6933715230756326E-2"/>
    <x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x v="1"/>
    <x v="9"/>
    <s v="36-50"/>
    <n v="2339"/>
    <n v="0"/>
    <n v="0"/>
    <n v="0"/>
    <n v="1"/>
    <n v="0"/>
    <n v="0"/>
    <n v="0"/>
    <n v="0"/>
    <n v="1"/>
    <n v="1329"/>
    <d v="2016-05-20T00:00:00"/>
  </r>
  <r>
    <n v="707"/>
    <n v="86429"/>
    <n v="1412"/>
    <n v="1.6337109072186419E-2"/>
    <x v="0"/>
    <n v="0"/>
    <n v="10"/>
    <n v="464"/>
    <n v="28"/>
    <n v="873"/>
    <n v="29"/>
    <n v="18"/>
    <n v="37"/>
    <n v="0"/>
    <n v="7"/>
    <n v="4"/>
    <n v="7"/>
    <n v="2"/>
    <n v="1"/>
    <n v="0"/>
    <n v="0"/>
    <n v="0"/>
    <n v="0"/>
    <n v="0"/>
    <x v="0"/>
    <x v="21"/>
    <s v="51-66"/>
    <n v="2379"/>
    <n v="0"/>
    <n v="0"/>
    <n v="1"/>
    <n v="0"/>
    <n v="0"/>
    <n v="0"/>
    <n v="1"/>
    <n v="0"/>
    <n v="0"/>
    <n v="1375"/>
    <d v="2016-04-10T00:00:00"/>
  </r>
  <r>
    <n v="704"/>
    <n v="75693"/>
    <n v="1412"/>
    <n v="1.8654300926109417E-2"/>
    <x v="0"/>
    <n v="0"/>
    <n v="10"/>
    <n v="797"/>
    <n v="153"/>
    <n v="293"/>
    <n v="72"/>
    <n v="97"/>
    <n v="30"/>
    <n v="1"/>
    <n v="11"/>
    <n v="4"/>
    <n v="6"/>
    <n v="4"/>
    <n v="1"/>
    <n v="0"/>
    <n v="0"/>
    <n v="1"/>
    <n v="1"/>
    <n v="0"/>
    <x v="0"/>
    <x v="14"/>
    <s v="51-66"/>
    <n v="2729"/>
    <n v="1"/>
    <n v="0"/>
    <n v="0"/>
    <n v="0"/>
    <n v="0"/>
    <n v="0"/>
    <n v="1"/>
    <n v="0"/>
    <n v="0"/>
    <n v="1382"/>
    <d v="2015-04-26T00:00:00"/>
  </r>
  <r>
    <n v="714"/>
    <n v="63120"/>
    <n v="1408"/>
    <n v="2.2306717363751585E-2"/>
    <x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x v="0"/>
    <x v="51"/>
    <s v="66+"/>
    <n v="2798"/>
    <n v="1"/>
    <n v="0"/>
    <n v="0"/>
    <n v="0"/>
    <n v="0"/>
    <n v="0"/>
    <n v="0"/>
    <n v="1"/>
    <n v="0"/>
    <n v="1339"/>
    <d v="2015-02-16T00:00:00"/>
  </r>
  <r>
    <n v="1047"/>
    <n v="71819"/>
    <n v="1406"/>
    <n v="1.9576992160848801E-2"/>
    <x v="0"/>
    <n v="1"/>
    <n v="70"/>
    <n v="1224"/>
    <n v="28"/>
    <n v="140"/>
    <n v="0"/>
    <n v="14"/>
    <n v="168"/>
    <n v="3"/>
    <n v="3"/>
    <n v="3"/>
    <n v="5"/>
    <n v="6"/>
    <n v="0"/>
    <n v="0"/>
    <n v="0"/>
    <n v="1"/>
    <n v="1"/>
    <n v="0"/>
    <x v="1"/>
    <x v="28"/>
    <s v="36-50"/>
    <n v="2464"/>
    <n v="0"/>
    <n v="0"/>
    <n v="0"/>
    <n v="1"/>
    <n v="0"/>
    <n v="0"/>
    <n v="1"/>
    <n v="0"/>
    <n v="0"/>
    <n v="1238"/>
    <d v="2016-01-16T00:00:00"/>
  </r>
  <r>
    <n v="2003"/>
    <n v="80617"/>
    <n v="1403"/>
    <n v="1.7403277224406762E-2"/>
    <x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x v="1"/>
    <x v="52"/>
    <s v="24-35"/>
    <n v="2784"/>
    <n v="0"/>
    <n v="0"/>
    <n v="1"/>
    <n v="0"/>
    <n v="0"/>
    <n v="1"/>
    <n v="0"/>
    <n v="0"/>
    <n v="0"/>
    <n v="1371"/>
    <d v="2015-03-02T00:00:00"/>
  </r>
  <r>
    <n v="723"/>
    <n v="80589"/>
    <n v="1402"/>
    <n v="1.7396915211753464E-2"/>
    <x v="0"/>
    <n v="0"/>
    <n v="25"/>
    <n v="507"/>
    <n v="93"/>
    <n v="520"/>
    <n v="242"/>
    <n v="40"/>
    <n v="26"/>
    <n v="1"/>
    <n v="5"/>
    <n v="10"/>
    <n v="5"/>
    <n v="1"/>
    <n v="1"/>
    <n v="0"/>
    <n v="0"/>
    <n v="0"/>
    <n v="0"/>
    <n v="0"/>
    <x v="0"/>
    <x v="34"/>
    <s v="66+"/>
    <n v="2317"/>
    <n v="0"/>
    <n v="1"/>
    <n v="0"/>
    <n v="0"/>
    <n v="0"/>
    <n v="0"/>
    <n v="1"/>
    <n v="0"/>
    <n v="0"/>
    <n v="1376"/>
    <d v="2016-06-11T00:00:00"/>
  </r>
  <r>
    <n v="738"/>
    <n v="73356"/>
    <n v="1400"/>
    <n v="1.9085010087791045E-2"/>
    <x v="0"/>
    <n v="0"/>
    <n v="56"/>
    <n v="1050"/>
    <n v="14"/>
    <n v="322"/>
    <n v="0"/>
    <n v="14"/>
    <n v="112"/>
    <n v="1"/>
    <n v="5"/>
    <n v="11"/>
    <n v="5"/>
    <n v="2"/>
    <n v="1"/>
    <n v="0"/>
    <n v="1"/>
    <n v="0"/>
    <n v="1"/>
    <n v="0"/>
    <x v="0"/>
    <x v="39"/>
    <s v="36-50"/>
    <n v="2302"/>
    <n v="0"/>
    <n v="1"/>
    <n v="0"/>
    <n v="0"/>
    <n v="0"/>
    <n v="0"/>
    <n v="0"/>
    <n v="0"/>
    <n v="1"/>
    <n v="1288"/>
    <d v="2016-06-26T00:00:00"/>
  </r>
  <r>
    <n v="730"/>
    <n v="72258"/>
    <n v="1391"/>
    <n v="1.9250463616485372E-2"/>
    <x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x v="1"/>
    <x v="28"/>
    <s v="36-50"/>
    <n v="2449"/>
    <n v="0"/>
    <n v="0"/>
    <n v="1"/>
    <n v="0"/>
    <n v="0"/>
    <n v="0"/>
    <n v="1"/>
    <n v="0"/>
    <n v="0"/>
    <n v="1257"/>
    <d v="2016-01-31T00:00:00"/>
  </r>
  <r>
    <n v="713"/>
    <n v="78285"/>
    <n v="1387"/>
    <n v="1.7717314939004917E-2"/>
    <x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x v="1"/>
    <x v="0"/>
    <s v="24-35"/>
    <n v="2403"/>
    <n v="0"/>
    <n v="1"/>
    <n v="0"/>
    <n v="0"/>
    <n v="0"/>
    <n v="0"/>
    <n v="0"/>
    <n v="1"/>
    <n v="0"/>
    <n v="1347"/>
    <d v="2016-03-17T00:00:00"/>
  </r>
  <r>
    <n v="760"/>
    <n v="72504"/>
    <n v="1384"/>
    <n v="1.9088602008165065E-2"/>
    <x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x v="1"/>
    <x v="9"/>
    <s v="36-50"/>
    <n v="2608"/>
    <n v="0"/>
    <n v="0"/>
    <n v="1"/>
    <n v="0"/>
    <n v="0"/>
    <n v="0"/>
    <n v="1"/>
    <n v="0"/>
    <n v="0"/>
    <n v="1290"/>
    <d v="2015-08-25T00:00:00"/>
  </r>
  <r>
    <n v="1827"/>
    <n v="63684"/>
    <n v="1384"/>
    <n v="2.1732303247283462E-2"/>
    <x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x v="1"/>
    <x v="2"/>
    <s v="36-50"/>
    <n v="2739"/>
    <n v="0"/>
    <n v="1"/>
    <n v="0"/>
    <n v="0"/>
    <n v="0"/>
    <n v="0"/>
    <n v="1"/>
    <n v="0"/>
    <n v="0"/>
    <n v="1304"/>
    <d v="2015-04-16T00:00:00"/>
  </r>
  <r>
    <n v="697"/>
    <n v="83844"/>
    <n v="1383"/>
    <n v="1.6494919135537425E-2"/>
    <x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x v="1"/>
    <x v="50"/>
    <s v="66+"/>
    <n v="2572"/>
    <n v="0"/>
    <n v="0"/>
    <n v="0"/>
    <n v="1"/>
    <n v="0"/>
    <n v="0"/>
    <n v="1"/>
    <n v="0"/>
    <n v="0"/>
    <n v="1192"/>
    <d v="2015-09-30T00:00:00"/>
  </r>
  <r>
    <n v="1741"/>
    <n v="67384"/>
    <n v="1383"/>
    <n v="2.0524160037991214E-2"/>
    <x v="0"/>
    <n v="1"/>
    <n v="32"/>
    <n v="957"/>
    <n v="40"/>
    <n v="175"/>
    <n v="158"/>
    <n v="53"/>
    <n v="107"/>
    <n v="2"/>
    <n v="7"/>
    <n v="8"/>
    <n v="5"/>
    <n v="5"/>
    <n v="0"/>
    <n v="0"/>
    <n v="0"/>
    <n v="1"/>
    <n v="0"/>
    <n v="0"/>
    <x v="1"/>
    <x v="2"/>
    <s v="36-50"/>
    <n v="2755"/>
    <n v="0"/>
    <n v="0"/>
    <n v="1"/>
    <n v="0"/>
    <n v="0"/>
    <n v="0"/>
    <n v="1"/>
    <n v="0"/>
    <n v="0"/>
    <n v="1276"/>
    <d v="2015-03-31T00:00:00"/>
  </r>
  <r>
    <n v="742"/>
    <n v="82582"/>
    <n v="1376"/>
    <n v="1.6662226635344266E-2"/>
    <x v="0"/>
    <n v="0"/>
    <n v="54"/>
    <n v="510"/>
    <n v="120"/>
    <n v="550"/>
    <n v="156"/>
    <n v="40"/>
    <n v="241"/>
    <n v="1"/>
    <n v="4"/>
    <n v="9"/>
    <n v="7"/>
    <n v="1"/>
    <n v="1"/>
    <n v="0"/>
    <n v="1"/>
    <n v="0"/>
    <n v="0"/>
    <n v="0"/>
    <x v="0"/>
    <x v="13"/>
    <s v="36-50"/>
    <n v="2181"/>
    <n v="1"/>
    <n v="0"/>
    <n v="0"/>
    <n v="0"/>
    <n v="0"/>
    <n v="0"/>
    <n v="1"/>
    <n v="0"/>
    <n v="0"/>
    <n v="1135"/>
    <d v="2016-10-25T00:00:00"/>
  </r>
  <r>
    <n v="755"/>
    <n v="72643"/>
    <n v="1376"/>
    <n v="1.8941948983384495E-2"/>
    <x v="0"/>
    <n v="0"/>
    <n v="60"/>
    <n v="526"/>
    <n v="80"/>
    <n v="553"/>
    <n v="123"/>
    <n v="94"/>
    <n v="53"/>
    <n v="1"/>
    <n v="3"/>
    <n v="10"/>
    <n v="7"/>
    <n v="2"/>
    <n v="1"/>
    <n v="0"/>
    <n v="0"/>
    <n v="0"/>
    <n v="0"/>
    <n v="0"/>
    <x v="0"/>
    <x v="4"/>
    <s v="66+"/>
    <n v="2646"/>
    <n v="0"/>
    <n v="0"/>
    <n v="0"/>
    <n v="0"/>
    <n v="1"/>
    <n v="0"/>
    <n v="1"/>
    <n v="0"/>
    <n v="0"/>
    <n v="1323"/>
    <d v="2015-07-18T00:00:00"/>
  </r>
  <r>
    <n v="1470"/>
    <n v="76445"/>
    <n v="1375"/>
    <n v="1.7986787886715941E-2"/>
    <x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x v="1"/>
    <x v="28"/>
    <s v="36-50"/>
    <n v="2798"/>
    <n v="0"/>
    <n v="1"/>
    <n v="0"/>
    <n v="0"/>
    <n v="0"/>
    <n v="0"/>
    <n v="1"/>
    <n v="0"/>
    <n v="0"/>
    <n v="1340"/>
    <d v="2015-02-16T00:00:00"/>
  </r>
  <r>
    <n v="1534"/>
    <n v="69016"/>
    <n v="1372"/>
    <n v="1.9879448243885475E-2"/>
    <x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x v="1"/>
    <x v="2"/>
    <s v="36-50"/>
    <n v="2743"/>
    <n v="0"/>
    <n v="1"/>
    <n v="0"/>
    <n v="0"/>
    <n v="0"/>
    <n v="0"/>
    <n v="1"/>
    <n v="0"/>
    <n v="0"/>
    <n v="1211"/>
    <d v="2015-04-12T00:00:00"/>
  </r>
  <r>
    <n v="762"/>
    <n v="82584"/>
    <n v="1367"/>
    <n v="1.655284316574639E-2"/>
    <x v="0"/>
    <n v="0"/>
    <n v="26"/>
    <n v="1076"/>
    <n v="68"/>
    <n v="103"/>
    <n v="29"/>
    <n v="91"/>
    <n v="68"/>
    <n v="1"/>
    <n v="3"/>
    <n v="4"/>
    <n v="8"/>
    <n v="1"/>
    <n v="0"/>
    <n v="0"/>
    <n v="0"/>
    <n v="1"/>
    <n v="1"/>
    <n v="0"/>
    <x v="0"/>
    <x v="35"/>
    <s v="36-50"/>
    <n v="2549"/>
    <n v="0"/>
    <n v="1"/>
    <n v="0"/>
    <n v="0"/>
    <n v="0"/>
    <n v="0"/>
    <n v="0"/>
    <n v="1"/>
    <n v="0"/>
    <n v="1299"/>
    <d v="2015-10-23T00:00:00"/>
  </r>
  <r>
    <n v="670"/>
    <n v="76618"/>
    <n v="1364"/>
    <n v="1.7802605131953326E-2"/>
    <x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x v="1"/>
    <x v="16"/>
    <s v="36-50"/>
    <n v="2728"/>
    <n v="0"/>
    <n v="1"/>
    <n v="0"/>
    <n v="0"/>
    <n v="0"/>
    <n v="0"/>
    <n v="0"/>
    <n v="0"/>
    <n v="1"/>
    <n v="1217"/>
    <d v="2015-04-27T00:00:00"/>
  </r>
  <r>
    <n v="1886"/>
    <n v="69520"/>
    <n v="1362"/>
    <n v="1.9591484464902185E-2"/>
    <x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x v="1"/>
    <x v="20"/>
    <s v="36-50"/>
    <n v="2516"/>
    <n v="0"/>
    <n v="1"/>
    <n v="0"/>
    <n v="0"/>
    <n v="0"/>
    <n v="0"/>
    <n v="1"/>
    <n v="0"/>
    <n v="0"/>
    <n v="1269"/>
    <d v="2015-11-25T00:00:00"/>
  </r>
  <r>
    <n v="705"/>
    <n v="75507"/>
    <n v="1360"/>
    <n v="1.8011575085753639E-2"/>
    <x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  <x v="19"/>
    <s v="36-50"/>
    <n v="2217"/>
    <n v="0"/>
    <n v="0"/>
    <n v="0"/>
    <n v="1"/>
    <n v="0"/>
    <n v="0"/>
    <n v="1"/>
    <n v="0"/>
    <n v="0"/>
    <n v="1280"/>
    <d v="2016-09-19T00:00:00"/>
  </r>
  <r>
    <n v="771"/>
    <n v="91065"/>
    <n v="1360"/>
    <n v="1.4934387525393949E-2"/>
    <x v="0"/>
    <n v="0"/>
    <n v="33"/>
    <n v="822"/>
    <n v="114"/>
    <n v="108"/>
    <n v="179"/>
    <n v="137"/>
    <n v="114"/>
    <n v="1"/>
    <n v="7"/>
    <n v="9"/>
    <n v="9"/>
    <n v="3"/>
    <n v="1"/>
    <n v="0"/>
    <n v="0"/>
    <n v="0"/>
    <n v="1"/>
    <n v="0"/>
    <x v="0"/>
    <x v="43"/>
    <s v="36-50"/>
    <n v="2651"/>
    <n v="0"/>
    <n v="0"/>
    <n v="1"/>
    <n v="0"/>
    <n v="0"/>
    <n v="0"/>
    <n v="1"/>
    <n v="0"/>
    <n v="0"/>
    <n v="1246"/>
    <d v="2015-07-13T00:00:00"/>
  </r>
  <r>
    <n v="773"/>
    <n v="75777"/>
    <n v="1358"/>
    <n v="1.7921005054304075E-2"/>
    <x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x v="0"/>
    <x v="31"/>
    <s v="36-50"/>
    <n v="2519"/>
    <n v="0"/>
    <n v="0"/>
    <n v="1"/>
    <n v="0"/>
    <n v="0"/>
    <n v="0"/>
    <n v="0"/>
    <n v="1"/>
    <n v="0"/>
    <n v="1278"/>
    <d v="2015-11-22T00:00:00"/>
  </r>
  <r>
    <n v="1793"/>
    <n v="85738"/>
    <n v="1358"/>
    <n v="1.5838951223494834E-2"/>
    <x v="0"/>
    <n v="0"/>
    <n v="41"/>
    <n v="913"/>
    <n v="26"/>
    <n v="376"/>
    <n v="17"/>
    <n v="26"/>
    <n v="13"/>
    <n v="1"/>
    <n v="3"/>
    <n v="6"/>
    <n v="11"/>
    <n v="1"/>
    <n v="0"/>
    <n v="0"/>
    <n v="0"/>
    <n v="1"/>
    <n v="1"/>
    <n v="0"/>
    <x v="1"/>
    <x v="37"/>
    <s v="36-50"/>
    <n v="2316"/>
    <n v="0"/>
    <n v="0"/>
    <n v="0"/>
    <n v="1"/>
    <n v="0"/>
    <n v="0"/>
    <n v="0"/>
    <n v="1"/>
    <n v="0"/>
    <n v="1345"/>
    <d v="2016-06-12T00:00:00"/>
  </r>
  <r>
    <n v="793"/>
    <n v="49667"/>
    <n v="1357"/>
    <n v="2.7321964282118912E-2"/>
    <x v="0"/>
    <n v="0"/>
    <n v="35"/>
    <n v="1181"/>
    <n v="26"/>
    <n v="120"/>
    <n v="17"/>
    <n v="13"/>
    <n v="39"/>
    <n v="2"/>
    <n v="5"/>
    <n v="10"/>
    <n v="5"/>
    <n v="8"/>
    <n v="0"/>
    <n v="0"/>
    <n v="1"/>
    <n v="0"/>
    <n v="0"/>
    <n v="0"/>
    <x v="0"/>
    <x v="38"/>
    <s v="51-66"/>
    <n v="2837"/>
    <n v="0"/>
    <n v="0"/>
    <n v="1"/>
    <n v="0"/>
    <n v="0"/>
    <n v="0"/>
    <n v="0"/>
    <n v="0"/>
    <n v="1"/>
    <n v="1318"/>
    <d v="2015-01-08T00:00:00"/>
  </r>
  <r>
    <n v="1088"/>
    <n v="79410"/>
    <n v="1357"/>
    <n v="1.7088527893212441E-2"/>
    <x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x v="1"/>
    <x v="21"/>
    <s v="51-66"/>
    <n v="2190"/>
    <n v="0"/>
    <n v="1"/>
    <n v="0"/>
    <n v="0"/>
    <n v="0"/>
    <n v="0"/>
    <n v="1"/>
    <n v="0"/>
    <n v="0"/>
    <n v="1344"/>
    <d v="2016-10-16T00:00:00"/>
  </r>
  <r>
    <n v="801"/>
    <n v="73803"/>
    <n v="1354"/>
    <n v="1.8346137690879775E-2"/>
    <x v="0"/>
    <n v="1"/>
    <n v="61"/>
    <n v="833"/>
    <n v="80"/>
    <n v="363"/>
    <n v="52"/>
    <n v="26"/>
    <n v="174"/>
    <n v="2"/>
    <n v="9"/>
    <n v="5"/>
    <n v="6"/>
    <n v="6"/>
    <n v="0"/>
    <n v="0"/>
    <n v="1"/>
    <n v="0"/>
    <n v="0"/>
    <n v="0"/>
    <x v="0"/>
    <x v="12"/>
    <s v="51-66"/>
    <n v="2856"/>
    <n v="0"/>
    <n v="1"/>
    <n v="0"/>
    <n v="0"/>
    <n v="0"/>
    <n v="0"/>
    <n v="1"/>
    <n v="0"/>
    <n v="0"/>
    <n v="1180"/>
    <d v="2014-12-20T00:00:00"/>
  </r>
  <r>
    <n v="390"/>
    <n v="80134"/>
    <n v="1352"/>
    <n v="1.6871739835775078E-2"/>
    <x v="0"/>
    <n v="0"/>
    <n v="11"/>
    <n v="966"/>
    <n v="26"/>
    <n v="282"/>
    <n v="52"/>
    <n v="26"/>
    <n v="26"/>
    <n v="1"/>
    <n v="2"/>
    <n v="7"/>
    <n v="11"/>
    <n v="5"/>
    <n v="1"/>
    <n v="1"/>
    <n v="0"/>
    <n v="1"/>
    <n v="1"/>
    <n v="0"/>
    <x v="1"/>
    <x v="25"/>
    <s v="24-35"/>
    <n v="2294"/>
    <n v="0"/>
    <n v="0"/>
    <n v="0"/>
    <n v="1"/>
    <n v="0"/>
    <n v="0"/>
    <n v="1"/>
    <n v="0"/>
    <n v="0"/>
    <n v="1326"/>
    <d v="2016-07-04T00:00:00"/>
  </r>
  <r>
    <n v="326"/>
    <n v="71952"/>
    <n v="1350"/>
    <n v="1.8762508338892595E-2"/>
    <x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x v="1"/>
    <x v="18"/>
    <s v="24-35"/>
    <n v="2694"/>
    <n v="0"/>
    <n v="1"/>
    <n v="0"/>
    <n v="0"/>
    <n v="0"/>
    <n v="0"/>
    <n v="1"/>
    <n v="0"/>
    <n v="0"/>
    <n v="1257"/>
    <d v="2015-05-31T00:00:00"/>
  </r>
  <r>
    <n v="1588"/>
    <n v="82427"/>
    <n v="1349"/>
    <n v="1.6365996578790929E-2"/>
    <x v="0"/>
    <n v="0"/>
    <n v="35"/>
    <n v="482"/>
    <n v="147"/>
    <n v="509"/>
    <n v="104"/>
    <n v="107"/>
    <n v="107"/>
    <n v="1"/>
    <n v="3"/>
    <n v="5"/>
    <n v="12"/>
    <n v="1"/>
    <n v="0"/>
    <n v="0"/>
    <n v="0"/>
    <n v="0"/>
    <n v="1"/>
    <n v="0"/>
    <x v="1"/>
    <x v="22"/>
    <s v="51-66"/>
    <n v="2268"/>
    <n v="0"/>
    <n v="0"/>
    <n v="0"/>
    <n v="1"/>
    <n v="0"/>
    <n v="0"/>
    <n v="1"/>
    <n v="0"/>
    <n v="0"/>
    <n v="1242"/>
    <d v="2016-07-30T00:00:00"/>
  </r>
  <r>
    <n v="1689"/>
    <n v="72159"/>
    <n v="1348"/>
    <n v="1.8680968416968084E-2"/>
    <x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x v="1"/>
    <x v="37"/>
    <s v="36-50"/>
    <n v="2767"/>
    <n v="0"/>
    <n v="1"/>
    <n v="0"/>
    <n v="0"/>
    <n v="0"/>
    <n v="0"/>
    <n v="0"/>
    <n v="0"/>
    <n v="1"/>
    <n v="1295"/>
    <d v="2015-03-19T00:00:00"/>
  </r>
  <r>
    <n v="418"/>
    <n v="81246"/>
    <n v="1342"/>
    <n v="1.6517736257785E-2"/>
    <x v="0"/>
    <n v="0"/>
    <n v="87"/>
    <n v="398"/>
    <n v="190"/>
    <n v="537"/>
    <n v="61"/>
    <n v="156"/>
    <n v="37"/>
    <n v="1"/>
    <n v="4"/>
    <n v="5"/>
    <n v="7"/>
    <n v="1"/>
    <n v="1"/>
    <n v="0"/>
    <n v="1"/>
    <n v="0"/>
    <n v="0"/>
    <n v="0"/>
    <x v="1"/>
    <x v="42"/>
    <s v="51-66"/>
    <n v="2341"/>
    <n v="0"/>
    <n v="0"/>
    <n v="1"/>
    <n v="0"/>
    <n v="0"/>
    <n v="0"/>
    <n v="1"/>
    <n v="0"/>
    <n v="0"/>
    <n v="1305"/>
    <d v="2016-05-18T00:00:00"/>
  </r>
  <r>
    <n v="827"/>
    <n v="69372"/>
    <n v="1339"/>
    <n v="1.9301735570547193E-2"/>
    <x v="0"/>
    <n v="0"/>
    <n v="10"/>
    <n v="997"/>
    <n v="26"/>
    <n v="269"/>
    <n v="34"/>
    <n v="13"/>
    <n v="42"/>
    <n v="1"/>
    <n v="10"/>
    <n v="4"/>
    <n v="6"/>
    <n v="4"/>
    <n v="0"/>
    <n v="0"/>
    <n v="0"/>
    <n v="1"/>
    <n v="1"/>
    <n v="0"/>
    <x v="0"/>
    <x v="4"/>
    <s v="66+"/>
    <n v="2654"/>
    <n v="0"/>
    <n v="0"/>
    <n v="0"/>
    <n v="1"/>
    <n v="0"/>
    <n v="0"/>
    <n v="1"/>
    <n v="0"/>
    <n v="0"/>
    <n v="1297"/>
    <d v="2015-07-10T00:00:00"/>
  </r>
  <r>
    <n v="873"/>
    <n v="68397"/>
    <n v="1336"/>
    <n v="1.9533020454113485E-2"/>
    <x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x v="1"/>
    <x v="7"/>
    <s v="36-50"/>
    <n v="2383"/>
    <n v="0"/>
    <n v="1"/>
    <n v="0"/>
    <n v="0"/>
    <n v="0"/>
    <n v="0"/>
    <n v="0"/>
    <n v="0"/>
    <n v="1"/>
    <n v="1256"/>
    <d v="2016-04-06T00:00:00"/>
  </r>
  <r>
    <n v="273"/>
    <n v="55951"/>
    <n v="1334"/>
    <n v="2.3842290575682292E-2"/>
    <x v="0"/>
    <n v="1"/>
    <n v="62"/>
    <n v="1241"/>
    <n v="0"/>
    <n v="80"/>
    <n v="0"/>
    <n v="13"/>
    <n v="40"/>
    <n v="3"/>
    <n v="3"/>
    <n v="6"/>
    <n v="11"/>
    <n v="8"/>
    <n v="0"/>
    <n v="1"/>
    <n v="0"/>
    <n v="1"/>
    <n v="0"/>
    <n v="0"/>
    <x v="1"/>
    <x v="50"/>
    <s v="66+"/>
    <n v="2834"/>
    <n v="0"/>
    <n v="0"/>
    <n v="0"/>
    <n v="1"/>
    <n v="0"/>
    <n v="0"/>
    <n v="0"/>
    <n v="1"/>
    <n v="0"/>
    <n v="1294"/>
    <d v="2015-01-11T00:00:00"/>
  </r>
  <r>
    <n v="679"/>
    <n v="80395"/>
    <n v="1332"/>
    <n v="1.6568194539461411E-2"/>
    <x v="0"/>
    <n v="0"/>
    <n v="62"/>
    <n v="445"/>
    <n v="25"/>
    <n v="706"/>
    <n v="80"/>
    <n v="76"/>
    <n v="48"/>
    <n v="1"/>
    <n v="6"/>
    <n v="5"/>
    <n v="12"/>
    <n v="2"/>
    <n v="1"/>
    <n v="0"/>
    <n v="0"/>
    <n v="0"/>
    <n v="0"/>
    <n v="0"/>
    <x v="1"/>
    <x v="38"/>
    <s v="51-66"/>
    <n v="2377"/>
    <n v="0"/>
    <n v="1"/>
    <n v="0"/>
    <n v="0"/>
    <n v="0"/>
    <n v="0"/>
    <n v="1"/>
    <n v="0"/>
    <n v="0"/>
    <n v="1284"/>
    <d v="2016-04-12T00:00:00"/>
  </r>
  <r>
    <n v="1249"/>
    <n v="90842"/>
    <n v="1331"/>
    <n v="1.4651813038022061E-2"/>
    <x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x v="1"/>
    <x v="40"/>
    <s v="66+"/>
    <n v="2494"/>
    <n v="0"/>
    <n v="0"/>
    <n v="1"/>
    <n v="0"/>
    <n v="0"/>
    <n v="0"/>
    <n v="1"/>
    <n v="0"/>
    <n v="0"/>
    <n v="1238"/>
    <d v="2015-12-17T00:00:00"/>
  </r>
  <r>
    <n v="1189"/>
    <n v="85485"/>
    <n v="1329"/>
    <n v="1.5546587120547465E-2"/>
    <x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x v="1"/>
    <x v="27"/>
    <s v="51-66"/>
    <n v="2167"/>
    <n v="0"/>
    <n v="0"/>
    <n v="1"/>
    <n v="0"/>
    <n v="0"/>
    <n v="1"/>
    <n v="0"/>
    <n v="0"/>
    <n v="0"/>
    <n v="1275"/>
    <d v="2016-11-08T00:00:00"/>
  </r>
  <r>
    <n v="1039"/>
    <n v="76045"/>
    <n v="1323"/>
    <n v="1.7397593530146624E-2"/>
    <x v="0"/>
    <n v="0"/>
    <n v="78"/>
    <n v="760"/>
    <n v="53"/>
    <n v="400"/>
    <n v="17"/>
    <n v="93"/>
    <n v="0"/>
    <n v="1"/>
    <n v="4"/>
    <n v="5"/>
    <n v="11"/>
    <n v="2"/>
    <n v="1"/>
    <n v="0"/>
    <n v="0"/>
    <n v="0"/>
    <n v="0"/>
    <n v="0"/>
    <x v="1"/>
    <x v="24"/>
    <s v="51-66"/>
    <n v="2385"/>
    <n v="0"/>
    <n v="0"/>
    <n v="1"/>
    <n v="0"/>
    <n v="0"/>
    <n v="0"/>
    <n v="0"/>
    <n v="0"/>
    <n v="1"/>
    <n v="1323"/>
    <d v="2016-04-04T00:00:00"/>
  </r>
  <r>
    <n v="603"/>
    <n v="76140"/>
    <n v="1322"/>
    <n v="1.736275282374573E-2"/>
    <x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x v="1"/>
    <x v="40"/>
    <s v="66+"/>
    <n v="2206"/>
    <n v="0"/>
    <n v="0"/>
    <n v="0"/>
    <n v="1"/>
    <n v="0"/>
    <n v="0"/>
    <n v="0"/>
    <n v="0"/>
    <n v="1"/>
    <n v="1296"/>
    <d v="2016-09-30T00:00:00"/>
  </r>
  <r>
    <n v="644"/>
    <n v="77845"/>
    <n v="1320"/>
    <n v="1.6956773074699723E-2"/>
    <x v="0"/>
    <n v="0"/>
    <n v="40"/>
    <n v="760"/>
    <n v="40"/>
    <n v="480"/>
    <n v="0"/>
    <n v="40"/>
    <n v="26"/>
    <n v="1"/>
    <n v="3"/>
    <n v="5"/>
    <n v="12"/>
    <n v="1"/>
    <n v="1"/>
    <n v="0"/>
    <n v="0"/>
    <n v="0"/>
    <n v="1"/>
    <n v="0"/>
    <x v="1"/>
    <x v="32"/>
    <s v="24-35"/>
    <n v="2203"/>
    <n v="0"/>
    <n v="0"/>
    <n v="0"/>
    <n v="1"/>
    <n v="0"/>
    <n v="0"/>
    <n v="0"/>
    <n v="0"/>
    <n v="1"/>
    <n v="1294"/>
    <d v="2016-10-03T00:00:00"/>
  </r>
  <r>
    <n v="1426"/>
    <n v="65819"/>
    <n v="1320"/>
    <n v="2.0054999316306842E-2"/>
    <x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x v="1"/>
    <x v="37"/>
    <s v="36-50"/>
    <n v="2736"/>
    <n v="0"/>
    <n v="1"/>
    <n v="0"/>
    <n v="0"/>
    <n v="0"/>
    <n v="0"/>
    <n v="1"/>
    <n v="0"/>
    <n v="0"/>
    <n v="1257"/>
    <d v="2015-04-19T00:00:00"/>
  </r>
  <r>
    <n v="340"/>
    <n v="79530"/>
    <n v="1319"/>
    <n v="1.6584936501948949E-2"/>
    <x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x v="1"/>
    <x v="24"/>
    <s v="51-66"/>
    <n v="2567"/>
    <n v="0"/>
    <n v="1"/>
    <n v="0"/>
    <n v="0"/>
    <n v="0"/>
    <n v="0"/>
    <n v="1"/>
    <n v="0"/>
    <n v="0"/>
    <n v="1290"/>
    <d v="2015-10-05T00:00:00"/>
  </r>
  <r>
    <n v="228"/>
    <n v="75027"/>
    <n v="1313"/>
    <n v="1.7500366534714169E-2"/>
    <x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x v="1"/>
    <x v="10"/>
    <s v="66+"/>
    <n v="2695"/>
    <n v="0"/>
    <n v="1"/>
    <n v="0"/>
    <n v="0"/>
    <n v="0"/>
    <n v="0"/>
    <n v="1"/>
    <n v="0"/>
    <n v="0"/>
    <n v="1236"/>
    <d v="2015-05-30T00:00:00"/>
  </r>
  <r>
    <n v="559"/>
    <n v="69882"/>
    <n v="1313"/>
    <n v="1.8788815431727768E-2"/>
    <x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x v="1"/>
    <x v="47"/>
    <s v="51-66"/>
    <n v="2390"/>
    <n v="0"/>
    <n v="0"/>
    <n v="1"/>
    <n v="0"/>
    <n v="0"/>
    <n v="0"/>
    <n v="0"/>
    <n v="1"/>
    <n v="0"/>
    <n v="1148"/>
    <d v="2016-03-30T00:00:00"/>
  </r>
  <r>
    <n v="1713"/>
    <n v="72905"/>
    <n v="1312"/>
    <n v="1.7996022220698168E-2"/>
    <x v="0"/>
    <n v="0"/>
    <n v="52"/>
    <n v="407"/>
    <n v="114"/>
    <n v="445"/>
    <n v="181"/>
    <n v="165"/>
    <n v="203"/>
    <n v="1"/>
    <n v="3"/>
    <n v="7"/>
    <n v="9"/>
    <n v="1"/>
    <n v="1"/>
    <n v="0"/>
    <n v="0"/>
    <n v="0"/>
    <n v="0"/>
    <n v="0"/>
    <x v="1"/>
    <x v="27"/>
    <s v="51-66"/>
    <n v="2318"/>
    <n v="0"/>
    <n v="1"/>
    <n v="0"/>
    <n v="0"/>
    <n v="0"/>
    <n v="0"/>
    <n v="1"/>
    <n v="0"/>
    <n v="0"/>
    <n v="1109"/>
    <d v="2016-06-10T00:00:00"/>
  </r>
  <r>
    <n v="1628"/>
    <n v="64590"/>
    <n v="1308"/>
    <n v="2.0250812819321878E-2"/>
    <x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x v="1"/>
    <x v="14"/>
    <s v="51-66"/>
    <n v="2782"/>
    <n v="0"/>
    <n v="1"/>
    <n v="0"/>
    <n v="0"/>
    <n v="0"/>
    <n v="0"/>
    <n v="1"/>
    <n v="0"/>
    <n v="0"/>
    <n v="1278"/>
    <d v="2015-03-04T00:00:00"/>
  </r>
  <r>
    <n v="722"/>
    <n v="78939"/>
    <n v="1302"/>
    <n v="1.6493748337323755E-2"/>
    <x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x v="1"/>
    <x v="15"/>
    <s v="66+"/>
    <n v="2358"/>
    <n v="0"/>
    <n v="1"/>
    <n v="0"/>
    <n v="0"/>
    <n v="0"/>
    <n v="0"/>
    <n v="0"/>
    <n v="0"/>
    <n v="1"/>
    <n v="1097"/>
    <d v="2016-05-01T00:00:00"/>
  </r>
  <r>
    <n v="831"/>
    <n v="79456"/>
    <n v="1302"/>
    <n v="1.6386427708417237E-2"/>
    <x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x v="0"/>
    <x v="5"/>
    <s v="51-66"/>
    <n v="2835"/>
    <n v="0"/>
    <n v="1"/>
    <n v="0"/>
    <n v="0"/>
    <n v="0"/>
    <n v="0"/>
    <n v="1"/>
    <n v="0"/>
    <n v="0"/>
    <n v="1203"/>
    <d v="2015-01-10T00:00:00"/>
  </r>
  <r>
    <n v="1342"/>
    <n v="78041"/>
    <n v="1302"/>
    <n v="1.6683538140208353E-2"/>
    <x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x v="1"/>
    <x v="28"/>
    <s v="36-50"/>
    <n v="2719"/>
    <n v="0"/>
    <n v="1"/>
    <n v="0"/>
    <n v="0"/>
    <n v="0"/>
    <n v="1"/>
    <n v="0"/>
    <n v="0"/>
    <n v="0"/>
    <n v="1285"/>
    <d v="2015-05-06T00:00:00"/>
  </r>
  <r>
    <n v="841"/>
    <n v="85696"/>
    <n v="1301"/>
    <n v="1.5181572068707992E-2"/>
    <x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  <x v="46"/>
    <s v="51-66"/>
    <n v="2581"/>
    <n v="1"/>
    <n v="0"/>
    <n v="0"/>
    <n v="0"/>
    <n v="0"/>
    <n v="0"/>
    <n v="0"/>
    <n v="0"/>
    <n v="1"/>
    <n v="1289"/>
    <d v="2015-09-21T00:00:00"/>
  </r>
  <r>
    <n v="1904"/>
    <n v="76068"/>
    <n v="1300"/>
    <n v="1.7089972130199294E-2"/>
    <x v="0"/>
    <n v="1"/>
    <n v="67"/>
    <n v="1115"/>
    <n v="12"/>
    <n v="128"/>
    <n v="33"/>
    <n v="12"/>
    <n v="76"/>
    <n v="1"/>
    <n v="2"/>
    <n v="3"/>
    <n v="4"/>
    <n v="6"/>
    <n v="0"/>
    <n v="1"/>
    <n v="0"/>
    <n v="1"/>
    <n v="0"/>
    <n v="0"/>
    <x v="1"/>
    <x v="16"/>
    <s v="36-50"/>
    <n v="2736"/>
    <n v="0"/>
    <n v="1"/>
    <n v="0"/>
    <n v="0"/>
    <n v="0"/>
    <n v="0"/>
    <n v="1"/>
    <n v="0"/>
    <n v="0"/>
    <n v="1224"/>
    <d v="2015-04-19T00:00:00"/>
  </r>
  <r>
    <n v="440"/>
    <n v="61456"/>
    <n v="1299"/>
    <n v="2.1137073678729499E-2"/>
    <x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x v="1"/>
    <x v="16"/>
    <s v="36-50"/>
    <n v="2618"/>
    <n v="0"/>
    <n v="1"/>
    <n v="0"/>
    <n v="0"/>
    <n v="0"/>
    <n v="0"/>
    <n v="1"/>
    <n v="0"/>
    <n v="0"/>
    <n v="1210"/>
    <d v="2015-08-15T00:00:00"/>
  </r>
  <r>
    <n v="852"/>
    <n v="83257"/>
    <n v="1298"/>
    <n v="1.5590280697118561E-2"/>
    <x v="0"/>
    <n v="0"/>
    <n v="56"/>
    <n v="536"/>
    <n v="27"/>
    <n v="590"/>
    <n v="38"/>
    <n v="107"/>
    <n v="67"/>
    <n v="1"/>
    <n v="5"/>
    <n v="10"/>
    <n v="12"/>
    <n v="6"/>
    <n v="0"/>
    <n v="0"/>
    <n v="1"/>
    <n v="0"/>
    <n v="1"/>
    <n v="1"/>
    <x v="0"/>
    <x v="52"/>
    <s v="24-35"/>
    <n v="2808"/>
    <n v="0"/>
    <n v="0"/>
    <n v="1"/>
    <n v="0"/>
    <n v="0"/>
    <n v="1"/>
    <n v="0"/>
    <n v="0"/>
    <n v="0"/>
    <n v="1231"/>
    <d v="2015-02-06T00:00:00"/>
  </r>
  <r>
    <n v="1599"/>
    <n v="81795"/>
    <n v="1294"/>
    <n v="1.5820037899627118E-2"/>
    <x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x v="1"/>
    <x v="50"/>
    <s v="66+"/>
    <n v="2770"/>
    <n v="0"/>
    <n v="1"/>
    <n v="0"/>
    <n v="0"/>
    <n v="0"/>
    <n v="0"/>
    <n v="1"/>
    <n v="0"/>
    <n v="0"/>
    <n v="1206"/>
    <d v="2015-03-16T00:00:00"/>
  </r>
  <r>
    <n v="39"/>
    <n v="80011"/>
    <n v="1293"/>
    <n v="1.6160277961780257E-2"/>
    <x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x v="1"/>
    <x v="41"/>
    <s v="36-50"/>
    <n v="2585"/>
    <n v="0"/>
    <n v="1"/>
    <n v="0"/>
    <n v="0"/>
    <n v="0"/>
    <n v="0"/>
    <n v="1"/>
    <n v="0"/>
    <n v="0"/>
    <n v="1191"/>
    <d v="2015-09-17T00:00:00"/>
  </r>
  <r>
    <n v="473"/>
    <n v="64355"/>
    <n v="1292"/>
    <n v="2.0076140160049723E-2"/>
    <x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x v="1"/>
    <x v="23"/>
    <s v="24-35"/>
    <n v="2833"/>
    <n v="0"/>
    <n v="1"/>
    <n v="0"/>
    <n v="0"/>
    <n v="0"/>
    <n v="0"/>
    <n v="0"/>
    <n v="0"/>
    <n v="1"/>
    <n v="1139"/>
    <d v="2015-01-12T00:00:00"/>
  </r>
  <r>
    <n v="1860"/>
    <n v="83273"/>
    <n v="1290"/>
    <n v="1.549121564012345E-2"/>
    <x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x v="1"/>
    <x v="2"/>
    <s v="36-50"/>
    <n v="2801"/>
    <n v="0"/>
    <n v="0"/>
    <n v="1"/>
    <n v="0"/>
    <n v="0"/>
    <n v="0"/>
    <n v="1"/>
    <n v="0"/>
    <n v="0"/>
    <n v="1188"/>
    <d v="2015-02-13T00:00:00"/>
  </r>
  <r>
    <n v="435"/>
    <n v="66582"/>
    <n v="1288"/>
    <n v="1.9344567600853083E-2"/>
    <x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x v="1"/>
    <x v="3"/>
    <s v="51-66"/>
    <n v="2277"/>
    <n v="0"/>
    <n v="0"/>
    <n v="1"/>
    <n v="0"/>
    <n v="0"/>
    <n v="0"/>
    <n v="0"/>
    <n v="0"/>
    <n v="1"/>
    <n v="1288"/>
    <d v="2016-07-21T00:00:00"/>
  </r>
  <r>
    <n v="954"/>
    <n v="70924"/>
    <n v="1287"/>
    <n v="1.8146184648355986E-2"/>
    <x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x v="1"/>
    <x v="47"/>
    <s v="51-66"/>
    <n v="2242"/>
    <n v="0"/>
    <n v="1"/>
    <n v="0"/>
    <n v="0"/>
    <n v="0"/>
    <n v="1"/>
    <n v="0"/>
    <n v="0"/>
    <n v="0"/>
    <n v="1211"/>
    <d v="2016-08-25T00:00:00"/>
  </r>
  <r>
    <n v="1006"/>
    <n v="70713"/>
    <n v="1287"/>
    <n v="1.8200330915107546E-2"/>
    <x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x v="1"/>
    <x v="22"/>
    <s v="51-66"/>
    <n v="2732"/>
    <n v="0"/>
    <n v="0"/>
    <n v="0"/>
    <n v="1"/>
    <n v="0"/>
    <n v="0"/>
    <n v="1"/>
    <n v="0"/>
    <n v="0"/>
    <n v="1097"/>
    <d v="2015-04-23T00:00:00"/>
  </r>
  <r>
    <n v="858"/>
    <n v="82733"/>
    <n v="1285"/>
    <n v="1.55318917481537E-2"/>
    <x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x v="0"/>
    <x v="39"/>
    <s v="36-50"/>
    <n v="2451"/>
    <n v="0"/>
    <n v="0"/>
    <n v="1"/>
    <n v="0"/>
    <n v="0"/>
    <n v="0"/>
    <n v="0"/>
    <n v="0"/>
    <n v="1"/>
    <n v="1247"/>
    <d v="2016-01-29T00:00:00"/>
  </r>
  <r>
    <n v="604"/>
    <n v="62859"/>
    <n v="1282"/>
    <n v="2.0394851970282697E-2"/>
    <x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x v="1"/>
    <x v="29"/>
    <s v="51-66"/>
    <n v="2705"/>
    <n v="1"/>
    <n v="0"/>
    <n v="0"/>
    <n v="0"/>
    <n v="0"/>
    <n v="0"/>
    <n v="0"/>
    <n v="0"/>
    <n v="1"/>
    <n v="1257"/>
    <d v="2015-05-20T00:00:00"/>
  </r>
  <r>
    <n v="1635"/>
    <n v="82122"/>
    <n v="1282"/>
    <n v="1.5610920338033657E-2"/>
    <x v="0"/>
    <n v="0"/>
    <n v="89"/>
    <n v="734"/>
    <n v="22"/>
    <n v="350"/>
    <n v="151"/>
    <n v="25"/>
    <n v="100"/>
    <n v="1"/>
    <n v="3"/>
    <n v="9"/>
    <n v="13"/>
    <n v="1"/>
    <n v="0"/>
    <n v="0"/>
    <n v="0"/>
    <n v="0"/>
    <n v="1"/>
    <n v="0"/>
    <x v="1"/>
    <x v="46"/>
    <s v="51-66"/>
    <n v="2477"/>
    <n v="0"/>
    <n v="0"/>
    <n v="0"/>
    <n v="1"/>
    <n v="0"/>
    <n v="1"/>
    <n v="0"/>
    <n v="0"/>
    <n v="0"/>
    <n v="1182"/>
    <d v="2016-01-03T00:00:00"/>
  </r>
  <r>
    <n v="46"/>
    <n v="72550"/>
    <n v="1281"/>
    <n v="1.7656788421778084E-2"/>
    <x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x v="1"/>
    <x v="44"/>
    <s v="66+"/>
    <n v="2757"/>
    <n v="0"/>
    <n v="1"/>
    <n v="0"/>
    <n v="0"/>
    <n v="0"/>
    <n v="0"/>
    <n v="0"/>
    <n v="0"/>
    <n v="1"/>
    <n v="1243"/>
    <d v="2015-03-29T00:00:00"/>
  </r>
  <r>
    <n v="150"/>
    <n v="74165"/>
    <n v="1281"/>
    <n v="1.7272298253893346E-2"/>
    <x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x v="1"/>
    <x v="16"/>
    <s v="36-50"/>
    <n v="2583"/>
    <n v="1"/>
    <n v="0"/>
    <n v="0"/>
    <n v="0"/>
    <n v="0"/>
    <n v="0"/>
    <n v="0"/>
    <n v="0"/>
    <n v="1"/>
    <n v="1269"/>
    <d v="2015-09-19T00:00:00"/>
  </r>
  <r>
    <n v="495"/>
    <n v="77863"/>
    <n v="1279"/>
    <n v="1.6426287196742998E-2"/>
    <x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x v="1"/>
    <x v="27"/>
    <s v="51-66"/>
    <n v="2373"/>
    <n v="0"/>
    <n v="0"/>
    <n v="0"/>
    <n v="1"/>
    <n v="0"/>
    <n v="0"/>
    <n v="0"/>
    <n v="0"/>
    <n v="1"/>
    <n v="1267"/>
    <d v="2016-04-16T00:00:00"/>
  </r>
  <r>
    <n v="1389"/>
    <n v="68487"/>
    <n v="1277"/>
    <n v="1.8645874399521076E-2"/>
    <x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  <x v="0"/>
    <s v="24-35"/>
    <n v="2691"/>
    <n v="0"/>
    <n v="1"/>
    <n v="0"/>
    <n v="0"/>
    <n v="0"/>
    <n v="0"/>
    <n v="1"/>
    <n v="0"/>
    <n v="0"/>
    <n v="1188"/>
    <d v="2015-06-03T00:00:00"/>
  </r>
  <r>
    <n v="1474"/>
    <n v="70638"/>
    <n v="1271"/>
    <n v="1.7993148163877801E-2"/>
    <x v="0"/>
    <n v="0"/>
    <n v="69"/>
    <n v="1016"/>
    <n v="12"/>
    <n v="215"/>
    <n v="16"/>
    <n v="12"/>
    <n v="63"/>
    <n v="1"/>
    <n v="4"/>
    <n v="5"/>
    <n v="10"/>
    <n v="3"/>
    <n v="0"/>
    <n v="0"/>
    <n v="0"/>
    <n v="1"/>
    <n v="0"/>
    <n v="0"/>
    <x v="1"/>
    <x v="38"/>
    <s v="51-66"/>
    <n v="2552"/>
    <n v="1"/>
    <n v="0"/>
    <n v="0"/>
    <n v="0"/>
    <n v="0"/>
    <n v="0"/>
    <n v="0"/>
    <n v="1"/>
    <n v="0"/>
    <n v="1208"/>
    <d v="2015-10-20T00:00:00"/>
  </r>
  <r>
    <n v="347"/>
    <n v="63810"/>
    <n v="1270"/>
    <n v="1.9902836545995926E-2"/>
    <x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x v="1"/>
    <x v="22"/>
    <s v="51-66"/>
    <n v="2754"/>
    <n v="0"/>
    <n v="0"/>
    <n v="1"/>
    <n v="0"/>
    <n v="0"/>
    <n v="0"/>
    <n v="1"/>
    <n v="0"/>
    <n v="0"/>
    <n v="1169"/>
    <d v="2015-04-01T00:00:00"/>
  </r>
  <r>
    <n v="859"/>
    <n v="82800"/>
    <n v="1270"/>
    <n v="1.533816425120773E-2"/>
    <x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x v="0"/>
    <x v="8"/>
    <s v="66+"/>
    <n v="2741"/>
    <n v="0"/>
    <n v="0"/>
    <n v="1"/>
    <n v="0"/>
    <n v="0"/>
    <n v="0"/>
    <n v="0"/>
    <n v="0"/>
    <n v="1"/>
    <n v="1225"/>
    <d v="2015-04-14T00:00:00"/>
  </r>
  <r>
    <n v="862"/>
    <n v="65220"/>
    <n v="1270"/>
    <n v="1.9472554431156086E-2"/>
    <x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x v="0"/>
    <x v="47"/>
    <s v="51-66"/>
    <n v="2823"/>
    <n v="0"/>
    <n v="0"/>
    <n v="0"/>
    <n v="1"/>
    <n v="0"/>
    <n v="0"/>
    <n v="0"/>
    <n v="0"/>
    <n v="1"/>
    <n v="1258"/>
    <d v="2015-01-22T00:00:00"/>
  </r>
  <r>
    <n v="329"/>
    <n v="60000"/>
    <n v="1265"/>
    <n v="2.1083333333333332E-2"/>
    <x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x v="1"/>
    <x v="7"/>
    <s v="36-50"/>
    <n v="2713"/>
    <n v="0"/>
    <n v="0"/>
    <n v="1"/>
    <n v="0"/>
    <n v="0"/>
    <n v="0"/>
    <n v="0"/>
    <n v="0"/>
    <n v="1"/>
    <n v="1253"/>
    <d v="2015-05-12T00:00:00"/>
  </r>
  <r>
    <n v="867"/>
    <n v="78394"/>
    <n v="1262"/>
    <n v="1.6098170778375897E-2"/>
    <x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x v="0"/>
    <x v="18"/>
    <s v="24-35"/>
    <n v="2658"/>
    <n v="0"/>
    <n v="0"/>
    <n v="0"/>
    <n v="1"/>
    <n v="0"/>
    <n v="0"/>
    <n v="1"/>
    <n v="0"/>
    <n v="0"/>
    <n v="1096"/>
    <d v="2015-07-06T00:00:00"/>
  </r>
  <r>
    <n v="129"/>
    <n v="86111"/>
    <n v="1259"/>
    <n v="1.462066402666326E-2"/>
    <x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x v="1"/>
    <x v="46"/>
    <s v="51-66"/>
    <n v="2595"/>
    <n v="0"/>
    <n v="1"/>
    <n v="0"/>
    <n v="0"/>
    <n v="0"/>
    <n v="0"/>
    <n v="1"/>
    <n v="0"/>
    <n v="0"/>
    <n v="1133"/>
    <d v="2015-09-07T00:00:00"/>
  </r>
  <r>
    <n v="1901"/>
    <n v="80144"/>
    <n v="1259"/>
    <n v="1.5709223397883811E-2"/>
    <x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x v="1"/>
    <x v="16"/>
    <s v="36-50"/>
    <n v="2431"/>
    <n v="0"/>
    <n v="0"/>
    <n v="0"/>
    <n v="1"/>
    <n v="0"/>
    <n v="0"/>
    <n v="1"/>
    <n v="0"/>
    <n v="0"/>
    <n v="1151"/>
    <d v="2016-02-18T00:00:00"/>
  </r>
  <r>
    <n v="430"/>
    <n v="66664"/>
    <n v="1257"/>
    <n v="1.8855754230169205E-2"/>
    <x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  <x v="31"/>
    <s v="36-50"/>
    <n v="2801"/>
    <n v="0"/>
    <n v="0"/>
    <n v="0"/>
    <n v="1"/>
    <n v="0"/>
    <n v="1"/>
    <n v="0"/>
    <n v="0"/>
    <n v="0"/>
    <n v="1225"/>
    <d v="2015-02-13T00:00:00"/>
  </r>
  <r>
    <n v="1445"/>
    <n v="63972"/>
    <n v="1257"/>
    <n v="1.9649221534421311E-2"/>
    <x v="0"/>
    <n v="1"/>
    <n v="93"/>
    <n v="928"/>
    <n v="63"/>
    <n v="254"/>
    <n v="0"/>
    <n v="12"/>
    <n v="12"/>
    <n v="4"/>
    <n v="5"/>
    <n v="4"/>
    <n v="10"/>
    <n v="4"/>
    <n v="0"/>
    <n v="0"/>
    <n v="0"/>
    <n v="1"/>
    <n v="0"/>
    <n v="0"/>
    <x v="1"/>
    <x v="42"/>
    <s v="51-66"/>
    <n v="2733"/>
    <n v="0"/>
    <n v="0"/>
    <n v="1"/>
    <n v="0"/>
    <n v="0"/>
    <n v="0"/>
    <n v="0"/>
    <n v="1"/>
    <n v="0"/>
    <n v="1245"/>
    <d v="2015-04-22T00:00:00"/>
  </r>
  <r>
    <n v="247"/>
    <n v="80124"/>
    <n v="1254"/>
    <n v="1.5650741350906095E-2"/>
    <x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x v="1"/>
    <x v="33"/>
    <s v="51-66"/>
    <n v="2162"/>
    <n v="0"/>
    <n v="1"/>
    <n v="0"/>
    <n v="0"/>
    <n v="0"/>
    <n v="0"/>
    <n v="1"/>
    <n v="0"/>
    <n v="0"/>
    <n v="1013"/>
    <d v="2016-11-13T00:00:00"/>
  </r>
  <r>
    <n v="1011"/>
    <n v="87171"/>
    <n v="1254"/>
    <n v="1.438551811955811E-2"/>
    <x v="0"/>
    <n v="0"/>
    <n v="27"/>
    <n v="1001"/>
    <n v="44"/>
    <n v="107"/>
    <n v="58"/>
    <n v="44"/>
    <n v="44"/>
    <n v="1"/>
    <n v="6"/>
    <n v="7"/>
    <n v="11"/>
    <n v="2"/>
    <n v="0"/>
    <n v="0"/>
    <n v="1"/>
    <n v="0"/>
    <n v="1"/>
    <n v="0"/>
    <x v="1"/>
    <x v="43"/>
    <s v="36-50"/>
    <n v="2583"/>
    <n v="0"/>
    <n v="1"/>
    <n v="0"/>
    <n v="0"/>
    <n v="0"/>
    <n v="0"/>
    <n v="0"/>
    <n v="0"/>
    <n v="1"/>
    <n v="1210"/>
    <d v="2015-09-19T00:00:00"/>
  </r>
  <r>
    <n v="1753"/>
    <n v="70617"/>
    <n v="1253"/>
    <n v="1.7743602815186145E-2"/>
    <x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x v="1"/>
    <x v="2"/>
    <s v="36-50"/>
    <n v="2530"/>
    <n v="0"/>
    <n v="1"/>
    <n v="0"/>
    <n v="0"/>
    <n v="0"/>
    <n v="0"/>
    <n v="1"/>
    <n v="0"/>
    <n v="0"/>
    <n v="1226"/>
    <d v="2015-11-11T00:00:00"/>
  </r>
  <r>
    <n v="718"/>
    <n v="67430"/>
    <n v="1243"/>
    <n v="1.8433931484502446E-2"/>
    <x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x v="1"/>
    <x v="36"/>
    <s v="24-35"/>
    <n v="2821"/>
    <n v="0"/>
    <n v="0"/>
    <n v="0"/>
    <n v="1"/>
    <n v="0"/>
    <n v="0"/>
    <n v="1"/>
    <n v="0"/>
    <n v="0"/>
    <n v="1122"/>
    <d v="2015-01-24T00:00:00"/>
  </r>
  <r>
    <n v="65"/>
    <n v="66991"/>
    <n v="1241"/>
    <n v="1.8524876475944529E-2"/>
    <x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x v="1"/>
    <x v="44"/>
    <s v="66+"/>
    <n v="2815"/>
    <n v="0"/>
    <n v="1"/>
    <n v="0"/>
    <n v="0"/>
    <n v="0"/>
    <n v="0"/>
    <n v="0"/>
    <n v="1"/>
    <n v="0"/>
    <n v="1229"/>
    <d v="2015-01-30T00:00:00"/>
  </r>
  <r>
    <n v="691"/>
    <n v="62882"/>
    <n v="1241"/>
    <n v="1.973537737349321E-2"/>
    <x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x v="1"/>
    <x v="3"/>
    <s v="51-66"/>
    <n v="2848"/>
    <n v="0"/>
    <n v="0"/>
    <n v="0"/>
    <n v="1"/>
    <n v="0"/>
    <n v="0"/>
    <n v="1"/>
    <n v="0"/>
    <n v="0"/>
    <n v="1144"/>
    <d v="2014-12-28T00:00:00"/>
  </r>
  <r>
    <n v="1962"/>
    <n v="90000"/>
    <n v="1238"/>
    <n v="1.3755555555555556E-2"/>
    <x v="0"/>
    <n v="0"/>
    <n v="91"/>
    <n v="675"/>
    <n v="144"/>
    <n v="133"/>
    <n v="94"/>
    <n v="192"/>
    <n v="241"/>
    <n v="1"/>
    <n v="4"/>
    <n v="8"/>
    <n v="5"/>
    <n v="1"/>
    <n v="1"/>
    <n v="0"/>
    <n v="1"/>
    <n v="0"/>
    <n v="1"/>
    <n v="0"/>
    <x v="1"/>
    <x v="39"/>
    <s v="36-50"/>
    <n v="2347"/>
    <n v="0"/>
    <n v="1"/>
    <n v="0"/>
    <n v="0"/>
    <n v="0"/>
    <n v="0"/>
    <n v="1"/>
    <n v="0"/>
    <n v="0"/>
    <n v="997"/>
    <d v="2016-05-12T00:00:00"/>
  </r>
  <r>
    <n v="885"/>
    <n v="78499"/>
    <n v="1237"/>
    <n v="1.5758162524363368E-2"/>
    <x v="0"/>
    <n v="0"/>
    <n v="12"/>
    <n v="912"/>
    <n v="72"/>
    <n v="170"/>
    <n v="47"/>
    <n v="36"/>
    <n v="97"/>
    <n v="1"/>
    <n v="11"/>
    <n v="3"/>
    <n v="4"/>
    <n v="4"/>
    <n v="0"/>
    <n v="0"/>
    <n v="0"/>
    <n v="0"/>
    <n v="1"/>
    <n v="0"/>
    <x v="0"/>
    <x v="12"/>
    <s v="51-66"/>
    <n v="2377"/>
    <n v="0"/>
    <n v="0"/>
    <n v="1"/>
    <n v="0"/>
    <n v="0"/>
    <n v="0"/>
    <n v="1"/>
    <n v="0"/>
    <n v="0"/>
    <n v="1140"/>
    <d v="2016-04-12T00:00:00"/>
  </r>
  <r>
    <n v="886"/>
    <n v="88194"/>
    <n v="1236"/>
    <n v="1.401455881352473E-2"/>
    <x v="0"/>
    <n v="1"/>
    <n v="19"/>
    <n v="688"/>
    <n v="14"/>
    <n v="309"/>
    <n v="201"/>
    <n v="24"/>
    <n v="38"/>
    <n v="1"/>
    <n v="11"/>
    <n v="10"/>
    <n v="10"/>
    <n v="5"/>
    <n v="1"/>
    <n v="0"/>
    <n v="1"/>
    <n v="0"/>
    <n v="0"/>
    <n v="0"/>
    <x v="0"/>
    <x v="19"/>
    <s v="36-50"/>
    <n v="2261"/>
    <n v="0"/>
    <n v="0"/>
    <n v="1"/>
    <n v="0"/>
    <n v="0"/>
    <n v="1"/>
    <n v="0"/>
    <n v="0"/>
    <n v="0"/>
    <n v="1198"/>
    <d v="2016-08-06T00:00:00"/>
  </r>
  <r>
    <n v="1740"/>
    <n v="92556"/>
    <n v="1235"/>
    <n v="1.3343273261592981E-2"/>
    <x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x v="1"/>
    <x v="24"/>
    <s v="51-66"/>
    <n v="2229"/>
    <n v="0"/>
    <n v="0"/>
    <n v="0"/>
    <n v="1"/>
    <n v="0"/>
    <n v="1"/>
    <n v="0"/>
    <n v="0"/>
    <n v="0"/>
    <n v="1207"/>
    <d v="2016-09-07T00:00:00"/>
  </r>
  <r>
    <n v="299"/>
    <n v="64325"/>
    <n v="1234"/>
    <n v="1.9183832102603965E-2"/>
    <x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x v="1"/>
    <x v="21"/>
    <s v="51-66"/>
    <n v="2666"/>
    <n v="1"/>
    <n v="0"/>
    <n v="0"/>
    <n v="0"/>
    <n v="0"/>
    <n v="0"/>
    <n v="0"/>
    <n v="0"/>
    <n v="1"/>
    <n v="1161"/>
    <d v="2015-06-28T00:00:00"/>
  </r>
  <r>
    <n v="1550"/>
    <n v="61787"/>
    <n v="1234"/>
    <n v="1.9971838736303753E-2"/>
    <x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x v="1"/>
    <x v="36"/>
    <s v="24-35"/>
    <n v="2517"/>
    <n v="1"/>
    <n v="0"/>
    <n v="0"/>
    <n v="0"/>
    <n v="0"/>
    <n v="0"/>
    <n v="0"/>
    <n v="1"/>
    <n v="0"/>
    <n v="1149"/>
    <d v="2015-11-24T00:00:00"/>
  </r>
  <r>
    <n v="836"/>
    <n v="68092"/>
    <n v="1233"/>
    <n v="1.8107854079774423E-2"/>
    <x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x v="1"/>
    <x v="37"/>
    <s v="36-50"/>
    <n v="2354"/>
    <n v="0"/>
    <n v="0"/>
    <n v="1"/>
    <n v="0"/>
    <n v="0"/>
    <n v="0"/>
    <n v="0"/>
    <n v="1"/>
    <n v="0"/>
    <n v="1185"/>
    <d v="2016-05-05T00:00:00"/>
  </r>
  <r>
    <n v="1221"/>
    <n v="71626"/>
    <n v="1233"/>
    <n v="1.7214419344930613E-2"/>
    <x v="0"/>
    <n v="0"/>
    <n v="94"/>
    <n v="546"/>
    <n v="72"/>
    <n v="376"/>
    <n v="94"/>
    <n v="145"/>
    <n v="72"/>
    <n v="1"/>
    <n v="5"/>
    <n v="5"/>
    <n v="8"/>
    <n v="3"/>
    <n v="0"/>
    <n v="0"/>
    <n v="0"/>
    <n v="1"/>
    <n v="0"/>
    <n v="0"/>
    <x v="1"/>
    <x v="19"/>
    <s v="36-50"/>
    <n v="2764"/>
    <n v="0"/>
    <n v="1"/>
    <n v="0"/>
    <n v="0"/>
    <n v="0"/>
    <n v="0"/>
    <n v="1"/>
    <n v="0"/>
    <n v="0"/>
    <n v="1161"/>
    <d v="2015-03-22T00:00:00"/>
  </r>
  <r>
    <n v="1248"/>
    <n v="71434"/>
    <n v="1232"/>
    <n v="1.7246689251616876E-2"/>
    <x v="0"/>
    <n v="1"/>
    <n v="4"/>
    <n v="711"/>
    <n v="36"/>
    <n v="217"/>
    <n v="172"/>
    <n v="96"/>
    <n v="168"/>
    <n v="3"/>
    <n v="7"/>
    <n v="4"/>
    <n v="7"/>
    <n v="4"/>
    <n v="1"/>
    <n v="0"/>
    <n v="0"/>
    <n v="1"/>
    <n v="0"/>
    <n v="0"/>
    <x v="1"/>
    <x v="46"/>
    <s v="51-66"/>
    <n v="2443"/>
    <n v="0"/>
    <n v="1"/>
    <n v="0"/>
    <n v="0"/>
    <n v="0"/>
    <n v="0"/>
    <n v="1"/>
    <n v="0"/>
    <n v="0"/>
    <n v="1064"/>
    <d v="2016-02-06T00:00:00"/>
  </r>
  <r>
    <n v="388"/>
    <n v="75865"/>
    <n v="1230"/>
    <n v="1.6213009951888221E-2"/>
    <x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x v="1"/>
    <x v="45"/>
    <s v="66+"/>
    <n v="2249"/>
    <n v="0"/>
    <n v="1"/>
    <n v="0"/>
    <n v="0"/>
    <n v="0"/>
    <n v="0"/>
    <n v="0"/>
    <n v="0"/>
    <n v="1"/>
    <n v="1218"/>
    <d v="2016-08-18T00:00:00"/>
  </r>
  <r>
    <n v="731"/>
    <n v="71466"/>
    <n v="1230"/>
    <n v="1.7210981445722442E-2"/>
    <x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x v="1"/>
    <x v="35"/>
    <s v="36-50"/>
    <n v="2244"/>
    <n v="0"/>
    <n v="0"/>
    <n v="1"/>
    <n v="0"/>
    <n v="0"/>
    <n v="0"/>
    <n v="0"/>
    <n v="0"/>
    <n v="1"/>
    <n v="1230"/>
    <d v="2016-08-23T00:00:00"/>
  </r>
  <r>
    <n v="857"/>
    <n v="75114"/>
    <n v="1229"/>
    <n v="1.6361796735628511E-2"/>
    <x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x v="1"/>
    <x v="17"/>
    <s v="24-35"/>
    <n v="2393"/>
    <n v="0"/>
    <n v="0"/>
    <n v="0"/>
    <n v="1"/>
    <n v="0"/>
    <n v="0"/>
    <n v="1"/>
    <n v="0"/>
    <n v="0"/>
    <n v="1205"/>
    <d v="2016-03-27T00:00:00"/>
  </r>
  <r>
    <n v="895"/>
    <n v="64849"/>
    <n v="1228"/>
    <n v="1.8936298169593978E-2"/>
    <x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x v="0"/>
    <x v="12"/>
    <s v="51-66"/>
    <n v="2752"/>
    <n v="0"/>
    <n v="0"/>
    <n v="1"/>
    <n v="0"/>
    <n v="0"/>
    <n v="0"/>
    <n v="1"/>
    <n v="0"/>
    <n v="0"/>
    <n v="1120"/>
    <d v="2015-04-03T00:00:00"/>
  </r>
  <r>
    <n v="1777"/>
    <n v="80872"/>
    <n v="1228"/>
    <n v="1.5184489069146306E-2"/>
    <x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x v="1"/>
    <x v="15"/>
    <s v="66+"/>
    <n v="2207"/>
    <n v="0"/>
    <n v="0"/>
    <n v="1"/>
    <n v="0"/>
    <n v="0"/>
    <n v="0"/>
    <n v="1"/>
    <n v="0"/>
    <n v="0"/>
    <n v="1120"/>
    <d v="2016-09-29T00:00:00"/>
  </r>
  <r>
    <n v="1907"/>
    <n v="78128"/>
    <n v="1228"/>
    <n v="1.5717796436616836E-2"/>
    <x v="0"/>
    <n v="1"/>
    <n v="89"/>
    <n v="934"/>
    <n v="24"/>
    <n v="230"/>
    <n v="16"/>
    <n v="24"/>
    <n v="36"/>
    <n v="2"/>
    <n v="8"/>
    <n v="4"/>
    <n v="6"/>
    <n v="3"/>
    <n v="0"/>
    <n v="0"/>
    <n v="0"/>
    <n v="1"/>
    <n v="1"/>
    <n v="0"/>
    <x v="1"/>
    <x v="35"/>
    <s v="36-50"/>
    <n v="2289"/>
    <n v="0"/>
    <n v="1"/>
    <n v="0"/>
    <n v="0"/>
    <n v="0"/>
    <n v="0"/>
    <n v="0"/>
    <n v="0"/>
    <n v="1"/>
    <n v="1192"/>
    <d v="2016-07-09T00:00:00"/>
  </r>
  <r>
    <n v="1194"/>
    <n v="66303"/>
    <n v="1226"/>
    <n v="1.8490867683211922E-2"/>
    <x v="0"/>
    <n v="1"/>
    <n v="56"/>
    <n v="1090"/>
    <n v="12"/>
    <n v="96"/>
    <n v="16"/>
    <n v="12"/>
    <n v="60"/>
    <n v="4"/>
    <n v="3"/>
    <n v="4"/>
    <n v="11"/>
    <n v="8"/>
    <n v="0"/>
    <n v="0"/>
    <n v="0"/>
    <n v="1"/>
    <n v="0"/>
    <n v="0"/>
    <x v="1"/>
    <x v="28"/>
    <s v="36-50"/>
    <n v="2647"/>
    <n v="0"/>
    <n v="1"/>
    <n v="0"/>
    <n v="0"/>
    <n v="0"/>
    <n v="0"/>
    <n v="1"/>
    <n v="0"/>
    <n v="0"/>
    <n v="1166"/>
    <d v="2015-07-17T00:00:00"/>
  </r>
  <r>
    <n v="80"/>
    <n v="79593"/>
    <n v="1221"/>
    <n v="1.5340545022803513E-2"/>
    <x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x v="1"/>
    <x v="30"/>
    <s v="36-50"/>
    <n v="2207"/>
    <n v="0"/>
    <n v="1"/>
    <n v="0"/>
    <n v="0"/>
    <n v="0"/>
    <n v="0"/>
    <n v="1"/>
    <n v="0"/>
    <n v="0"/>
    <n v="1076"/>
    <d v="2016-09-29T00:00:00"/>
  </r>
  <r>
    <n v="352"/>
    <n v="66426"/>
    <n v="1220"/>
    <n v="1.8366302351488874E-2"/>
    <x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x v="1"/>
    <x v="21"/>
    <s v="51-66"/>
    <n v="2429"/>
    <n v="0"/>
    <n v="0"/>
    <n v="0"/>
    <n v="1"/>
    <n v="0"/>
    <n v="0"/>
    <n v="0"/>
    <n v="0"/>
    <n v="1"/>
    <n v="1063"/>
    <d v="2016-02-20T00:00:00"/>
  </r>
  <r>
    <n v="2019"/>
    <n v="56981"/>
    <n v="1217"/>
    <n v="2.1357996525157508E-2"/>
    <x v="0"/>
    <n v="0"/>
    <n v="91"/>
    <n v="908"/>
    <n v="48"/>
    <n v="217"/>
    <n v="32"/>
    <n v="12"/>
    <n v="24"/>
    <n v="1"/>
    <n v="2"/>
    <n v="3"/>
    <n v="13"/>
    <n v="6"/>
    <n v="0"/>
    <n v="0"/>
    <n v="0"/>
    <n v="1"/>
    <n v="0"/>
    <n v="0"/>
    <x v="1"/>
    <x v="43"/>
    <s v="36-50"/>
    <n v="2314"/>
    <n v="1"/>
    <n v="0"/>
    <n v="0"/>
    <n v="0"/>
    <n v="0"/>
    <n v="0"/>
    <n v="1"/>
    <n v="0"/>
    <n v="0"/>
    <n v="1193"/>
    <d v="2016-06-14T00:00:00"/>
  </r>
  <r>
    <n v="888"/>
    <n v="51563"/>
    <n v="1214"/>
    <n v="2.354401411865097E-2"/>
    <x v="0"/>
    <n v="0"/>
    <n v="60"/>
    <n v="1166"/>
    <n v="0"/>
    <n v="48"/>
    <n v="0"/>
    <n v="0"/>
    <n v="36"/>
    <n v="1"/>
    <n v="4"/>
    <n v="4"/>
    <n v="10"/>
    <n v="8"/>
    <n v="0"/>
    <n v="0"/>
    <n v="0"/>
    <n v="1"/>
    <n v="1"/>
    <n v="0"/>
    <x v="1"/>
    <x v="36"/>
    <s v="24-35"/>
    <n v="2795"/>
    <n v="0"/>
    <n v="1"/>
    <n v="0"/>
    <n v="0"/>
    <n v="0"/>
    <n v="0"/>
    <n v="0"/>
    <n v="0"/>
    <n v="1"/>
    <n v="1178"/>
    <d v="2015-02-19T00:00:00"/>
  </r>
  <r>
    <n v="899"/>
    <n v="62220"/>
    <n v="1214"/>
    <n v="1.9511411121825778E-2"/>
    <x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x v="0"/>
    <x v="9"/>
    <s v="36-50"/>
    <n v="2846"/>
    <n v="0"/>
    <n v="0"/>
    <n v="0"/>
    <n v="1"/>
    <n v="0"/>
    <n v="0"/>
    <n v="0"/>
    <n v="0"/>
    <n v="1"/>
    <n v="1202"/>
    <d v="2014-12-30T00:00:00"/>
  </r>
  <r>
    <n v="599"/>
    <n v="84574"/>
    <n v="1212"/>
    <n v="1.4330645351999433E-2"/>
    <x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x v="1"/>
    <x v="50"/>
    <s v="66+"/>
    <n v="2549"/>
    <n v="0"/>
    <n v="0"/>
    <n v="1"/>
    <n v="0"/>
    <n v="0"/>
    <n v="0"/>
    <n v="1"/>
    <n v="0"/>
    <n v="0"/>
    <n v="1049"/>
    <d v="2015-10-23T00:00:00"/>
  </r>
  <r>
    <n v="658"/>
    <n v="71022"/>
    <n v="1211"/>
    <n v="1.7051054602799133E-2"/>
    <x v="0"/>
    <n v="1"/>
    <n v="30"/>
    <n v="909"/>
    <n v="12"/>
    <n v="278"/>
    <n v="0"/>
    <n v="12"/>
    <n v="242"/>
    <n v="3"/>
    <n v="5"/>
    <n v="2"/>
    <n v="11"/>
    <n v="8"/>
    <n v="0"/>
    <n v="0"/>
    <n v="1"/>
    <n v="0"/>
    <n v="0"/>
    <n v="0"/>
    <x v="1"/>
    <x v="37"/>
    <s v="36-50"/>
    <n v="2297"/>
    <n v="1"/>
    <n v="0"/>
    <n v="0"/>
    <n v="0"/>
    <n v="0"/>
    <n v="0"/>
    <n v="1"/>
    <n v="0"/>
    <n v="0"/>
    <n v="969"/>
    <d v="2016-07-01T00:00:00"/>
  </r>
  <r>
    <n v="905"/>
    <n v="54959"/>
    <n v="1208"/>
    <n v="2.1980021470550774E-2"/>
    <x v="0"/>
    <n v="1"/>
    <n v="55"/>
    <n v="1148"/>
    <n v="0"/>
    <n v="60"/>
    <n v="0"/>
    <n v="0"/>
    <n v="24"/>
    <n v="3"/>
    <n v="9"/>
    <n v="5"/>
    <n v="4"/>
    <n v="7"/>
    <n v="0"/>
    <n v="0"/>
    <n v="0"/>
    <n v="1"/>
    <n v="0"/>
    <n v="0"/>
    <x v="0"/>
    <x v="21"/>
    <s v="51-66"/>
    <n v="2685"/>
    <n v="1"/>
    <n v="0"/>
    <n v="0"/>
    <n v="0"/>
    <n v="0"/>
    <n v="0"/>
    <n v="0"/>
    <n v="0"/>
    <n v="1"/>
    <n v="1184"/>
    <d v="2015-06-09T00:00:00"/>
  </r>
  <r>
    <n v="1564"/>
    <n v="58656"/>
    <n v="1208"/>
    <n v="2.0594653573376979E-2"/>
    <x v="0"/>
    <n v="1"/>
    <n v="25"/>
    <n v="962"/>
    <n v="12"/>
    <n v="194"/>
    <n v="16"/>
    <n v="24"/>
    <n v="12"/>
    <n v="4"/>
    <n v="7"/>
    <n v="8"/>
    <n v="13"/>
    <n v="6"/>
    <n v="0"/>
    <n v="0"/>
    <n v="0"/>
    <n v="0"/>
    <n v="1"/>
    <n v="0"/>
    <x v="1"/>
    <x v="5"/>
    <s v="51-66"/>
    <n v="2806"/>
    <n v="0"/>
    <n v="0"/>
    <n v="0"/>
    <n v="1"/>
    <n v="0"/>
    <n v="0"/>
    <n v="0"/>
    <n v="1"/>
    <n v="0"/>
    <n v="1196"/>
    <d v="2015-02-08T00:00:00"/>
  </r>
  <r>
    <n v="909"/>
    <n v="83837"/>
    <n v="1207"/>
    <n v="1.4396984624926942E-2"/>
    <x v="0"/>
    <n v="0"/>
    <n v="79"/>
    <n v="847"/>
    <n v="66"/>
    <n v="119"/>
    <n v="86"/>
    <n v="89"/>
    <n v="111"/>
    <n v="1"/>
    <n v="9"/>
    <n v="10"/>
    <n v="5"/>
    <n v="4"/>
    <n v="1"/>
    <n v="0"/>
    <n v="0"/>
    <n v="1"/>
    <n v="0"/>
    <n v="0"/>
    <x v="0"/>
    <x v="40"/>
    <s v="66+"/>
    <n v="2719"/>
    <n v="0"/>
    <n v="1"/>
    <n v="0"/>
    <n v="0"/>
    <n v="0"/>
    <n v="0"/>
    <n v="0"/>
    <n v="0"/>
    <n v="1"/>
    <n v="1096"/>
    <d v="2015-05-06T00:00:00"/>
  </r>
  <r>
    <n v="925"/>
    <n v="64504"/>
    <n v="1206"/>
    <n v="1.8696514944809624E-2"/>
    <x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x v="0"/>
    <x v="10"/>
    <s v="66+"/>
    <n v="2641"/>
    <n v="0"/>
    <n v="0"/>
    <n v="0"/>
    <n v="1"/>
    <n v="0"/>
    <n v="0"/>
    <n v="0"/>
    <n v="0"/>
    <n v="1"/>
    <n v="1098"/>
    <d v="2015-07-23T00:00:00"/>
  </r>
  <r>
    <n v="911"/>
    <n v="61996"/>
    <n v="1206"/>
    <n v="1.9452867926963029E-2"/>
    <x v="0"/>
    <n v="1"/>
    <n v="27"/>
    <n v="1050"/>
    <n v="12"/>
    <n v="144"/>
    <n v="0"/>
    <n v="0"/>
    <n v="24"/>
    <n v="3"/>
    <n v="6"/>
    <n v="4"/>
    <n v="8"/>
    <n v="5"/>
    <n v="1"/>
    <n v="1"/>
    <n v="0"/>
    <n v="1"/>
    <n v="0"/>
    <n v="0"/>
    <x v="0"/>
    <x v="13"/>
    <s v="36-50"/>
    <n v="2673"/>
    <n v="0"/>
    <n v="1"/>
    <n v="0"/>
    <n v="0"/>
    <n v="0"/>
    <n v="0"/>
    <n v="0"/>
    <n v="0"/>
    <n v="1"/>
    <n v="1182"/>
    <d v="2015-06-21T00:00:00"/>
  </r>
  <r>
    <n v="928"/>
    <n v="81300"/>
    <n v="1205"/>
    <n v="1.4821648216482165E-2"/>
    <x v="0"/>
    <n v="1"/>
    <n v="17"/>
    <n v="1004"/>
    <n v="12"/>
    <n v="145"/>
    <n v="32"/>
    <n v="12"/>
    <n v="36"/>
    <n v="3"/>
    <n v="10"/>
    <n v="3"/>
    <n v="5"/>
    <n v="5"/>
    <n v="1"/>
    <n v="0"/>
    <n v="0"/>
    <n v="0"/>
    <n v="0"/>
    <n v="0"/>
    <x v="0"/>
    <x v="33"/>
    <s v="51-66"/>
    <n v="2766"/>
    <n v="0"/>
    <n v="1"/>
    <n v="0"/>
    <n v="0"/>
    <n v="0"/>
    <n v="0"/>
    <n v="0"/>
    <n v="0"/>
    <n v="1"/>
    <n v="1169"/>
    <d v="2015-03-20T00:00:00"/>
  </r>
  <r>
    <n v="1692"/>
    <n v="74290"/>
    <n v="1205"/>
    <n v="1.6220218064342443E-2"/>
    <x v="0"/>
    <n v="1"/>
    <n v="70"/>
    <n v="1121"/>
    <n v="0"/>
    <n v="72"/>
    <n v="0"/>
    <n v="12"/>
    <n v="12"/>
    <n v="4"/>
    <n v="10"/>
    <n v="8"/>
    <n v="10"/>
    <n v="6"/>
    <n v="1"/>
    <n v="0"/>
    <n v="0"/>
    <n v="1"/>
    <n v="0"/>
    <n v="0"/>
    <x v="1"/>
    <x v="28"/>
    <s v="36-50"/>
    <n v="2480"/>
    <n v="1"/>
    <n v="0"/>
    <n v="0"/>
    <n v="0"/>
    <n v="0"/>
    <n v="0"/>
    <n v="0"/>
    <n v="1"/>
    <n v="0"/>
    <n v="1193"/>
    <d v="2015-12-31T00:00:00"/>
  </r>
  <r>
    <n v="184"/>
    <n v="75922"/>
    <n v="1203"/>
    <n v="1.5845209557177102E-2"/>
    <x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x v="1"/>
    <x v="14"/>
    <s v="51-66"/>
    <n v="2361"/>
    <n v="0"/>
    <n v="0"/>
    <n v="1"/>
    <n v="0"/>
    <n v="0"/>
    <n v="0"/>
    <n v="1"/>
    <n v="0"/>
    <n v="0"/>
    <n v="1111"/>
    <d v="2016-04-28T00:00:00"/>
  </r>
  <r>
    <n v="1149"/>
    <n v="75032"/>
    <n v="1203"/>
    <n v="1.6033159185414224E-2"/>
    <x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x v="1"/>
    <x v="29"/>
    <s v="51-66"/>
    <n v="2586"/>
    <n v="0"/>
    <n v="1"/>
    <n v="0"/>
    <n v="0"/>
    <n v="0"/>
    <n v="0"/>
    <n v="0"/>
    <n v="0"/>
    <n v="1"/>
    <n v="1191"/>
    <d v="2015-09-16T00:00:00"/>
  </r>
  <r>
    <n v="929"/>
    <n v="79689"/>
    <n v="1194"/>
    <n v="1.4983247374167074E-2"/>
    <x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x v="1"/>
    <x v="7"/>
    <s v="36-50"/>
    <n v="2572"/>
    <n v="0"/>
    <n v="0"/>
    <n v="1"/>
    <n v="0"/>
    <n v="0"/>
    <n v="1"/>
    <n v="0"/>
    <n v="0"/>
    <n v="0"/>
    <n v="1073"/>
    <d v="2015-09-30T00:00:00"/>
  </r>
  <r>
    <n v="994"/>
    <n v="72228"/>
    <n v="1194"/>
    <n v="1.6530985213490612E-2"/>
    <x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x v="1"/>
    <x v="50"/>
    <s v="66+"/>
    <n v="2738"/>
    <n v="0"/>
    <n v="0"/>
    <n v="1"/>
    <n v="0"/>
    <n v="0"/>
    <n v="0"/>
    <n v="1"/>
    <n v="0"/>
    <n v="0"/>
    <n v="1138"/>
    <d v="2015-04-17T00:00:00"/>
  </r>
  <r>
    <n v="1652"/>
    <n v="72071"/>
    <n v="1188"/>
    <n v="1.6483745195709786E-2"/>
    <x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  <x v="44"/>
    <s v="66+"/>
    <n v="2659"/>
    <n v="1"/>
    <n v="0"/>
    <n v="0"/>
    <n v="0"/>
    <n v="0"/>
    <n v="0"/>
    <n v="1"/>
    <n v="0"/>
    <n v="0"/>
    <n v="1038"/>
    <d v="2015-07-05T00:00:00"/>
  </r>
  <r>
    <n v="931"/>
    <n v="70321"/>
    <n v="1185"/>
    <n v="1.6851296198859517E-2"/>
    <x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x v="0"/>
    <x v="6"/>
    <s v="66+"/>
    <n v="2688"/>
    <n v="0"/>
    <n v="0"/>
    <n v="0"/>
    <n v="1"/>
    <n v="0"/>
    <n v="0"/>
    <n v="1"/>
    <n v="0"/>
    <n v="0"/>
    <n v="994"/>
    <d v="2015-06-06T00:00:00"/>
  </r>
  <r>
    <n v="939"/>
    <n v="80763"/>
    <n v="1184"/>
    <n v="1.4660178547106967E-2"/>
    <x v="0"/>
    <n v="0"/>
    <n v="17"/>
    <n v="674"/>
    <n v="168"/>
    <n v="108"/>
    <n v="192"/>
    <n v="42"/>
    <n v="231"/>
    <n v="1"/>
    <n v="5"/>
    <n v="11"/>
    <n v="6"/>
    <n v="3"/>
    <n v="1"/>
    <n v="0"/>
    <n v="0"/>
    <n v="0"/>
    <n v="1"/>
    <n v="0"/>
    <x v="0"/>
    <x v="51"/>
    <s v="66+"/>
    <n v="2477"/>
    <n v="0"/>
    <n v="1"/>
    <n v="0"/>
    <n v="0"/>
    <n v="0"/>
    <n v="0"/>
    <n v="1"/>
    <n v="0"/>
    <n v="0"/>
    <n v="953"/>
    <d v="2016-01-03T00:00:00"/>
  </r>
  <r>
    <n v="851"/>
    <n v="85072"/>
    <n v="1182"/>
    <n v="1.3894113221741583E-2"/>
    <x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x v="1"/>
    <x v="13"/>
    <s v="36-50"/>
    <n v="2240"/>
    <n v="0"/>
    <n v="0"/>
    <n v="1"/>
    <n v="0"/>
    <n v="0"/>
    <n v="0"/>
    <n v="1"/>
    <n v="0"/>
    <n v="0"/>
    <n v="941"/>
    <d v="2016-08-27T00:00:00"/>
  </r>
  <r>
    <n v="940"/>
    <n v="102160"/>
    <n v="1182"/>
    <n v="1.1570086139389193E-2"/>
    <x v="0"/>
    <n v="0"/>
    <n v="54"/>
    <n v="763"/>
    <n v="29"/>
    <n v="138"/>
    <n v="76"/>
    <n v="176"/>
    <n v="58"/>
    <n v="0"/>
    <n v="7"/>
    <n v="9"/>
    <n v="10"/>
    <n v="4"/>
    <n v="1"/>
    <n v="0"/>
    <n v="0"/>
    <n v="1"/>
    <n v="1"/>
    <n v="0"/>
    <x v="0"/>
    <x v="13"/>
    <s v="36-50"/>
    <n v="2763"/>
    <n v="0"/>
    <n v="0"/>
    <n v="0"/>
    <n v="1"/>
    <n v="0"/>
    <n v="0"/>
    <n v="0"/>
    <n v="0"/>
    <n v="1"/>
    <n v="1124"/>
    <d v="2015-03-23T00:00:00"/>
  </r>
  <r>
    <n v="1868"/>
    <n v="81044"/>
    <n v="1182"/>
    <n v="1.4584670055772173E-2"/>
    <x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x v="1"/>
    <x v="6"/>
    <s v="66+"/>
    <n v="2343"/>
    <n v="0"/>
    <n v="1"/>
    <n v="0"/>
    <n v="0"/>
    <n v="0"/>
    <n v="1"/>
    <n v="0"/>
    <n v="0"/>
    <n v="0"/>
    <n v="1156"/>
    <d v="2016-05-16T00:00:00"/>
  </r>
  <r>
    <n v="175"/>
    <n v="66973"/>
    <n v="1180"/>
    <n v="1.7619040508861782E-2"/>
    <x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x v="1"/>
    <x v="32"/>
    <s v="24-35"/>
    <n v="2567"/>
    <n v="0"/>
    <n v="0"/>
    <n v="0"/>
    <n v="1"/>
    <n v="0"/>
    <n v="0"/>
    <n v="0"/>
    <n v="0"/>
    <n v="1"/>
    <n v="1078"/>
    <d v="2015-10-05T00:00:00"/>
  </r>
  <r>
    <n v="941"/>
    <n v="72282"/>
    <n v="1178"/>
    <n v="1.6297280097396311E-2"/>
    <x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x v="0"/>
    <x v="15"/>
    <s v="66+"/>
    <n v="2504"/>
    <n v="0"/>
    <n v="0"/>
    <n v="1"/>
    <n v="0"/>
    <n v="0"/>
    <n v="0"/>
    <n v="1"/>
    <n v="0"/>
    <n v="0"/>
    <n v="1025"/>
    <d v="2015-12-07T00:00:00"/>
  </r>
  <r>
    <n v="967"/>
    <n v="68316"/>
    <n v="1178"/>
    <n v="1.7243398325428889E-2"/>
    <x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x v="1"/>
    <x v="42"/>
    <s v="51-66"/>
    <n v="2761"/>
    <n v="0"/>
    <n v="0"/>
    <n v="0"/>
    <n v="1"/>
    <n v="0"/>
    <n v="1"/>
    <n v="0"/>
    <n v="0"/>
    <n v="0"/>
    <n v="1145"/>
    <d v="2015-03-25T00:00:00"/>
  </r>
  <r>
    <n v="1411"/>
    <n v="82032"/>
    <n v="1177"/>
    <n v="1.4348059293934075E-2"/>
    <x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  <x v="40"/>
    <s v="66+"/>
    <n v="2244"/>
    <n v="0"/>
    <n v="0"/>
    <n v="0"/>
    <n v="0"/>
    <n v="1"/>
    <n v="0"/>
    <n v="0"/>
    <n v="0"/>
    <n v="1"/>
    <n v="1120"/>
    <d v="2016-08-23T00:00:00"/>
  </r>
  <r>
    <n v="1866"/>
    <n v="65308"/>
    <n v="1177"/>
    <n v="1.8022294359037176E-2"/>
    <x v="0"/>
    <n v="0"/>
    <n v="60"/>
    <n v="713"/>
    <n v="0"/>
    <n v="264"/>
    <n v="120"/>
    <n v="80"/>
    <n v="34"/>
    <n v="1"/>
    <n v="7"/>
    <n v="8"/>
    <n v="12"/>
    <n v="4"/>
    <n v="1"/>
    <n v="0"/>
    <n v="0"/>
    <n v="0"/>
    <n v="1"/>
    <n v="0"/>
    <x v="1"/>
    <x v="30"/>
    <s v="36-50"/>
    <n v="2450"/>
    <n v="0"/>
    <n v="1"/>
    <n v="0"/>
    <n v="0"/>
    <n v="0"/>
    <n v="0"/>
    <n v="1"/>
    <n v="0"/>
    <n v="0"/>
    <n v="1143"/>
    <d v="2016-01-30T00:00:00"/>
  </r>
  <r>
    <n v="33"/>
    <n v="68657"/>
    <n v="1174"/>
    <n v="1.7099494589044088E-2"/>
    <x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x v="1"/>
    <x v="8"/>
    <s v="66+"/>
    <n v="2653"/>
    <n v="0"/>
    <n v="1"/>
    <n v="0"/>
    <n v="0"/>
    <n v="0"/>
    <n v="0"/>
    <n v="0"/>
    <n v="1"/>
    <n v="0"/>
    <n v="1152"/>
    <d v="2015-07-11T00:00:00"/>
  </r>
  <r>
    <n v="146"/>
    <n v="80317"/>
    <n v="1174"/>
    <n v="1.4617079821208462E-2"/>
    <x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x v="1"/>
    <x v="38"/>
    <s v="51-66"/>
    <n v="2472"/>
    <n v="0"/>
    <n v="0"/>
    <n v="1"/>
    <n v="0"/>
    <n v="0"/>
    <n v="0"/>
    <n v="1"/>
    <n v="0"/>
    <n v="0"/>
    <n v="1117"/>
    <d v="2016-01-08T00:00:00"/>
  </r>
  <r>
    <n v="575"/>
    <n v="81168"/>
    <n v="1171"/>
    <n v="1.4426867731125568E-2"/>
    <x v="0"/>
    <n v="0"/>
    <n v="84"/>
    <n v="410"/>
    <n v="0"/>
    <n v="592"/>
    <n v="147"/>
    <n v="22"/>
    <n v="22"/>
    <n v="1"/>
    <n v="6"/>
    <n v="4"/>
    <n v="7"/>
    <n v="3"/>
    <n v="1"/>
    <n v="0"/>
    <n v="0"/>
    <n v="0"/>
    <n v="0"/>
    <n v="0"/>
    <x v="1"/>
    <x v="47"/>
    <s v="51-66"/>
    <n v="2212"/>
    <n v="0"/>
    <n v="1"/>
    <n v="0"/>
    <n v="0"/>
    <n v="0"/>
    <n v="0"/>
    <n v="1"/>
    <n v="0"/>
    <n v="0"/>
    <n v="1149"/>
    <d v="2016-09-24T00:00:00"/>
  </r>
  <r>
    <n v="1751"/>
    <n v="80982"/>
    <n v="1169"/>
    <n v="1.4435306611345731E-2"/>
    <x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x v="1"/>
    <x v="29"/>
    <s v="51-66"/>
    <n v="2696"/>
    <n v="0"/>
    <n v="0"/>
    <n v="1"/>
    <n v="0"/>
    <n v="0"/>
    <n v="0"/>
    <n v="1"/>
    <n v="0"/>
    <n v="0"/>
    <n v="1147"/>
    <d v="2015-05-29T00:00:00"/>
  </r>
  <r>
    <n v="328"/>
    <n v="72099"/>
    <n v="1166"/>
    <n v="1.6172207658913439E-2"/>
    <x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x v="1"/>
    <x v="35"/>
    <s v="36-50"/>
    <n v="2769"/>
    <n v="0"/>
    <n v="1"/>
    <n v="0"/>
    <n v="0"/>
    <n v="0"/>
    <n v="0"/>
    <n v="1"/>
    <n v="0"/>
    <n v="0"/>
    <n v="1144"/>
    <d v="2015-03-17T00:00:00"/>
  </r>
  <r>
    <n v="688"/>
    <n v="67432"/>
    <n v="1165"/>
    <n v="1.7276663898445843E-2"/>
    <x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x v="1"/>
    <x v="30"/>
    <s v="36-50"/>
    <n v="2616"/>
    <n v="0"/>
    <n v="1"/>
    <n v="0"/>
    <n v="0"/>
    <n v="0"/>
    <n v="0"/>
    <n v="1"/>
    <n v="0"/>
    <n v="0"/>
    <n v="995"/>
    <d v="2015-08-17T00:00:00"/>
  </r>
  <r>
    <n v="1843"/>
    <n v="77027"/>
    <n v="1164"/>
    <n v="1.5111584249678685E-2"/>
    <x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x v="1"/>
    <x v="50"/>
    <s v="66+"/>
    <n v="2303"/>
    <n v="0"/>
    <n v="1"/>
    <n v="0"/>
    <n v="0"/>
    <n v="0"/>
    <n v="0"/>
    <n v="0"/>
    <n v="1"/>
    <n v="0"/>
    <n v="1153"/>
    <d v="2016-06-25T00:00:00"/>
  </r>
  <r>
    <n v="613"/>
    <n v="67445"/>
    <n v="1163"/>
    <n v="1.724368003558455E-2"/>
    <x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  <x v="35"/>
    <s v="36-50"/>
    <n v="2845"/>
    <n v="0"/>
    <n v="1"/>
    <n v="0"/>
    <n v="0"/>
    <n v="0"/>
    <n v="0"/>
    <n v="1"/>
    <n v="0"/>
    <n v="0"/>
    <n v="1152"/>
    <d v="2014-12-31T00:00:00"/>
  </r>
  <r>
    <n v="728"/>
    <n v="74250"/>
    <n v="1158"/>
    <n v="1.5595959595959595E-2"/>
    <x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x v="1"/>
    <x v="27"/>
    <s v="51-66"/>
    <n v="2313"/>
    <n v="0"/>
    <n v="0"/>
    <n v="0"/>
    <n v="1"/>
    <n v="0"/>
    <n v="0"/>
    <n v="0"/>
    <n v="0"/>
    <n v="1"/>
    <n v="1158"/>
    <d v="2016-06-15T00:00:00"/>
  </r>
  <r>
    <n v="825"/>
    <n v="86424"/>
    <n v="1158"/>
    <n v="1.3399055817828381E-2"/>
    <x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x v="1"/>
    <x v="5"/>
    <s v="51-66"/>
    <n v="2244"/>
    <n v="0"/>
    <n v="0"/>
    <n v="1"/>
    <n v="0"/>
    <n v="0"/>
    <n v="0"/>
    <n v="0"/>
    <n v="1"/>
    <n v="0"/>
    <n v="1090"/>
    <d v="2016-08-23T00:00:00"/>
  </r>
  <r>
    <n v="1771"/>
    <n v="70792"/>
    <n v="1158"/>
    <n v="1.6357780540174029E-2"/>
    <x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x v="1"/>
    <x v="15"/>
    <s v="66+"/>
    <n v="2667"/>
    <n v="0"/>
    <n v="0"/>
    <n v="0"/>
    <n v="0"/>
    <n v="1"/>
    <n v="0"/>
    <n v="1"/>
    <n v="0"/>
    <n v="0"/>
    <n v="1044"/>
    <d v="2015-06-27T00:00:00"/>
  </r>
  <r>
    <n v="301"/>
    <n v="62187"/>
    <n v="1157"/>
    <n v="1.8605174714972583E-2"/>
    <x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x v="1"/>
    <x v="12"/>
    <s v="51-66"/>
    <n v="2518"/>
    <n v="0"/>
    <n v="1"/>
    <n v="0"/>
    <n v="0"/>
    <n v="0"/>
    <n v="0"/>
    <n v="1"/>
    <n v="0"/>
    <n v="0"/>
    <n v="1031"/>
    <d v="2015-11-23T00:00:00"/>
  </r>
  <r>
    <n v="206"/>
    <n v="63887"/>
    <n v="1153"/>
    <n v="1.8047490099707297E-2"/>
    <x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x v="1"/>
    <x v="46"/>
    <s v="51-66"/>
    <n v="2818"/>
    <n v="1"/>
    <n v="0"/>
    <n v="0"/>
    <n v="0"/>
    <n v="0"/>
    <n v="0"/>
    <n v="1"/>
    <n v="0"/>
    <n v="0"/>
    <n v="1061"/>
    <d v="2015-01-27T00:00:00"/>
  </r>
  <r>
    <n v="913"/>
    <n v="84219"/>
    <n v="1153"/>
    <n v="1.369049739369976E-2"/>
    <x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  <x v="0"/>
    <s v="24-35"/>
    <n v="2306"/>
    <n v="0"/>
    <n v="1"/>
    <n v="0"/>
    <n v="0"/>
    <n v="0"/>
    <n v="0"/>
    <n v="1"/>
    <n v="0"/>
    <n v="0"/>
    <n v="1108"/>
    <d v="2016-06-22T00:00:00"/>
  </r>
  <r>
    <n v="283"/>
    <n v="80950"/>
    <n v="1150"/>
    <n v="1.4206300185299567E-2"/>
    <x v="0"/>
    <n v="0"/>
    <n v="44"/>
    <n v="525"/>
    <n v="147"/>
    <n v="112"/>
    <n v="219"/>
    <n v="147"/>
    <n v="63"/>
    <n v="1"/>
    <n v="6"/>
    <n v="7"/>
    <n v="9"/>
    <n v="2"/>
    <n v="1"/>
    <n v="0"/>
    <n v="0"/>
    <n v="0"/>
    <n v="0"/>
    <n v="0"/>
    <x v="1"/>
    <x v="21"/>
    <s v="51-66"/>
    <n v="2617"/>
    <n v="0"/>
    <n v="1"/>
    <n v="0"/>
    <n v="0"/>
    <n v="0"/>
    <n v="0"/>
    <n v="0"/>
    <n v="1"/>
    <n v="0"/>
    <n v="1087"/>
    <d v="2015-08-16T00:00:00"/>
  </r>
  <r>
    <n v="944"/>
    <n v="63564"/>
    <n v="1150"/>
    <n v="1.8092001762003651E-2"/>
    <x v="0"/>
    <n v="0"/>
    <n v="0"/>
    <n v="769"/>
    <n v="80"/>
    <n v="252"/>
    <n v="15"/>
    <n v="34"/>
    <n v="65"/>
    <n v="1"/>
    <n v="10"/>
    <n v="10"/>
    <n v="7"/>
    <n v="6"/>
    <n v="0"/>
    <n v="0"/>
    <n v="1"/>
    <n v="0"/>
    <n v="0"/>
    <n v="0"/>
    <x v="0"/>
    <x v="44"/>
    <s v="66+"/>
    <n v="2310"/>
    <n v="0"/>
    <n v="1"/>
    <n v="0"/>
    <n v="0"/>
    <n v="0"/>
    <n v="1"/>
    <n v="0"/>
    <n v="0"/>
    <n v="0"/>
    <n v="1085"/>
    <d v="2016-06-18T00:00:00"/>
  </r>
  <r>
    <n v="1123"/>
    <n v="70091"/>
    <n v="1150"/>
    <n v="1.6407242013953289E-2"/>
    <x v="1"/>
    <n v="0"/>
    <n v="11"/>
    <n v="964"/>
    <n v="34"/>
    <n v="137"/>
    <n v="15"/>
    <n v="0"/>
    <n v="11"/>
    <n v="2"/>
    <n v="5"/>
    <n v="2"/>
    <n v="10"/>
    <n v="8"/>
    <n v="0"/>
    <n v="0"/>
    <n v="0"/>
    <n v="1"/>
    <n v="0"/>
    <n v="0"/>
    <x v="1"/>
    <x v="3"/>
    <s v="51-66"/>
    <n v="2614"/>
    <n v="0"/>
    <n v="1"/>
    <n v="0"/>
    <n v="0"/>
    <n v="0"/>
    <n v="0"/>
    <n v="0"/>
    <n v="1"/>
    <n v="0"/>
    <n v="1139"/>
    <d v="2015-08-19T00:00:00"/>
  </r>
  <r>
    <n v="960"/>
    <n v="71691"/>
    <n v="1149"/>
    <n v="1.6027116374440306E-2"/>
    <x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x v="0"/>
    <x v="27"/>
    <s v="51-66"/>
    <n v="2263"/>
    <n v="0"/>
    <n v="0"/>
    <n v="1"/>
    <n v="0"/>
    <n v="0"/>
    <n v="0"/>
    <n v="0"/>
    <n v="0"/>
    <n v="1"/>
    <n v="1106"/>
    <d v="2016-08-04T00:00:00"/>
  </r>
  <r>
    <n v="317"/>
    <n v="55212"/>
    <n v="1148"/>
    <n v="2.0792581322900818E-2"/>
    <x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x v="1"/>
    <x v="3"/>
    <s v="51-66"/>
    <n v="2742"/>
    <n v="0"/>
    <n v="1"/>
    <n v="0"/>
    <n v="0"/>
    <n v="0"/>
    <n v="0"/>
    <n v="0"/>
    <n v="0"/>
    <n v="1"/>
    <n v="1114"/>
    <d v="2015-04-13T00:00:00"/>
  </r>
  <r>
    <n v="285"/>
    <n v="77457"/>
    <n v="1146"/>
    <n v="1.4795305782563229E-2"/>
    <x v="0"/>
    <n v="0"/>
    <n v="85"/>
    <n v="675"/>
    <n v="11"/>
    <n v="400"/>
    <n v="15"/>
    <n v="45"/>
    <n v="11"/>
    <n v="1"/>
    <n v="2"/>
    <n v="5"/>
    <n v="10"/>
    <n v="1"/>
    <n v="0"/>
    <n v="0"/>
    <n v="0"/>
    <n v="0"/>
    <n v="1"/>
    <n v="0"/>
    <x v="1"/>
    <x v="6"/>
    <s v="66+"/>
    <n v="2275"/>
    <n v="0"/>
    <n v="0"/>
    <n v="1"/>
    <n v="0"/>
    <n v="0"/>
    <n v="0"/>
    <n v="1"/>
    <n v="0"/>
    <n v="0"/>
    <n v="1135"/>
    <d v="2016-07-23T00:00:00"/>
  </r>
  <r>
    <n v="754"/>
    <n v="82716"/>
    <n v="1145"/>
    <n v="1.3842545577639151E-2"/>
    <x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x v="1"/>
    <x v="34"/>
    <s v="66+"/>
    <n v="2395"/>
    <n v="0"/>
    <n v="0"/>
    <n v="1"/>
    <n v="0"/>
    <n v="0"/>
    <n v="0"/>
    <n v="0"/>
    <n v="0"/>
    <n v="1"/>
    <n v="1123"/>
    <d v="2016-03-25T00:00:00"/>
  </r>
  <r>
    <n v="196"/>
    <n v="70951"/>
    <n v="1144"/>
    <n v="1.6123803751885105E-2"/>
    <x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x v="1"/>
    <x v="23"/>
    <s v="24-35"/>
    <n v="2580"/>
    <n v="0"/>
    <n v="1"/>
    <n v="0"/>
    <n v="0"/>
    <n v="0"/>
    <n v="0"/>
    <n v="1"/>
    <n v="0"/>
    <n v="0"/>
    <n v="1090"/>
    <d v="2015-09-22T00:00:00"/>
  </r>
  <r>
    <n v="964"/>
    <n v="62845"/>
    <n v="1144"/>
    <n v="1.8203516588431855E-2"/>
    <x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x v="0"/>
    <x v="4"/>
    <s v="66+"/>
    <n v="2795"/>
    <n v="0"/>
    <n v="1"/>
    <n v="0"/>
    <n v="0"/>
    <n v="0"/>
    <n v="0"/>
    <n v="0"/>
    <n v="1"/>
    <n v="0"/>
    <n v="1110"/>
    <d v="2015-02-19T00:00:00"/>
  </r>
  <r>
    <n v="996"/>
    <n v="62845"/>
    <n v="1144"/>
    <n v="1.8203516588431855E-2"/>
    <x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x v="1"/>
    <x v="4"/>
    <s v="66+"/>
    <n v="2795"/>
    <n v="0"/>
    <n v="1"/>
    <n v="0"/>
    <n v="0"/>
    <n v="0"/>
    <n v="0"/>
    <n v="0"/>
    <n v="1"/>
    <n v="0"/>
    <n v="1110"/>
    <d v="2015-02-19T00:00:00"/>
  </r>
  <r>
    <n v="968"/>
    <n v="65169"/>
    <n v="1143"/>
    <n v="1.7539013948349676E-2"/>
    <x v="0"/>
    <n v="0"/>
    <n v="23"/>
    <n v="1074"/>
    <n v="0"/>
    <n v="69"/>
    <n v="0"/>
    <n v="0"/>
    <n v="46"/>
    <n v="1"/>
    <n v="10"/>
    <n v="4"/>
    <n v="13"/>
    <n v="6"/>
    <n v="1"/>
    <n v="1"/>
    <n v="1"/>
    <n v="0"/>
    <n v="1"/>
    <n v="0"/>
    <x v="0"/>
    <x v="31"/>
    <s v="36-50"/>
    <n v="2325"/>
    <n v="0"/>
    <n v="1"/>
    <n v="0"/>
    <n v="0"/>
    <n v="0"/>
    <n v="0"/>
    <n v="1"/>
    <n v="0"/>
    <n v="0"/>
    <n v="1097"/>
    <d v="2016-06-03T00:00:00"/>
  </r>
  <r>
    <n v="794"/>
    <n v="61618"/>
    <n v="1140"/>
    <n v="1.8501087344607096E-2"/>
    <x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x v="1"/>
    <x v="1"/>
    <s v="24-35"/>
    <n v="2797"/>
    <n v="0"/>
    <n v="0"/>
    <n v="1"/>
    <n v="0"/>
    <n v="0"/>
    <n v="1"/>
    <n v="0"/>
    <n v="0"/>
    <n v="0"/>
    <n v="935"/>
    <d v="2015-02-17T00:00:00"/>
  </r>
  <r>
    <n v="1043"/>
    <n v="76773"/>
    <n v="1140"/>
    <n v="1.4848970341135555E-2"/>
    <x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x v="1"/>
    <x v="44"/>
    <s v="66+"/>
    <n v="2648"/>
    <n v="1"/>
    <n v="0"/>
    <n v="0"/>
    <n v="0"/>
    <n v="0"/>
    <n v="0"/>
    <n v="1"/>
    <n v="0"/>
    <n v="0"/>
    <n v="1124"/>
    <d v="2015-07-16T00:00:00"/>
  </r>
  <r>
    <n v="969"/>
    <n v="66334"/>
    <n v="1138"/>
    <n v="1.715560647631682E-2"/>
    <x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x v="0"/>
    <x v="5"/>
    <s v="51-66"/>
    <n v="2611"/>
    <n v="0"/>
    <n v="1"/>
    <n v="0"/>
    <n v="0"/>
    <n v="0"/>
    <n v="0"/>
    <n v="0"/>
    <n v="0"/>
    <n v="1"/>
    <n v="1115"/>
    <d v="2015-08-22T00:00:00"/>
  </r>
  <r>
    <n v="1585"/>
    <n v="71107"/>
    <n v="1132"/>
    <n v="1.5919670355942453E-2"/>
    <x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x v="1"/>
    <x v="15"/>
    <s v="66+"/>
    <n v="2656"/>
    <n v="0"/>
    <n v="1"/>
    <n v="0"/>
    <n v="0"/>
    <n v="0"/>
    <n v="0"/>
    <n v="1"/>
    <n v="0"/>
    <n v="0"/>
    <n v="937"/>
    <d v="2015-07-08T00:00:00"/>
  </r>
  <r>
    <n v="399"/>
    <n v="75433"/>
    <n v="1131"/>
    <n v="1.4993437885275676E-2"/>
    <x v="1"/>
    <n v="0"/>
    <n v="28"/>
    <n v="800"/>
    <n v="0"/>
    <n v="297"/>
    <n v="0"/>
    <n v="34"/>
    <n v="57"/>
    <n v="2"/>
    <n v="2"/>
    <n v="5"/>
    <n v="10"/>
    <n v="6"/>
    <n v="1"/>
    <n v="0"/>
    <n v="0"/>
    <n v="1"/>
    <n v="0"/>
    <n v="0"/>
    <x v="1"/>
    <x v="32"/>
    <s v="24-35"/>
    <n v="2244"/>
    <n v="0"/>
    <n v="1"/>
    <n v="0"/>
    <n v="0"/>
    <n v="0"/>
    <n v="0"/>
    <n v="1"/>
    <n v="0"/>
    <n v="0"/>
    <n v="1074"/>
    <d v="2016-08-23T00:00:00"/>
  </r>
  <r>
    <n v="1374"/>
    <n v="75484"/>
    <n v="1125"/>
    <n v="1.4903820677229611E-2"/>
    <x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x v="1"/>
    <x v="7"/>
    <s v="36-50"/>
    <n v="2855"/>
    <n v="0"/>
    <n v="0"/>
    <n v="0"/>
    <n v="1"/>
    <n v="0"/>
    <n v="1"/>
    <n v="0"/>
    <n v="0"/>
    <n v="0"/>
    <n v="1091"/>
    <d v="2014-12-21T00:00:00"/>
  </r>
  <r>
    <n v="1634"/>
    <n v="60839"/>
    <n v="1122"/>
    <n v="1.84421177205411E-2"/>
    <x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x v="1"/>
    <x v="19"/>
    <s v="36-50"/>
    <n v="2829"/>
    <n v="0"/>
    <n v="0"/>
    <n v="0"/>
    <n v="1"/>
    <n v="0"/>
    <n v="1"/>
    <n v="0"/>
    <n v="0"/>
    <n v="0"/>
    <n v="994"/>
    <d v="2015-01-16T00:00:00"/>
  </r>
  <r>
    <n v="235"/>
    <n v="75702"/>
    <n v="1118"/>
    <n v="1.4768434123272833E-2"/>
    <x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x v="1"/>
    <x v="26"/>
    <s v="51-66"/>
    <n v="2828"/>
    <n v="0"/>
    <n v="0"/>
    <n v="0"/>
    <n v="1"/>
    <n v="0"/>
    <n v="0"/>
    <n v="1"/>
    <n v="0"/>
    <n v="0"/>
    <n v="1088"/>
    <d v="2015-01-17T00:00:00"/>
  </r>
  <r>
    <n v="975"/>
    <n v="70515"/>
    <n v="1118"/>
    <n v="1.5854782670353826E-2"/>
    <x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x v="0"/>
    <x v="53"/>
    <s v="24-35"/>
    <n v="2410"/>
    <n v="0"/>
    <n v="0"/>
    <n v="1"/>
    <n v="0"/>
    <n v="0"/>
    <n v="0"/>
    <n v="1"/>
    <n v="0"/>
    <n v="0"/>
    <n v="978"/>
    <d v="2016-03-10T00:00:00"/>
  </r>
  <r>
    <n v="1996"/>
    <n v="61014"/>
    <n v="1118"/>
    <n v="1.8323663421509817E-2"/>
    <x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x v="1"/>
    <x v="41"/>
    <s v="36-50"/>
    <n v="2846"/>
    <n v="0"/>
    <n v="1"/>
    <n v="0"/>
    <n v="0"/>
    <n v="0"/>
    <n v="0"/>
    <n v="1"/>
    <n v="0"/>
    <n v="0"/>
    <n v="1089"/>
    <d v="2014-12-30T00:00:00"/>
  </r>
  <r>
    <n v="1252"/>
    <n v="71853"/>
    <n v="1117"/>
    <n v="1.5545627879142137E-2"/>
    <x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  <x v="31"/>
    <s v="36-50"/>
    <n v="2576"/>
    <n v="0"/>
    <n v="0"/>
    <n v="0"/>
    <n v="1"/>
    <n v="0"/>
    <n v="0"/>
    <n v="1"/>
    <n v="0"/>
    <n v="0"/>
    <n v="1085"/>
    <d v="2015-09-26T00:00:00"/>
  </r>
  <r>
    <n v="1791"/>
    <n v="77226"/>
    <n v="1117"/>
    <n v="1.4464040608085359E-2"/>
    <x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x v="1"/>
    <x v="33"/>
    <s v="51-66"/>
    <n v="2280"/>
    <n v="0"/>
    <n v="0"/>
    <n v="0"/>
    <n v="1"/>
    <n v="0"/>
    <n v="0"/>
    <n v="1"/>
    <n v="0"/>
    <n v="0"/>
    <n v="1096"/>
    <d v="2016-07-18T00:00:00"/>
  </r>
  <r>
    <n v="500"/>
    <n v="72679"/>
    <n v="1114"/>
    <n v="1.5327673743447214E-2"/>
    <x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x v="1"/>
    <x v="3"/>
    <s v="51-66"/>
    <n v="2443"/>
    <n v="0"/>
    <n v="0"/>
    <n v="1"/>
    <n v="0"/>
    <n v="0"/>
    <n v="0"/>
    <n v="1"/>
    <n v="0"/>
    <n v="0"/>
    <n v="1060"/>
    <d v="2016-02-06T00:00:00"/>
  </r>
  <r>
    <n v="1344"/>
    <n v="70038"/>
    <n v="1114"/>
    <n v="1.5905651217910276E-2"/>
    <x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  <x v="31"/>
    <s v="36-50"/>
    <n v="2406"/>
    <n v="0"/>
    <n v="0"/>
    <n v="0"/>
    <n v="1"/>
    <n v="0"/>
    <n v="0"/>
    <n v="0"/>
    <n v="0"/>
    <n v="1"/>
    <n v="984"/>
    <d v="2016-03-14T00:00:00"/>
  </r>
  <r>
    <n v="984"/>
    <n v="77037"/>
    <n v="1113"/>
    <n v="1.4447603099809183E-2"/>
    <x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x v="1"/>
    <x v="24"/>
    <s v="51-66"/>
    <n v="2418"/>
    <n v="0"/>
    <n v="1"/>
    <n v="0"/>
    <n v="0"/>
    <n v="0"/>
    <n v="0"/>
    <n v="0"/>
    <n v="0"/>
    <n v="1"/>
    <n v="1103"/>
    <d v="2016-03-02T00:00:00"/>
  </r>
  <r>
    <n v="1478"/>
    <n v="71855"/>
    <n v="1113"/>
    <n v="1.5489527520701412E-2"/>
    <x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x v="1"/>
    <x v="13"/>
    <s v="36-50"/>
    <n v="2688"/>
    <n v="0"/>
    <n v="1"/>
    <n v="0"/>
    <n v="0"/>
    <n v="0"/>
    <n v="0"/>
    <n v="1"/>
    <n v="0"/>
    <n v="0"/>
    <n v="1085"/>
    <d v="2015-06-06T00:00:00"/>
  </r>
  <r>
    <n v="1620"/>
    <n v="85431"/>
    <n v="1112"/>
    <n v="1.3016352377942433E-2"/>
    <x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x v="1"/>
    <x v="50"/>
    <s v="66+"/>
    <n v="2545"/>
    <n v="0"/>
    <n v="0"/>
    <n v="0"/>
    <n v="1"/>
    <n v="0"/>
    <n v="0"/>
    <n v="0"/>
    <n v="0"/>
    <n v="1"/>
    <n v="1059"/>
    <d v="2015-10-27T00:00:00"/>
  </r>
  <r>
    <n v="981"/>
    <n v="49118"/>
    <n v="1110"/>
    <n v="2.2598640009772384E-2"/>
    <x v="0"/>
    <n v="0"/>
    <n v="90"/>
    <n v="620"/>
    <n v="54"/>
    <n v="239"/>
    <n v="99"/>
    <n v="98"/>
    <n v="119"/>
    <n v="2"/>
    <n v="9"/>
    <n v="7"/>
    <n v="10"/>
    <n v="7"/>
    <n v="0"/>
    <n v="1"/>
    <n v="0"/>
    <n v="1"/>
    <n v="0"/>
    <n v="0"/>
    <x v="0"/>
    <x v="28"/>
    <s v="36-50"/>
    <n v="2839"/>
    <n v="1"/>
    <n v="0"/>
    <n v="0"/>
    <n v="0"/>
    <n v="0"/>
    <n v="1"/>
    <n v="0"/>
    <n v="0"/>
    <n v="0"/>
    <n v="991"/>
    <d v="2015-01-06T00:00:00"/>
  </r>
  <r>
    <n v="602"/>
    <n v="73691"/>
    <n v="1106"/>
    <n v="1.5008617063142039E-2"/>
    <x v="0"/>
    <n v="1"/>
    <n v="58"/>
    <n v="707"/>
    <n v="21"/>
    <n v="250"/>
    <n v="85"/>
    <n v="43"/>
    <n v="73"/>
    <n v="2"/>
    <n v="6"/>
    <n v="2"/>
    <n v="8"/>
    <n v="2"/>
    <n v="0"/>
    <n v="0"/>
    <n v="1"/>
    <n v="0"/>
    <n v="0"/>
    <n v="0"/>
    <x v="1"/>
    <x v="28"/>
    <s v="36-50"/>
    <n v="2394"/>
    <n v="0"/>
    <n v="1"/>
    <n v="0"/>
    <n v="0"/>
    <n v="0"/>
    <n v="0"/>
    <n v="1"/>
    <n v="0"/>
    <n v="0"/>
    <n v="1033"/>
    <d v="2016-03-26T00:00:00"/>
  </r>
  <r>
    <n v="1347"/>
    <n v="77343"/>
    <n v="1103"/>
    <n v="1.4261148390933892E-2"/>
    <x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x v="1"/>
    <x v="47"/>
    <s v="51-66"/>
    <n v="2179"/>
    <n v="0"/>
    <n v="1"/>
    <n v="0"/>
    <n v="0"/>
    <n v="0"/>
    <n v="0"/>
    <n v="1"/>
    <n v="0"/>
    <n v="0"/>
    <n v="1072"/>
    <d v="2016-10-27T00:00:00"/>
  </r>
  <r>
    <n v="474"/>
    <n v="53653"/>
    <n v="1102"/>
    <n v="2.0539392019085605E-2"/>
    <x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x v="1"/>
    <x v="10"/>
    <s v="66+"/>
    <n v="2758"/>
    <n v="0"/>
    <n v="0"/>
    <n v="0"/>
    <n v="0"/>
    <n v="1"/>
    <n v="0"/>
    <n v="1"/>
    <n v="0"/>
    <n v="0"/>
    <n v="994"/>
    <d v="2015-03-28T00:00:00"/>
  </r>
  <r>
    <n v="874"/>
    <n v="79632"/>
    <n v="1101"/>
    <n v="1.3826100060277275E-2"/>
    <x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x v="1"/>
    <x v="35"/>
    <s v="36-50"/>
    <n v="2241"/>
    <n v="0"/>
    <n v="0"/>
    <n v="0"/>
    <n v="1"/>
    <n v="0"/>
    <n v="0"/>
    <n v="0"/>
    <n v="0"/>
    <n v="1"/>
    <n v="1089"/>
    <d v="2016-08-26T00:00:00"/>
  </r>
  <r>
    <n v="1844"/>
    <n v="71322"/>
    <n v="1101"/>
    <n v="1.5437032051821318E-2"/>
    <x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x v="1"/>
    <x v="47"/>
    <s v="51-66"/>
    <n v="2657"/>
    <n v="0"/>
    <n v="1"/>
    <n v="0"/>
    <n v="0"/>
    <n v="0"/>
    <n v="0"/>
    <n v="0"/>
    <n v="0"/>
    <n v="1"/>
    <n v="897"/>
    <d v="2015-07-07T00:00:00"/>
  </r>
  <r>
    <n v="985"/>
    <n v="71604"/>
    <n v="1099"/>
    <n v="1.5348304563990839E-2"/>
    <x v="0"/>
    <n v="0"/>
    <n v="3"/>
    <n v="345"/>
    <n v="53"/>
    <n v="528"/>
    <n v="98"/>
    <n v="75"/>
    <n v="97"/>
    <n v="1"/>
    <n v="8"/>
    <n v="3"/>
    <n v="5"/>
    <n v="4"/>
    <n v="0"/>
    <n v="0"/>
    <n v="1"/>
    <n v="0"/>
    <n v="0"/>
    <n v="0"/>
    <x v="0"/>
    <x v="49"/>
    <s v="66+"/>
    <n v="2383"/>
    <n v="0"/>
    <n v="0"/>
    <n v="0"/>
    <n v="1"/>
    <n v="0"/>
    <n v="0"/>
    <n v="0"/>
    <n v="0"/>
    <n v="1"/>
    <n v="1002"/>
    <d v="2016-04-06T00:00:00"/>
  </r>
  <r>
    <n v="181"/>
    <n v="86718"/>
    <n v="1098"/>
    <n v="1.2661731128485435E-2"/>
    <x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x v="1"/>
    <x v="44"/>
    <s v="66+"/>
    <n v="2687"/>
    <n v="0"/>
    <n v="1"/>
    <n v="0"/>
    <n v="0"/>
    <n v="0"/>
    <n v="0"/>
    <n v="1"/>
    <n v="0"/>
    <n v="0"/>
    <n v="926"/>
    <d v="2015-06-07T00:00:00"/>
  </r>
  <r>
    <n v="1780"/>
    <n v="76842"/>
    <n v="1098"/>
    <n v="1.4289060669946124E-2"/>
    <x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x v="1"/>
    <x v="51"/>
    <s v="66+"/>
    <n v="2216"/>
    <n v="0"/>
    <n v="0"/>
    <n v="0"/>
    <n v="0"/>
    <n v="1"/>
    <n v="0"/>
    <n v="0"/>
    <n v="0"/>
    <n v="1"/>
    <n v="1066"/>
    <d v="2016-09-20T00:00:00"/>
  </r>
  <r>
    <n v="569"/>
    <n v="72906"/>
    <n v="1097"/>
    <n v="1.5046772556442543E-2"/>
    <x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x v="1"/>
    <x v="38"/>
    <s v="51-66"/>
    <n v="2444"/>
    <n v="0"/>
    <n v="0"/>
    <n v="1"/>
    <n v="0"/>
    <n v="0"/>
    <n v="0"/>
    <n v="1"/>
    <n v="0"/>
    <n v="0"/>
    <n v="1043"/>
    <d v="2016-02-05T00:00:00"/>
  </r>
  <r>
    <n v="185"/>
    <n v="63693"/>
    <n v="1096"/>
    <n v="1.7207542430094359E-2"/>
    <x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  <x v="37"/>
    <s v="36-50"/>
    <n v="2417"/>
    <n v="1"/>
    <n v="0"/>
    <n v="0"/>
    <n v="0"/>
    <n v="0"/>
    <n v="0"/>
    <n v="1"/>
    <n v="0"/>
    <n v="0"/>
    <n v="1042"/>
    <d v="2016-03-03T00:00:00"/>
  </r>
  <r>
    <n v="1591"/>
    <n v="77437"/>
    <n v="1096"/>
    <n v="1.4153440861603627E-2"/>
    <x v="0"/>
    <n v="0"/>
    <n v="70"/>
    <n v="560"/>
    <n v="21"/>
    <n v="442"/>
    <n v="29"/>
    <n v="44"/>
    <n v="29"/>
    <n v="1"/>
    <n v="4"/>
    <n v="5"/>
    <n v="13"/>
    <n v="1"/>
    <n v="0"/>
    <n v="0"/>
    <n v="0"/>
    <n v="0"/>
    <n v="1"/>
    <n v="0"/>
    <x v="1"/>
    <x v="33"/>
    <s v="51-66"/>
    <n v="2374"/>
    <n v="0"/>
    <n v="1"/>
    <n v="0"/>
    <n v="0"/>
    <n v="0"/>
    <n v="0"/>
    <n v="1"/>
    <n v="0"/>
    <n v="0"/>
    <n v="1067"/>
    <d v="2016-04-15T00:00:00"/>
  </r>
  <r>
    <n v="1456"/>
    <n v="78093"/>
    <n v="1095"/>
    <n v="1.4021743306058161E-2"/>
    <x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x v="1"/>
    <x v="6"/>
    <s v="66+"/>
    <n v="2359"/>
    <n v="0"/>
    <n v="0"/>
    <n v="0"/>
    <n v="1"/>
    <n v="0"/>
    <n v="0"/>
    <n v="0"/>
    <n v="1"/>
    <n v="0"/>
    <n v="1085"/>
    <d v="2016-04-30T00:00:00"/>
  </r>
  <r>
    <n v="2018"/>
    <n v="61223"/>
    <n v="1094"/>
    <n v="1.7869101481469384E-2"/>
    <x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x v="1"/>
    <x v="26"/>
    <s v="51-66"/>
    <n v="2540"/>
    <n v="0"/>
    <n v="1"/>
    <n v="0"/>
    <n v="0"/>
    <n v="0"/>
    <n v="0"/>
    <n v="1"/>
    <n v="0"/>
    <n v="0"/>
    <n v="847"/>
    <d v="2015-11-01T00:00:00"/>
  </r>
  <r>
    <n v="201"/>
    <n v="69508"/>
    <n v="1092"/>
    <n v="1.5710421821948553E-2"/>
    <x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x v="1"/>
    <x v="41"/>
    <s v="36-50"/>
    <n v="2751"/>
    <n v="0"/>
    <n v="0"/>
    <n v="0"/>
    <n v="1"/>
    <n v="0"/>
    <n v="0"/>
    <n v="1"/>
    <n v="0"/>
    <n v="0"/>
    <n v="1049"/>
    <d v="2015-04-04T00:00:00"/>
  </r>
  <r>
    <n v="641"/>
    <n v="65777"/>
    <n v="1092"/>
    <n v="1.6601547653435092E-2"/>
    <x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x v="1"/>
    <x v="26"/>
    <s v="51-66"/>
    <n v="2351"/>
    <n v="0"/>
    <n v="0"/>
    <n v="0"/>
    <n v="1"/>
    <n v="0"/>
    <n v="0"/>
    <n v="1"/>
    <n v="0"/>
    <n v="0"/>
    <n v="1038"/>
    <d v="2016-05-08T00:00:00"/>
  </r>
  <r>
    <n v="193"/>
    <n v="77972"/>
    <n v="1089"/>
    <n v="1.396655209562407E-2"/>
    <x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x v="1"/>
    <x v="44"/>
    <s v="66+"/>
    <n v="2262"/>
    <n v="0"/>
    <n v="0"/>
    <n v="0"/>
    <n v="1"/>
    <n v="0"/>
    <n v="0"/>
    <n v="1"/>
    <n v="0"/>
    <n v="0"/>
    <n v="1077"/>
    <d v="2016-08-05T00:00:00"/>
  </r>
  <r>
    <n v="989"/>
    <n v="82025"/>
    <n v="1089"/>
    <n v="1.3276440109722646E-2"/>
    <x v="0"/>
    <n v="0"/>
    <n v="76"/>
    <n v="267"/>
    <n v="98"/>
    <n v="606"/>
    <n v="48"/>
    <n v="70"/>
    <n v="98"/>
    <n v="1"/>
    <n v="3"/>
    <n v="2"/>
    <n v="6"/>
    <n v="1"/>
    <n v="0"/>
    <n v="0"/>
    <n v="0"/>
    <n v="0"/>
    <n v="1"/>
    <n v="0"/>
    <x v="0"/>
    <x v="20"/>
    <s v="36-50"/>
    <n v="2556"/>
    <n v="1"/>
    <n v="0"/>
    <n v="0"/>
    <n v="0"/>
    <n v="0"/>
    <n v="0"/>
    <n v="1"/>
    <n v="0"/>
    <n v="0"/>
    <n v="991"/>
    <d v="2015-10-16T00:00:00"/>
  </r>
  <r>
    <n v="1330"/>
    <n v="92533"/>
    <n v="1089"/>
    <n v="1.1768774383193023E-2"/>
    <x v="0"/>
    <n v="0"/>
    <n v="84"/>
    <n v="693"/>
    <n v="21"/>
    <n v="118"/>
    <n v="110"/>
    <n v="147"/>
    <n v="42"/>
    <n v="1"/>
    <n v="6"/>
    <n v="5"/>
    <n v="11"/>
    <n v="2"/>
    <n v="1"/>
    <n v="0"/>
    <n v="0"/>
    <n v="0"/>
    <n v="1"/>
    <n v="0"/>
    <x v="1"/>
    <x v="23"/>
    <s v="24-35"/>
    <n v="2351"/>
    <n v="0"/>
    <n v="1"/>
    <n v="0"/>
    <n v="0"/>
    <n v="0"/>
    <n v="0"/>
    <n v="1"/>
    <n v="0"/>
    <n v="0"/>
    <n v="1047"/>
    <d v="2016-05-08T00:00:00"/>
  </r>
  <r>
    <n v="362"/>
    <n v="83664"/>
    <n v="1087"/>
    <n v="1.2992445974373686E-2"/>
    <x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x v="1"/>
    <x v="14"/>
    <s v="51-66"/>
    <n v="2576"/>
    <n v="1"/>
    <n v="0"/>
    <n v="0"/>
    <n v="0"/>
    <n v="0"/>
    <n v="0"/>
    <n v="0"/>
    <n v="0"/>
    <n v="1"/>
    <n v="1001"/>
    <d v="2015-09-26T00:00:00"/>
  </r>
  <r>
    <n v="216"/>
    <n v="62745"/>
    <n v="1085"/>
    <n v="1.7292214519085185E-2"/>
    <x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x v="1"/>
    <x v="47"/>
    <s v="51-66"/>
    <n v="2622"/>
    <n v="0"/>
    <n v="1"/>
    <n v="0"/>
    <n v="0"/>
    <n v="0"/>
    <n v="0"/>
    <n v="0"/>
    <n v="0"/>
    <n v="1"/>
    <n v="1053"/>
    <d v="2015-08-11T00:00:00"/>
  </r>
  <r>
    <n v="1435"/>
    <n v="63943"/>
    <n v="1085"/>
    <n v="1.6968237336377711E-2"/>
    <x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x v="1"/>
    <x v="5"/>
    <s v="51-66"/>
    <n v="2824"/>
    <n v="0"/>
    <n v="1"/>
    <n v="0"/>
    <n v="0"/>
    <n v="0"/>
    <n v="0"/>
    <n v="1"/>
    <n v="0"/>
    <n v="0"/>
    <n v="1064"/>
    <d v="2015-01-21T00:00:00"/>
  </r>
  <r>
    <n v="1130"/>
    <n v="66636"/>
    <n v="1084"/>
    <n v="1.6267483042199413E-2"/>
    <x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x v="1"/>
    <x v="12"/>
    <s v="51-66"/>
    <n v="2475"/>
    <n v="0"/>
    <n v="0"/>
    <n v="0"/>
    <n v="1"/>
    <n v="0"/>
    <n v="0"/>
    <n v="0"/>
    <n v="1"/>
    <n v="0"/>
    <n v="1084"/>
    <d v="2016-01-05T00:00:00"/>
  </r>
  <r>
    <n v="237"/>
    <n v="63342"/>
    <n v="1080"/>
    <n v="1.7050298380221655E-2"/>
    <x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x v="1"/>
    <x v="21"/>
    <s v="51-66"/>
    <n v="2780"/>
    <n v="0"/>
    <n v="0"/>
    <n v="0"/>
    <n v="1"/>
    <n v="0"/>
    <n v="0"/>
    <n v="0"/>
    <n v="0"/>
    <n v="1"/>
    <n v="1059"/>
    <d v="2015-03-06T00:00:00"/>
  </r>
  <r>
    <n v="998"/>
    <n v="63342"/>
    <n v="1080"/>
    <n v="1.7050298380221655E-2"/>
    <x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x v="0"/>
    <x v="21"/>
    <s v="51-66"/>
    <n v="2780"/>
    <n v="0"/>
    <n v="0"/>
    <n v="0"/>
    <n v="1"/>
    <n v="0"/>
    <n v="0"/>
    <n v="0"/>
    <n v="0"/>
    <n v="1"/>
    <n v="1059"/>
    <d v="2015-03-06T00:00:00"/>
  </r>
  <r>
    <n v="692"/>
    <n v="64108"/>
    <n v="1078"/>
    <n v="1.6815374056280027E-2"/>
    <x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x v="1"/>
    <x v="10"/>
    <s v="66+"/>
    <n v="2622"/>
    <n v="0"/>
    <n v="0"/>
    <n v="1"/>
    <n v="0"/>
    <n v="0"/>
    <n v="0"/>
    <n v="0"/>
    <n v="0"/>
    <n v="1"/>
    <n v="1057"/>
    <d v="2015-08-11T00:00:00"/>
  </r>
  <r>
    <n v="1422"/>
    <n v="71969"/>
    <n v="1076"/>
    <n v="1.4950881629590518E-2"/>
    <x v="0"/>
    <n v="1"/>
    <n v="59"/>
    <n v="1000"/>
    <n v="0"/>
    <n v="76"/>
    <n v="0"/>
    <n v="0"/>
    <n v="10"/>
    <n v="3"/>
    <n v="3"/>
    <n v="4"/>
    <n v="9"/>
    <n v="8"/>
    <n v="0"/>
    <n v="0"/>
    <n v="0"/>
    <n v="1"/>
    <n v="0"/>
    <n v="0"/>
    <x v="1"/>
    <x v="28"/>
    <s v="36-50"/>
    <n v="2780"/>
    <n v="0"/>
    <n v="1"/>
    <n v="0"/>
    <n v="0"/>
    <n v="0"/>
    <n v="0"/>
    <n v="0"/>
    <n v="0"/>
    <n v="1"/>
    <n v="1066"/>
    <d v="2015-03-06T00:00:00"/>
  </r>
  <r>
    <n v="476"/>
    <n v="81217"/>
    <n v="1073"/>
    <n v="1.3211519755716168E-2"/>
    <x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  <x v="32"/>
    <s v="24-35"/>
    <n v="2504"/>
    <n v="0"/>
    <n v="0"/>
    <n v="1"/>
    <n v="0"/>
    <n v="0"/>
    <n v="0"/>
    <n v="1"/>
    <n v="0"/>
    <n v="0"/>
    <n v="989"/>
    <d v="2015-12-07T00:00:00"/>
  </r>
  <r>
    <n v="12"/>
    <n v="63033"/>
    <n v="1072"/>
    <n v="1.7006964605841383E-2"/>
    <x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x v="1"/>
    <x v="29"/>
    <s v="51-66"/>
    <n v="2385"/>
    <n v="1"/>
    <n v="0"/>
    <n v="0"/>
    <n v="0"/>
    <n v="0"/>
    <n v="0"/>
    <n v="1"/>
    <n v="0"/>
    <n v="0"/>
    <n v="1042"/>
    <d v="2016-04-04T00:00:00"/>
  </r>
  <r>
    <n v="1002"/>
    <n v="87305"/>
    <n v="1072"/>
    <n v="1.2278792738102055E-2"/>
    <x v="0"/>
    <n v="0"/>
    <n v="19"/>
    <n v="345"/>
    <n v="25"/>
    <n v="501"/>
    <n v="63"/>
    <n v="138"/>
    <n v="80"/>
    <n v="1"/>
    <n v="5"/>
    <n v="3"/>
    <n v="8"/>
    <n v="2"/>
    <n v="0"/>
    <n v="0"/>
    <n v="0"/>
    <n v="0"/>
    <n v="1"/>
    <n v="0"/>
    <x v="0"/>
    <x v="24"/>
    <s v="51-66"/>
    <n v="2803"/>
    <n v="1"/>
    <n v="0"/>
    <n v="0"/>
    <n v="0"/>
    <n v="0"/>
    <n v="1"/>
    <n v="0"/>
    <n v="0"/>
    <n v="0"/>
    <n v="992"/>
    <d v="2015-02-11T00:00:00"/>
  </r>
  <r>
    <n v="1016"/>
    <n v="65706"/>
    <n v="1070"/>
    <n v="1.6284661979119108E-2"/>
    <x v="0"/>
    <n v="0"/>
    <n v="77"/>
    <n v="918"/>
    <n v="10"/>
    <n v="129"/>
    <n v="13"/>
    <n v="0"/>
    <n v="129"/>
    <n v="1"/>
    <n v="11"/>
    <n v="3"/>
    <n v="12"/>
    <n v="7"/>
    <n v="0"/>
    <n v="1"/>
    <n v="0"/>
    <n v="1"/>
    <n v="1"/>
    <n v="0"/>
    <x v="0"/>
    <x v="2"/>
    <s v="36-50"/>
    <n v="2525"/>
    <n v="1"/>
    <n v="0"/>
    <n v="0"/>
    <n v="0"/>
    <n v="0"/>
    <n v="1"/>
    <n v="0"/>
    <n v="0"/>
    <n v="0"/>
    <n v="941"/>
    <d v="2015-11-16T00:00:00"/>
  </r>
  <r>
    <n v="1017"/>
    <n v="75154"/>
    <n v="1061"/>
    <n v="1.411767836708625E-2"/>
    <x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x v="0"/>
    <x v="27"/>
    <s v="51-66"/>
    <n v="2822"/>
    <n v="0"/>
    <n v="0"/>
    <n v="1"/>
    <n v="0"/>
    <n v="0"/>
    <n v="0"/>
    <n v="0"/>
    <n v="1"/>
    <n v="0"/>
    <n v="979"/>
    <d v="2015-01-23T00:00:00"/>
  </r>
  <r>
    <n v="1019"/>
    <n v="87195"/>
    <n v="1059"/>
    <n v="1.2145191811457078E-2"/>
    <x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x v="0"/>
    <x v="29"/>
    <s v="51-66"/>
    <n v="2211"/>
    <n v="0"/>
    <n v="1"/>
    <n v="0"/>
    <n v="0"/>
    <n v="0"/>
    <n v="0"/>
    <n v="1"/>
    <n v="0"/>
    <n v="0"/>
    <n v="1021"/>
    <d v="2016-09-25T00:00:00"/>
  </r>
  <r>
    <n v="1022"/>
    <n v="81698"/>
    <n v="1059"/>
    <n v="1.2962373619917256E-2"/>
    <x v="0"/>
    <n v="0"/>
    <n v="1"/>
    <n v="709"/>
    <n v="45"/>
    <n v="115"/>
    <n v="30"/>
    <n v="160"/>
    <n v="45"/>
    <n v="1"/>
    <n v="8"/>
    <n v="2"/>
    <n v="5"/>
    <n v="5"/>
    <n v="1"/>
    <n v="0"/>
    <n v="0"/>
    <n v="0"/>
    <n v="0"/>
    <n v="0"/>
    <x v="0"/>
    <x v="20"/>
    <s v="36-50"/>
    <n v="2644"/>
    <n v="0"/>
    <n v="0"/>
    <n v="1"/>
    <n v="0"/>
    <n v="0"/>
    <n v="1"/>
    <n v="0"/>
    <n v="0"/>
    <n v="0"/>
    <n v="1014"/>
    <d v="2015-07-20T00:00:00"/>
  </r>
  <r>
    <n v="91"/>
    <n v="85693"/>
    <n v="1058"/>
    <n v="1.2346399355840034E-2"/>
    <x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x v="1"/>
    <x v="19"/>
    <s v="36-50"/>
    <n v="2594"/>
    <n v="0"/>
    <n v="0"/>
    <n v="0"/>
    <n v="1"/>
    <n v="0"/>
    <n v="0"/>
    <n v="1"/>
    <n v="0"/>
    <n v="0"/>
    <n v="947"/>
    <d v="2015-09-08T00:00:00"/>
  </r>
  <r>
    <n v="1024"/>
    <n v="63998"/>
    <n v="1056"/>
    <n v="1.6500515641113784E-2"/>
    <x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x v="0"/>
    <x v="50"/>
    <s v="66+"/>
    <n v="2350"/>
    <n v="1"/>
    <n v="0"/>
    <n v="0"/>
    <n v="0"/>
    <n v="0"/>
    <n v="1"/>
    <n v="0"/>
    <n v="0"/>
    <n v="0"/>
    <n v="944"/>
    <d v="2016-05-09T00:00:00"/>
  </r>
  <r>
    <n v="1034"/>
    <n v="67786"/>
    <n v="1054"/>
    <n v="1.5548933408078364E-2"/>
    <x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x v="0"/>
    <x v="29"/>
    <s v="51-66"/>
    <n v="2363"/>
    <n v="0"/>
    <n v="0"/>
    <n v="0"/>
    <n v="0"/>
    <n v="1"/>
    <n v="0"/>
    <n v="0"/>
    <n v="0"/>
    <n v="1"/>
    <n v="952"/>
    <d v="2016-04-26T00:00:00"/>
  </r>
  <r>
    <n v="1044"/>
    <n v="70287"/>
    <n v="1053"/>
    <n v="1.4981433266464637E-2"/>
    <x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x v="0"/>
    <x v="22"/>
    <s v="51-66"/>
    <n v="2612"/>
    <n v="1"/>
    <n v="0"/>
    <n v="0"/>
    <n v="0"/>
    <n v="0"/>
    <n v="0"/>
    <n v="1"/>
    <n v="0"/>
    <n v="0"/>
    <n v="1013"/>
    <d v="2015-08-21T00:00:00"/>
  </r>
  <r>
    <n v="1048"/>
    <n v="57136"/>
    <n v="1052"/>
    <n v="1.8412209465135818E-2"/>
    <x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x v="0"/>
    <x v="26"/>
    <s v="51-66"/>
    <n v="2566"/>
    <n v="1"/>
    <n v="0"/>
    <n v="0"/>
    <n v="0"/>
    <n v="0"/>
    <n v="0"/>
    <n v="1"/>
    <n v="0"/>
    <n v="0"/>
    <n v="925"/>
    <d v="2015-10-06T00:00:00"/>
  </r>
  <r>
    <n v="970"/>
    <n v="68695"/>
    <n v="1051"/>
    <n v="1.5299512337142442E-2"/>
    <x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  <x v="3"/>
    <s v="51-66"/>
    <n v="2163"/>
    <n v="0"/>
    <n v="0"/>
    <n v="0"/>
    <n v="1"/>
    <n v="0"/>
    <n v="0"/>
    <n v="1"/>
    <n v="0"/>
    <n v="0"/>
    <n v="1011"/>
    <d v="2016-11-12T00:00:00"/>
  </r>
  <r>
    <n v="1494"/>
    <n v="47111"/>
    <n v="1051"/>
    <n v="2.2309014879752075E-2"/>
    <x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x v="1"/>
    <x v="28"/>
    <s v="36-50"/>
    <n v="2818"/>
    <n v="0"/>
    <n v="0"/>
    <n v="0"/>
    <n v="0"/>
    <n v="1"/>
    <n v="0"/>
    <n v="0"/>
    <n v="0"/>
    <n v="1"/>
    <n v="1010"/>
    <d v="2015-01-27T00:00:00"/>
  </r>
  <r>
    <n v="1855"/>
    <n v="75330"/>
    <n v="1048"/>
    <n v="1.391212000530997E-2"/>
    <x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x v="1"/>
    <x v="13"/>
    <s v="36-50"/>
    <n v="2792"/>
    <n v="0"/>
    <n v="1"/>
    <n v="0"/>
    <n v="0"/>
    <n v="0"/>
    <n v="0"/>
    <n v="1"/>
    <n v="0"/>
    <n v="0"/>
    <n v="987"/>
    <d v="2015-02-22T00:00:00"/>
  </r>
  <r>
    <n v="590"/>
    <n v="84196"/>
    <n v="1047"/>
    <n v="1.2435270084089506E-2"/>
    <x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x v="1"/>
    <x v="16"/>
    <s v="36-50"/>
    <n v="2550"/>
    <n v="0"/>
    <n v="0"/>
    <n v="1"/>
    <n v="0"/>
    <n v="0"/>
    <n v="0"/>
    <n v="1"/>
    <n v="0"/>
    <n v="0"/>
    <n v="857"/>
    <d v="2015-10-22T00:00:00"/>
  </r>
  <r>
    <n v="1098"/>
    <n v="81657"/>
    <n v="1047"/>
    <n v="1.2821925860612073E-2"/>
    <x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x v="1"/>
    <x v="3"/>
    <s v="51-66"/>
    <n v="2317"/>
    <n v="0"/>
    <n v="0"/>
    <n v="1"/>
    <n v="0"/>
    <n v="0"/>
    <n v="0"/>
    <n v="1"/>
    <n v="0"/>
    <n v="0"/>
    <n v="997"/>
    <d v="2016-06-11T00:00:00"/>
  </r>
  <r>
    <n v="59"/>
    <n v="70666"/>
    <n v="1046"/>
    <n v="1.4802026434211643E-2"/>
    <x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x v="1"/>
    <x v="40"/>
    <s v="66+"/>
    <n v="2364"/>
    <n v="0"/>
    <n v="0"/>
    <n v="0"/>
    <n v="1"/>
    <n v="0"/>
    <n v="0"/>
    <n v="1"/>
    <n v="0"/>
    <n v="0"/>
    <n v="1016"/>
    <d v="2016-04-25T00:00:00"/>
  </r>
  <r>
    <n v="365"/>
    <n v="74293"/>
    <n v="1046"/>
    <n v="1.4079388367679324E-2"/>
    <x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  <x v="53"/>
    <s v="24-35"/>
    <n v="2215"/>
    <n v="0"/>
    <n v="0"/>
    <n v="1"/>
    <n v="0"/>
    <n v="0"/>
    <n v="0"/>
    <n v="1"/>
    <n v="0"/>
    <n v="0"/>
    <n v="965"/>
    <d v="2016-09-21T00:00:00"/>
  </r>
  <r>
    <n v="866"/>
    <n v="72354"/>
    <n v="1046"/>
    <n v="1.4456699007656799E-2"/>
    <x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x v="1"/>
    <x v="53"/>
    <s v="24-35"/>
    <n v="2597"/>
    <n v="0"/>
    <n v="0"/>
    <n v="1"/>
    <n v="0"/>
    <n v="0"/>
    <n v="0"/>
    <n v="1"/>
    <n v="0"/>
    <n v="0"/>
    <n v="864"/>
    <d v="2015-09-05T00:00:00"/>
  </r>
  <r>
    <n v="609"/>
    <n v="78710"/>
    <n v="1042"/>
    <n v="1.3238470334137975E-2"/>
    <x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x v="1"/>
    <x v="13"/>
    <s v="36-50"/>
    <n v="2196"/>
    <n v="0"/>
    <n v="1"/>
    <n v="0"/>
    <n v="0"/>
    <n v="0"/>
    <n v="0"/>
    <n v="0"/>
    <n v="1"/>
    <n v="0"/>
    <n v="992"/>
    <d v="2016-10-10T00:00:00"/>
  </r>
  <r>
    <n v="871"/>
    <n v="77583"/>
    <n v="1041"/>
    <n v="1.3417887939368161E-2"/>
    <x v="0"/>
    <n v="0"/>
    <n v="93"/>
    <n v="372"/>
    <n v="23"/>
    <n v="384"/>
    <n v="250"/>
    <n v="12"/>
    <n v="108"/>
    <n v="1"/>
    <n v="4"/>
    <n v="5"/>
    <n v="9"/>
    <n v="2"/>
    <n v="1"/>
    <n v="0"/>
    <n v="0"/>
    <n v="0"/>
    <n v="0"/>
    <n v="0"/>
    <x v="1"/>
    <x v="37"/>
    <s v="36-50"/>
    <n v="2298"/>
    <n v="0"/>
    <n v="1"/>
    <n v="0"/>
    <n v="0"/>
    <n v="0"/>
    <n v="0"/>
    <n v="1"/>
    <n v="0"/>
    <n v="0"/>
    <n v="933"/>
    <d v="2016-06-30T00:00:00"/>
  </r>
  <r>
    <n v="1226"/>
    <n v="59868"/>
    <n v="1040"/>
    <n v="1.7371550744972271E-2"/>
    <x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x v="1"/>
    <x v="9"/>
    <s v="36-50"/>
    <n v="2501"/>
    <n v="0"/>
    <n v="0"/>
    <n v="0"/>
    <n v="1"/>
    <n v="0"/>
    <n v="0"/>
    <n v="1"/>
    <n v="0"/>
    <n v="0"/>
    <n v="886"/>
    <d v="2015-12-10T00:00:00"/>
  </r>
  <r>
    <n v="92"/>
    <n v="65846"/>
    <n v="1039"/>
    <n v="1.5779242474865597E-2"/>
    <x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x v="1"/>
    <x v="49"/>
    <s v="66+"/>
    <n v="2567"/>
    <n v="0"/>
    <n v="1"/>
    <n v="0"/>
    <n v="0"/>
    <n v="0"/>
    <n v="0"/>
    <n v="0"/>
    <n v="0"/>
    <n v="1"/>
    <n v="958"/>
    <d v="2015-10-05T00:00:00"/>
  </r>
  <r>
    <n v="628"/>
    <n v="59304"/>
    <n v="1038"/>
    <n v="1.7503035208417644E-2"/>
    <x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x v="1"/>
    <x v="42"/>
    <s v="51-66"/>
    <n v="2494"/>
    <n v="0"/>
    <n v="1"/>
    <n v="0"/>
    <n v="0"/>
    <n v="0"/>
    <n v="0"/>
    <n v="0"/>
    <n v="0"/>
    <n v="1"/>
    <n v="1028"/>
    <d v="2015-12-17T00:00:00"/>
  </r>
  <r>
    <n v="203"/>
    <n v="72460"/>
    <n v="1037"/>
    <n v="1.4311344189897875E-2"/>
    <x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x v="1"/>
    <x v="3"/>
    <s v="51-66"/>
    <n v="2386"/>
    <n v="0"/>
    <n v="1"/>
    <n v="0"/>
    <n v="0"/>
    <n v="0"/>
    <n v="0"/>
    <n v="1"/>
    <n v="0"/>
    <n v="0"/>
    <n v="1027"/>
    <d v="2016-04-03T00:00:00"/>
  </r>
  <r>
    <n v="1423"/>
    <n v="59235"/>
    <n v="1037"/>
    <n v="1.7506541740525027E-2"/>
    <x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x v="1"/>
    <x v="26"/>
    <s v="51-66"/>
    <n v="2692"/>
    <n v="0"/>
    <n v="0"/>
    <n v="1"/>
    <n v="0"/>
    <n v="0"/>
    <n v="0"/>
    <n v="0"/>
    <n v="1"/>
    <n v="0"/>
    <n v="946"/>
    <d v="2015-06-02T00:00:00"/>
  </r>
  <r>
    <n v="1049"/>
    <n v="91172"/>
    <n v="1036"/>
    <n v="1.136313780546659E-2"/>
    <x v="0"/>
    <n v="0"/>
    <n v="94"/>
    <n v="162"/>
    <n v="28"/>
    <n v="818"/>
    <n v="0"/>
    <n v="28"/>
    <n v="56"/>
    <n v="0"/>
    <n v="4"/>
    <n v="3"/>
    <n v="7"/>
    <n v="3"/>
    <n v="1"/>
    <n v="1"/>
    <n v="1"/>
    <n v="0"/>
    <n v="1"/>
    <n v="0"/>
    <x v="0"/>
    <x v="48"/>
    <s v="24-35"/>
    <n v="2618"/>
    <n v="0"/>
    <n v="0"/>
    <n v="1"/>
    <n v="0"/>
    <n v="0"/>
    <n v="0"/>
    <n v="0"/>
    <n v="1"/>
    <n v="0"/>
    <n v="980"/>
    <d v="2015-08-15T00:00:00"/>
  </r>
  <r>
    <n v="1057"/>
    <n v="76982"/>
    <n v="1032"/>
    <n v="1.3405731209893221E-2"/>
    <x v="0"/>
    <n v="0"/>
    <n v="19"/>
    <n v="464"/>
    <n v="151"/>
    <n v="292"/>
    <n v="65"/>
    <n v="60"/>
    <n v="30"/>
    <n v="1"/>
    <n v="8"/>
    <n v="3"/>
    <n v="4"/>
    <n v="4"/>
    <n v="0"/>
    <n v="0"/>
    <n v="0"/>
    <n v="0"/>
    <n v="1"/>
    <n v="0"/>
    <x v="0"/>
    <x v="26"/>
    <s v="51-66"/>
    <n v="2293"/>
    <n v="1"/>
    <n v="0"/>
    <n v="0"/>
    <n v="0"/>
    <n v="0"/>
    <n v="0"/>
    <n v="1"/>
    <n v="0"/>
    <n v="0"/>
    <n v="1002"/>
    <d v="2016-07-05T00:00:00"/>
  </r>
  <r>
    <n v="1061"/>
    <n v="53374"/>
    <n v="1030"/>
    <n v="1.9297785438603065E-2"/>
    <x v="0"/>
    <n v="1"/>
    <n v="34"/>
    <n v="896"/>
    <n v="10"/>
    <n v="101"/>
    <n v="13"/>
    <n v="10"/>
    <n v="34"/>
    <n v="6"/>
    <n v="4"/>
    <n v="2"/>
    <n v="9"/>
    <n v="9"/>
    <n v="0"/>
    <n v="0"/>
    <n v="1"/>
    <n v="0"/>
    <n v="0"/>
    <n v="0"/>
    <x v="0"/>
    <x v="3"/>
    <s v="51-66"/>
    <n v="2841"/>
    <n v="0"/>
    <n v="0"/>
    <n v="0"/>
    <n v="1"/>
    <n v="0"/>
    <n v="0"/>
    <n v="0"/>
    <n v="0"/>
    <n v="1"/>
    <n v="996"/>
    <d v="2015-01-04T00:00:00"/>
  </r>
  <r>
    <n v="1080"/>
    <n v="57513"/>
    <n v="1030"/>
    <n v="1.7908994488202667E-2"/>
    <x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x v="1"/>
    <x v="45"/>
    <s v="66+"/>
    <n v="2517"/>
    <n v="0"/>
    <n v="0"/>
    <n v="0"/>
    <n v="0"/>
    <n v="1"/>
    <n v="0"/>
    <n v="0"/>
    <n v="0"/>
    <n v="1"/>
    <n v="1000"/>
    <d v="2015-11-24T00:00:00"/>
  </r>
  <r>
    <n v="806"/>
    <n v="85710"/>
    <n v="1029"/>
    <n v="1.2005600280014002E-2"/>
    <x v="0"/>
    <n v="0"/>
    <n v="5"/>
    <n v="600"/>
    <n v="20"/>
    <n v="350"/>
    <n v="29"/>
    <n v="30"/>
    <n v="33"/>
    <n v="1"/>
    <n v="6"/>
    <n v="9"/>
    <n v="10"/>
    <n v="2"/>
    <n v="0"/>
    <n v="0"/>
    <n v="0"/>
    <n v="0"/>
    <n v="1"/>
    <n v="0"/>
    <x v="1"/>
    <x v="32"/>
    <s v="24-35"/>
    <n v="2579"/>
    <n v="0"/>
    <n v="1"/>
    <n v="0"/>
    <n v="0"/>
    <n v="0"/>
    <n v="1"/>
    <n v="0"/>
    <n v="0"/>
    <n v="0"/>
    <n v="996"/>
    <d v="2015-09-23T00:00:00"/>
  </r>
  <r>
    <n v="1066"/>
    <n v="69759"/>
    <n v="1029"/>
    <n v="1.475078484496624E-2"/>
    <x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x v="0"/>
    <x v="22"/>
    <s v="51-66"/>
    <n v="2403"/>
    <n v="0"/>
    <n v="0"/>
    <n v="1"/>
    <n v="0"/>
    <n v="0"/>
    <n v="0"/>
    <n v="0"/>
    <n v="0"/>
    <n v="1"/>
    <n v="1029"/>
    <d v="2016-03-17T00:00:00"/>
  </r>
  <r>
    <n v="2016"/>
    <n v="44802"/>
    <n v="1029"/>
    <n v="2.2967724655149322E-2"/>
    <x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x v="1"/>
    <x v="2"/>
    <s v="36-50"/>
    <n v="2836"/>
    <n v="0"/>
    <n v="0"/>
    <n v="1"/>
    <n v="0"/>
    <n v="0"/>
    <n v="0"/>
    <n v="0"/>
    <n v="1"/>
    <n v="0"/>
    <n v="1009"/>
    <d v="2015-01-09T00:00:00"/>
  </r>
  <r>
    <n v="1069"/>
    <n v="63211"/>
    <n v="1028"/>
    <n v="1.6262992200724559E-2"/>
    <x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x v="0"/>
    <x v="31"/>
    <s v="36-50"/>
    <n v="2763"/>
    <n v="0"/>
    <n v="1"/>
    <n v="0"/>
    <n v="0"/>
    <n v="0"/>
    <n v="0"/>
    <n v="1"/>
    <n v="0"/>
    <n v="0"/>
    <n v="883"/>
    <d v="2015-03-23T00:00:00"/>
  </r>
  <r>
    <n v="1852"/>
    <n v="55914"/>
    <n v="1028"/>
    <n v="1.8385377544085559E-2"/>
    <x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x v="1"/>
    <x v="16"/>
    <s v="36-50"/>
    <n v="2585"/>
    <n v="0"/>
    <n v="0"/>
    <n v="0"/>
    <n v="1"/>
    <n v="0"/>
    <n v="0"/>
    <n v="1"/>
    <n v="0"/>
    <n v="0"/>
    <n v="796"/>
    <d v="2015-09-17T00:00:00"/>
  </r>
  <r>
    <n v="1573"/>
    <n v="60230"/>
    <n v="1027"/>
    <n v="1.7051303337207373E-2"/>
    <x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x v="1"/>
    <x v="5"/>
    <s v="51-66"/>
    <n v="2564"/>
    <n v="0"/>
    <n v="0"/>
    <n v="1"/>
    <n v="0"/>
    <n v="0"/>
    <n v="0"/>
    <n v="1"/>
    <n v="0"/>
    <n v="0"/>
    <n v="987"/>
    <d v="2015-10-08T00:00:00"/>
  </r>
  <r>
    <n v="617"/>
    <n v="73059"/>
    <n v="1024"/>
    <n v="1.4016069204341697E-2"/>
    <x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  <x v="6"/>
    <s v="66+"/>
    <n v="2461"/>
    <n v="0"/>
    <n v="0"/>
    <n v="0"/>
    <n v="1"/>
    <n v="0"/>
    <n v="0"/>
    <n v="0"/>
    <n v="0"/>
    <n v="1"/>
    <n v="953"/>
    <d v="2016-01-19T00:00:00"/>
  </r>
  <r>
    <n v="1076"/>
    <n v="52278"/>
    <n v="1024"/>
    <n v="1.9587589425762272E-2"/>
    <x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0"/>
    <x v="33"/>
    <s v="51-66"/>
    <n v="2679"/>
    <n v="0"/>
    <n v="0"/>
    <n v="0"/>
    <n v="0"/>
    <n v="1"/>
    <n v="0"/>
    <n v="0"/>
    <n v="0"/>
    <n v="1"/>
    <n v="850"/>
    <d v="2015-06-15T00:00:00"/>
  </r>
  <r>
    <n v="1743"/>
    <n v="52278"/>
    <n v="1024"/>
    <n v="1.9587589425762272E-2"/>
    <x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1"/>
    <x v="33"/>
    <s v="51-66"/>
    <n v="2679"/>
    <n v="0"/>
    <n v="0"/>
    <n v="0"/>
    <n v="0"/>
    <n v="1"/>
    <n v="0"/>
    <n v="0"/>
    <n v="0"/>
    <n v="1"/>
    <n v="850"/>
    <d v="2015-06-15T00:00:00"/>
  </r>
  <r>
    <n v="534"/>
    <n v="66565"/>
    <n v="1023"/>
    <n v="1.5368436866220987E-2"/>
    <x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x v="1"/>
    <x v="46"/>
    <s v="51-66"/>
    <n v="2730"/>
    <n v="0"/>
    <n v="0"/>
    <n v="1"/>
    <n v="0"/>
    <n v="0"/>
    <n v="0"/>
    <n v="1"/>
    <n v="0"/>
    <n v="0"/>
    <n v="981"/>
    <d v="2015-04-25T00:00:00"/>
  </r>
  <r>
    <n v="1614"/>
    <n v="72117"/>
    <n v="1023"/>
    <n v="1.4185282249677607E-2"/>
    <x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x v="1"/>
    <x v="13"/>
    <s v="36-50"/>
    <n v="2472"/>
    <n v="0"/>
    <n v="1"/>
    <n v="0"/>
    <n v="0"/>
    <n v="0"/>
    <n v="0"/>
    <n v="1"/>
    <n v="0"/>
    <n v="0"/>
    <n v="973"/>
    <d v="2016-01-08T00:00:00"/>
  </r>
  <r>
    <n v="1649"/>
    <n v="46757"/>
    <n v="1021"/>
    <n v="2.1836302585709091E-2"/>
    <x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x v="1"/>
    <x v="33"/>
    <s v="51-66"/>
    <n v="2749"/>
    <n v="0"/>
    <n v="0"/>
    <n v="1"/>
    <n v="0"/>
    <n v="0"/>
    <n v="0"/>
    <n v="0"/>
    <n v="0"/>
    <n v="1"/>
    <n v="899"/>
    <d v="2015-04-06T00:00:00"/>
  </r>
  <r>
    <n v="374"/>
    <n v="75276"/>
    <n v="1019"/>
    <n v="1.3536851054785057E-2"/>
    <x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x v="1"/>
    <x v="47"/>
    <s v="51-66"/>
    <n v="2799"/>
    <n v="0"/>
    <n v="0"/>
    <n v="0"/>
    <n v="1"/>
    <n v="0"/>
    <n v="0"/>
    <n v="1"/>
    <n v="0"/>
    <n v="0"/>
    <n v="998"/>
    <d v="2015-02-15T00:00:00"/>
  </r>
  <r>
    <n v="708"/>
    <n v="58512"/>
    <n v="1019"/>
    <n v="1.7415231063713427E-2"/>
    <x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x v="1"/>
    <x v="42"/>
    <s v="51-66"/>
    <n v="2442"/>
    <n v="0"/>
    <n v="1"/>
    <n v="0"/>
    <n v="0"/>
    <n v="0"/>
    <n v="0"/>
    <n v="1"/>
    <n v="0"/>
    <n v="0"/>
    <n v="867"/>
    <d v="2016-02-07T00:00:00"/>
  </r>
  <r>
    <n v="1919"/>
    <n v="69805"/>
    <n v="1018"/>
    <n v="1.4583482558555978E-2"/>
    <x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x v="1"/>
    <x v="50"/>
    <s v="66+"/>
    <n v="2318"/>
    <n v="0"/>
    <n v="0"/>
    <n v="0"/>
    <n v="1"/>
    <n v="0"/>
    <n v="0"/>
    <n v="0"/>
    <n v="0"/>
    <n v="1"/>
    <n v="998"/>
    <d v="2016-06-10T00:00:00"/>
  </r>
  <r>
    <n v="792"/>
    <n v="82504"/>
    <n v="1012"/>
    <n v="1.2266071948026763E-2"/>
    <x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x v="1"/>
    <x v="24"/>
    <s v="51-66"/>
    <n v="2496"/>
    <n v="0"/>
    <n v="1"/>
    <n v="0"/>
    <n v="0"/>
    <n v="0"/>
    <n v="1"/>
    <n v="0"/>
    <n v="0"/>
    <n v="0"/>
    <n v="958"/>
    <d v="2015-12-15T00:00:00"/>
  </r>
  <r>
    <n v="209"/>
    <n v="51537"/>
    <n v="1011"/>
    <n v="1.9616974212701553E-2"/>
    <x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x v="1"/>
    <x v="50"/>
    <s v="66+"/>
    <n v="2726"/>
    <n v="1"/>
    <n v="0"/>
    <n v="0"/>
    <n v="0"/>
    <n v="0"/>
    <n v="0"/>
    <n v="1"/>
    <n v="0"/>
    <n v="0"/>
    <n v="919"/>
    <d v="2015-04-29T00:00:00"/>
  </r>
  <r>
    <n v="672"/>
    <n v="58710"/>
    <n v="1011"/>
    <n v="1.7220235053653551E-2"/>
    <x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x v="1"/>
    <x v="2"/>
    <s v="36-50"/>
    <n v="2614"/>
    <n v="1"/>
    <n v="0"/>
    <n v="0"/>
    <n v="0"/>
    <n v="0"/>
    <n v="0"/>
    <n v="1"/>
    <n v="0"/>
    <n v="0"/>
    <n v="837"/>
    <d v="2015-08-19T00:00:00"/>
  </r>
  <r>
    <n v="1087"/>
    <n v="56715"/>
    <n v="1011"/>
    <n v="1.7825971965088602E-2"/>
    <x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x v="1"/>
    <x v="35"/>
    <s v="36-50"/>
    <n v="2730"/>
    <n v="0"/>
    <n v="0"/>
    <n v="0"/>
    <n v="1"/>
    <n v="0"/>
    <n v="0"/>
    <n v="1"/>
    <n v="0"/>
    <n v="0"/>
    <n v="1002"/>
    <d v="2015-04-25T00:00:00"/>
  </r>
  <r>
    <n v="802"/>
    <n v="60474"/>
    <n v="1010"/>
    <n v="1.6701392333895559E-2"/>
    <x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  <x v="19"/>
    <s v="36-50"/>
    <n v="2613"/>
    <n v="0"/>
    <n v="0"/>
    <n v="1"/>
    <n v="0"/>
    <n v="0"/>
    <n v="0"/>
    <n v="1"/>
    <n v="0"/>
    <n v="0"/>
    <n v="840"/>
    <d v="2015-08-20T00:00:00"/>
  </r>
  <r>
    <n v="1125"/>
    <n v="59184"/>
    <n v="1006"/>
    <n v="1.6997837253311707E-2"/>
    <x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x v="1"/>
    <x v="21"/>
    <s v="51-66"/>
    <n v="2817"/>
    <n v="0"/>
    <n v="0"/>
    <n v="0"/>
    <n v="0"/>
    <n v="1"/>
    <n v="1"/>
    <n v="0"/>
    <n v="0"/>
    <n v="0"/>
    <n v="940"/>
    <d v="2015-01-28T00:00:00"/>
  </r>
  <r>
    <n v="1932"/>
    <n v="65487"/>
    <n v="1006"/>
    <n v="1.5361827538290043E-2"/>
    <x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  <x v="12"/>
    <s v="51-66"/>
    <n v="2329"/>
    <n v="0"/>
    <n v="0"/>
    <n v="1"/>
    <n v="0"/>
    <n v="0"/>
    <n v="0"/>
    <n v="0"/>
    <n v="1"/>
    <n v="0"/>
    <n v="843"/>
    <d v="2016-05-30T00:00:00"/>
  </r>
  <r>
    <n v="1980"/>
    <n v="65487"/>
    <n v="1006"/>
    <n v="1.5361827538290043E-2"/>
    <x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  <x v="12"/>
    <s v="51-66"/>
    <n v="2329"/>
    <n v="0"/>
    <n v="0"/>
    <n v="0"/>
    <n v="1"/>
    <n v="0"/>
    <n v="0"/>
    <n v="0"/>
    <n v="1"/>
    <n v="0"/>
    <n v="843"/>
    <d v="2016-05-30T00:00:00"/>
  </r>
  <r>
    <n v="1371"/>
    <n v="57072"/>
    <n v="1004"/>
    <n v="1.7591813849172973E-2"/>
    <x v="0"/>
    <n v="1"/>
    <n v="79"/>
    <n v="944"/>
    <n v="0"/>
    <n v="60"/>
    <n v="0"/>
    <n v="0"/>
    <n v="30"/>
    <n v="2"/>
    <n v="7"/>
    <n v="5"/>
    <n v="13"/>
    <n v="5"/>
    <n v="0"/>
    <n v="0"/>
    <n v="1"/>
    <n v="0"/>
    <n v="0"/>
    <n v="0"/>
    <x v="1"/>
    <x v="21"/>
    <s v="51-66"/>
    <n v="2315"/>
    <n v="0"/>
    <n v="1"/>
    <n v="0"/>
    <n v="0"/>
    <n v="0"/>
    <n v="0"/>
    <n v="0"/>
    <n v="0"/>
    <n v="1"/>
    <n v="974"/>
    <d v="2016-06-13T00:00:00"/>
  </r>
  <r>
    <n v="456"/>
    <n v="65104"/>
    <n v="1003"/>
    <n v="1.5406119439665765E-2"/>
    <x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1"/>
    <x v="7"/>
    <s v="36-50"/>
    <n v="2386"/>
    <n v="0"/>
    <n v="0"/>
    <n v="0"/>
    <n v="1"/>
    <n v="0"/>
    <n v="0"/>
    <n v="0"/>
    <n v="1"/>
    <n v="0"/>
    <n v="953"/>
    <d v="2016-04-03T00:00:00"/>
  </r>
  <r>
    <n v="1079"/>
    <n v="65104"/>
    <n v="1003"/>
    <n v="1.5406119439665765E-2"/>
    <x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0"/>
    <x v="7"/>
    <s v="36-50"/>
    <n v="2386"/>
    <n v="0"/>
    <n v="0"/>
    <n v="0"/>
    <n v="1"/>
    <n v="0"/>
    <n v="0"/>
    <n v="0"/>
    <n v="1"/>
    <n v="0"/>
    <n v="953"/>
    <d v="2016-04-03T00:00:00"/>
  </r>
  <r>
    <n v="1115"/>
    <n v="62000"/>
    <n v="1000"/>
    <n v="1.6129032258064516E-2"/>
    <x v="0"/>
    <n v="1"/>
    <n v="25"/>
    <n v="899"/>
    <n v="0"/>
    <n v="101"/>
    <n v="0"/>
    <n v="0"/>
    <n v="20"/>
    <n v="1"/>
    <n v="6"/>
    <n v="6"/>
    <n v="13"/>
    <n v="4"/>
    <n v="1"/>
    <n v="0"/>
    <n v="0"/>
    <n v="0"/>
    <n v="0"/>
    <n v="0"/>
    <x v="1"/>
    <x v="50"/>
    <s v="66+"/>
    <n v="2467"/>
    <n v="0"/>
    <n v="0"/>
    <n v="1"/>
    <n v="0"/>
    <n v="0"/>
    <n v="0"/>
    <n v="0"/>
    <n v="0"/>
    <n v="1"/>
    <n v="980"/>
    <d v="2016-01-13T00:00:00"/>
  </r>
  <r>
    <n v="1385"/>
    <n v="65492"/>
    <n v="998"/>
    <n v="1.5238502412508398E-2"/>
    <x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x v="1"/>
    <x v="29"/>
    <s v="51-66"/>
    <n v="2313"/>
    <n v="0"/>
    <n v="1"/>
    <n v="0"/>
    <n v="0"/>
    <n v="0"/>
    <n v="0"/>
    <n v="1"/>
    <n v="0"/>
    <n v="0"/>
    <n v="951"/>
    <d v="2016-06-15T00:00:00"/>
  </r>
  <r>
    <n v="1641"/>
    <n v="78416"/>
    <n v="996"/>
    <n v="1.2701489491940421E-2"/>
    <x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x v="1"/>
    <x v="7"/>
    <s v="36-50"/>
    <n v="2161"/>
    <n v="0"/>
    <n v="0"/>
    <n v="0"/>
    <n v="1"/>
    <n v="0"/>
    <n v="0"/>
    <n v="1"/>
    <n v="0"/>
    <n v="0"/>
    <n v="813"/>
    <d v="2016-11-14T00:00:00"/>
  </r>
  <r>
    <n v="154"/>
    <n v="66951"/>
    <n v="993"/>
    <n v="1.4831742617735358E-2"/>
    <x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x v="1"/>
    <x v="0"/>
    <s v="24-35"/>
    <n v="2398"/>
    <n v="0"/>
    <n v="0"/>
    <n v="1"/>
    <n v="0"/>
    <n v="0"/>
    <n v="0"/>
    <n v="1"/>
    <n v="0"/>
    <n v="0"/>
    <n v="869"/>
    <d v="2016-03-22T00:00:00"/>
  </r>
  <r>
    <n v="1707"/>
    <n v="69932"/>
    <n v="992"/>
    <n v="1.4185208488245725E-2"/>
    <x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x v="1"/>
    <x v="42"/>
    <s v="51-66"/>
    <n v="2541"/>
    <n v="1"/>
    <n v="0"/>
    <n v="0"/>
    <n v="0"/>
    <n v="0"/>
    <n v="0"/>
    <n v="1"/>
    <n v="0"/>
    <n v="0"/>
    <n v="935"/>
    <d v="2015-10-31T00:00:00"/>
  </r>
  <r>
    <n v="1396"/>
    <n v="46772"/>
    <n v="991"/>
    <n v="2.1187890190712391E-2"/>
    <x v="0"/>
    <n v="1"/>
    <n v="88"/>
    <n v="350"/>
    <n v="104"/>
    <n v="189"/>
    <n v="197"/>
    <n v="151"/>
    <n v="57"/>
    <n v="6"/>
    <n v="11"/>
    <n v="8"/>
    <n v="5"/>
    <n v="8"/>
    <n v="0"/>
    <n v="0"/>
    <n v="1"/>
    <n v="0"/>
    <n v="0"/>
    <n v="0"/>
    <x v="1"/>
    <x v="16"/>
    <s v="36-50"/>
    <n v="2758"/>
    <n v="0"/>
    <n v="0"/>
    <n v="0"/>
    <n v="1"/>
    <n v="0"/>
    <n v="1"/>
    <n v="0"/>
    <n v="0"/>
    <n v="0"/>
    <n v="934"/>
    <d v="2015-03-28T00:00:00"/>
  </r>
  <r>
    <n v="1137"/>
    <n v="77044"/>
    <n v="989"/>
    <n v="1.2836820518145475E-2"/>
    <x v="0"/>
    <n v="1"/>
    <n v="12"/>
    <n v="625"/>
    <n v="38"/>
    <n v="242"/>
    <n v="50"/>
    <n v="34"/>
    <n v="76"/>
    <n v="2"/>
    <n v="7"/>
    <n v="11"/>
    <n v="11"/>
    <n v="4"/>
    <n v="0"/>
    <n v="0"/>
    <n v="1"/>
    <n v="0"/>
    <n v="0"/>
    <n v="0"/>
    <x v="1"/>
    <x v="9"/>
    <s v="36-50"/>
    <n v="2404"/>
    <n v="0"/>
    <n v="0"/>
    <n v="0"/>
    <n v="1"/>
    <n v="0"/>
    <n v="0"/>
    <n v="1"/>
    <n v="0"/>
    <n v="0"/>
    <n v="913"/>
    <d v="2016-03-16T00:00:00"/>
  </r>
  <r>
    <n v="404"/>
    <n v="67309"/>
    <n v="987"/>
    <n v="1.4663715104963676E-2"/>
    <x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x v="1"/>
    <x v="26"/>
    <s v="51-66"/>
    <n v="2681"/>
    <n v="0"/>
    <n v="0"/>
    <n v="0"/>
    <n v="1"/>
    <n v="0"/>
    <n v="1"/>
    <n v="0"/>
    <n v="0"/>
    <n v="0"/>
    <n v="892"/>
    <d v="2015-06-13T00:00:00"/>
  </r>
  <r>
    <n v="1238"/>
    <n v="77382"/>
    <n v="987"/>
    <n v="1.2754904241296425E-2"/>
    <x v="0"/>
    <n v="1"/>
    <n v="36"/>
    <n v="491"/>
    <n v="48"/>
    <n v="231"/>
    <n v="112"/>
    <n v="105"/>
    <n v="134"/>
    <n v="2"/>
    <n v="5"/>
    <n v="7"/>
    <n v="12"/>
    <n v="1"/>
    <n v="0"/>
    <n v="0"/>
    <n v="0"/>
    <n v="0"/>
    <n v="1"/>
    <n v="0"/>
    <x v="1"/>
    <x v="14"/>
    <s v="51-66"/>
    <n v="2332"/>
    <n v="0"/>
    <n v="0"/>
    <n v="0"/>
    <n v="1"/>
    <n v="0"/>
    <n v="0"/>
    <n v="1"/>
    <n v="0"/>
    <n v="0"/>
    <n v="853"/>
    <d v="2016-05-27T00:00:00"/>
  </r>
  <r>
    <n v="1673"/>
    <n v="80336"/>
    <n v="986"/>
    <n v="1.2273451503684526E-2"/>
    <x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x v="1"/>
    <x v="2"/>
    <s v="36-50"/>
    <n v="2452"/>
    <n v="0"/>
    <n v="1"/>
    <n v="0"/>
    <n v="0"/>
    <n v="0"/>
    <n v="0"/>
    <n v="0"/>
    <n v="0"/>
    <n v="1"/>
    <n v="920"/>
    <d v="2016-01-28T00:00:00"/>
  </r>
  <r>
    <n v="1197"/>
    <n v="71847"/>
    <n v="982"/>
    <n v="1.3667933247038846E-2"/>
    <x v="0"/>
    <n v="0"/>
    <n v="95"/>
    <n v="737"/>
    <n v="21"/>
    <n v="106"/>
    <n v="55"/>
    <n v="63"/>
    <n v="210"/>
    <n v="0"/>
    <n v="6"/>
    <n v="7"/>
    <n v="9"/>
    <n v="3"/>
    <n v="1"/>
    <n v="0"/>
    <n v="0"/>
    <n v="0"/>
    <n v="0"/>
    <n v="0"/>
    <x v="1"/>
    <x v="37"/>
    <s v="36-50"/>
    <n v="2805"/>
    <n v="1"/>
    <n v="0"/>
    <n v="0"/>
    <n v="0"/>
    <n v="0"/>
    <n v="0"/>
    <n v="1"/>
    <n v="0"/>
    <n v="0"/>
    <n v="772"/>
    <d v="2015-02-09T00:00:00"/>
  </r>
  <r>
    <n v="1714"/>
    <n v="69702"/>
    <n v="982"/>
    <n v="1.4088548391724772E-2"/>
    <x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x v="1"/>
    <x v="15"/>
    <s v="66+"/>
    <n v="2654"/>
    <n v="0"/>
    <n v="0"/>
    <n v="0"/>
    <n v="1"/>
    <n v="0"/>
    <n v="0"/>
    <n v="0"/>
    <n v="0"/>
    <n v="1"/>
    <n v="925"/>
    <d v="2015-07-10T00:00:00"/>
  </r>
  <r>
    <n v="645"/>
    <n v="69476"/>
    <n v="977"/>
    <n v="1.4062410040877426E-2"/>
    <x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x v="1"/>
    <x v="3"/>
    <s v="51-66"/>
    <n v="2431"/>
    <n v="0"/>
    <n v="0"/>
    <n v="0"/>
    <n v="1"/>
    <n v="0"/>
    <n v="0"/>
    <n v="0"/>
    <n v="0"/>
    <n v="1"/>
    <n v="910"/>
    <d v="2016-02-18T00:00:00"/>
  </r>
  <r>
    <n v="468"/>
    <n v="67911"/>
    <n v="976"/>
    <n v="1.437175126268204E-2"/>
    <x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  <x v="4"/>
    <s v="66+"/>
    <n v="2197"/>
    <n v="0"/>
    <n v="0"/>
    <n v="0"/>
    <n v="1"/>
    <n v="0"/>
    <n v="0"/>
    <n v="0"/>
    <n v="0"/>
    <n v="1"/>
    <n v="976"/>
    <d v="2016-10-09T00:00:00"/>
  </r>
  <r>
    <n v="883"/>
    <n v="64831"/>
    <n v="976"/>
    <n v="1.5054526383982971E-2"/>
    <x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x v="1"/>
    <x v="50"/>
    <s v="66+"/>
    <n v="2543"/>
    <n v="0"/>
    <n v="0"/>
    <n v="1"/>
    <n v="0"/>
    <n v="0"/>
    <n v="1"/>
    <n v="0"/>
    <n v="0"/>
    <n v="0"/>
    <n v="832"/>
    <d v="2015-10-29T00:00:00"/>
  </r>
  <r>
    <n v="861"/>
    <n v="73113"/>
    <n v="973"/>
    <n v="1.3308166810279978E-2"/>
    <x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x v="1"/>
    <x v="24"/>
    <s v="51-66"/>
    <n v="2344"/>
    <n v="0"/>
    <n v="0"/>
    <n v="0"/>
    <n v="1"/>
    <n v="0"/>
    <n v="0"/>
    <n v="0"/>
    <n v="1"/>
    <n v="0"/>
    <n v="945"/>
    <d v="2016-05-15T00:00:00"/>
  </r>
  <r>
    <n v="1083"/>
    <n v="84835"/>
    <n v="972"/>
    <n v="1.1457535215418166E-2"/>
    <x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x v="0"/>
    <x v="2"/>
    <s v="36-50"/>
    <n v="2172"/>
    <n v="1"/>
    <n v="0"/>
    <n v="0"/>
    <n v="0"/>
    <n v="0"/>
    <n v="0"/>
    <n v="1"/>
    <n v="0"/>
    <n v="0"/>
    <n v="754"/>
    <d v="2016-11-03T00:00:00"/>
  </r>
  <r>
    <n v="222"/>
    <n v="64961"/>
    <n v="971"/>
    <n v="1.4947429996459415E-2"/>
    <x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x v="1"/>
    <x v="27"/>
    <s v="51-66"/>
    <n v="2712"/>
    <n v="0"/>
    <n v="0"/>
    <n v="0"/>
    <n v="1"/>
    <n v="0"/>
    <n v="0"/>
    <n v="1"/>
    <n v="0"/>
    <n v="0"/>
    <n v="933"/>
    <d v="2015-05-13T00:00:00"/>
  </r>
  <r>
    <n v="1086"/>
    <n v="79244"/>
    <n v="971"/>
    <n v="1.2253293624753924E-2"/>
    <x v="0"/>
    <n v="0"/>
    <n v="58"/>
    <n v="471"/>
    <n v="102"/>
    <n v="125"/>
    <n v="212"/>
    <n v="61"/>
    <n v="245"/>
    <n v="1"/>
    <n v="4"/>
    <n v="10"/>
    <n v="7"/>
    <n v="1"/>
    <n v="1"/>
    <n v="0"/>
    <n v="0"/>
    <n v="0"/>
    <n v="1"/>
    <n v="0"/>
    <x v="0"/>
    <x v="53"/>
    <s v="24-35"/>
    <n v="2716"/>
    <n v="0"/>
    <n v="0"/>
    <n v="1"/>
    <n v="0"/>
    <n v="0"/>
    <n v="0"/>
    <n v="1"/>
    <n v="0"/>
    <n v="0"/>
    <n v="726"/>
    <d v="2015-05-09T00:00:00"/>
  </r>
  <r>
    <n v="655"/>
    <n v="78468"/>
    <n v="970"/>
    <n v="1.2361727073456695E-2"/>
    <x v="0"/>
    <n v="0"/>
    <n v="29"/>
    <n v="434"/>
    <n v="22"/>
    <n v="388"/>
    <n v="104"/>
    <n v="22"/>
    <n v="34"/>
    <n v="1"/>
    <n v="10"/>
    <n v="7"/>
    <n v="10"/>
    <n v="4"/>
    <n v="1"/>
    <n v="0"/>
    <n v="0"/>
    <n v="0"/>
    <n v="0"/>
    <n v="0"/>
    <x v="1"/>
    <x v="24"/>
    <s v="51-66"/>
    <n v="2240"/>
    <n v="0"/>
    <n v="0"/>
    <n v="0"/>
    <n v="1"/>
    <n v="0"/>
    <n v="0"/>
    <n v="1"/>
    <n v="0"/>
    <n v="0"/>
    <n v="936"/>
    <d v="2016-08-27T00:00:00"/>
  </r>
  <r>
    <n v="1074"/>
    <n v="63285"/>
    <n v="969"/>
    <n v="1.5311685233467646E-2"/>
    <x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x v="1"/>
    <x v="49"/>
    <s v="66+"/>
    <n v="2395"/>
    <n v="0"/>
    <n v="0"/>
    <n v="0"/>
    <n v="0"/>
    <n v="1"/>
    <n v="0"/>
    <n v="1"/>
    <n v="0"/>
    <n v="0"/>
    <n v="835"/>
    <d v="2016-03-25T00:00:00"/>
  </r>
  <r>
    <n v="1110"/>
    <n v="101970"/>
    <n v="967"/>
    <n v="9.4831813278415215E-3"/>
    <x v="0"/>
    <n v="0"/>
    <n v="69"/>
    <n v="722"/>
    <n v="27"/>
    <n v="102"/>
    <n v="44"/>
    <n v="72"/>
    <n v="168"/>
    <n v="0"/>
    <n v="6"/>
    <n v="8"/>
    <n v="13"/>
    <n v="2"/>
    <n v="1"/>
    <n v="0"/>
    <n v="0"/>
    <n v="1"/>
    <n v="1"/>
    <n v="0"/>
    <x v="0"/>
    <x v="20"/>
    <s v="36-50"/>
    <n v="2633"/>
    <n v="0"/>
    <n v="0"/>
    <n v="1"/>
    <n v="0"/>
    <n v="0"/>
    <n v="0"/>
    <n v="1"/>
    <n v="0"/>
    <n v="0"/>
    <n v="799"/>
    <d v="2015-07-31T00:00:00"/>
  </r>
  <r>
    <n v="903"/>
    <n v="70647"/>
    <n v="965"/>
    <n v="1.3659461831358728E-2"/>
    <x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x v="1"/>
    <x v="26"/>
    <s v="51-66"/>
    <n v="2805"/>
    <n v="1"/>
    <n v="0"/>
    <n v="0"/>
    <n v="0"/>
    <n v="0"/>
    <n v="0"/>
    <n v="1"/>
    <n v="0"/>
    <n v="0"/>
    <n v="851"/>
    <d v="2015-02-09T00:00:00"/>
  </r>
  <r>
    <n v="1967"/>
    <n v="71965"/>
    <n v="965"/>
    <n v="1.34092961856458E-2"/>
    <x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x v="1"/>
    <x v="15"/>
    <s v="66+"/>
    <n v="2494"/>
    <n v="0"/>
    <n v="1"/>
    <n v="0"/>
    <n v="0"/>
    <n v="0"/>
    <n v="0"/>
    <n v="1"/>
    <n v="0"/>
    <n v="0"/>
    <n v="717"/>
    <d v="2015-12-17T00:00:00"/>
  </r>
  <r>
    <n v="422"/>
    <n v="56796"/>
    <n v="964"/>
    <n v="1.6973026269455595E-2"/>
    <x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  <x v="3"/>
    <s v="51-66"/>
    <n v="2657"/>
    <n v="0"/>
    <n v="1"/>
    <n v="0"/>
    <n v="0"/>
    <n v="0"/>
    <n v="0"/>
    <n v="1"/>
    <n v="0"/>
    <n v="0"/>
    <n v="927"/>
    <d v="2015-07-07T00:00:00"/>
  </r>
  <r>
    <n v="1118"/>
    <n v="102692"/>
    <n v="964"/>
    <n v="9.3872940443267237E-3"/>
    <x v="0"/>
    <n v="0"/>
    <n v="5"/>
    <n v="168"/>
    <n v="148"/>
    <n v="444"/>
    <n v="32"/>
    <n v="172"/>
    <n v="148"/>
    <n v="1"/>
    <n v="6"/>
    <n v="9"/>
    <n v="13"/>
    <n v="2"/>
    <n v="1"/>
    <n v="1"/>
    <n v="0"/>
    <n v="1"/>
    <n v="1"/>
    <n v="0"/>
    <x v="0"/>
    <x v="35"/>
    <s v="36-50"/>
    <n v="2609"/>
    <n v="1"/>
    <n v="0"/>
    <n v="0"/>
    <n v="0"/>
    <n v="0"/>
    <n v="0"/>
    <n v="1"/>
    <n v="0"/>
    <n v="0"/>
    <n v="816"/>
    <d v="2015-08-24T00:00:00"/>
  </r>
  <r>
    <n v="425"/>
    <n v="65991"/>
    <n v="962"/>
    <n v="1.4577745450137141E-2"/>
    <x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x v="1"/>
    <x v="7"/>
    <s v="36-50"/>
    <n v="2819"/>
    <n v="0"/>
    <n v="1"/>
    <n v="0"/>
    <n v="0"/>
    <n v="0"/>
    <n v="0"/>
    <n v="1"/>
    <n v="0"/>
    <n v="0"/>
    <n v="953"/>
    <d v="2015-01-26T00:00:00"/>
  </r>
  <r>
    <n v="1174"/>
    <n v="67433"/>
    <n v="962"/>
    <n v="1.426601218987736E-2"/>
    <x v="0"/>
    <n v="2"/>
    <n v="51"/>
    <n v="615"/>
    <n v="28"/>
    <n v="259"/>
    <n v="12"/>
    <n v="48"/>
    <n v="30"/>
    <n v="4"/>
    <n v="6"/>
    <n v="5"/>
    <n v="13"/>
    <n v="4"/>
    <n v="0"/>
    <n v="0"/>
    <n v="0"/>
    <n v="1"/>
    <n v="0"/>
    <n v="0"/>
    <x v="1"/>
    <x v="50"/>
    <s v="66+"/>
    <n v="2507"/>
    <n v="0"/>
    <n v="1"/>
    <n v="0"/>
    <n v="0"/>
    <n v="0"/>
    <n v="0"/>
    <n v="1"/>
    <n v="0"/>
    <n v="0"/>
    <n v="932"/>
    <d v="2015-12-04T00:00:00"/>
  </r>
  <r>
    <n v="1367"/>
    <n v="65148"/>
    <n v="962"/>
    <n v="1.4766378092957574E-2"/>
    <x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x v="1"/>
    <x v="27"/>
    <s v="51-66"/>
    <n v="2749"/>
    <n v="0"/>
    <n v="1"/>
    <n v="0"/>
    <n v="0"/>
    <n v="0"/>
    <n v="0"/>
    <n v="1"/>
    <n v="0"/>
    <n v="0"/>
    <n v="809"/>
    <d v="2015-04-06T00:00:00"/>
  </r>
  <r>
    <n v="1119"/>
    <n v="81698"/>
    <n v="961"/>
    <n v="1.1762833851501873E-2"/>
    <x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x v="0"/>
    <x v="4"/>
    <s v="66+"/>
    <n v="2394"/>
    <n v="0"/>
    <n v="1"/>
    <n v="0"/>
    <n v="0"/>
    <n v="0"/>
    <n v="0"/>
    <n v="0"/>
    <n v="1"/>
    <n v="0"/>
    <n v="914"/>
    <d v="2016-03-26T00:00:00"/>
  </r>
  <r>
    <n v="1190"/>
    <n v="55956"/>
    <n v="961"/>
    <n v="1.7174208306526557E-2"/>
    <x v="0"/>
    <n v="0"/>
    <n v="22"/>
    <n v="760"/>
    <n v="38"/>
    <n v="104"/>
    <n v="50"/>
    <n v="9"/>
    <n v="38"/>
    <n v="2"/>
    <n v="7"/>
    <n v="3"/>
    <n v="4"/>
    <n v="4"/>
    <n v="0"/>
    <n v="0"/>
    <n v="0"/>
    <n v="1"/>
    <n v="0"/>
    <n v="0"/>
    <x v="1"/>
    <x v="34"/>
    <s v="66+"/>
    <n v="2242"/>
    <n v="0"/>
    <n v="1"/>
    <n v="0"/>
    <n v="0"/>
    <n v="0"/>
    <n v="0"/>
    <n v="1"/>
    <n v="0"/>
    <n v="0"/>
    <n v="923"/>
    <d v="2016-08-25T00:00:00"/>
  </r>
  <r>
    <n v="1977"/>
    <n v="67716"/>
    <n v="960"/>
    <n v="1.417685628211944E-2"/>
    <x v="0"/>
    <n v="1"/>
    <n v="8"/>
    <n v="530"/>
    <n v="142"/>
    <n v="217"/>
    <n v="62"/>
    <n v="9"/>
    <n v="56"/>
    <n v="4"/>
    <n v="7"/>
    <n v="4"/>
    <n v="13"/>
    <n v="5"/>
    <n v="0"/>
    <n v="0"/>
    <n v="0"/>
    <n v="1"/>
    <n v="0"/>
    <n v="0"/>
    <x v="1"/>
    <x v="24"/>
    <s v="51-66"/>
    <n v="2694"/>
    <n v="0"/>
    <n v="1"/>
    <n v="0"/>
    <n v="0"/>
    <n v="0"/>
    <n v="0"/>
    <n v="1"/>
    <n v="0"/>
    <n v="0"/>
    <n v="904"/>
    <d v="2015-05-31T00:00:00"/>
  </r>
  <r>
    <n v="1457"/>
    <n v="82460"/>
    <n v="959"/>
    <n v="1.1629881154499151E-2"/>
    <x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x v="1"/>
    <x v="51"/>
    <s v="66+"/>
    <n v="2368"/>
    <n v="1"/>
    <n v="0"/>
    <n v="0"/>
    <n v="0"/>
    <n v="0"/>
    <n v="0"/>
    <n v="1"/>
    <n v="0"/>
    <n v="0"/>
    <n v="944"/>
    <d v="2016-04-21T00:00:00"/>
  </r>
  <r>
    <n v="818"/>
    <n v="62450"/>
    <n v="957"/>
    <n v="1.5324259407526021E-2"/>
    <x v="0"/>
    <n v="1"/>
    <n v="61"/>
    <n v="515"/>
    <n v="47"/>
    <n v="267"/>
    <n v="62"/>
    <n v="66"/>
    <n v="38"/>
    <n v="2"/>
    <n v="5"/>
    <n v="5"/>
    <n v="4"/>
    <n v="3"/>
    <n v="0"/>
    <n v="0"/>
    <n v="0"/>
    <n v="1"/>
    <n v="0"/>
    <n v="0"/>
    <x v="1"/>
    <x v="29"/>
    <s v="51-66"/>
    <n v="2333"/>
    <n v="0"/>
    <n v="0"/>
    <n v="1"/>
    <n v="0"/>
    <n v="0"/>
    <n v="0"/>
    <n v="1"/>
    <n v="0"/>
    <n v="0"/>
    <n v="919"/>
    <d v="2016-05-26T00:00:00"/>
  </r>
  <r>
    <n v="1680"/>
    <n v="68148"/>
    <n v="957"/>
    <n v="1.4042965310794154E-2"/>
    <x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x v="1"/>
    <x v="12"/>
    <s v="51-66"/>
    <n v="2461"/>
    <n v="0"/>
    <n v="0"/>
    <n v="0"/>
    <n v="1"/>
    <n v="0"/>
    <n v="0"/>
    <n v="0"/>
    <n v="1"/>
    <n v="0"/>
    <n v="872"/>
    <d v="2016-01-19T00:00:00"/>
  </r>
  <r>
    <n v="674"/>
    <n v="74806"/>
    <n v="956"/>
    <n v="1.2779723551586771E-2"/>
    <x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x v="1"/>
    <x v="47"/>
    <s v="51-66"/>
    <n v="2716"/>
    <n v="0"/>
    <n v="1"/>
    <n v="0"/>
    <n v="0"/>
    <n v="0"/>
    <n v="0"/>
    <n v="0"/>
    <n v="1"/>
    <n v="0"/>
    <n v="947"/>
    <d v="2015-05-09T00:00:00"/>
  </r>
  <r>
    <n v="1794"/>
    <n v="55686"/>
    <n v="956"/>
    <n v="1.716769026326186E-2"/>
    <x v="0"/>
    <n v="1"/>
    <n v="27"/>
    <n v="673"/>
    <n v="0"/>
    <n v="199"/>
    <n v="37"/>
    <n v="47"/>
    <n v="26"/>
    <n v="2"/>
    <n v="6"/>
    <n v="3"/>
    <n v="5"/>
    <n v="4"/>
    <n v="0"/>
    <n v="0"/>
    <n v="1"/>
    <n v="0"/>
    <n v="0"/>
    <n v="0"/>
    <x v="1"/>
    <x v="22"/>
    <s v="51-66"/>
    <n v="2659"/>
    <n v="1"/>
    <n v="0"/>
    <n v="0"/>
    <n v="0"/>
    <n v="0"/>
    <n v="0"/>
    <n v="1"/>
    <n v="0"/>
    <n v="0"/>
    <n v="930"/>
    <d v="2015-07-05T00:00:00"/>
  </r>
  <r>
    <n v="1917"/>
    <n v="66476"/>
    <n v="956"/>
    <n v="1.4381130031891209E-2"/>
    <x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x v="1"/>
    <x v="3"/>
    <s v="51-66"/>
    <n v="2366"/>
    <n v="0"/>
    <n v="0"/>
    <n v="0"/>
    <n v="1"/>
    <n v="0"/>
    <n v="0"/>
    <n v="0"/>
    <n v="1"/>
    <n v="0"/>
    <n v="899"/>
    <d v="2016-04-23T00:00:00"/>
  </r>
  <r>
    <n v="997"/>
    <n v="65196"/>
    <n v="955"/>
    <n v="1.4648137922571938E-2"/>
    <x v="0"/>
    <n v="2"/>
    <n v="34"/>
    <n v="743"/>
    <n v="19"/>
    <n v="181"/>
    <n v="12"/>
    <n v="0"/>
    <n v="200"/>
    <n v="2"/>
    <n v="7"/>
    <n v="6"/>
    <n v="11"/>
    <n v="5"/>
    <n v="0"/>
    <n v="0"/>
    <n v="1"/>
    <n v="0"/>
    <n v="0"/>
    <n v="0"/>
    <x v="1"/>
    <x v="27"/>
    <s v="51-66"/>
    <n v="2498"/>
    <n v="0"/>
    <n v="0"/>
    <n v="0"/>
    <n v="1"/>
    <n v="0"/>
    <n v="0"/>
    <n v="1"/>
    <n v="0"/>
    <n v="0"/>
    <n v="755"/>
    <d v="2015-12-13T00:00:00"/>
  </r>
  <r>
    <n v="405"/>
    <n v="75236"/>
    <n v="954"/>
    <n v="1.2680099952150567E-2"/>
    <x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x v="1"/>
    <x v="42"/>
    <s v="51-66"/>
    <n v="2375"/>
    <n v="0"/>
    <n v="1"/>
    <n v="0"/>
    <n v="0"/>
    <n v="0"/>
    <n v="0"/>
    <n v="1"/>
    <n v="0"/>
    <n v="0"/>
    <n v="840"/>
    <d v="2016-04-14T00:00:00"/>
  </r>
  <r>
    <n v="1172"/>
    <n v="65106"/>
    <n v="954"/>
    <n v="1.4653027370749239E-2"/>
    <x v="0"/>
    <n v="1"/>
    <n v="55"/>
    <n v="790"/>
    <n v="19"/>
    <n v="133"/>
    <n v="12"/>
    <n v="0"/>
    <n v="19"/>
    <n v="3"/>
    <n v="8"/>
    <n v="3"/>
    <n v="13"/>
    <n v="6"/>
    <n v="0"/>
    <n v="0"/>
    <n v="0"/>
    <n v="1"/>
    <n v="0"/>
    <n v="0"/>
    <x v="1"/>
    <x v="16"/>
    <s v="36-50"/>
    <n v="2195"/>
    <n v="0"/>
    <n v="1"/>
    <n v="0"/>
    <n v="0"/>
    <n v="0"/>
    <n v="0"/>
    <n v="1"/>
    <n v="0"/>
    <n v="0"/>
    <n v="935"/>
    <d v="2016-10-11T00:00:00"/>
  </r>
  <r>
    <n v="22"/>
    <n v="58607"/>
    <n v="953"/>
    <n v="1.6260856211715323E-2"/>
    <x v="0"/>
    <n v="1"/>
    <n v="63"/>
    <n v="867"/>
    <n v="0"/>
    <n v="86"/>
    <n v="0"/>
    <n v="0"/>
    <n v="19"/>
    <n v="3"/>
    <n v="2"/>
    <n v="3"/>
    <n v="9"/>
    <n v="8"/>
    <n v="0"/>
    <n v="0"/>
    <n v="0"/>
    <n v="1"/>
    <n v="0"/>
    <n v="0"/>
    <x v="1"/>
    <x v="4"/>
    <s v="66+"/>
    <n v="2712"/>
    <n v="0"/>
    <n v="1"/>
    <n v="0"/>
    <n v="0"/>
    <n v="0"/>
    <n v="0"/>
    <n v="0"/>
    <n v="0"/>
    <n v="1"/>
    <n v="934"/>
    <d v="2015-05-13T00:00:00"/>
  </r>
  <r>
    <n v="1447"/>
    <n v="75283"/>
    <n v="953"/>
    <n v="1.2658900415764516E-2"/>
    <x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x v="1"/>
    <x v="12"/>
    <s v="51-66"/>
    <n v="2618"/>
    <n v="0"/>
    <n v="1"/>
    <n v="0"/>
    <n v="0"/>
    <n v="0"/>
    <n v="0"/>
    <n v="0"/>
    <n v="0"/>
    <n v="1"/>
    <n v="887"/>
    <d v="2015-08-15T00:00:00"/>
  </r>
  <r>
    <n v="1488"/>
    <n v="52973"/>
    <n v="953"/>
    <n v="1.7990296943726048E-2"/>
    <x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x v="1"/>
    <x v="5"/>
    <s v="51-66"/>
    <n v="2757"/>
    <n v="0"/>
    <n v="1"/>
    <n v="0"/>
    <n v="0"/>
    <n v="0"/>
    <n v="0"/>
    <n v="0"/>
    <n v="1"/>
    <n v="0"/>
    <n v="754"/>
    <d v="2015-03-29T00:00:00"/>
  </r>
  <r>
    <n v="343"/>
    <n v="52614"/>
    <n v="952"/>
    <n v="1.8094043410499108E-2"/>
    <x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  <x v="16"/>
    <s v="36-50"/>
    <n v="2734"/>
    <n v="0"/>
    <n v="0"/>
    <n v="1"/>
    <n v="0"/>
    <n v="0"/>
    <n v="0"/>
    <n v="0"/>
    <n v="0"/>
    <n v="1"/>
    <n v="914"/>
    <d v="2015-04-21T00:00:00"/>
  </r>
  <r>
    <n v="1129"/>
    <n v="84953"/>
    <n v="952"/>
    <n v="1.1206196367403153E-2"/>
    <x v="0"/>
    <n v="0"/>
    <n v="73"/>
    <n v="167"/>
    <n v="48"/>
    <n v="602"/>
    <n v="63"/>
    <n v="72"/>
    <n v="72"/>
    <n v="1"/>
    <n v="3"/>
    <n v="10"/>
    <n v="4"/>
    <n v="2"/>
    <n v="1"/>
    <n v="0"/>
    <n v="0"/>
    <n v="1"/>
    <n v="1"/>
    <n v="0"/>
    <x v="0"/>
    <x v="10"/>
    <s v="66+"/>
    <n v="2550"/>
    <n v="0"/>
    <n v="0"/>
    <n v="0"/>
    <n v="0"/>
    <n v="1"/>
    <n v="0"/>
    <n v="0"/>
    <n v="1"/>
    <n v="0"/>
    <n v="880"/>
    <d v="2015-10-22T00:00:00"/>
  </r>
  <r>
    <n v="1736"/>
    <n v="60491"/>
    <n v="952"/>
    <n v="1.5737878362070391E-2"/>
    <x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x v="1"/>
    <x v="28"/>
    <s v="36-50"/>
    <n v="2455"/>
    <n v="0"/>
    <n v="1"/>
    <n v="0"/>
    <n v="0"/>
    <n v="0"/>
    <n v="0"/>
    <n v="0"/>
    <n v="0"/>
    <n v="1"/>
    <n v="876"/>
    <d v="2016-01-25T00:00:00"/>
  </r>
  <r>
    <n v="225"/>
    <n v="61074"/>
    <n v="950"/>
    <n v="1.5554900612371877E-2"/>
    <x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x v="1"/>
    <x v="27"/>
    <s v="51-66"/>
    <n v="2840"/>
    <n v="0"/>
    <n v="1"/>
    <n v="0"/>
    <n v="0"/>
    <n v="0"/>
    <n v="0"/>
    <n v="1"/>
    <n v="0"/>
    <n v="0"/>
    <n v="798"/>
    <d v="2015-01-05T00:00:00"/>
  </r>
  <r>
    <n v="1092"/>
    <n v="80685"/>
    <n v="950"/>
    <n v="1.1774183553324657E-2"/>
    <x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x v="1"/>
    <x v="25"/>
    <s v="24-35"/>
    <n v="2835"/>
    <n v="0"/>
    <n v="0"/>
    <n v="0"/>
    <n v="1"/>
    <n v="0"/>
    <n v="0"/>
    <n v="1"/>
    <n v="0"/>
    <n v="0"/>
    <n v="896"/>
    <d v="2015-01-10T00:00:00"/>
  </r>
  <r>
    <n v="387"/>
    <n v="75072"/>
    <n v="948"/>
    <n v="1.2627877237851663E-2"/>
    <x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x v="1"/>
    <x v="46"/>
    <s v="51-66"/>
    <n v="2681"/>
    <n v="0"/>
    <n v="0"/>
    <n v="0"/>
    <n v="1"/>
    <n v="0"/>
    <n v="0"/>
    <n v="1"/>
    <n v="0"/>
    <n v="0"/>
    <n v="823"/>
    <d v="2015-06-13T00:00:00"/>
  </r>
  <r>
    <n v="892"/>
    <n v="67893"/>
    <n v="948"/>
    <n v="1.3963147894481021E-2"/>
    <x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x v="1"/>
    <x v="16"/>
    <s v="36-50"/>
    <n v="2795"/>
    <n v="1"/>
    <n v="0"/>
    <n v="0"/>
    <n v="0"/>
    <n v="0"/>
    <n v="1"/>
    <n v="0"/>
    <n v="0"/>
    <n v="0"/>
    <n v="901"/>
    <d v="2015-02-19T00:00:00"/>
  </r>
  <r>
    <n v="141"/>
    <n v="61010"/>
    <n v="945"/>
    <n v="1.5489264055072938E-2"/>
    <x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x v="1"/>
    <x v="50"/>
    <s v="66+"/>
    <n v="2787"/>
    <n v="0"/>
    <n v="0"/>
    <n v="0"/>
    <n v="1"/>
    <n v="0"/>
    <n v="0"/>
    <n v="0"/>
    <n v="0"/>
    <n v="1"/>
    <n v="869"/>
    <d v="2015-02-27T00:00:00"/>
  </r>
  <r>
    <n v="991"/>
    <n v="70596"/>
    <n v="942"/>
    <n v="1.3343532211456739E-2"/>
    <x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  <x v="23"/>
    <s v="24-35"/>
    <n v="2791"/>
    <n v="0"/>
    <n v="0"/>
    <n v="1"/>
    <n v="0"/>
    <n v="0"/>
    <n v="0"/>
    <n v="1"/>
    <n v="0"/>
    <n v="0"/>
    <n v="916"/>
    <d v="2015-02-23T00:00:00"/>
  </r>
  <r>
    <n v="1140"/>
    <n v="94871"/>
    <n v="934"/>
    <n v="9.8449473495588746E-3"/>
    <x v="0"/>
    <n v="2"/>
    <n v="99"/>
    <n v="169"/>
    <n v="24"/>
    <n v="553"/>
    <n v="188"/>
    <n v="0"/>
    <n v="144"/>
    <n v="1"/>
    <n v="8"/>
    <n v="5"/>
    <n v="4"/>
    <n v="7"/>
    <n v="0"/>
    <n v="0"/>
    <n v="0"/>
    <n v="1"/>
    <n v="1"/>
    <n v="0"/>
    <x v="0"/>
    <x v="3"/>
    <s v="51-66"/>
    <n v="2825"/>
    <n v="0"/>
    <n v="1"/>
    <n v="0"/>
    <n v="0"/>
    <n v="0"/>
    <n v="0"/>
    <n v="0"/>
    <n v="0"/>
    <n v="1"/>
    <n v="790"/>
    <d v="2015-01-20T00:00:00"/>
  </r>
  <r>
    <n v="879"/>
    <n v="71796"/>
    <n v="928"/>
    <n v="1.2925511170538749E-2"/>
    <x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x v="1"/>
    <x v="28"/>
    <s v="36-50"/>
    <n v="2407"/>
    <n v="0"/>
    <n v="0"/>
    <n v="0"/>
    <n v="1"/>
    <n v="0"/>
    <n v="0"/>
    <n v="1"/>
    <n v="0"/>
    <n v="0"/>
    <n v="896"/>
    <d v="2016-03-13T00:00:00"/>
  </r>
  <r>
    <n v="860"/>
    <n v="62820"/>
    <n v="923"/>
    <n v="1.469277300222859E-2"/>
    <x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  <x v="44"/>
    <s v="66+"/>
    <n v="2573"/>
    <n v="0"/>
    <n v="1"/>
    <n v="0"/>
    <n v="0"/>
    <n v="0"/>
    <n v="0"/>
    <n v="1"/>
    <n v="0"/>
    <n v="0"/>
    <n v="870"/>
    <d v="2015-09-29T00:00:00"/>
  </r>
  <r>
    <n v="1784"/>
    <n v="70053"/>
    <n v="923"/>
    <n v="1.3175738369520221E-2"/>
    <x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x v="1"/>
    <x v="47"/>
    <s v="51-66"/>
    <n v="2520"/>
    <n v="0"/>
    <n v="1"/>
    <n v="0"/>
    <n v="0"/>
    <n v="0"/>
    <n v="0"/>
    <n v="0"/>
    <n v="1"/>
    <n v="0"/>
    <n v="834"/>
    <d v="2015-11-21T00:00:00"/>
  </r>
  <r>
    <n v="1548"/>
    <n v="58350"/>
    <n v="921"/>
    <n v="1.5784061696658098E-2"/>
    <x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x v="1"/>
    <x v="28"/>
    <s v="36-50"/>
    <n v="2700"/>
    <n v="0"/>
    <n v="0"/>
    <n v="1"/>
    <n v="0"/>
    <n v="0"/>
    <n v="0"/>
    <n v="1"/>
    <n v="0"/>
    <n v="0"/>
    <n v="841"/>
    <d v="2015-05-25T00:00:00"/>
  </r>
  <r>
    <n v="1089"/>
    <n v="57304"/>
    <n v="920"/>
    <n v="1.6054725673600445E-2"/>
    <x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x v="1"/>
    <x v="15"/>
    <s v="66+"/>
    <n v="2634"/>
    <n v="0"/>
    <n v="1"/>
    <n v="0"/>
    <n v="0"/>
    <n v="0"/>
    <n v="0"/>
    <n v="1"/>
    <n v="0"/>
    <n v="0"/>
    <n v="814"/>
    <d v="2015-07-30T00:00:00"/>
  </r>
  <r>
    <n v="918"/>
    <n v="83715"/>
    <n v="918"/>
    <n v="1.0965776742519261E-2"/>
    <x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x v="1"/>
    <x v="46"/>
    <s v="51-66"/>
    <n v="2305"/>
    <n v="0"/>
    <n v="1"/>
    <n v="0"/>
    <n v="0"/>
    <n v="0"/>
    <n v="0"/>
    <n v="1"/>
    <n v="0"/>
    <n v="0"/>
    <n v="910"/>
    <d v="2016-06-23T00:00:00"/>
  </r>
  <r>
    <n v="706"/>
    <n v="63855"/>
    <n v="917"/>
    <n v="1.4360660872288778E-2"/>
    <x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x v="1"/>
    <x v="37"/>
    <s v="36-50"/>
    <n v="2664"/>
    <n v="0"/>
    <n v="0"/>
    <n v="0"/>
    <n v="1"/>
    <n v="0"/>
    <n v="1"/>
    <n v="0"/>
    <n v="0"/>
    <n v="0"/>
    <n v="828"/>
    <d v="2015-06-30T00:00:00"/>
  </r>
  <r>
    <n v="1661"/>
    <n v="52513"/>
    <n v="917"/>
    <n v="1.7462342658008494E-2"/>
    <x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x v="1"/>
    <x v="37"/>
    <s v="36-50"/>
    <n v="2822"/>
    <n v="0"/>
    <n v="0"/>
    <n v="0"/>
    <n v="1"/>
    <n v="0"/>
    <n v="1"/>
    <n v="0"/>
    <n v="0"/>
    <n v="0"/>
    <n v="685"/>
    <d v="2015-01-23T00:00:00"/>
  </r>
  <r>
    <n v="475"/>
    <n v="65665"/>
    <n v="916"/>
    <n v="1.394959262925455E-2"/>
    <x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x v="1"/>
    <x v="7"/>
    <s v="36-50"/>
    <n v="2368"/>
    <n v="0"/>
    <n v="1"/>
    <n v="0"/>
    <n v="0"/>
    <n v="0"/>
    <n v="0"/>
    <n v="1"/>
    <n v="0"/>
    <n v="0"/>
    <n v="887"/>
    <d v="2016-04-21T00:00:00"/>
  </r>
  <r>
    <n v="699"/>
    <n v="71163"/>
    <n v="916"/>
    <n v="1.2871857566431994E-2"/>
    <x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x v="1"/>
    <x v="52"/>
    <s v="24-35"/>
    <n v="2271"/>
    <n v="0"/>
    <n v="0"/>
    <n v="1"/>
    <n v="0"/>
    <n v="0"/>
    <n v="0"/>
    <n v="1"/>
    <n v="0"/>
    <n v="0"/>
    <n v="872"/>
    <d v="2016-07-27T00:00:00"/>
  </r>
  <r>
    <n v="1616"/>
    <n v="67131"/>
    <n v="914"/>
    <n v="1.361517033859171E-2"/>
    <x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x v="1"/>
    <x v="5"/>
    <s v="51-66"/>
    <n v="2619"/>
    <n v="0"/>
    <n v="1"/>
    <n v="0"/>
    <n v="0"/>
    <n v="0"/>
    <n v="0"/>
    <n v="1"/>
    <n v="0"/>
    <n v="0"/>
    <n v="852"/>
    <d v="2015-08-14T00:00:00"/>
  </r>
  <r>
    <n v="620"/>
    <n v="58330"/>
    <n v="913"/>
    <n v="1.5652322989885135E-2"/>
    <x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  <x v="16"/>
    <s v="36-50"/>
    <n v="2345"/>
    <n v="0"/>
    <n v="0"/>
    <n v="0"/>
    <n v="0"/>
    <n v="1"/>
    <n v="0"/>
    <n v="1"/>
    <n v="0"/>
    <n v="0"/>
    <n v="762"/>
    <d v="2016-05-14T00:00:00"/>
  </r>
  <r>
    <n v="1891"/>
    <n v="87000"/>
    <n v="912"/>
    <n v="1.0482758620689656E-2"/>
    <x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x v="1"/>
    <x v="17"/>
    <s v="24-35"/>
    <n v="2720"/>
    <n v="0"/>
    <n v="1"/>
    <n v="0"/>
    <n v="0"/>
    <n v="0"/>
    <n v="1"/>
    <n v="0"/>
    <n v="0"/>
    <n v="0"/>
    <n v="863"/>
    <d v="2015-05-05T00:00:00"/>
  </r>
  <r>
    <n v="1276"/>
    <n v="52203"/>
    <n v="911"/>
    <n v="1.74511043426623E-2"/>
    <x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x v="1"/>
    <x v="51"/>
    <s v="66+"/>
    <n v="2857"/>
    <n v="0"/>
    <n v="0"/>
    <n v="0"/>
    <n v="1"/>
    <n v="0"/>
    <n v="1"/>
    <n v="0"/>
    <n v="0"/>
    <n v="0"/>
    <n v="883"/>
    <d v="2014-12-19T00:00:00"/>
  </r>
  <r>
    <n v="1425"/>
    <n v="74881"/>
    <n v="910"/>
    <n v="1.2152615483233396E-2"/>
    <x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  <x v="21"/>
    <s v="51-66"/>
    <n v="2637"/>
    <n v="0"/>
    <n v="0"/>
    <n v="0"/>
    <n v="1"/>
    <n v="0"/>
    <n v="0"/>
    <n v="0"/>
    <n v="1"/>
    <n v="0"/>
    <n v="856"/>
    <d v="2015-07-27T00:00:00"/>
  </r>
  <r>
    <n v="595"/>
    <n v="65488"/>
    <n v="909"/>
    <n v="1.3880405570486197E-2"/>
    <x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x v="1"/>
    <x v="27"/>
    <s v="51-66"/>
    <n v="2175"/>
    <n v="0"/>
    <n v="0"/>
    <n v="0"/>
    <n v="1"/>
    <n v="0"/>
    <n v="0"/>
    <n v="0"/>
    <n v="0"/>
    <n v="1"/>
    <n v="855"/>
    <d v="2016-10-31T00:00:00"/>
  </r>
  <r>
    <n v="1124"/>
    <n v="78075"/>
    <n v="908"/>
    <n v="1.1629843099583734E-2"/>
    <x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x v="1"/>
    <x v="9"/>
    <s v="36-50"/>
    <n v="2244"/>
    <n v="0"/>
    <n v="1"/>
    <n v="0"/>
    <n v="0"/>
    <n v="0"/>
    <n v="0"/>
    <n v="0"/>
    <n v="0"/>
    <n v="1"/>
    <n v="828"/>
    <d v="2016-08-23T00:00:00"/>
  </r>
  <r>
    <n v="1397"/>
    <n v="78931"/>
    <n v="908"/>
    <n v="1.1503718437622735E-2"/>
    <x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x v="1"/>
    <x v="28"/>
    <s v="36-50"/>
    <n v="2406"/>
    <n v="0"/>
    <n v="1"/>
    <n v="0"/>
    <n v="0"/>
    <n v="0"/>
    <n v="0"/>
    <n v="0"/>
    <n v="0"/>
    <n v="1"/>
    <n v="873"/>
    <d v="2016-03-14T00:00:00"/>
  </r>
  <r>
    <n v="1699"/>
    <n v="70886"/>
    <n v="907"/>
    <n v="1.2795192280563158E-2"/>
    <x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x v="1"/>
    <x v="28"/>
    <s v="36-50"/>
    <n v="2417"/>
    <n v="0"/>
    <n v="1"/>
    <n v="0"/>
    <n v="0"/>
    <n v="0"/>
    <n v="0"/>
    <n v="1"/>
    <n v="0"/>
    <n v="0"/>
    <n v="854"/>
    <d v="2016-03-03T00:00:00"/>
  </r>
  <r>
    <n v="586"/>
    <n v="72298"/>
    <n v="904"/>
    <n v="1.2503803701347202E-2"/>
    <x v="0"/>
    <n v="0"/>
    <n v="52"/>
    <n v="625"/>
    <n v="35"/>
    <n v="169"/>
    <n v="58"/>
    <n v="17"/>
    <n v="35"/>
    <n v="1"/>
    <n v="4"/>
    <n v="3"/>
    <n v="6"/>
    <n v="1"/>
    <n v="0"/>
    <n v="0"/>
    <n v="0"/>
    <n v="1"/>
    <n v="1"/>
    <n v="0"/>
    <x v="1"/>
    <x v="4"/>
    <s v="66+"/>
    <n v="2270"/>
    <n v="0"/>
    <n v="0"/>
    <n v="0"/>
    <n v="0"/>
    <n v="1"/>
    <n v="0"/>
    <n v="1"/>
    <n v="0"/>
    <n v="0"/>
    <n v="869"/>
    <d v="2016-07-28T00:00:00"/>
  </r>
  <r>
    <n v="876"/>
    <n v="64950"/>
    <n v="903"/>
    <n v="1.3903002309468821E-2"/>
    <x v="0"/>
    <n v="1"/>
    <n v="29"/>
    <n v="819"/>
    <n v="0"/>
    <n v="72"/>
    <n v="12"/>
    <n v="0"/>
    <n v="63"/>
    <n v="2"/>
    <n v="11"/>
    <n v="2"/>
    <n v="10"/>
    <n v="7"/>
    <n v="0"/>
    <n v="0"/>
    <n v="0"/>
    <n v="1"/>
    <n v="0"/>
    <n v="0"/>
    <x v="1"/>
    <x v="15"/>
    <s v="66+"/>
    <n v="2845"/>
    <n v="0"/>
    <n v="0"/>
    <n v="1"/>
    <n v="0"/>
    <n v="0"/>
    <n v="0"/>
    <n v="0"/>
    <n v="0"/>
    <n v="1"/>
    <n v="840"/>
    <d v="2014-12-31T00:00:00"/>
  </r>
  <r>
    <n v="784"/>
    <n v="71391"/>
    <n v="902"/>
    <n v="1.2634645823703269E-2"/>
    <x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x v="1"/>
    <x v="5"/>
    <s v="51-66"/>
    <n v="2616"/>
    <n v="0"/>
    <n v="1"/>
    <n v="0"/>
    <n v="0"/>
    <n v="0"/>
    <n v="0"/>
    <n v="1"/>
    <n v="0"/>
    <n v="0"/>
    <n v="761"/>
    <d v="2015-08-17T00:00:00"/>
  </r>
  <r>
    <n v="1033"/>
    <n v="56775"/>
    <n v="902"/>
    <n v="1.5887274328489652E-2"/>
    <x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x v="1"/>
    <x v="19"/>
    <s v="36-50"/>
    <n v="2702"/>
    <n v="0"/>
    <n v="1"/>
    <n v="0"/>
    <n v="0"/>
    <n v="0"/>
    <n v="0"/>
    <n v="1"/>
    <n v="0"/>
    <n v="0"/>
    <n v="867"/>
    <d v="2015-05-23T00:00:00"/>
  </r>
  <r>
    <n v="1394"/>
    <n v="63206"/>
    <n v="902"/>
    <n v="1.427079707622694E-2"/>
    <x v="0"/>
    <n v="0"/>
    <n v="65"/>
    <n v="750"/>
    <n v="8"/>
    <n v="125"/>
    <n v="11"/>
    <n v="8"/>
    <n v="26"/>
    <n v="1"/>
    <n v="4"/>
    <n v="3"/>
    <n v="6"/>
    <n v="2"/>
    <n v="0"/>
    <n v="0"/>
    <n v="0"/>
    <n v="0"/>
    <n v="1"/>
    <n v="0"/>
    <x v="1"/>
    <x v="35"/>
    <s v="36-50"/>
    <n v="2260"/>
    <n v="0"/>
    <n v="1"/>
    <n v="0"/>
    <n v="0"/>
    <n v="0"/>
    <n v="0"/>
    <n v="0"/>
    <n v="1"/>
    <n v="0"/>
    <n v="876"/>
    <d v="2016-08-07T00:00:00"/>
  </r>
  <r>
    <n v="1697"/>
    <n v="69063"/>
    <n v="902"/>
    <n v="1.3060538928224954E-2"/>
    <x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x v="1"/>
    <x v="22"/>
    <s v="51-66"/>
    <n v="2758"/>
    <n v="0"/>
    <n v="1"/>
    <n v="0"/>
    <n v="0"/>
    <n v="0"/>
    <n v="0"/>
    <n v="0"/>
    <n v="0"/>
    <n v="1"/>
    <n v="876"/>
    <d v="2015-03-28T00:00:00"/>
  </r>
  <r>
    <n v="1440"/>
    <n v="70179"/>
    <n v="901"/>
    <n v="1.2838598441129112E-2"/>
    <x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  <x v="7"/>
    <s v="36-50"/>
    <n v="2502"/>
    <n v="1"/>
    <n v="0"/>
    <n v="0"/>
    <n v="0"/>
    <n v="0"/>
    <n v="0"/>
    <n v="0"/>
    <n v="0"/>
    <n v="1"/>
    <n v="768"/>
    <d v="2015-12-09T00:00:00"/>
  </r>
  <r>
    <n v="1559"/>
    <n v="61064"/>
    <n v="900"/>
    <n v="1.4738634874885366E-2"/>
    <x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x v="1"/>
    <x v="7"/>
    <s v="36-50"/>
    <n v="2826"/>
    <n v="0"/>
    <n v="1"/>
    <n v="0"/>
    <n v="0"/>
    <n v="0"/>
    <n v="0"/>
    <n v="1"/>
    <n v="0"/>
    <n v="0"/>
    <n v="720"/>
    <d v="2015-01-19T00:00:00"/>
  </r>
  <r>
    <n v="1629"/>
    <n v="71232"/>
    <n v="900"/>
    <n v="1.2634770889487871E-2"/>
    <x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x v="1"/>
    <x v="29"/>
    <s v="51-66"/>
    <n v="2372"/>
    <n v="0"/>
    <n v="0"/>
    <n v="0"/>
    <n v="1"/>
    <n v="0"/>
    <n v="0"/>
    <n v="1"/>
    <n v="0"/>
    <n v="0"/>
    <n v="883"/>
    <d v="2016-04-17T00:00:00"/>
  </r>
  <r>
    <n v="1151"/>
    <n v="56937"/>
    <n v="898"/>
    <n v="1.5771817974252245E-2"/>
    <x v="1"/>
    <n v="0"/>
    <n v="81"/>
    <n v="746"/>
    <n v="8"/>
    <n v="125"/>
    <n v="11"/>
    <n v="8"/>
    <n v="8"/>
    <n v="7"/>
    <n v="8"/>
    <n v="6"/>
    <n v="9"/>
    <n v="6"/>
    <n v="0"/>
    <n v="0"/>
    <n v="0"/>
    <n v="1"/>
    <n v="0"/>
    <n v="0"/>
    <x v="0"/>
    <x v="43"/>
    <s v="36-50"/>
    <n v="2853"/>
    <n v="0"/>
    <n v="0"/>
    <n v="0"/>
    <n v="1"/>
    <n v="0"/>
    <n v="0"/>
    <n v="0"/>
    <n v="0"/>
    <n v="1"/>
    <n v="890"/>
    <d v="2014-12-23T00:00:00"/>
  </r>
  <r>
    <n v="842"/>
    <n v="55260"/>
    <n v="897"/>
    <n v="1.6232356134636264E-2"/>
    <x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x v="1"/>
    <x v="9"/>
    <s v="36-50"/>
    <n v="2723"/>
    <n v="0"/>
    <n v="0"/>
    <n v="1"/>
    <n v="0"/>
    <n v="0"/>
    <n v="0"/>
    <n v="0"/>
    <n v="0"/>
    <n v="1"/>
    <n v="655"/>
    <d v="2015-05-02T00:00:00"/>
  </r>
  <r>
    <n v="1650"/>
    <n v="79734"/>
    <n v="897"/>
    <n v="1.1249905937241327E-2"/>
    <x v="0"/>
    <n v="0"/>
    <n v="72"/>
    <n v="572"/>
    <n v="8"/>
    <n v="232"/>
    <n v="23"/>
    <n v="62"/>
    <n v="17"/>
    <n v="1"/>
    <n v="4"/>
    <n v="3"/>
    <n v="6"/>
    <n v="1"/>
    <n v="1"/>
    <n v="0"/>
    <n v="0"/>
    <n v="0"/>
    <n v="0"/>
    <n v="0"/>
    <x v="1"/>
    <x v="3"/>
    <s v="51-66"/>
    <n v="2160"/>
    <n v="0"/>
    <n v="1"/>
    <n v="0"/>
    <n v="0"/>
    <n v="0"/>
    <n v="0"/>
    <n v="0"/>
    <n v="1"/>
    <n v="0"/>
    <n v="880"/>
    <d v="2016-11-15T00:00:00"/>
  </r>
  <r>
    <n v="1871"/>
    <n v="76320"/>
    <n v="897"/>
    <n v="1.1753144654088051E-2"/>
    <x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x v="1"/>
    <x v="29"/>
    <s v="51-66"/>
    <n v="2166"/>
    <n v="0"/>
    <n v="0"/>
    <n v="0"/>
    <n v="0"/>
    <n v="1"/>
    <n v="0"/>
    <n v="1"/>
    <n v="0"/>
    <n v="0"/>
    <n v="862"/>
    <d v="2016-11-09T00:00:00"/>
  </r>
  <r>
    <n v="1913"/>
    <n v="44953"/>
    <n v="897"/>
    <n v="1.9954174359886993E-2"/>
    <x v="0"/>
    <n v="0"/>
    <n v="31"/>
    <n v="728"/>
    <n v="17"/>
    <n v="133"/>
    <n v="11"/>
    <n v="8"/>
    <n v="124"/>
    <n v="1"/>
    <n v="7"/>
    <n v="3"/>
    <n v="13"/>
    <n v="6"/>
    <n v="0"/>
    <n v="0"/>
    <n v="1"/>
    <n v="0"/>
    <n v="0"/>
    <n v="0"/>
    <x v="1"/>
    <x v="43"/>
    <s v="36-50"/>
    <n v="2714"/>
    <n v="0"/>
    <n v="0"/>
    <n v="0"/>
    <n v="1"/>
    <n v="0"/>
    <n v="0"/>
    <n v="0"/>
    <n v="0"/>
    <n v="1"/>
    <n v="773"/>
    <d v="2015-05-11T00:00:00"/>
  </r>
  <r>
    <n v="1417"/>
    <n v="69283"/>
    <n v="896"/>
    <n v="1.2932465395551578E-2"/>
    <x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x v="1"/>
    <x v="16"/>
    <s v="36-50"/>
    <n v="2174"/>
    <n v="0"/>
    <n v="1"/>
    <n v="0"/>
    <n v="0"/>
    <n v="0"/>
    <n v="0"/>
    <n v="0"/>
    <n v="0"/>
    <n v="1"/>
    <n v="888"/>
    <d v="2016-11-01T00:00:00"/>
  </r>
  <r>
    <n v="748"/>
    <n v="60161"/>
    <n v="894"/>
    <n v="1.4860125330363525E-2"/>
    <x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x v="1"/>
    <x v="47"/>
    <s v="51-66"/>
    <n v="2773"/>
    <n v="1"/>
    <n v="0"/>
    <n v="0"/>
    <n v="0"/>
    <n v="0"/>
    <n v="1"/>
    <n v="0"/>
    <n v="0"/>
    <n v="0"/>
    <n v="717"/>
    <d v="2015-03-13T00:00:00"/>
  </r>
  <r>
    <n v="759"/>
    <n v="59666"/>
    <n v="894"/>
    <n v="1.4983407635839507E-2"/>
    <x v="1"/>
    <n v="1"/>
    <n v="87"/>
    <n v="623"/>
    <n v="53"/>
    <n v="178"/>
    <n v="23"/>
    <n v="17"/>
    <n v="133"/>
    <n v="7"/>
    <n v="3"/>
    <n v="2"/>
    <n v="8"/>
    <n v="8"/>
    <n v="0"/>
    <n v="0"/>
    <n v="0"/>
    <n v="1"/>
    <n v="0"/>
    <n v="0"/>
    <x v="1"/>
    <x v="9"/>
    <s v="36-50"/>
    <n v="2623"/>
    <n v="0"/>
    <n v="1"/>
    <n v="0"/>
    <n v="0"/>
    <n v="0"/>
    <n v="0"/>
    <n v="1"/>
    <n v="0"/>
    <n v="0"/>
    <n v="761"/>
    <d v="2015-08-10T00:00:00"/>
  </r>
  <r>
    <n v="1173"/>
    <n v="68117"/>
    <n v="894"/>
    <n v="1.3124477002803999E-2"/>
    <x v="0"/>
    <n v="1"/>
    <n v="80"/>
    <n v="618"/>
    <n v="44"/>
    <n v="215"/>
    <n v="0"/>
    <n v="17"/>
    <n v="36"/>
    <n v="2"/>
    <n v="11"/>
    <n v="8"/>
    <n v="4"/>
    <n v="6"/>
    <n v="0"/>
    <n v="0"/>
    <n v="1"/>
    <n v="0"/>
    <n v="0"/>
    <n v="0"/>
    <x v="0"/>
    <x v="6"/>
    <s v="66+"/>
    <n v="2635"/>
    <n v="0"/>
    <n v="0"/>
    <n v="0"/>
    <n v="0"/>
    <n v="1"/>
    <n v="0"/>
    <n v="0"/>
    <n v="0"/>
    <n v="1"/>
    <n v="858"/>
    <d v="2015-07-29T00:00:00"/>
  </r>
  <r>
    <n v="1669"/>
    <n v="54693"/>
    <n v="894"/>
    <n v="1.6345784652514947E-2"/>
    <x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x v="1"/>
    <x v="46"/>
    <s v="51-66"/>
    <n v="2656"/>
    <n v="0"/>
    <n v="1"/>
    <n v="0"/>
    <n v="0"/>
    <n v="0"/>
    <n v="0"/>
    <n v="0"/>
    <n v="0"/>
    <n v="1"/>
    <n v="859"/>
    <d v="2015-07-08T00:00:00"/>
  </r>
  <r>
    <n v="1097"/>
    <n v="77142"/>
    <n v="893"/>
    <n v="1.1576054548754246E-2"/>
    <x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x v="1"/>
    <x v="40"/>
    <s v="66+"/>
    <n v="2555"/>
    <n v="0"/>
    <n v="1"/>
    <n v="0"/>
    <n v="0"/>
    <n v="0"/>
    <n v="0"/>
    <n v="1"/>
    <n v="0"/>
    <n v="0"/>
    <n v="796"/>
    <d v="2015-10-17T00:00:00"/>
  </r>
  <r>
    <n v="166"/>
    <n v="66835"/>
    <n v="892"/>
    <n v="1.3346300591007705E-2"/>
    <x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  <x v="8"/>
    <s v="66+"/>
    <n v="2433"/>
    <n v="0"/>
    <n v="1"/>
    <n v="0"/>
    <n v="0"/>
    <n v="0"/>
    <n v="0"/>
    <n v="0"/>
    <n v="1"/>
    <n v="0"/>
    <n v="751"/>
    <d v="2016-02-16T00:00:00"/>
  </r>
  <r>
    <n v="333"/>
    <n v="65073"/>
    <n v="892"/>
    <n v="1.3707682141594825E-2"/>
    <x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x v="1"/>
    <x v="45"/>
    <s v="66+"/>
    <n v="2472"/>
    <n v="0"/>
    <n v="1"/>
    <n v="0"/>
    <n v="0"/>
    <n v="0"/>
    <n v="0"/>
    <n v="0"/>
    <n v="1"/>
    <n v="0"/>
    <n v="884"/>
    <d v="2016-01-08T00:00:00"/>
  </r>
  <r>
    <n v="1658"/>
    <n v="62568"/>
    <n v="892"/>
    <n v="1.4256488940033243E-2"/>
    <x v="0"/>
    <n v="1"/>
    <n v="99"/>
    <n v="362"/>
    <n v="17"/>
    <n v="398"/>
    <n v="80"/>
    <n v="35"/>
    <n v="61"/>
    <n v="3"/>
    <n v="5"/>
    <n v="3"/>
    <n v="5"/>
    <n v="4"/>
    <n v="1"/>
    <n v="0"/>
    <n v="0"/>
    <n v="0"/>
    <n v="0"/>
    <n v="0"/>
    <x v="1"/>
    <x v="46"/>
    <s v="51-66"/>
    <n v="2242"/>
    <n v="0"/>
    <n v="0"/>
    <n v="0"/>
    <n v="1"/>
    <n v="0"/>
    <n v="0"/>
    <n v="1"/>
    <n v="0"/>
    <n v="0"/>
    <n v="831"/>
    <d v="2016-08-25T00:00:00"/>
  </r>
  <r>
    <n v="1876"/>
    <n v="59462"/>
    <n v="892"/>
    <n v="1.5001177222427768E-2"/>
    <x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x v="1"/>
    <x v="51"/>
    <s v="66+"/>
    <n v="2699"/>
    <n v="0"/>
    <n v="1"/>
    <n v="0"/>
    <n v="0"/>
    <n v="0"/>
    <n v="0"/>
    <n v="1"/>
    <n v="0"/>
    <n v="0"/>
    <n v="696"/>
    <d v="2015-05-26T00:00:00"/>
  </r>
  <r>
    <n v="99"/>
    <n v="77298"/>
    <n v="890"/>
    <n v="1.1513881342337447E-2"/>
    <x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  <x v="19"/>
    <s v="36-50"/>
    <n v="2398"/>
    <n v="0"/>
    <n v="0"/>
    <n v="0"/>
    <n v="1"/>
    <n v="0"/>
    <n v="0"/>
    <n v="1"/>
    <n v="0"/>
    <n v="0"/>
    <n v="811"/>
    <d v="2016-03-22T00:00:00"/>
  </r>
  <r>
    <n v="921"/>
    <n v="53103"/>
    <n v="890"/>
    <n v="1.6759881739261434E-2"/>
    <x v="0"/>
    <n v="1"/>
    <n v="70"/>
    <n v="729"/>
    <n v="17"/>
    <n v="133"/>
    <n v="11"/>
    <n v="0"/>
    <n v="195"/>
    <n v="5"/>
    <n v="10"/>
    <n v="6"/>
    <n v="7"/>
    <n v="7"/>
    <n v="0"/>
    <n v="0"/>
    <n v="1"/>
    <n v="0"/>
    <n v="0"/>
    <n v="0"/>
    <x v="1"/>
    <x v="44"/>
    <s v="66+"/>
    <n v="2449"/>
    <n v="0"/>
    <n v="0"/>
    <n v="0"/>
    <n v="1"/>
    <n v="0"/>
    <n v="0"/>
    <n v="1"/>
    <n v="0"/>
    <n v="0"/>
    <n v="695"/>
    <d v="2016-01-31T00:00:00"/>
  </r>
  <r>
    <n v="384"/>
    <n v="53858"/>
    <n v="889"/>
    <n v="1.6506368598908239E-2"/>
    <x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x v="1"/>
    <x v="7"/>
    <s v="36-50"/>
    <n v="2756"/>
    <n v="0"/>
    <n v="1"/>
    <n v="0"/>
    <n v="0"/>
    <n v="0"/>
    <n v="0"/>
    <n v="1"/>
    <n v="0"/>
    <n v="0"/>
    <n v="863"/>
    <d v="2015-03-30T00:00:00"/>
  </r>
  <r>
    <n v="1005"/>
    <n v="67023"/>
    <n v="889"/>
    <n v="1.3264103367500708E-2"/>
    <x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x v="1"/>
    <x v="37"/>
    <s v="36-50"/>
    <n v="2276"/>
    <n v="0"/>
    <n v="1"/>
    <n v="0"/>
    <n v="0"/>
    <n v="0"/>
    <n v="0"/>
    <n v="1"/>
    <n v="0"/>
    <n v="0"/>
    <n v="872"/>
    <d v="2016-07-22T00:00:00"/>
  </r>
  <r>
    <n v="630"/>
    <n v="66731"/>
    <n v="888"/>
    <n v="1.3307158591958759E-2"/>
    <x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x v="1"/>
    <x v="2"/>
    <s v="36-50"/>
    <n v="2814"/>
    <n v="0"/>
    <n v="0"/>
    <n v="0"/>
    <n v="0"/>
    <n v="1"/>
    <n v="0"/>
    <n v="1"/>
    <n v="0"/>
    <n v="0"/>
    <n v="747"/>
    <d v="2015-01-31T00:00:00"/>
  </r>
  <r>
    <n v="1062"/>
    <n v="67381"/>
    <n v="887"/>
    <n v="1.3163948294029474E-2"/>
    <x v="0"/>
    <n v="1"/>
    <n v="67"/>
    <n v="815"/>
    <n v="8"/>
    <n v="53"/>
    <n v="11"/>
    <n v="0"/>
    <n v="70"/>
    <n v="4"/>
    <n v="2"/>
    <n v="2"/>
    <n v="9"/>
    <n v="7"/>
    <n v="0"/>
    <n v="0"/>
    <n v="0"/>
    <n v="1"/>
    <n v="0"/>
    <n v="0"/>
    <x v="1"/>
    <x v="15"/>
    <s v="66+"/>
    <n v="2689"/>
    <n v="0"/>
    <n v="1"/>
    <n v="0"/>
    <n v="0"/>
    <n v="0"/>
    <n v="0"/>
    <n v="0"/>
    <n v="1"/>
    <n v="0"/>
    <n v="817"/>
    <d v="2015-06-05T00:00:00"/>
  </r>
  <r>
    <n v="1878"/>
    <n v="67046"/>
    <n v="886"/>
    <n v="1.3214807743936999E-2"/>
    <x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x v="1"/>
    <x v="15"/>
    <s v="66+"/>
    <n v="2698"/>
    <n v="0"/>
    <n v="0"/>
    <n v="0"/>
    <n v="0"/>
    <n v="1"/>
    <n v="0"/>
    <n v="1"/>
    <n v="0"/>
    <n v="0"/>
    <n v="779"/>
    <d v="2015-05-27T00:00:00"/>
  </r>
  <r>
    <n v="1640"/>
    <n v="63404"/>
    <n v="885"/>
    <n v="1.3958109898429121E-2"/>
    <x v="0"/>
    <n v="2"/>
    <n v="97"/>
    <n v="734"/>
    <n v="26"/>
    <n v="70"/>
    <n v="11"/>
    <n v="44"/>
    <n v="17"/>
    <n v="2"/>
    <n v="6"/>
    <n v="3"/>
    <n v="4"/>
    <n v="4"/>
    <n v="1"/>
    <n v="0"/>
    <n v="0"/>
    <n v="0"/>
    <n v="0"/>
    <n v="0"/>
    <x v="1"/>
    <x v="42"/>
    <s v="51-66"/>
    <n v="2182"/>
    <n v="0"/>
    <n v="0"/>
    <n v="0"/>
    <n v="1"/>
    <n v="0"/>
    <n v="0"/>
    <n v="1"/>
    <n v="0"/>
    <n v="0"/>
    <n v="868"/>
    <d v="2016-10-24T00:00:00"/>
  </r>
  <r>
    <n v="995"/>
    <n v="67605"/>
    <n v="884"/>
    <n v="1.3075955920420088E-2"/>
    <x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x v="1"/>
    <x v="36"/>
    <s v="24-35"/>
    <n v="2614"/>
    <n v="0"/>
    <n v="0"/>
    <n v="0"/>
    <n v="1"/>
    <n v="0"/>
    <n v="0"/>
    <n v="1"/>
    <n v="0"/>
    <n v="0"/>
    <n v="830"/>
    <d v="2015-08-19T00:00:00"/>
  </r>
  <r>
    <n v="1285"/>
    <n v="56242"/>
    <n v="883"/>
    <n v="1.5700010668183918E-2"/>
    <x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x v="1"/>
    <x v="3"/>
    <s v="51-66"/>
    <n v="2642"/>
    <n v="0"/>
    <n v="1"/>
    <n v="0"/>
    <n v="0"/>
    <n v="0"/>
    <n v="0"/>
    <n v="0"/>
    <n v="0"/>
    <n v="1"/>
    <n v="795"/>
    <d v="2015-07-22T00:00:00"/>
  </r>
  <r>
    <n v="277"/>
    <n v="57912"/>
    <n v="881"/>
    <n v="1.5212736565824008E-2"/>
    <x v="0"/>
    <n v="1"/>
    <n v="34"/>
    <n v="801"/>
    <n v="0"/>
    <n v="80"/>
    <n v="0"/>
    <n v="0"/>
    <n v="35"/>
    <n v="5"/>
    <n v="8"/>
    <n v="3"/>
    <n v="12"/>
    <n v="5"/>
    <n v="0"/>
    <n v="0"/>
    <n v="0"/>
    <n v="1"/>
    <n v="0"/>
    <n v="0"/>
    <x v="1"/>
    <x v="47"/>
    <s v="51-66"/>
    <n v="2263"/>
    <n v="1"/>
    <n v="0"/>
    <n v="0"/>
    <n v="0"/>
    <n v="0"/>
    <n v="0"/>
    <n v="0"/>
    <n v="0"/>
    <n v="1"/>
    <n v="846"/>
    <d v="2016-08-04T00:00:00"/>
  </r>
  <r>
    <n v="35"/>
    <n v="67353"/>
    <n v="878"/>
    <n v="1.3035796475286921E-2"/>
    <x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x v="1"/>
    <x v="2"/>
    <s v="36-50"/>
    <n v="2339"/>
    <n v="0"/>
    <n v="1"/>
    <n v="0"/>
    <n v="0"/>
    <n v="0"/>
    <n v="0"/>
    <n v="0"/>
    <n v="0"/>
    <n v="1"/>
    <n v="843"/>
    <d v="2016-05-20T00:00:00"/>
  </r>
  <r>
    <n v="1175"/>
    <n v="78825"/>
    <n v="877"/>
    <n v="1.1125911830003171E-2"/>
    <x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x v="0"/>
    <x v="42"/>
    <s v="51-66"/>
    <n v="2812"/>
    <n v="1"/>
    <n v="0"/>
    <n v="0"/>
    <n v="0"/>
    <n v="0"/>
    <n v="0"/>
    <n v="0"/>
    <n v="0"/>
    <n v="1"/>
    <n v="859"/>
    <d v="2015-02-02T00:00:00"/>
  </r>
  <r>
    <n v="680"/>
    <n v="75012"/>
    <n v="876"/>
    <n v="1.1678131498960166E-2"/>
    <x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x v="1"/>
    <x v="7"/>
    <s v="36-50"/>
    <n v="2314"/>
    <n v="1"/>
    <n v="0"/>
    <n v="0"/>
    <n v="0"/>
    <n v="0"/>
    <n v="0"/>
    <n v="0"/>
    <n v="1"/>
    <n v="0"/>
    <n v="725"/>
    <d v="2016-06-14T00:00:00"/>
  </r>
  <r>
    <n v="588"/>
    <n v="72635"/>
    <n v="874"/>
    <n v="1.2032766572588973E-2"/>
    <x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x v="1"/>
    <x v="38"/>
    <s v="51-66"/>
    <n v="2550"/>
    <n v="0"/>
    <n v="1"/>
    <n v="0"/>
    <n v="0"/>
    <n v="0"/>
    <n v="1"/>
    <n v="0"/>
    <n v="0"/>
    <n v="0"/>
    <n v="767"/>
    <d v="2015-10-22T00:00:00"/>
  </r>
  <r>
    <n v="937"/>
    <n v="52845"/>
    <n v="872"/>
    <n v="1.6501088087803956E-2"/>
    <x v="1"/>
    <n v="0"/>
    <n v="7"/>
    <n v="384"/>
    <n v="25"/>
    <n v="292"/>
    <n v="130"/>
    <n v="41"/>
    <n v="64"/>
    <n v="3"/>
    <n v="8"/>
    <n v="8"/>
    <n v="6"/>
    <n v="6"/>
    <n v="0"/>
    <n v="0"/>
    <n v="1"/>
    <n v="0"/>
    <n v="0"/>
    <n v="0"/>
    <x v="1"/>
    <x v="30"/>
    <s v="36-50"/>
    <n v="2479"/>
    <n v="0"/>
    <n v="1"/>
    <n v="0"/>
    <n v="0"/>
    <n v="0"/>
    <n v="0"/>
    <n v="1"/>
    <n v="0"/>
    <n v="0"/>
    <n v="808"/>
    <d v="2016-01-01T00:00:00"/>
  </r>
  <r>
    <n v="846"/>
    <n v="81320"/>
    <n v="871"/>
    <n v="1.0710772257747171E-2"/>
    <x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x v="1"/>
    <x v="27"/>
    <s v="51-66"/>
    <n v="2667"/>
    <n v="0"/>
    <n v="1"/>
    <n v="0"/>
    <n v="0"/>
    <n v="0"/>
    <n v="0"/>
    <n v="1"/>
    <n v="0"/>
    <n v="0"/>
    <n v="814"/>
    <d v="2015-06-27T00:00:00"/>
  </r>
  <r>
    <n v="1177"/>
    <n v="69867"/>
    <n v="871"/>
    <n v="1.2466543575650879E-2"/>
    <x v="0"/>
    <n v="0"/>
    <n v="30"/>
    <n v="196"/>
    <n v="0"/>
    <n v="512"/>
    <n v="33"/>
    <n v="130"/>
    <n v="54"/>
    <n v="1"/>
    <n v="3"/>
    <n v="5"/>
    <n v="8"/>
    <n v="1"/>
    <n v="1"/>
    <n v="0"/>
    <n v="0"/>
    <n v="0"/>
    <n v="0"/>
    <n v="0"/>
    <x v="0"/>
    <x v="18"/>
    <s v="24-35"/>
    <n v="2612"/>
    <n v="0"/>
    <n v="0"/>
    <n v="1"/>
    <n v="0"/>
    <n v="0"/>
    <n v="0"/>
    <n v="0"/>
    <n v="0"/>
    <n v="1"/>
    <n v="817"/>
    <d v="2015-08-21T00:00:00"/>
  </r>
  <r>
    <n v="1978"/>
    <n v="76234"/>
    <n v="866"/>
    <n v="1.1359760736679173E-2"/>
    <x v="0"/>
    <n v="1"/>
    <n v="21"/>
    <n v="519"/>
    <n v="50"/>
    <n v="167"/>
    <n v="130"/>
    <n v="0"/>
    <n v="41"/>
    <n v="1"/>
    <n v="8"/>
    <n v="3"/>
    <n v="11"/>
    <n v="3"/>
    <n v="0"/>
    <n v="0"/>
    <n v="0"/>
    <n v="1"/>
    <n v="0"/>
    <n v="0"/>
    <x v="1"/>
    <x v="9"/>
    <s v="36-50"/>
    <n v="2302"/>
    <n v="0"/>
    <n v="1"/>
    <n v="0"/>
    <n v="0"/>
    <n v="0"/>
    <n v="0"/>
    <n v="0"/>
    <n v="1"/>
    <n v="0"/>
    <n v="825"/>
    <d v="2016-06-26T00:00:00"/>
  </r>
  <r>
    <n v="249"/>
    <n v="72940"/>
    <n v="865"/>
    <n v="1.1859062242939403E-2"/>
    <x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x v="1"/>
    <x v="2"/>
    <s v="36-50"/>
    <n v="2534"/>
    <n v="0"/>
    <n v="1"/>
    <n v="0"/>
    <n v="0"/>
    <n v="0"/>
    <n v="0"/>
    <n v="1"/>
    <n v="0"/>
    <n v="0"/>
    <n v="749"/>
    <d v="2015-11-07T00:00:00"/>
  </r>
  <r>
    <n v="1769"/>
    <n v="72570"/>
    <n v="865"/>
    <n v="1.1919525974920766E-2"/>
    <x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x v="1"/>
    <x v="39"/>
    <s v="36-50"/>
    <n v="2224"/>
    <n v="0"/>
    <n v="1"/>
    <n v="0"/>
    <n v="0"/>
    <n v="0"/>
    <n v="0"/>
    <n v="1"/>
    <n v="0"/>
    <n v="0"/>
    <n v="641"/>
    <d v="2016-09-12T00:00:00"/>
  </r>
  <r>
    <n v="696"/>
    <n v="82224"/>
    <n v="862"/>
    <n v="1.0483557112278653E-2"/>
    <x v="0"/>
    <n v="0"/>
    <n v="83"/>
    <n v="307"/>
    <n v="26"/>
    <n v="360"/>
    <n v="138"/>
    <n v="31"/>
    <n v="40"/>
    <n v="1"/>
    <n v="6"/>
    <n v="9"/>
    <n v="5"/>
    <n v="3"/>
    <n v="1"/>
    <n v="0"/>
    <n v="0"/>
    <n v="0"/>
    <n v="0"/>
    <n v="0"/>
    <x v="1"/>
    <x v="42"/>
    <s v="51-66"/>
    <n v="2314"/>
    <n v="0"/>
    <n v="1"/>
    <n v="0"/>
    <n v="0"/>
    <n v="0"/>
    <n v="0"/>
    <n v="1"/>
    <n v="0"/>
    <n v="0"/>
    <n v="822"/>
    <d v="2016-06-14T00:00:00"/>
  </r>
  <r>
    <n v="1178"/>
    <n v="48948"/>
    <n v="860"/>
    <n v="1.7569665767753536E-2"/>
    <x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x v="0"/>
    <x v="45"/>
    <s v="66+"/>
    <n v="2672"/>
    <n v="1"/>
    <n v="0"/>
    <n v="0"/>
    <n v="0"/>
    <n v="0"/>
    <n v="0"/>
    <n v="0"/>
    <n v="0"/>
    <n v="1"/>
    <n v="818"/>
    <d v="2015-06-22T00:00:00"/>
  </r>
  <r>
    <n v="647"/>
    <n v="61209"/>
    <n v="858"/>
    <n v="1.4017546439249131E-2"/>
    <x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x v="1"/>
    <x v="2"/>
    <s v="36-50"/>
    <n v="2467"/>
    <n v="0"/>
    <n v="0"/>
    <n v="1"/>
    <n v="0"/>
    <n v="0"/>
    <n v="0"/>
    <n v="1"/>
    <n v="0"/>
    <n v="0"/>
    <n v="759"/>
    <d v="2016-01-13T00:00:00"/>
  </r>
  <r>
    <n v="264"/>
    <n v="75278"/>
    <n v="856"/>
    <n v="1.1371184144105848E-2"/>
    <x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x v="1"/>
    <x v="50"/>
    <s v="66+"/>
    <n v="2675"/>
    <n v="0"/>
    <n v="0"/>
    <n v="0"/>
    <n v="1"/>
    <n v="0"/>
    <n v="0"/>
    <n v="1"/>
    <n v="0"/>
    <n v="0"/>
    <n v="782"/>
    <d v="2015-06-19T00:00:00"/>
  </r>
  <r>
    <n v="445"/>
    <n v="62503"/>
    <n v="856"/>
    <n v="1.3695342623554069E-2"/>
    <x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x v="1"/>
    <x v="5"/>
    <s v="51-66"/>
    <n v="2655"/>
    <n v="0"/>
    <n v="1"/>
    <n v="0"/>
    <n v="0"/>
    <n v="0"/>
    <n v="0"/>
    <n v="1"/>
    <n v="0"/>
    <n v="0"/>
    <n v="739"/>
    <d v="2015-07-09T00:00:00"/>
  </r>
  <r>
    <n v="480"/>
    <n v="60152"/>
    <n v="852"/>
    <n v="1.4164117568825641E-2"/>
    <x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x v="1"/>
    <x v="19"/>
    <s v="36-50"/>
    <n v="2617"/>
    <n v="0"/>
    <n v="0"/>
    <n v="1"/>
    <n v="0"/>
    <n v="0"/>
    <n v="0"/>
    <n v="1"/>
    <n v="0"/>
    <n v="0"/>
    <n v="761"/>
    <d v="2015-08-16T00:00:00"/>
  </r>
  <r>
    <n v="1375"/>
    <n v="70379"/>
    <n v="852"/>
    <n v="1.2105883857400645E-2"/>
    <x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x v="1"/>
    <x v="7"/>
    <s v="36-50"/>
    <n v="2642"/>
    <n v="0"/>
    <n v="0"/>
    <n v="1"/>
    <n v="0"/>
    <n v="0"/>
    <n v="0"/>
    <n v="0"/>
    <n v="1"/>
    <n v="0"/>
    <n v="844"/>
    <d v="2015-07-22T00:00:00"/>
  </r>
  <r>
    <n v="1184"/>
    <n v="79205"/>
    <n v="851"/>
    <n v="1.0744271195000316E-2"/>
    <x v="0"/>
    <n v="0"/>
    <n v="73"/>
    <n v="504"/>
    <n v="23"/>
    <n v="117"/>
    <n v="179"/>
    <n v="28"/>
    <n v="44"/>
    <n v="1"/>
    <n v="6"/>
    <n v="5"/>
    <n v="4"/>
    <n v="4"/>
    <n v="1"/>
    <n v="0"/>
    <n v="0"/>
    <n v="0"/>
    <n v="0"/>
    <n v="0"/>
    <x v="0"/>
    <x v="16"/>
    <s v="36-50"/>
    <n v="2828"/>
    <n v="0"/>
    <n v="1"/>
    <n v="0"/>
    <n v="0"/>
    <n v="0"/>
    <n v="0"/>
    <n v="1"/>
    <n v="0"/>
    <n v="0"/>
    <n v="807"/>
    <d v="2015-01-17T00:00:00"/>
  </r>
  <r>
    <n v="1465"/>
    <n v="74268"/>
    <n v="851"/>
    <n v="1.1458501642699412E-2"/>
    <x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x v="1"/>
    <x v="38"/>
    <s v="51-66"/>
    <n v="2659"/>
    <n v="0"/>
    <n v="1"/>
    <n v="0"/>
    <n v="0"/>
    <n v="0"/>
    <n v="0"/>
    <n v="1"/>
    <n v="0"/>
    <n v="0"/>
    <n v="810"/>
    <d v="2015-07-05T00:00:00"/>
  </r>
  <r>
    <n v="1015"/>
    <n v="66294"/>
    <n v="850"/>
    <n v="1.282167315292485E-2"/>
    <x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x v="1"/>
    <x v="47"/>
    <s v="51-66"/>
    <n v="2263"/>
    <n v="0"/>
    <n v="0"/>
    <n v="1"/>
    <n v="0"/>
    <n v="0"/>
    <n v="0"/>
    <n v="1"/>
    <n v="0"/>
    <n v="0"/>
    <n v="733"/>
    <d v="2016-08-04T00:00:00"/>
  </r>
  <r>
    <n v="821"/>
    <n v="61346"/>
    <n v="847"/>
    <n v="1.380693117725687E-2"/>
    <x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x v="1"/>
    <x v="37"/>
    <s v="36-50"/>
    <n v="2425"/>
    <n v="0"/>
    <n v="0"/>
    <n v="0"/>
    <n v="1"/>
    <n v="0"/>
    <n v="0"/>
    <n v="0"/>
    <n v="1"/>
    <n v="0"/>
    <n v="705"/>
    <d v="2016-02-24T00:00:00"/>
  </r>
  <r>
    <n v="360"/>
    <n v="63381"/>
    <n v="846"/>
    <n v="1.3347848724381123E-2"/>
    <x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  <x v="24"/>
    <s v="51-66"/>
    <n v="2791"/>
    <n v="0"/>
    <n v="0"/>
    <n v="0"/>
    <n v="1"/>
    <n v="0"/>
    <n v="0"/>
    <n v="1"/>
    <n v="0"/>
    <n v="0"/>
    <n v="687"/>
    <d v="2015-02-23T00:00:00"/>
  </r>
  <r>
    <n v="96"/>
    <n v="52413"/>
    <n v="845"/>
    <n v="1.6121954476942743E-2"/>
    <x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x v="1"/>
    <x v="3"/>
    <s v="51-66"/>
    <n v="2671"/>
    <n v="0"/>
    <n v="1"/>
    <n v="0"/>
    <n v="0"/>
    <n v="0"/>
    <n v="0"/>
    <n v="1"/>
    <n v="0"/>
    <n v="0"/>
    <n v="780"/>
    <d v="2015-06-23T00:00:00"/>
  </r>
  <r>
    <n v="1185"/>
    <n v="48240"/>
    <n v="841"/>
    <n v="1.7433665008291875E-2"/>
    <x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x v="0"/>
    <x v="3"/>
    <s v="51-66"/>
    <n v="2756"/>
    <n v="0"/>
    <n v="0"/>
    <n v="1"/>
    <n v="0"/>
    <n v="0"/>
    <n v="0"/>
    <n v="0"/>
    <n v="0"/>
    <n v="1"/>
    <n v="800"/>
    <d v="2015-03-30T00:00:00"/>
  </r>
  <r>
    <n v="1020"/>
    <n v="54233"/>
    <n v="839"/>
    <n v="1.5470285619456788E-2"/>
    <x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x v="1"/>
    <x v="13"/>
    <s v="36-50"/>
    <n v="2669"/>
    <n v="0"/>
    <n v="1"/>
    <n v="0"/>
    <n v="0"/>
    <n v="0"/>
    <n v="0"/>
    <n v="1"/>
    <n v="0"/>
    <n v="0"/>
    <n v="697"/>
    <d v="2015-06-25T00:00:00"/>
  </r>
  <r>
    <n v="130"/>
    <n v="68352"/>
    <n v="838"/>
    <n v="1.2260065543071162E-2"/>
    <x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x v="1"/>
    <x v="35"/>
    <s v="36-50"/>
    <n v="2464"/>
    <n v="0"/>
    <n v="0"/>
    <n v="1"/>
    <n v="0"/>
    <n v="0"/>
    <n v="0"/>
    <n v="0"/>
    <n v="0"/>
    <n v="1"/>
    <n v="805"/>
    <d v="2016-01-16T00:00:00"/>
  </r>
  <r>
    <n v="1718"/>
    <n v="62772"/>
    <n v="838"/>
    <n v="1.3349901229847702E-2"/>
    <x v="0"/>
    <n v="1"/>
    <n v="74"/>
    <n v="581"/>
    <n v="49"/>
    <n v="157"/>
    <n v="43"/>
    <n v="8"/>
    <n v="108"/>
    <n v="1"/>
    <n v="5"/>
    <n v="6"/>
    <n v="11"/>
    <n v="2"/>
    <n v="0"/>
    <n v="0"/>
    <n v="0"/>
    <n v="1"/>
    <n v="0"/>
    <n v="0"/>
    <x v="1"/>
    <x v="3"/>
    <s v="51-66"/>
    <n v="2565"/>
    <n v="0"/>
    <n v="0"/>
    <n v="1"/>
    <n v="0"/>
    <n v="0"/>
    <n v="0"/>
    <n v="0"/>
    <n v="1"/>
    <n v="0"/>
    <n v="730"/>
    <d v="2015-10-07T00:00:00"/>
  </r>
  <r>
    <n v="666"/>
    <n v="55250"/>
    <n v="837"/>
    <n v="1.5149321266968326E-2"/>
    <x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x v="1"/>
    <x v="47"/>
    <s v="51-66"/>
    <n v="2775"/>
    <n v="0"/>
    <n v="0"/>
    <n v="1"/>
    <n v="0"/>
    <n v="0"/>
    <n v="0"/>
    <n v="0"/>
    <n v="1"/>
    <n v="0"/>
    <n v="771"/>
    <d v="2015-03-11T00:00:00"/>
  </r>
  <r>
    <n v="1525"/>
    <n v="64892"/>
    <n v="837"/>
    <n v="1.2898354188497812E-2"/>
    <x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x v="1"/>
    <x v="7"/>
    <s v="36-50"/>
    <n v="2190"/>
    <n v="1"/>
    <n v="0"/>
    <n v="0"/>
    <n v="0"/>
    <n v="0"/>
    <n v="0"/>
    <n v="1"/>
    <n v="0"/>
    <n v="0"/>
    <n v="772"/>
    <d v="2016-10-16T00:00:00"/>
  </r>
  <r>
    <n v="401"/>
    <n v="61314"/>
    <n v="836"/>
    <n v="1.3634732687477575E-2"/>
    <x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x v="1"/>
    <x v="14"/>
    <s v="51-66"/>
    <n v="2589"/>
    <n v="0"/>
    <n v="1"/>
    <n v="0"/>
    <n v="0"/>
    <n v="0"/>
    <n v="0"/>
    <n v="1"/>
    <n v="0"/>
    <n v="0"/>
    <n v="664"/>
    <d v="2015-09-13T00:00:00"/>
  </r>
  <r>
    <n v="421"/>
    <n v="57959"/>
    <n v="835"/>
    <n v="1.4406735795993719E-2"/>
    <x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x v="1"/>
    <x v="38"/>
    <s v="51-66"/>
    <n v="2582"/>
    <n v="0"/>
    <n v="0"/>
    <n v="1"/>
    <n v="0"/>
    <n v="0"/>
    <n v="0"/>
    <n v="1"/>
    <n v="0"/>
    <n v="0"/>
    <n v="802"/>
    <d v="2015-09-20T00:00:00"/>
  </r>
  <r>
    <n v="1030"/>
    <n v="79803"/>
    <n v="835"/>
    <n v="1.0463265792012831E-2"/>
    <x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x v="1"/>
    <x v="27"/>
    <s v="51-66"/>
    <n v="2186"/>
    <n v="1"/>
    <n v="0"/>
    <n v="0"/>
    <n v="0"/>
    <n v="0"/>
    <n v="0"/>
    <n v="1"/>
    <n v="0"/>
    <n v="0"/>
    <n v="802"/>
    <d v="2016-10-20T00:00:00"/>
  </r>
  <r>
    <n v="980"/>
    <n v="76081"/>
    <n v="833"/>
    <n v="1.0948857139101747E-2"/>
    <x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x v="1"/>
    <x v="46"/>
    <s v="51-66"/>
    <n v="2196"/>
    <n v="0"/>
    <n v="0"/>
    <n v="0"/>
    <n v="1"/>
    <n v="0"/>
    <n v="0"/>
    <n v="1"/>
    <n v="0"/>
    <n v="0"/>
    <n v="633"/>
    <d v="2016-10-10T00:00:00"/>
  </r>
  <r>
    <n v="1165"/>
    <n v="76624"/>
    <n v="833"/>
    <n v="1.0871267487993318E-2"/>
    <x v="0"/>
    <n v="1"/>
    <n v="68"/>
    <n v="411"/>
    <n v="106"/>
    <n v="147"/>
    <n v="54"/>
    <n v="115"/>
    <n v="66"/>
    <n v="1"/>
    <n v="5"/>
    <n v="10"/>
    <n v="7"/>
    <n v="1"/>
    <n v="0"/>
    <n v="0"/>
    <n v="1"/>
    <n v="0"/>
    <n v="0"/>
    <n v="0"/>
    <x v="1"/>
    <x v="46"/>
    <s v="51-66"/>
    <n v="2195"/>
    <n v="0"/>
    <n v="0"/>
    <n v="1"/>
    <n v="0"/>
    <n v="0"/>
    <n v="0"/>
    <n v="1"/>
    <n v="0"/>
    <n v="0"/>
    <n v="767"/>
    <d v="2016-10-11T00:00:00"/>
  </r>
  <r>
    <n v="439"/>
    <n v="49269"/>
    <n v="832"/>
    <n v="1.6886886277375227E-2"/>
    <x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x v="1"/>
    <x v="28"/>
    <s v="36-50"/>
    <n v="2842"/>
    <n v="0"/>
    <n v="0"/>
    <n v="0"/>
    <n v="1"/>
    <n v="0"/>
    <n v="0"/>
    <n v="0"/>
    <n v="0"/>
    <n v="1"/>
    <n v="774"/>
    <d v="2015-01-03T00:00:00"/>
  </r>
  <r>
    <n v="1186"/>
    <n v="49912"/>
    <n v="832"/>
    <n v="1.6669338034941496E-2"/>
    <x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x v="0"/>
    <x v="4"/>
    <s v="66+"/>
    <n v="2819"/>
    <n v="0"/>
    <n v="0"/>
    <n v="0"/>
    <n v="1"/>
    <n v="0"/>
    <n v="0"/>
    <n v="0"/>
    <n v="1"/>
    <n v="0"/>
    <n v="790"/>
    <d v="2015-01-26T00:00:00"/>
  </r>
  <r>
    <n v="1343"/>
    <n v="52852"/>
    <n v="832"/>
    <n v="1.5742072201619616E-2"/>
    <x v="0"/>
    <n v="1"/>
    <n v="93"/>
    <n v="714"/>
    <n v="8"/>
    <n v="99"/>
    <n v="11"/>
    <n v="0"/>
    <n v="47"/>
    <n v="4"/>
    <n v="10"/>
    <n v="7"/>
    <n v="5"/>
    <n v="8"/>
    <n v="0"/>
    <n v="0"/>
    <n v="1"/>
    <n v="0"/>
    <n v="0"/>
    <n v="0"/>
    <x v="1"/>
    <x v="12"/>
    <s v="51-66"/>
    <n v="2734"/>
    <n v="0"/>
    <n v="1"/>
    <n v="0"/>
    <n v="0"/>
    <n v="0"/>
    <n v="0"/>
    <n v="1"/>
    <n v="0"/>
    <n v="0"/>
    <n v="785"/>
    <d v="2015-04-21T00:00:00"/>
  </r>
  <r>
    <n v="132"/>
    <n v="59809"/>
    <n v="828"/>
    <n v="1.3844070290424518E-2"/>
    <x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x v="1"/>
    <x v="7"/>
    <s v="36-50"/>
    <n v="2778"/>
    <n v="0"/>
    <n v="1"/>
    <n v="0"/>
    <n v="0"/>
    <n v="0"/>
    <n v="0"/>
    <n v="1"/>
    <n v="0"/>
    <n v="0"/>
    <n v="779"/>
    <d v="2015-03-08T00:00:00"/>
  </r>
  <r>
    <n v="839"/>
    <n v="76630"/>
    <n v="828"/>
    <n v="1.0805167688894689E-2"/>
    <x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x v="1"/>
    <x v="20"/>
    <s v="36-50"/>
    <n v="2325"/>
    <n v="0"/>
    <n v="1"/>
    <n v="0"/>
    <n v="0"/>
    <n v="0"/>
    <n v="0"/>
    <n v="1"/>
    <n v="0"/>
    <n v="0"/>
    <n v="653"/>
    <d v="2016-06-03T00:00:00"/>
  </r>
  <r>
    <n v="325"/>
    <n v="71113"/>
    <n v="827"/>
    <n v="1.162937859463108E-2"/>
    <x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x v="1"/>
    <x v="12"/>
    <s v="51-66"/>
    <n v="2353"/>
    <n v="0"/>
    <n v="1"/>
    <n v="0"/>
    <n v="0"/>
    <n v="0"/>
    <n v="0"/>
    <n v="1"/>
    <n v="0"/>
    <n v="0"/>
    <n v="819"/>
    <d v="2016-05-06T00:00:00"/>
  </r>
  <r>
    <n v="1199"/>
    <n v="60597"/>
    <n v="827"/>
    <n v="1.3647540307275937E-2"/>
    <x v="0"/>
    <n v="1"/>
    <n v="2"/>
    <n v="522"/>
    <n v="0"/>
    <n v="257"/>
    <n v="32"/>
    <n v="16"/>
    <n v="66"/>
    <n v="4"/>
    <n v="2"/>
    <n v="2"/>
    <n v="8"/>
    <n v="7"/>
    <n v="1"/>
    <n v="0"/>
    <n v="0"/>
    <n v="0"/>
    <n v="0"/>
    <n v="0"/>
    <x v="0"/>
    <x v="42"/>
    <s v="51-66"/>
    <n v="2338"/>
    <n v="0"/>
    <n v="1"/>
    <n v="0"/>
    <n v="0"/>
    <n v="0"/>
    <n v="0"/>
    <n v="1"/>
    <n v="0"/>
    <n v="0"/>
    <n v="761"/>
    <d v="2016-05-21T00:00:00"/>
  </r>
  <r>
    <n v="179"/>
    <n v="69661"/>
    <n v="826"/>
    <n v="1.1857423809592168E-2"/>
    <x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x v="1"/>
    <x v="41"/>
    <s v="36-50"/>
    <n v="2206"/>
    <n v="0"/>
    <n v="1"/>
    <n v="0"/>
    <n v="0"/>
    <n v="0"/>
    <n v="0"/>
    <n v="0"/>
    <n v="1"/>
    <n v="0"/>
    <n v="818"/>
    <d v="2016-09-30T00:00:00"/>
  </r>
  <r>
    <n v="1398"/>
    <n v="53977"/>
    <n v="825"/>
    <n v="1.5284287752190748E-2"/>
    <x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  <x v="27"/>
    <s v="51-66"/>
    <n v="2545"/>
    <n v="0"/>
    <n v="0"/>
    <n v="0"/>
    <n v="1"/>
    <n v="0"/>
    <n v="0"/>
    <n v="1"/>
    <n v="0"/>
    <n v="0"/>
    <n v="743"/>
    <d v="2015-10-27T00:00:00"/>
  </r>
  <r>
    <n v="242"/>
    <n v="69674"/>
    <n v="821"/>
    <n v="1.1783448632201396E-2"/>
    <x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x v="1"/>
    <x v="14"/>
    <s v="51-66"/>
    <n v="2562"/>
    <n v="1"/>
    <n v="0"/>
    <n v="0"/>
    <n v="0"/>
    <n v="0"/>
    <n v="0"/>
    <n v="0"/>
    <n v="0"/>
    <n v="1"/>
    <n v="797"/>
    <d v="2015-10-10T00:00:00"/>
  </r>
  <r>
    <n v="1966"/>
    <n v="60934"/>
    <n v="819"/>
    <n v="1.3440771982801063E-2"/>
    <x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x v="1"/>
    <x v="16"/>
    <s v="36-50"/>
    <n v="2322"/>
    <n v="0"/>
    <n v="0"/>
    <n v="0"/>
    <n v="1"/>
    <n v="0"/>
    <n v="0"/>
    <n v="1"/>
    <n v="0"/>
    <n v="0"/>
    <n v="765"/>
    <d v="2016-06-06T00:00:00"/>
  </r>
  <r>
    <n v="848"/>
    <n v="66825"/>
    <n v="818"/>
    <n v="1.2240927796483352E-2"/>
    <x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x v="1"/>
    <x v="26"/>
    <s v="51-66"/>
    <n v="2509"/>
    <n v="0"/>
    <n v="0"/>
    <n v="0"/>
    <n v="1"/>
    <n v="0"/>
    <n v="0"/>
    <n v="1"/>
    <n v="0"/>
    <n v="0"/>
    <n v="778"/>
    <d v="2015-12-02T00:00:00"/>
  </r>
  <r>
    <n v="43"/>
    <n v="79941"/>
    <n v="810"/>
    <n v="1.0132472698615228E-2"/>
    <x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x v="1"/>
    <x v="7"/>
    <s v="36-50"/>
    <n v="2160"/>
    <n v="0"/>
    <n v="0"/>
    <n v="1"/>
    <n v="0"/>
    <n v="0"/>
    <n v="0"/>
    <n v="1"/>
    <n v="0"/>
    <n v="0"/>
    <n v="636"/>
    <d v="2016-11-15T00:00:00"/>
  </r>
  <r>
    <n v="1191"/>
    <n v="64191"/>
    <n v="810"/>
    <n v="1.261859139131654E-2"/>
    <x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x v="1"/>
    <x v="33"/>
    <s v="51-66"/>
    <n v="2682"/>
    <n v="0"/>
    <n v="0"/>
    <n v="1"/>
    <n v="0"/>
    <n v="0"/>
    <n v="0"/>
    <n v="0"/>
    <n v="1"/>
    <n v="0"/>
    <n v="795"/>
    <d v="2015-06-12T00:00:00"/>
  </r>
  <r>
    <n v="1446"/>
    <n v="75315"/>
    <n v="810"/>
    <n v="1.0754829715196175E-2"/>
    <x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x v="1"/>
    <x v="44"/>
    <s v="66+"/>
    <n v="2234"/>
    <n v="0"/>
    <n v="0"/>
    <n v="0"/>
    <n v="1"/>
    <n v="0"/>
    <n v="0"/>
    <n v="1"/>
    <n v="0"/>
    <n v="0"/>
    <n v="779"/>
    <d v="2016-09-02T00:00:00"/>
  </r>
  <r>
    <n v="1834"/>
    <n v="34445"/>
    <n v="809"/>
    <n v="2.3486717956161998E-2"/>
    <x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x v="1"/>
    <x v="43"/>
    <s v="36-50"/>
    <n v="2677"/>
    <n v="0"/>
    <n v="1"/>
    <n v="0"/>
    <n v="0"/>
    <n v="0"/>
    <n v="0"/>
    <n v="0"/>
    <n v="0"/>
    <n v="0"/>
    <n v="779"/>
    <d v="2015-06-17T00:00:00"/>
  </r>
  <r>
    <n v="1268"/>
    <n v="69627"/>
    <n v="808"/>
    <n v="1.1604693581512919E-2"/>
    <x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x v="1"/>
    <x v="46"/>
    <s v="51-66"/>
    <n v="2628"/>
    <n v="0"/>
    <n v="0"/>
    <n v="1"/>
    <n v="0"/>
    <n v="0"/>
    <n v="0"/>
    <n v="1"/>
    <n v="0"/>
    <n v="0"/>
    <n v="755"/>
    <d v="2015-08-05T00:00:00"/>
  </r>
  <r>
    <n v="98"/>
    <n v="89058"/>
    <n v="807"/>
    <n v="9.0615104763188039E-3"/>
    <x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x v="1"/>
    <x v="24"/>
    <s v="51-66"/>
    <n v="2728"/>
    <n v="0"/>
    <n v="1"/>
    <n v="0"/>
    <n v="0"/>
    <n v="0"/>
    <n v="0"/>
    <n v="0"/>
    <n v="1"/>
    <n v="0"/>
    <n v="764"/>
    <d v="2015-04-27T00:00:00"/>
  </r>
  <r>
    <n v="311"/>
    <n v="62204"/>
    <n v="807"/>
    <n v="1.2973442222365121E-2"/>
    <x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x v="1"/>
    <x v="24"/>
    <s v="51-66"/>
    <n v="2814"/>
    <n v="1"/>
    <n v="0"/>
    <n v="0"/>
    <n v="0"/>
    <n v="0"/>
    <n v="0"/>
    <n v="1"/>
    <n v="0"/>
    <n v="0"/>
    <n v="668"/>
    <d v="2015-01-31T00:00:00"/>
  </r>
  <r>
    <n v="531"/>
    <n v="62466"/>
    <n v="806"/>
    <n v="1.2903019242467903E-2"/>
    <x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  <x v="2"/>
    <s v="36-50"/>
    <n v="2324"/>
    <n v="0"/>
    <n v="1"/>
    <n v="0"/>
    <n v="0"/>
    <n v="0"/>
    <n v="1"/>
    <n v="0"/>
    <n v="0"/>
    <n v="0"/>
    <n v="723"/>
    <d v="2016-06-04T00:00:00"/>
  </r>
  <r>
    <n v="1485"/>
    <n v="55434"/>
    <n v="806"/>
    <n v="1.4539813111087058E-2"/>
    <x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x v="1"/>
    <x v="39"/>
    <s v="36-50"/>
    <n v="2426"/>
    <n v="0"/>
    <n v="1"/>
    <n v="0"/>
    <n v="0"/>
    <n v="0"/>
    <n v="0"/>
    <n v="1"/>
    <n v="0"/>
    <n v="0"/>
    <n v="730"/>
    <d v="2016-02-23T00:00:00"/>
  </r>
  <r>
    <n v="432"/>
    <n v="70165"/>
    <n v="804"/>
    <n v="1.1458704482291741E-2"/>
    <x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x v="1"/>
    <x v="4"/>
    <s v="66+"/>
    <n v="2439"/>
    <n v="0"/>
    <n v="0"/>
    <n v="0"/>
    <n v="0"/>
    <n v="1"/>
    <n v="0"/>
    <n v="1"/>
    <n v="0"/>
    <n v="0"/>
    <n v="682"/>
    <d v="2016-02-10T00:00:00"/>
  </r>
  <r>
    <n v="258"/>
    <n v="77882"/>
    <n v="803"/>
    <n v="1.0310469684907937E-2"/>
    <x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x v="1"/>
    <x v="43"/>
    <s v="36-50"/>
    <n v="2219"/>
    <n v="0"/>
    <n v="0"/>
    <n v="0"/>
    <n v="1"/>
    <n v="0"/>
    <n v="0"/>
    <n v="0"/>
    <n v="1"/>
    <n v="0"/>
    <n v="788"/>
    <d v="2016-09-17T00:00:00"/>
  </r>
  <r>
    <n v="1503"/>
    <n v="69755"/>
    <n v="801"/>
    <n v="1.1483047810192817E-2"/>
    <x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x v="1"/>
    <x v="49"/>
    <s v="66+"/>
    <n v="2429"/>
    <n v="0"/>
    <n v="1"/>
    <n v="0"/>
    <n v="0"/>
    <n v="0"/>
    <n v="0"/>
    <n v="1"/>
    <n v="0"/>
    <n v="0"/>
    <n v="708"/>
    <d v="2016-02-20T00:00:00"/>
  </r>
  <r>
    <n v="1760"/>
    <n v="75903"/>
    <n v="801"/>
    <n v="1.0552942571439863E-2"/>
    <x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x v="1"/>
    <x v="15"/>
    <s v="66+"/>
    <n v="2606"/>
    <n v="0"/>
    <n v="1"/>
    <n v="0"/>
    <n v="0"/>
    <n v="0"/>
    <n v="0"/>
    <n v="1"/>
    <n v="0"/>
    <n v="0"/>
    <n v="701"/>
    <d v="2015-08-27T00:00:00"/>
  </r>
  <r>
    <n v="1773"/>
    <n v="83891"/>
    <n v="801"/>
    <n v="9.5481040874468067E-3"/>
    <x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x v="1"/>
    <x v="35"/>
    <s v="36-50"/>
    <n v="2168"/>
    <n v="0"/>
    <n v="1"/>
    <n v="0"/>
    <n v="0"/>
    <n v="0"/>
    <n v="0"/>
    <n v="0"/>
    <n v="1"/>
    <n v="0"/>
    <n v="786"/>
    <d v="2016-11-07T00:00:00"/>
  </r>
  <r>
    <n v="882"/>
    <n v="60554"/>
    <n v="796"/>
    <n v="1.3145291805661062E-2"/>
    <x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x v="1"/>
    <x v="16"/>
    <s v="36-50"/>
    <n v="2483"/>
    <n v="1"/>
    <n v="0"/>
    <n v="0"/>
    <n v="0"/>
    <n v="0"/>
    <n v="0"/>
    <n v="0"/>
    <n v="0"/>
    <n v="1"/>
    <n v="781"/>
    <d v="2015-12-28T00:00:00"/>
  </r>
  <r>
    <n v="1200"/>
    <n v="60714"/>
    <n v="795"/>
    <n v="1.3094179266725962E-2"/>
    <x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x v="0"/>
    <x v="5"/>
    <s v="51-66"/>
    <n v="2687"/>
    <n v="0"/>
    <n v="0"/>
    <n v="1"/>
    <n v="0"/>
    <n v="0"/>
    <n v="0"/>
    <n v="1"/>
    <n v="0"/>
    <n v="0"/>
    <n v="633"/>
    <d v="2015-06-07T00:00:00"/>
  </r>
  <r>
    <n v="1994"/>
    <n v="73807"/>
    <n v="795"/>
    <n v="1.0771336052135976E-2"/>
    <x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x v="1"/>
    <x v="37"/>
    <s v="36-50"/>
    <n v="2702"/>
    <n v="0"/>
    <n v="1"/>
    <n v="0"/>
    <n v="0"/>
    <n v="0"/>
    <n v="0"/>
    <n v="1"/>
    <n v="0"/>
    <n v="0"/>
    <n v="741"/>
    <d v="2015-05-23T00:00:00"/>
  </r>
  <r>
    <n v="764"/>
    <n v="52750"/>
    <n v="791"/>
    <n v="1.4995260663507108E-2"/>
    <x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x v="1"/>
    <x v="38"/>
    <s v="51-66"/>
    <n v="2669"/>
    <n v="0"/>
    <n v="1"/>
    <n v="0"/>
    <n v="0"/>
    <n v="0"/>
    <n v="0"/>
    <n v="0"/>
    <n v="1"/>
    <n v="0"/>
    <n v="722"/>
    <d v="2015-06-25T00:00:00"/>
  </r>
  <r>
    <n v="1159"/>
    <n v="64722"/>
    <n v="790"/>
    <n v="1.2206050492877228E-2"/>
    <x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x v="1"/>
    <x v="28"/>
    <s v="36-50"/>
    <n v="2193"/>
    <n v="0"/>
    <n v="1"/>
    <n v="0"/>
    <n v="0"/>
    <n v="0"/>
    <n v="0"/>
    <n v="1"/>
    <n v="0"/>
    <n v="0"/>
    <n v="775"/>
    <d v="2016-10-13T00:00:00"/>
  </r>
  <r>
    <n v="1723"/>
    <n v="76532"/>
    <n v="790"/>
    <n v="1.0322479485705326E-2"/>
    <x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x v="1"/>
    <x v="16"/>
    <s v="36-50"/>
    <n v="2452"/>
    <n v="0"/>
    <n v="0"/>
    <n v="0"/>
    <n v="1"/>
    <n v="0"/>
    <n v="0"/>
    <n v="1"/>
    <n v="0"/>
    <n v="0"/>
    <n v="760"/>
    <d v="2016-01-28T00:00:00"/>
  </r>
  <r>
    <n v="945"/>
    <n v="65569"/>
    <n v="789"/>
    <n v="1.2033125409873568E-2"/>
    <x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x v="1"/>
    <x v="10"/>
    <s v="66+"/>
    <n v="2760"/>
    <n v="0"/>
    <n v="1"/>
    <n v="0"/>
    <n v="0"/>
    <n v="0"/>
    <n v="0"/>
    <n v="0"/>
    <n v="1"/>
    <n v="0"/>
    <n v="719"/>
    <d v="2015-03-26T00:00:00"/>
  </r>
  <r>
    <n v="1176"/>
    <n v="74716"/>
    <n v="789"/>
    <n v="1.0559987151346432E-2"/>
    <x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x v="1"/>
    <x v="9"/>
    <s v="36-50"/>
    <n v="2449"/>
    <n v="0"/>
    <n v="1"/>
    <n v="0"/>
    <n v="0"/>
    <n v="0"/>
    <n v="0"/>
    <n v="1"/>
    <n v="0"/>
    <n v="0"/>
    <n v="718"/>
    <d v="2016-01-31T00:00:00"/>
  </r>
  <r>
    <n v="276"/>
    <n v="68627"/>
    <n v="787"/>
    <n v="1.1467789645474813E-2"/>
    <x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x v="1"/>
    <x v="31"/>
    <s v="36-50"/>
    <n v="2692"/>
    <n v="0"/>
    <n v="0"/>
    <n v="1"/>
    <n v="0"/>
    <n v="0"/>
    <n v="0"/>
    <n v="1"/>
    <n v="0"/>
    <n v="0"/>
    <n v="749"/>
    <d v="2015-06-02T00:00:00"/>
  </r>
  <r>
    <n v="1520"/>
    <n v="62670"/>
    <n v="787"/>
    <n v="1.2557842667943195E-2"/>
    <x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x v="1"/>
    <x v="44"/>
    <s v="66+"/>
    <n v="2306"/>
    <n v="0"/>
    <n v="1"/>
    <n v="0"/>
    <n v="0"/>
    <n v="0"/>
    <n v="0"/>
    <n v="0"/>
    <n v="0"/>
    <n v="1"/>
    <n v="749"/>
    <d v="2016-06-22T00:00:00"/>
  </r>
  <r>
    <n v="1230"/>
    <n v="74805"/>
    <n v="783"/>
    <n v="1.0467214758371767E-2"/>
    <x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x v="1"/>
    <x v="38"/>
    <s v="51-66"/>
    <n v="2394"/>
    <n v="0"/>
    <n v="0"/>
    <n v="0"/>
    <n v="1"/>
    <n v="0"/>
    <n v="1"/>
    <n v="0"/>
    <n v="0"/>
    <n v="0"/>
    <n v="746"/>
    <d v="2016-03-26T00:00:00"/>
  </r>
  <r>
    <n v="1312"/>
    <n v="69389"/>
    <n v="782"/>
    <n v="1.1269797806568765E-2"/>
    <x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x v="1"/>
    <x v="13"/>
    <s v="36-50"/>
    <n v="2798"/>
    <n v="0"/>
    <n v="1"/>
    <n v="0"/>
    <n v="0"/>
    <n v="0"/>
    <n v="0"/>
    <n v="0"/>
    <n v="0"/>
    <n v="1"/>
    <n v="767"/>
    <d v="2015-02-16T00:00:00"/>
  </r>
  <r>
    <n v="2020"/>
    <n v="69245"/>
    <n v="782"/>
    <n v="1.1293234168532024E-2"/>
    <x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x v="1"/>
    <x v="5"/>
    <s v="51-66"/>
    <n v="2315"/>
    <n v="0"/>
    <n v="0"/>
    <n v="0"/>
    <n v="1"/>
    <n v="0"/>
    <n v="0"/>
    <n v="0"/>
    <n v="1"/>
    <n v="0"/>
    <n v="721"/>
    <d v="2016-06-13T00:00:00"/>
  </r>
  <r>
    <n v="1222"/>
    <n v="60894"/>
    <n v="778"/>
    <n v="1.2776299799651855E-2"/>
    <x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x v="1"/>
    <x v="22"/>
    <s v="51-66"/>
    <n v="2525"/>
    <n v="0"/>
    <n v="0"/>
    <n v="0"/>
    <n v="1"/>
    <n v="0"/>
    <n v="0"/>
    <n v="1"/>
    <n v="0"/>
    <n v="0"/>
    <n v="724"/>
    <d v="2015-11-16T00:00:00"/>
  </r>
  <r>
    <n v="66"/>
    <n v="65031"/>
    <n v="777"/>
    <n v="1.1948147806430779E-2"/>
    <x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x v="1"/>
    <x v="29"/>
    <s v="51-66"/>
    <n v="2628"/>
    <n v="0"/>
    <n v="1"/>
    <n v="0"/>
    <n v="0"/>
    <n v="0"/>
    <n v="0"/>
    <n v="1"/>
    <n v="0"/>
    <n v="0"/>
    <n v="691"/>
    <d v="2015-08-05T00:00:00"/>
  </r>
  <r>
    <n v="259"/>
    <n v="63841"/>
    <n v="777"/>
    <n v="1.2170861985244592E-2"/>
    <x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  <x v="14"/>
    <s v="51-66"/>
    <n v="2593"/>
    <n v="1"/>
    <n v="0"/>
    <n v="0"/>
    <n v="0"/>
    <n v="0"/>
    <n v="0"/>
    <n v="0"/>
    <n v="1"/>
    <n v="0"/>
    <n v="646"/>
    <d v="2015-09-09T00:00:00"/>
  </r>
  <r>
    <n v="1403"/>
    <n v="55759"/>
    <n v="777"/>
    <n v="1.3934970139349702E-2"/>
    <x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x v="1"/>
    <x v="46"/>
    <s v="51-66"/>
    <n v="2737"/>
    <n v="0"/>
    <n v="1"/>
    <n v="0"/>
    <n v="0"/>
    <n v="0"/>
    <n v="0"/>
    <n v="1"/>
    <n v="0"/>
    <n v="0"/>
    <n v="700"/>
    <d v="2015-04-18T00:00:00"/>
  </r>
  <r>
    <n v="1598"/>
    <n v="58086"/>
    <n v="777"/>
    <n v="1.3376717281272595E-2"/>
    <x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x v="1"/>
    <x v="3"/>
    <s v="51-66"/>
    <n v="2684"/>
    <n v="1"/>
    <n v="0"/>
    <n v="0"/>
    <n v="0"/>
    <n v="0"/>
    <n v="0"/>
    <n v="0"/>
    <n v="0"/>
    <n v="1"/>
    <n v="762"/>
    <d v="2015-06-10T00:00:00"/>
  </r>
  <r>
    <n v="1205"/>
    <n v="54356"/>
    <n v="775"/>
    <n v="1.4257855618514975E-2"/>
    <x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x v="0"/>
    <x v="4"/>
    <s v="66+"/>
    <n v="2746"/>
    <n v="0"/>
    <n v="0"/>
    <n v="0"/>
    <n v="0"/>
    <n v="1"/>
    <n v="0"/>
    <n v="0"/>
    <n v="0"/>
    <n v="1"/>
    <n v="775"/>
    <d v="2015-04-09T00:00:00"/>
  </r>
  <r>
    <n v="637"/>
    <n v="68118"/>
    <n v="774"/>
    <n v="1.1362635426759447E-2"/>
    <x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  <x v="33"/>
    <s v="51-66"/>
    <n v="2413"/>
    <n v="1"/>
    <n v="0"/>
    <n v="0"/>
    <n v="0"/>
    <n v="0"/>
    <n v="0"/>
    <n v="1"/>
    <n v="0"/>
    <n v="0"/>
    <n v="620"/>
    <d v="2016-03-07T00:00:00"/>
  </r>
  <r>
    <n v="1277"/>
    <n v="59601"/>
    <n v="774"/>
    <n v="1.298635928927367E-2"/>
    <x v="0"/>
    <n v="1"/>
    <n v="14"/>
    <n v="691"/>
    <n v="7"/>
    <n v="69"/>
    <n v="0"/>
    <n v="7"/>
    <n v="23"/>
    <n v="4"/>
    <n v="2"/>
    <n v="2"/>
    <n v="7"/>
    <n v="8"/>
    <n v="0"/>
    <n v="0"/>
    <n v="0"/>
    <n v="1"/>
    <n v="0"/>
    <n v="0"/>
    <x v="1"/>
    <x v="13"/>
    <s v="36-50"/>
    <n v="2498"/>
    <n v="1"/>
    <n v="0"/>
    <n v="0"/>
    <n v="0"/>
    <n v="0"/>
    <n v="1"/>
    <n v="0"/>
    <n v="0"/>
    <n v="0"/>
    <n v="751"/>
    <d v="2015-12-13T00:00:00"/>
  </r>
  <r>
    <n v="1300"/>
    <n v="63915"/>
    <n v="774"/>
    <n v="1.2109833372447781E-2"/>
    <x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x v="1"/>
    <x v="5"/>
    <s v="51-66"/>
    <n v="2493"/>
    <n v="0"/>
    <n v="1"/>
    <n v="0"/>
    <n v="0"/>
    <n v="0"/>
    <n v="0"/>
    <n v="0"/>
    <n v="1"/>
    <n v="0"/>
    <n v="759"/>
    <d v="2015-12-18T00:00:00"/>
  </r>
  <r>
    <n v="463"/>
    <n v="58308"/>
    <n v="770"/>
    <n v="1.3205735062084105E-2"/>
    <x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x v="1"/>
    <x v="42"/>
    <s v="51-66"/>
    <n v="2692"/>
    <n v="0"/>
    <n v="0"/>
    <n v="1"/>
    <n v="0"/>
    <n v="0"/>
    <n v="0"/>
    <n v="0"/>
    <n v="1"/>
    <n v="0"/>
    <n v="640"/>
    <d v="2015-06-02T00:00:00"/>
  </r>
  <r>
    <n v="1207"/>
    <n v="55424"/>
    <n v="770"/>
    <n v="1.3892898383371825E-2"/>
    <x v="0"/>
    <n v="1"/>
    <n v="6"/>
    <n v="462"/>
    <n v="61"/>
    <n v="184"/>
    <n v="10"/>
    <n v="53"/>
    <n v="107"/>
    <n v="4"/>
    <n v="7"/>
    <n v="5"/>
    <n v="9"/>
    <n v="6"/>
    <n v="0"/>
    <n v="0"/>
    <n v="1"/>
    <n v="0"/>
    <n v="0"/>
    <n v="0"/>
    <x v="0"/>
    <x v="7"/>
    <s v="36-50"/>
    <n v="2740"/>
    <n v="0"/>
    <n v="1"/>
    <n v="0"/>
    <n v="0"/>
    <n v="0"/>
    <n v="0"/>
    <n v="0"/>
    <n v="0"/>
    <n v="1"/>
    <n v="663"/>
    <d v="2015-04-15T00:00:00"/>
  </r>
  <r>
    <n v="1216"/>
    <n v="88097"/>
    <n v="769"/>
    <n v="8.7290146088970112E-3"/>
    <x v="1"/>
    <n v="0"/>
    <n v="24"/>
    <n v="163"/>
    <n v="0"/>
    <n v="480"/>
    <n v="0"/>
    <n v="126"/>
    <n v="75"/>
    <n v="1"/>
    <n v="6"/>
    <n v="5"/>
    <n v="8"/>
    <n v="9"/>
    <n v="1"/>
    <n v="0"/>
    <n v="0"/>
    <n v="1"/>
    <n v="1"/>
    <n v="0"/>
    <x v="0"/>
    <x v="37"/>
    <s v="36-50"/>
    <n v="2839"/>
    <n v="0"/>
    <n v="1"/>
    <n v="0"/>
    <n v="0"/>
    <n v="0"/>
    <n v="0"/>
    <n v="0"/>
    <n v="1"/>
    <n v="0"/>
    <n v="694"/>
    <d v="2015-01-06T00:00:00"/>
  </r>
  <r>
    <n v="1218"/>
    <n v="56534"/>
    <n v="769"/>
    <n v="1.3602433933562105E-2"/>
    <x v="0"/>
    <n v="1"/>
    <n v="35"/>
    <n v="691"/>
    <n v="7"/>
    <n v="61"/>
    <n v="10"/>
    <n v="0"/>
    <n v="46"/>
    <n v="4"/>
    <n v="10"/>
    <n v="4"/>
    <n v="7"/>
    <n v="8"/>
    <n v="0"/>
    <n v="1"/>
    <n v="0"/>
    <n v="1"/>
    <n v="0"/>
    <n v="0"/>
    <x v="0"/>
    <x v="14"/>
    <s v="51-66"/>
    <n v="2500"/>
    <n v="0"/>
    <n v="0"/>
    <n v="0"/>
    <n v="1"/>
    <n v="0"/>
    <n v="0"/>
    <n v="1"/>
    <n v="0"/>
    <n v="0"/>
    <n v="723"/>
    <d v="2015-12-11T00:00:00"/>
  </r>
  <r>
    <n v="1941"/>
    <n v="65333"/>
    <n v="768"/>
    <n v="1.1755162016132735E-2"/>
    <x v="0"/>
    <n v="1"/>
    <n v="58"/>
    <n v="654"/>
    <n v="7"/>
    <n v="92"/>
    <n v="0"/>
    <n v="15"/>
    <n v="30"/>
    <n v="7"/>
    <n v="9"/>
    <n v="4"/>
    <n v="8"/>
    <n v="6"/>
    <n v="0"/>
    <n v="0"/>
    <n v="0"/>
    <n v="1"/>
    <n v="1"/>
    <n v="0"/>
    <x v="1"/>
    <x v="30"/>
    <s v="36-50"/>
    <n v="2322"/>
    <n v="0"/>
    <n v="0"/>
    <n v="1"/>
    <n v="0"/>
    <n v="0"/>
    <n v="0"/>
    <n v="1"/>
    <n v="0"/>
    <n v="0"/>
    <n v="738"/>
    <d v="2016-06-06T00:00:00"/>
  </r>
  <r>
    <n v="320"/>
    <n v="82623"/>
    <n v="767"/>
    <n v="9.2831293949626609E-3"/>
    <x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x v="1"/>
    <x v="50"/>
    <s v="66+"/>
    <n v="2390"/>
    <n v="1"/>
    <n v="0"/>
    <n v="0"/>
    <n v="0"/>
    <n v="0"/>
    <n v="0"/>
    <n v="1"/>
    <n v="0"/>
    <n v="0"/>
    <n v="594"/>
    <d v="2016-03-30T00:00:00"/>
  </r>
  <r>
    <n v="1509"/>
    <n v="75774"/>
    <n v="767"/>
    <n v="1.0122205505846332E-2"/>
    <x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  <x v="43"/>
    <s v="36-50"/>
    <n v="2217"/>
    <n v="0"/>
    <n v="0"/>
    <n v="0"/>
    <n v="1"/>
    <n v="0"/>
    <n v="1"/>
    <n v="0"/>
    <n v="0"/>
    <n v="0"/>
    <n v="711"/>
    <d v="2016-09-19T00:00:00"/>
  </r>
  <r>
    <n v="1150"/>
    <n v="61284"/>
    <n v="766"/>
    <n v="1.2499184126362509E-2"/>
    <x v="0"/>
    <n v="0"/>
    <n v="76"/>
    <n v="618"/>
    <n v="15"/>
    <n v="106"/>
    <n v="20"/>
    <n v="7"/>
    <n v="45"/>
    <n v="1"/>
    <n v="11"/>
    <n v="2"/>
    <n v="8"/>
    <n v="6"/>
    <n v="0"/>
    <n v="0"/>
    <n v="0"/>
    <n v="1"/>
    <n v="0"/>
    <n v="0"/>
    <x v="1"/>
    <x v="38"/>
    <s v="51-66"/>
    <n v="2419"/>
    <n v="0"/>
    <n v="0"/>
    <n v="1"/>
    <n v="0"/>
    <n v="0"/>
    <n v="0"/>
    <n v="0"/>
    <n v="0"/>
    <n v="1"/>
    <n v="721"/>
    <d v="2016-03-01T00:00:00"/>
  </r>
  <r>
    <n v="1528"/>
    <n v="63246"/>
    <n v="765"/>
    <n v="1.2095626600891756E-2"/>
    <x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x v="1"/>
    <x v="26"/>
    <s v="51-66"/>
    <n v="2472"/>
    <n v="0"/>
    <n v="1"/>
    <n v="0"/>
    <n v="0"/>
    <n v="0"/>
    <n v="0"/>
    <n v="0"/>
    <n v="0"/>
    <n v="1"/>
    <n v="758"/>
    <d v="2016-01-08T00:00:00"/>
  </r>
  <r>
    <n v="256"/>
    <n v="66313"/>
    <n v="763"/>
    <n v="1.1506039539758418E-2"/>
    <x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x v="1"/>
    <x v="33"/>
    <s v="51-66"/>
    <n v="2445"/>
    <n v="0"/>
    <n v="0"/>
    <n v="0"/>
    <n v="1"/>
    <n v="0"/>
    <n v="0"/>
    <n v="0"/>
    <n v="0"/>
    <n v="1"/>
    <n v="756"/>
    <d v="2016-02-04T00:00:00"/>
  </r>
  <r>
    <n v="1428"/>
    <n v="51983"/>
    <n v="763"/>
    <n v="1.4677875459284766E-2"/>
    <x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x v="1"/>
    <x v="42"/>
    <s v="51-66"/>
    <n v="2826"/>
    <n v="1"/>
    <n v="0"/>
    <n v="0"/>
    <n v="0"/>
    <n v="0"/>
    <n v="0"/>
    <n v="1"/>
    <n v="0"/>
    <n v="0"/>
    <n v="733"/>
    <d v="2015-01-19T00:00:00"/>
  </r>
  <r>
    <n v="1262"/>
    <n v="62061"/>
    <n v="762"/>
    <n v="1.2278242374438053E-2"/>
    <x v="0"/>
    <n v="1"/>
    <n v="12"/>
    <n v="641"/>
    <n v="7"/>
    <n v="84"/>
    <n v="0"/>
    <n v="30"/>
    <n v="38"/>
    <n v="3"/>
    <n v="10"/>
    <n v="4"/>
    <n v="7"/>
    <n v="6"/>
    <n v="0"/>
    <n v="0"/>
    <n v="0"/>
    <n v="1"/>
    <n v="0"/>
    <n v="0"/>
    <x v="1"/>
    <x v="7"/>
    <s v="36-50"/>
    <n v="2461"/>
    <n v="0"/>
    <n v="0"/>
    <n v="0"/>
    <n v="1"/>
    <n v="0"/>
    <n v="0"/>
    <n v="1"/>
    <n v="0"/>
    <n v="0"/>
    <n v="724"/>
    <d v="2016-01-19T00:00:00"/>
  </r>
  <r>
    <n v="530"/>
    <n v="71499"/>
    <n v="758"/>
    <n v="1.0601546874781466E-2"/>
    <x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x v="1"/>
    <x v="28"/>
    <s v="36-50"/>
    <n v="2528"/>
    <n v="0"/>
    <n v="0"/>
    <n v="0"/>
    <n v="1"/>
    <n v="0"/>
    <n v="0"/>
    <n v="0"/>
    <n v="1"/>
    <n v="0"/>
    <n v="721"/>
    <d v="2015-11-13T00:00:00"/>
  </r>
  <r>
    <n v="1728"/>
    <n v="69719"/>
    <n v="758"/>
    <n v="1.0872215608370745E-2"/>
    <x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x v="1"/>
    <x v="35"/>
    <s v="36-50"/>
    <n v="2193"/>
    <n v="0"/>
    <n v="0"/>
    <n v="1"/>
    <n v="0"/>
    <n v="0"/>
    <n v="0"/>
    <n v="1"/>
    <n v="0"/>
    <n v="0"/>
    <n v="715"/>
    <d v="2016-10-13T00:00:00"/>
  </r>
  <r>
    <n v="663"/>
    <n v="66375"/>
    <n v="757"/>
    <n v="1.1404896421845574E-2"/>
    <x v="0"/>
    <n v="1"/>
    <n v="96"/>
    <n v="712"/>
    <n v="0"/>
    <n v="45"/>
    <n v="0"/>
    <n v="0"/>
    <n v="191"/>
    <n v="3"/>
    <n v="2"/>
    <n v="4"/>
    <n v="5"/>
    <n v="7"/>
    <n v="0"/>
    <n v="0"/>
    <n v="1"/>
    <n v="0"/>
    <n v="0"/>
    <n v="0"/>
    <x v="1"/>
    <x v="40"/>
    <s v="66+"/>
    <n v="2379"/>
    <n v="0"/>
    <n v="0"/>
    <n v="0"/>
    <n v="1"/>
    <n v="0"/>
    <n v="0"/>
    <n v="0"/>
    <n v="0"/>
    <n v="1"/>
    <n v="566"/>
    <d v="2016-04-10T00:00:00"/>
  </r>
  <r>
    <n v="87"/>
    <n v="78497"/>
    <n v="755"/>
    <n v="9.6182019695020184E-3"/>
    <x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x v="1"/>
    <x v="15"/>
    <s v="66+"/>
    <n v="2369"/>
    <n v="0"/>
    <n v="1"/>
    <n v="0"/>
    <n v="0"/>
    <n v="0"/>
    <n v="1"/>
    <n v="0"/>
    <n v="0"/>
    <n v="0"/>
    <n v="532"/>
    <d v="2016-04-20T00:00:00"/>
  </r>
  <r>
    <n v="1442"/>
    <n v="79865"/>
    <n v="754"/>
    <n v="9.4409315720277963E-3"/>
    <x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x v="1"/>
    <x v="44"/>
    <s v="66+"/>
    <n v="2170"/>
    <n v="1"/>
    <n v="0"/>
    <n v="0"/>
    <n v="0"/>
    <n v="0"/>
    <n v="0"/>
    <n v="1"/>
    <n v="0"/>
    <n v="0"/>
    <n v="716"/>
    <d v="2016-11-05T00:00:00"/>
  </r>
  <r>
    <n v="1309"/>
    <n v="67087"/>
    <n v="751"/>
    <n v="1.1194419187025802E-2"/>
    <x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x v="1"/>
    <x v="10"/>
    <s v="66+"/>
    <n v="2353"/>
    <n v="0"/>
    <n v="1"/>
    <n v="0"/>
    <n v="0"/>
    <n v="0"/>
    <n v="0"/>
    <n v="0"/>
    <n v="1"/>
    <n v="0"/>
    <n v="708"/>
    <d v="2016-05-06T00:00:00"/>
  </r>
  <r>
    <n v="1146"/>
    <n v="77297"/>
    <n v="748"/>
    <n v="9.6769602960011386E-3"/>
    <x v="0"/>
    <n v="0"/>
    <n v="84"/>
    <n v="408"/>
    <n v="61"/>
    <n v="109"/>
    <n v="48"/>
    <n v="122"/>
    <n v="41"/>
    <n v="1"/>
    <n v="5"/>
    <n v="7"/>
    <n v="9"/>
    <n v="4"/>
    <n v="1"/>
    <n v="0"/>
    <n v="0"/>
    <n v="0"/>
    <n v="0"/>
    <n v="0"/>
    <x v="1"/>
    <x v="12"/>
    <s v="51-66"/>
    <n v="2678"/>
    <n v="1"/>
    <n v="0"/>
    <n v="0"/>
    <n v="0"/>
    <n v="0"/>
    <n v="1"/>
    <n v="0"/>
    <n v="0"/>
    <n v="0"/>
    <n v="707"/>
    <d v="2015-06-16T00:00:00"/>
  </r>
  <r>
    <n v="1225"/>
    <n v="96547"/>
    <n v="747"/>
    <n v="7.7371642826809736E-3"/>
    <x v="0"/>
    <n v="0"/>
    <n v="4"/>
    <n v="448"/>
    <n v="21"/>
    <n v="125"/>
    <n v="52"/>
    <n v="101"/>
    <n v="62"/>
    <n v="0"/>
    <n v="7"/>
    <n v="6"/>
    <n v="8"/>
    <n v="2"/>
    <n v="1"/>
    <n v="0"/>
    <n v="1"/>
    <n v="0"/>
    <n v="1"/>
    <n v="0"/>
    <x v="0"/>
    <x v="41"/>
    <s v="36-50"/>
    <n v="2196"/>
    <n v="0"/>
    <n v="1"/>
    <n v="0"/>
    <n v="0"/>
    <n v="0"/>
    <n v="1"/>
    <n v="0"/>
    <n v="0"/>
    <n v="0"/>
    <n v="685"/>
    <d v="2016-10-10T00:00:00"/>
  </r>
  <r>
    <n v="1052"/>
    <n v="70566"/>
    <n v="736"/>
    <n v="1.0429952101578663E-2"/>
    <x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x v="1"/>
    <x v="14"/>
    <s v="51-66"/>
    <n v="2425"/>
    <n v="0"/>
    <n v="0"/>
    <n v="1"/>
    <n v="0"/>
    <n v="0"/>
    <n v="0"/>
    <n v="1"/>
    <n v="0"/>
    <n v="0"/>
    <n v="715"/>
    <d v="2016-02-24T00:00:00"/>
  </r>
  <r>
    <n v="934"/>
    <n v="64449"/>
    <n v="735"/>
    <n v="1.1404366243075921E-2"/>
    <x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x v="1"/>
    <x v="32"/>
    <s v="24-35"/>
    <n v="2290"/>
    <n v="0"/>
    <n v="0"/>
    <n v="1"/>
    <n v="0"/>
    <n v="0"/>
    <n v="0"/>
    <n v="1"/>
    <n v="0"/>
    <n v="0"/>
    <n v="665"/>
    <d v="2016-07-08T00:00:00"/>
  </r>
  <r>
    <n v="3"/>
    <n v="71613"/>
    <n v="734"/>
    <n v="1.0249535698825632E-2"/>
    <x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x v="1"/>
    <x v="47"/>
    <s v="51-66"/>
    <n v="2471"/>
    <n v="0"/>
    <n v="0"/>
    <n v="0"/>
    <n v="1"/>
    <n v="0"/>
    <n v="0"/>
    <n v="1"/>
    <n v="0"/>
    <n v="0"/>
    <n v="692"/>
    <d v="2016-01-09T00:00:00"/>
  </r>
  <r>
    <n v="1601"/>
    <n v="69901"/>
    <n v="733"/>
    <n v="1.0486259137923636E-2"/>
    <x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x v="1"/>
    <x v="3"/>
    <s v="51-66"/>
    <n v="2555"/>
    <n v="1"/>
    <n v="0"/>
    <n v="0"/>
    <n v="0"/>
    <n v="0"/>
    <n v="0"/>
    <n v="1"/>
    <n v="0"/>
    <n v="0"/>
    <n v="584"/>
    <d v="2015-10-17T00:00:00"/>
  </r>
  <r>
    <n v="747"/>
    <n v="70421"/>
    <n v="732"/>
    <n v="1.0394626602859943E-2"/>
    <x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x v="1"/>
    <x v="44"/>
    <s v="66+"/>
    <n v="2160"/>
    <n v="0"/>
    <n v="1"/>
    <n v="0"/>
    <n v="0"/>
    <n v="0"/>
    <n v="0"/>
    <n v="0"/>
    <n v="0"/>
    <n v="1"/>
    <n v="697"/>
    <d v="2016-11-15T00:00:00"/>
  </r>
  <r>
    <n v="1790"/>
    <n v="64474"/>
    <n v="730"/>
    <n v="1.13223935229705E-2"/>
    <x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x v="1"/>
    <x v="9"/>
    <s v="36-50"/>
    <n v="2409"/>
    <n v="0"/>
    <n v="0"/>
    <n v="0"/>
    <n v="1"/>
    <n v="0"/>
    <n v="0"/>
    <n v="1"/>
    <n v="0"/>
    <n v="0"/>
    <n v="637"/>
    <d v="2016-03-11T00:00:00"/>
  </r>
  <r>
    <n v="454"/>
    <n v="83151"/>
    <n v="729"/>
    <n v="8.7671825955189953E-3"/>
    <x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x v="1"/>
    <x v="24"/>
    <s v="51-66"/>
    <n v="2786"/>
    <n v="0"/>
    <n v="0"/>
    <n v="0"/>
    <n v="1"/>
    <n v="0"/>
    <n v="0"/>
    <n v="0"/>
    <n v="1"/>
    <n v="0"/>
    <n v="711"/>
    <d v="2015-02-28T00:00:00"/>
  </r>
  <r>
    <n v="1512"/>
    <n v="58684"/>
    <n v="728"/>
    <n v="1.24054256696885E-2"/>
    <x v="0"/>
    <n v="0"/>
    <n v="71"/>
    <n v="479"/>
    <n v="35"/>
    <n v="179"/>
    <n v="28"/>
    <n v="7"/>
    <n v="85"/>
    <n v="1"/>
    <n v="5"/>
    <n v="3"/>
    <n v="12"/>
    <n v="2"/>
    <n v="0"/>
    <n v="0"/>
    <n v="0"/>
    <n v="1"/>
    <n v="0"/>
    <n v="0"/>
    <x v="1"/>
    <x v="43"/>
    <s v="36-50"/>
    <n v="2172"/>
    <n v="0"/>
    <n v="0"/>
    <n v="1"/>
    <n v="0"/>
    <n v="0"/>
    <n v="0"/>
    <n v="1"/>
    <n v="0"/>
    <n v="0"/>
    <n v="643"/>
    <d v="2016-11-03T00:00:00"/>
  </r>
  <r>
    <n v="1556"/>
    <n v="86580"/>
    <n v="726"/>
    <n v="8.3853083853083852E-3"/>
    <x v="0"/>
    <n v="0"/>
    <n v="72"/>
    <n v="532"/>
    <n v="21"/>
    <n v="127"/>
    <n v="26"/>
    <n v="20"/>
    <n v="20"/>
    <n v="0"/>
    <n v="4"/>
    <n v="2"/>
    <n v="5"/>
    <n v="1"/>
    <n v="0"/>
    <n v="0"/>
    <n v="0"/>
    <n v="0"/>
    <n v="1"/>
    <n v="0"/>
    <x v="1"/>
    <x v="20"/>
    <s v="36-50"/>
    <n v="2646"/>
    <n v="0"/>
    <n v="1"/>
    <n v="0"/>
    <n v="0"/>
    <n v="0"/>
    <n v="0"/>
    <n v="0"/>
    <n v="0"/>
    <n v="1"/>
    <n v="706"/>
    <d v="2015-07-18T00:00:00"/>
  </r>
  <r>
    <n v="469"/>
    <n v="65275"/>
    <n v="725"/>
    <n v="1.1106855610877058E-2"/>
    <x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x v="1"/>
    <x v="34"/>
    <s v="66+"/>
    <n v="2611"/>
    <n v="0"/>
    <n v="1"/>
    <n v="0"/>
    <n v="0"/>
    <n v="0"/>
    <n v="0"/>
    <n v="1"/>
    <n v="0"/>
    <n v="0"/>
    <n v="704"/>
    <d v="2015-08-22T00:00:00"/>
  </r>
  <r>
    <n v="1850"/>
    <n v="67225"/>
    <n v="725"/>
    <n v="1.0784678319077723E-2"/>
    <x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x v="1"/>
    <x v="38"/>
    <s v="51-66"/>
    <n v="2374"/>
    <n v="0"/>
    <n v="1"/>
    <n v="0"/>
    <n v="0"/>
    <n v="0"/>
    <n v="0"/>
    <n v="1"/>
    <n v="0"/>
    <n v="0"/>
    <n v="582"/>
    <d v="2016-04-15T00:00:00"/>
  </r>
  <r>
    <n v="265"/>
    <n v="50898"/>
    <n v="724"/>
    <n v="1.4224527486345239E-2"/>
    <x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x v="1"/>
    <x v="5"/>
    <s v="51-66"/>
    <n v="2696"/>
    <n v="0"/>
    <n v="0"/>
    <n v="0"/>
    <n v="1"/>
    <n v="0"/>
    <n v="0"/>
    <n v="0"/>
    <n v="1"/>
    <n v="0"/>
    <n v="589"/>
    <d v="2015-05-29T00:00:00"/>
  </r>
  <r>
    <n v="1215"/>
    <n v="57811"/>
    <n v="724"/>
    <n v="1.2523568179066268E-2"/>
    <x v="0"/>
    <n v="1"/>
    <n v="49"/>
    <n v="545"/>
    <n v="7"/>
    <n v="114"/>
    <n v="37"/>
    <n v="21"/>
    <n v="78"/>
    <n v="5"/>
    <n v="7"/>
    <n v="2"/>
    <n v="11"/>
    <n v="5"/>
    <n v="0"/>
    <n v="0"/>
    <n v="0"/>
    <n v="1"/>
    <n v="0"/>
    <n v="0"/>
    <x v="1"/>
    <x v="22"/>
    <s v="51-66"/>
    <n v="2529"/>
    <n v="0"/>
    <n v="0"/>
    <n v="0"/>
    <n v="1"/>
    <n v="0"/>
    <n v="0"/>
    <n v="1"/>
    <n v="0"/>
    <n v="0"/>
    <n v="646"/>
    <d v="2015-11-12T00:00:00"/>
  </r>
  <r>
    <n v="1748"/>
    <n v="70932"/>
    <n v="724"/>
    <n v="1.0206958777420628E-2"/>
    <x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x v="1"/>
    <x v="9"/>
    <s v="36-50"/>
    <n v="2320"/>
    <n v="0"/>
    <n v="1"/>
    <n v="0"/>
    <n v="0"/>
    <n v="0"/>
    <n v="1"/>
    <n v="0"/>
    <n v="0"/>
    <n v="0"/>
    <n v="539"/>
    <d v="2016-06-08T00:00:00"/>
  </r>
  <r>
    <n v="1953"/>
    <n v="58482"/>
    <n v="724"/>
    <n v="1.2379877569166581E-2"/>
    <x v="0"/>
    <n v="1"/>
    <n v="59"/>
    <n v="576"/>
    <n v="7"/>
    <n v="115"/>
    <n v="19"/>
    <n v="7"/>
    <n v="7"/>
    <n v="2"/>
    <n v="7"/>
    <n v="4"/>
    <n v="9"/>
    <n v="6"/>
    <n v="0"/>
    <n v="0"/>
    <n v="0"/>
    <n v="1"/>
    <n v="0"/>
    <n v="0"/>
    <x v="1"/>
    <x v="38"/>
    <s v="51-66"/>
    <n v="2268"/>
    <n v="0"/>
    <n v="1"/>
    <n v="0"/>
    <n v="0"/>
    <n v="0"/>
    <n v="0"/>
    <n v="0"/>
    <n v="0"/>
    <n v="1"/>
    <n v="717"/>
    <d v="2016-07-30T00:00:00"/>
  </r>
  <r>
    <n v="392"/>
    <n v="49505"/>
    <n v="723"/>
    <n v="1.4604585395414605E-2"/>
    <x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x v="1"/>
    <x v="28"/>
    <s v="36-50"/>
    <n v="2640"/>
    <n v="0"/>
    <n v="1"/>
    <n v="0"/>
    <n v="0"/>
    <n v="0"/>
    <n v="0"/>
    <n v="0"/>
    <n v="1"/>
    <n v="0"/>
    <n v="695"/>
    <d v="2015-07-24T00:00:00"/>
  </r>
  <r>
    <n v="1654"/>
    <n v="58582"/>
    <n v="721"/>
    <n v="1.2307534737632721E-2"/>
    <x v="0"/>
    <n v="1"/>
    <n v="15"/>
    <n v="402"/>
    <n v="35"/>
    <n v="106"/>
    <n v="101"/>
    <n v="77"/>
    <n v="42"/>
    <n v="2"/>
    <n v="9"/>
    <n v="2"/>
    <n v="9"/>
    <n v="5"/>
    <n v="0"/>
    <n v="0"/>
    <n v="0"/>
    <n v="1"/>
    <n v="0"/>
    <n v="0"/>
    <x v="1"/>
    <x v="31"/>
    <s v="36-50"/>
    <n v="2433"/>
    <n v="0"/>
    <n v="0"/>
    <n v="0"/>
    <n v="1"/>
    <n v="0"/>
    <n v="1"/>
    <n v="0"/>
    <n v="0"/>
    <n v="0"/>
    <n v="679"/>
    <d v="2016-02-16T00:00:00"/>
  </r>
  <r>
    <n v="568"/>
    <n v="62807"/>
    <n v="720"/>
    <n v="1.1463690352986132E-2"/>
    <x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  <x v="24"/>
    <s v="51-66"/>
    <n v="2826"/>
    <n v="0"/>
    <n v="0"/>
    <n v="0"/>
    <n v="1"/>
    <n v="0"/>
    <n v="0"/>
    <n v="1"/>
    <n v="0"/>
    <n v="0"/>
    <n v="621"/>
    <d v="2015-01-19T00:00:00"/>
  </r>
  <r>
    <n v="1660"/>
    <n v="63967"/>
    <n v="720"/>
    <n v="1.1255803773820877E-2"/>
    <x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x v="1"/>
    <x v="14"/>
    <s v="51-66"/>
    <n v="2483"/>
    <n v="0"/>
    <n v="1"/>
    <n v="0"/>
    <n v="0"/>
    <n v="0"/>
    <n v="0"/>
    <n v="1"/>
    <n v="0"/>
    <n v="0"/>
    <n v="558"/>
    <d v="2015-12-28T00:00:00"/>
  </r>
  <r>
    <n v="408"/>
    <n v="67272"/>
    <n v="719"/>
    <n v="1.0687953383279819E-2"/>
    <x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x v="1"/>
    <x v="22"/>
    <s v="51-66"/>
    <n v="2349"/>
    <n v="1"/>
    <n v="0"/>
    <n v="0"/>
    <n v="0"/>
    <n v="0"/>
    <n v="0"/>
    <n v="1"/>
    <n v="0"/>
    <n v="0"/>
    <n v="705"/>
    <d v="2016-05-10T00:00:00"/>
  </r>
  <r>
    <n v="57"/>
    <n v="61823"/>
    <n v="715"/>
    <n v="1.1565275059443896E-2"/>
    <x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x v="1"/>
    <x v="50"/>
    <s v="66+"/>
    <n v="2655"/>
    <n v="0"/>
    <n v="0"/>
    <n v="1"/>
    <n v="0"/>
    <n v="0"/>
    <n v="0"/>
    <n v="1"/>
    <n v="0"/>
    <n v="0"/>
    <n v="546"/>
    <d v="2015-07-09T00:00:00"/>
  </r>
  <r>
    <n v="1031"/>
    <n v="80910"/>
    <n v="715"/>
    <n v="8.8369793597824747E-3"/>
    <x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x v="1"/>
    <x v="18"/>
    <s v="24-35"/>
    <n v="2765"/>
    <n v="0"/>
    <n v="0"/>
    <n v="1"/>
    <n v="0"/>
    <n v="0"/>
    <n v="1"/>
    <n v="0"/>
    <n v="0"/>
    <n v="0"/>
    <n v="674"/>
    <d v="2015-03-21T00:00:00"/>
  </r>
  <r>
    <n v="1239"/>
    <n v="60585"/>
    <n v="715"/>
    <n v="1.1801601056367088E-2"/>
    <x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x v="0"/>
    <x v="28"/>
    <s v="36-50"/>
    <n v="2529"/>
    <n v="0"/>
    <n v="1"/>
    <n v="0"/>
    <n v="0"/>
    <n v="0"/>
    <n v="0"/>
    <n v="0"/>
    <n v="0"/>
    <n v="1"/>
    <n v="694"/>
    <d v="2015-11-12T00:00:00"/>
  </r>
  <r>
    <n v="675"/>
    <n v="59111"/>
    <n v="714"/>
    <n v="1.2078970073252017E-2"/>
    <x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x v="1"/>
    <x v="44"/>
    <s v="66+"/>
    <n v="2582"/>
    <n v="0"/>
    <n v="1"/>
    <n v="0"/>
    <n v="0"/>
    <n v="0"/>
    <n v="0"/>
    <n v="1"/>
    <n v="0"/>
    <n v="0"/>
    <n v="559"/>
    <d v="2015-09-20T00:00:00"/>
  </r>
  <r>
    <n v="1307"/>
    <n v="44511"/>
    <n v="713"/>
    <n v="1.6018512277863897E-2"/>
    <x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x v="1"/>
    <x v="2"/>
    <s v="36-50"/>
    <n v="2784"/>
    <n v="0"/>
    <n v="1"/>
    <n v="0"/>
    <n v="0"/>
    <n v="0"/>
    <n v="0"/>
    <n v="0"/>
    <n v="1"/>
    <n v="0"/>
    <n v="699"/>
    <d v="2015-03-02T00:00:00"/>
  </r>
  <r>
    <n v="769"/>
    <n v="65685"/>
    <n v="712"/>
    <n v="1.0839613305929816E-2"/>
    <x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  <x v="9"/>
    <s v="36-50"/>
    <n v="2251"/>
    <n v="0"/>
    <n v="1"/>
    <n v="0"/>
    <n v="0"/>
    <n v="0"/>
    <n v="0"/>
    <n v="1"/>
    <n v="0"/>
    <n v="0"/>
    <n v="655"/>
    <d v="2016-08-16T00:00:00"/>
  </r>
  <r>
    <n v="1410"/>
    <n v="58597"/>
    <n v="712"/>
    <n v="1.2150792702698089E-2"/>
    <x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x v="1"/>
    <x v="7"/>
    <s v="36-50"/>
    <n v="2745"/>
    <n v="0"/>
    <n v="1"/>
    <n v="0"/>
    <n v="0"/>
    <n v="0"/>
    <n v="0"/>
    <n v="1"/>
    <n v="0"/>
    <n v="0"/>
    <n v="691"/>
    <d v="2015-04-10T00:00:00"/>
  </r>
  <r>
    <n v="1830"/>
    <n v="65814"/>
    <n v="712"/>
    <n v="1.0818366912814903E-2"/>
    <x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x v="1"/>
    <x v="22"/>
    <s v="51-66"/>
    <n v="2278"/>
    <n v="0"/>
    <n v="0"/>
    <n v="0"/>
    <n v="1"/>
    <n v="0"/>
    <n v="0"/>
    <n v="0"/>
    <n v="0"/>
    <n v="1"/>
    <n v="677"/>
    <d v="2016-07-20T00:00:00"/>
  </r>
  <r>
    <n v="1007"/>
    <n v="59925"/>
    <n v="710"/>
    <n v="1.1848143512724238E-2"/>
    <x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x v="1"/>
    <x v="38"/>
    <s v="51-66"/>
    <n v="2735"/>
    <n v="0"/>
    <n v="0"/>
    <n v="0"/>
    <n v="1"/>
    <n v="0"/>
    <n v="0"/>
    <n v="1"/>
    <n v="0"/>
    <n v="0"/>
    <n v="654"/>
    <d v="2015-04-20T00:00:00"/>
  </r>
  <r>
    <n v="367"/>
    <n v="70777"/>
    <n v="709"/>
    <n v="1.0017378526922588E-2"/>
    <x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x v="1"/>
    <x v="14"/>
    <s v="51-66"/>
    <n v="2283"/>
    <n v="0"/>
    <n v="1"/>
    <n v="0"/>
    <n v="0"/>
    <n v="0"/>
    <n v="0"/>
    <n v="0"/>
    <n v="1"/>
    <n v="0"/>
    <n v="631"/>
    <d v="2016-07-15T00:00:00"/>
  </r>
  <r>
    <n v="1245"/>
    <n v="86037"/>
    <n v="708"/>
    <n v="8.2290177481781097E-3"/>
    <x v="0"/>
    <n v="0"/>
    <n v="95"/>
    <n v="490"/>
    <n v="44"/>
    <n v="125"/>
    <n v="29"/>
    <n v="20"/>
    <n v="22"/>
    <n v="1"/>
    <n v="6"/>
    <n v="7"/>
    <n v="11"/>
    <n v="3"/>
    <n v="0"/>
    <n v="0"/>
    <n v="0"/>
    <n v="1"/>
    <n v="1"/>
    <n v="0"/>
    <x v="0"/>
    <x v="1"/>
    <s v="24-35"/>
    <n v="2702"/>
    <n v="0"/>
    <n v="0"/>
    <n v="1"/>
    <n v="0"/>
    <n v="0"/>
    <n v="0"/>
    <n v="1"/>
    <n v="0"/>
    <n v="0"/>
    <n v="686"/>
    <d v="2015-05-23T00:00:00"/>
  </r>
  <r>
    <n v="1247"/>
    <n v="82017"/>
    <n v="706"/>
    <n v="8.6079715180999057E-3"/>
    <x v="0"/>
    <n v="0"/>
    <n v="58"/>
    <n v="184"/>
    <n v="23"/>
    <n v="446"/>
    <n v="30"/>
    <n v="23"/>
    <n v="23"/>
    <n v="1"/>
    <n v="5"/>
    <n v="4"/>
    <n v="7"/>
    <n v="2"/>
    <n v="1"/>
    <n v="0"/>
    <n v="0"/>
    <n v="1"/>
    <n v="1"/>
    <n v="0"/>
    <x v="0"/>
    <x v="12"/>
    <s v="51-66"/>
    <n v="2758"/>
    <n v="0"/>
    <n v="1"/>
    <n v="0"/>
    <n v="0"/>
    <n v="0"/>
    <n v="0"/>
    <n v="0"/>
    <n v="0"/>
    <n v="1"/>
    <n v="683"/>
    <d v="2015-03-28T00:00:00"/>
  </r>
  <r>
    <n v="1727"/>
    <n v="61671"/>
    <n v="704"/>
    <n v="1.1415414051985536E-2"/>
    <x v="0"/>
    <n v="1"/>
    <n v="23"/>
    <n v="641"/>
    <n v="7"/>
    <n v="56"/>
    <n v="0"/>
    <n v="0"/>
    <n v="28"/>
    <n v="8"/>
    <n v="10"/>
    <n v="4"/>
    <n v="6"/>
    <n v="8"/>
    <n v="1"/>
    <n v="0"/>
    <n v="0"/>
    <n v="1"/>
    <n v="0"/>
    <n v="0"/>
    <x v="1"/>
    <x v="14"/>
    <s v="51-66"/>
    <n v="2185"/>
    <n v="1"/>
    <n v="0"/>
    <n v="0"/>
    <n v="0"/>
    <n v="0"/>
    <n v="0"/>
    <n v="1"/>
    <n v="0"/>
    <n v="0"/>
    <n v="676"/>
    <d v="2016-10-21T00:00:00"/>
  </r>
  <r>
    <n v="1968"/>
    <n v="65210"/>
    <n v="703"/>
    <n v="1.0780555129581353E-2"/>
    <x v="0"/>
    <n v="1"/>
    <n v="25"/>
    <n v="626"/>
    <n v="0"/>
    <n v="70"/>
    <n v="0"/>
    <n v="7"/>
    <n v="28"/>
    <n v="2"/>
    <n v="9"/>
    <n v="3"/>
    <n v="8"/>
    <n v="6"/>
    <n v="1"/>
    <n v="0"/>
    <n v="0"/>
    <n v="1"/>
    <n v="0"/>
    <n v="0"/>
    <x v="1"/>
    <x v="38"/>
    <s v="51-66"/>
    <n v="2270"/>
    <n v="0"/>
    <n v="1"/>
    <n v="0"/>
    <n v="0"/>
    <n v="0"/>
    <n v="0"/>
    <n v="1"/>
    <n v="0"/>
    <n v="0"/>
    <n v="675"/>
    <d v="2016-07-28T00:00:00"/>
  </r>
  <r>
    <n v="6"/>
    <n v="62513"/>
    <n v="702"/>
    <n v="1.1229664229840194E-2"/>
    <x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x v="1"/>
    <x v="26"/>
    <s v="51-66"/>
    <n v="2452"/>
    <n v="0"/>
    <n v="0"/>
    <n v="0"/>
    <n v="1"/>
    <n v="0"/>
    <n v="0"/>
    <n v="0"/>
    <n v="1"/>
    <n v="0"/>
    <n v="688"/>
    <d v="2016-01-28T00:00:00"/>
  </r>
  <r>
    <n v="76"/>
    <n v="81361"/>
    <n v="702"/>
    <n v="8.628212534260887E-3"/>
    <x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1"/>
    <x v="36"/>
    <s v="24-35"/>
    <n v="2283"/>
    <n v="1"/>
    <n v="0"/>
    <n v="0"/>
    <n v="0"/>
    <n v="0"/>
    <n v="0"/>
    <n v="1"/>
    <n v="0"/>
    <n v="0"/>
    <n v="626"/>
    <d v="2016-07-15T00:00:00"/>
  </r>
  <r>
    <n v="487"/>
    <n v="71367"/>
    <n v="702"/>
    <n v="9.8364790449367353E-3"/>
    <x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  <x v="29"/>
    <s v="51-66"/>
    <n v="2469"/>
    <n v="0"/>
    <n v="0"/>
    <n v="0"/>
    <n v="1"/>
    <n v="0"/>
    <n v="0"/>
    <n v="1"/>
    <n v="0"/>
    <n v="0"/>
    <n v="627"/>
    <d v="2016-01-11T00:00:00"/>
  </r>
  <r>
    <n v="1250"/>
    <n v="81361"/>
    <n v="702"/>
    <n v="8.628212534260887E-3"/>
    <x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0"/>
    <x v="36"/>
    <s v="24-35"/>
    <n v="2283"/>
    <n v="1"/>
    <n v="0"/>
    <n v="0"/>
    <n v="0"/>
    <n v="0"/>
    <n v="0"/>
    <n v="1"/>
    <n v="0"/>
    <n v="0"/>
    <n v="626"/>
    <d v="2016-07-15T00:00:00"/>
  </r>
  <r>
    <n v="795"/>
    <n v="55284"/>
    <n v="701"/>
    <n v="1.267997974097388E-2"/>
    <x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x v="1"/>
    <x v="5"/>
    <s v="51-66"/>
    <n v="2711"/>
    <n v="0"/>
    <n v="0"/>
    <n v="1"/>
    <n v="0"/>
    <n v="0"/>
    <n v="0"/>
    <n v="0"/>
    <n v="1"/>
    <n v="0"/>
    <n v="638"/>
    <d v="2015-05-14T00:00:00"/>
  </r>
  <r>
    <n v="204"/>
    <n v="77622"/>
    <n v="700"/>
    <n v="9.0180618896704545E-3"/>
    <x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x v="1"/>
    <x v="2"/>
    <s v="36-50"/>
    <n v="2235"/>
    <n v="0"/>
    <n v="0"/>
    <n v="0"/>
    <n v="1"/>
    <n v="0"/>
    <n v="0"/>
    <n v="0"/>
    <n v="0"/>
    <n v="1"/>
    <n v="686"/>
    <d v="2016-09-01T00:00:00"/>
  </r>
  <r>
    <n v="279"/>
    <n v="58821"/>
    <n v="700"/>
    <n v="1.1900511722004046E-2"/>
    <x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x v="1"/>
    <x v="5"/>
    <s v="51-66"/>
    <n v="2419"/>
    <n v="0"/>
    <n v="0"/>
    <n v="0"/>
    <n v="1"/>
    <n v="0"/>
    <n v="1"/>
    <n v="0"/>
    <n v="0"/>
    <n v="0"/>
    <n v="672"/>
    <d v="2016-03-01T00:00:00"/>
  </r>
  <r>
    <n v="656"/>
    <n v="78901"/>
    <n v="700"/>
    <n v="8.8718774160023318E-3"/>
    <x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x v="1"/>
    <x v="30"/>
    <s v="36-50"/>
    <n v="2444"/>
    <n v="1"/>
    <n v="0"/>
    <n v="0"/>
    <n v="0"/>
    <n v="0"/>
    <n v="0"/>
    <n v="1"/>
    <n v="0"/>
    <n v="0"/>
    <n v="666"/>
    <d v="2016-02-05T00:00:00"/>
  </r>
  <r>
    <n v="1501"/>
    <n v="59821"/>
    <n v="699"/>
    <n v="1.168485983183163E-2"/>
    <x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x v="1"/>
    <x v="38"/>
    <s v="51-66"/>
    <n v="2602"/>
    <n v="0"/>
    <n v="1"/>
    <n v="0"/>
    <n v="0"/>
    <n v="0"/>
    <n v="0"/>
    <n v="0"/>
    <n v="0"/>
    <n v="1"/>
    <n v="664"/>
    <d v="2015-08-31T00:00:00"/>
  </r>
  <r>
    <n v="763"/>
    <n v="73170"/>
    <n v="694"/>
    <n v="9.4847615142818094E-3"/>
    <x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x v="1"/>
    <x v="16"/>
    <s v="36-50"/>
    <n v="2188"/>
    <n v="0"/>
    <n v="0"/>
    <n v="1"/>
    <n v="0"/>
    <n v="0"/>
    <n v="0"/>
    <n v="1"/>
    <n v="0"/>
    <n v="0"/>
    <n v="662"/>
    <d v="2016-10-18T00:00:00"/>
  </r>
  <r>
    <n v="1566"/>
    <n v="64813"/>
    <n v="693"/>
    <n v="1.0692299384382762E-2"/>
    <x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x v="1"/>
    <x v="37"/>
    <s v="36-50"/>
    <n v="2337"/>
    <n v="0"/>
    <n v="1"/>
    <n v="0"/>
    <n v="0"/>
    <n v="0"/>
    <n v="0"/>
    <n v="1"/>
    <n v="0"/>
    <n v="0"/>
    <n v="641"/>
    <d v="2016-05-22T00:00:00"/>
  </r>
  <r>
    <n v="1554"/>
    <n v="62335"/>
    <n v="682"/>
    <n v="1.0940883933584663E-2"/>
    <x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x v="1"/>
    <x v="50"/>
    <s v="66+"/>
    <n v="2561"/>
    <n v="1"/>
    <n v="0"/>
    <n v="0"/>
    <n v="0"/>
    <n v="0"/>
    <n v="0"/>
    <n v="1"/>
    <n v="0"/>
    <n v="0"/>
    <n v="656"/>
    <d v="2015-10-11T00:00:00"/>
  </r>
  <r>
    <n v="1884"/>
    <n v="71866"/>
    <n v="682"/>
    <n v="9.4898839506859997E-3"/>
    <x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x v="1"/>
    <x v="5"/>
    <s v="51-66"/>
    <n v="2345"/>
    <n v="0"/>
    <n v="1"/>
    <n v="0"/>
    <n v="0"/>
    <n v="0"/>
    <n v="0"/>
    <n v="1"/>
    <n v="0"/>
    <n v="0"/>
    <n v="649"/>
    <d v="2016-05-14T00:00:00"/>
  </r>
  <r>
    <n v="524"/>
    <n v="54880"/>
    <n v="677"/>
    <n v="1.2336005830903791E-2"/>
    <x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x v="1"/>
    <x v="37"/>
    <s v="36-50"/>
    <n v="2644"/>
    <n v="0"/>
    <n v="0"/>
    <n v="1"/>
    <n v="0"/>
    <n v="0"/>
    <n v="0"/>
    <n v="0"/>
    <n v="0"/>
    <n v="1"/>
    <n v="559"/>
    <d v="2015-07-20T00:00:00"/>
  </r>
  <r>
    <n v="1127"/>
    <n v="58113"/>
    <n v="674"/>
    <n v="1.1598093369813984E-2"/>
    <x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x v="1"/>
    <x v="29"/>
    <s v="51-66"/>
    <n v="2679"/>
    <n v="0"/>
    <n v="1"/>
    <n v="0"/>
    <n v="0"/>
    <n v="0"/>
    <n v="0"/>
    <n v="1"/>
    <n v="0"/>
    <n v="0"/>
    <n v="590"/>
    <d v="2015-06-15T00:00:00"/>
  </r>
  <r>
    <n v="881"/>
    <n v="55239"/>
    <n v="673"/>
    <n v="1.2183421133619364E-2"/>
    <x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x v="1"/>
    <x v="28"/>
    <s v="36-50"/>
    <n v="2509"/>
    <n v="0"/>
    <n v="0"/>
    <n v="1"/>
    <n v="0"/>
    <n v="0"/>
    <n v="0"/>
    <n v="1"/>
    <n v="0"/>
    <n v="0"/>
    <n v="567"/>
    <d v="2015-12-02T00:00:00"/>
  </r>
  <r>
    <n v="478"/>
    <n v="61250"/>
    <n v="671"/>
    <n v="1.0955102040816327E-2"/>
    <x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x v="1"/>
    <x v="29"/>
    <s v="51-66"/>
    <n v="2719"/>
    <n v="1"/>
    <n v="0"/>
    <n v="0"/>
    <n v="0"/>
    <n v="0"/>
    <n v="0"/>
    <n v="1"/>
    <n v="0"/>
    <n v="0"/>
    <n v="612"/>
    <d v="2015-05-06T00:00:00"/>
  </r>
  <r>
    <n v="1479"/>
    <n v="51250"/>
    <n v="670"/>
    <n v="1.3073170731707317E-2"/>
    <x v="1"/>
    <n v="0"/>
    <n v="28"/>
    <n v="342"/>
    <n v="32"/>
    <n v="230"/>
    <n v="34"/>
    <n v="32"/>
    <n v="40"/>
    <n v="5"/>
    <n v="10"/>
    <n v="5"/>
    <n v="4"/>
    <n v="9"/>
    <n v="0"/>
    <n v="0"/>
    <n v="1"/>
    <n v="0"/>
    <n v="0"/>
    <n v="0"/>
    <x v="1"/>
    <x v="48"/>
    <s v="24-35"/>
    <n v="2615"/>
    <n v="0"/>
    <n v="0"/>
    <n v="1"/>
    <n v="0"/>
    <n v="0"/>
    <n v="1"/>
    <n v="0"/>
    <n v="0"/>
    <n v="0"/>
    <n v="630"/>
    <d v="2015-08-18T00:00:00"/>
  </r>
  <r>
    <n v="1208"/>
    <n v="52531"/>
    <n v="669"/>
    <n v="1.2735337229445471E-2"/>
    <x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x v="1"/>
    <x v="28"/>
    <s v="36-50"/>
    <n v="2705"/>
    <n v="0"/>
    <n v="1"/>
    <n v="0"/>
    <n v="0"/>
    <n v="0"/>
    <n v="0"/>
    <n v="1"/>
    <n v="0"/>
    <n v="0"/>
    <n v="544"/>
    <d v="2015-05-20T00:00:00"/>
  </r>
  <r>
    <n v="721"/>
    <n v="72063"/>
    <n v="668"/>
    <n v="9.2696668193108806E-3"/>
    <x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x v="1"/>
    <x v="19"/>
    <s v="36-50"/>
    <n v="2520"/>
    <n v="0"/>
    <n v="1"/>
    <n v="0"/>
    <n v="0"/>
    <n v="0"/>
    <n v="0"/>
    <n v="1"/>
    <n v="0"/>
    <n v="0"/>
    <n v="578"/>
    <d v="2015-11-21T00:00:00"/>
  </r>
  <r>
    <n v="1166"/>
    <n v="66000"/>
    <n v="666"/>
    <n v="1.0090909090909091E-2"/>
    <x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x v="1"/>
    <x v="6"/>
    <s v="66+"/>
    <n v="2229"/>
    <n v="0"/>
    <n v="0"/>
    <n v="0"/>
    <n v="1"/>
    <n v="0"/>
    <n v="0"/>
    <n v="0"/>
    <n v="1"/>
    <n v="0"/>
    <n v="621"/>
    <d v="2016-09-07T00:00:00"/>
  </r>
  <r>
    <n v="986"/>
    <n v="44529"/>
    <n v="665"/>
    <n v="1.4934087897774484E-2"/>
    <x v="0"/>
    <n v="1"/>
    <n v="98"/>
    <n v="538"/>
    <n v="13"/>
    <n v="91"/>
    <n v="17"/>
    <n v="6"/>
    <n v="26"/>
    <n v="6"/>
    <n v="6"/>
    <n v="2"/>
    <n v="11"/>
    <n v="5"/>
    <n v="0"/>
    <n v="0"/>
    <n v="0"/>
    <n v="1"/>
    <n v="0"/>
    <n v="0"/>
    <x v="1"/>
    <x v="22"/>
    <s v="51-66"/>
    <n v="2518"/>
    <n v="0"/>
    <n v="1"/>
    <n v="0"/>
    <n v="0"/>
    <n v="0"/>
    <n v="0"/>
    <n v="1"/>
    <n v="0"/>
    <n v="0"/>
    <n v="639"/>
    <d v="2015-11-23T00:00:00"/>
  </r>
  <r>
    <n v="804"/>
    <n v="55357"/>
    <n v="663"/>
    <n v="1.197680510143252E-2"/>
    <x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x v="1"/>
    <x v="23"/>
    <s v="24-35"/>
    <n v="2654"/>
    <n v="0"/>
    <n v="1"/>
    <n v="0"/>
    <n v="0"/>
    <n v="0"/>
    <n v="0"/>
    <n v="1"/>
    <n v="0"/>
    <n v="0"/>
    <n v="599"/>
    <d v="2015-07-10T00:00:00"/>
  </r>
  <r>
    <n v="1255"/>
    <n v="64090"/>
    <n v="662"/>
    <n v="1.032922452800749E-2"/>
    <x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x v="0"/>
    <x v="5"/>
    <s v="51-66"/>
    <n v="2485"/>
    <n v="0"/>
    <n v="0"/>
    <n v="0"/>
    <n v="1"/>
    <n v="0"/>
    <n v="0"/>
    <n v="1"/>
    <n v="0"/>
    <n v="0"/>
    <n v="527"/>
    <d v="2015-12-26T00:00:00"/>
  </r>
  <r>
    <n v="1258"/>
    <n v="53378"/>
    <n v="661"/>
    <n v="1.2383378920154372E-2"/>
    <x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x v="0"/>
    <x v="33"/>
    <s v="51-66"/>
    <n v="2802"/>
    <n v="0"/>
    <n v="1"/>
    <n v="0"/>
    <n v="0"/>
    <n v="0"/>
    <n v="0"/>
    <n v="0"/>
    <n v="0"/>
    <n v="1"/>
    <n v="529"/>
    <d v="2015-02-12T00:00:00"/>
  </r>
  <r>
    <n v="1992"/>
    <n v="57731"/>
    <n v="660"/>
    <n v="1.1432332715525455E-2"/>
    <x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x v="1"/>
    <x v="3"/>
    <s v="51-66"/>
    <n v="2742"/>
    <n v="0"/>
    <n v="0"/>
    <n v="1"/>
    <n v="0"/>
    <n v="0"/>
    <n v="0"/>
    <n v="1"/>
    <n v="0"/>
    <n v="0"/>
    <n v="616"/>
    <d v="2015-04-13T00:00:00"/>
  </r>
  <r>
    <n v="1709"/>
    <n v="60200"/>
    <n v="659"/>
    <n v="1.0946843853820599E-2"/>
    <x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x v="1"/>
    <x v="40"/>
    <s v="66+"/>
    <n v="2702"/>
    <n v="0"/>
    <n v="0"/>
    <n v="1"/>
    <n v="0"/>
    <n v="0"/>
    <n v="0"/>
    <n v="0"/>
    <n v="0"/>
    <n v="1"/>
    <n v="633"/>
    <d v="2015-05-23T00:00:00"/>
  </r>
  <r>
    <n v="636"/>
    <n v="65295"/>
    <n v="658"/>
    <n v="1.0077341297189677E-2"/>
    <x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x v="1"/>
    <x v="41"/>
    <s v="36-50"/>
    <n v="2347"/>
    <n v="0"/>
    <n v="0"/>
    <n v="1"/>
    <n v="0"/>
    <n v="0"/>
    <n v="0"/>
    <n v="0"/>
    <n v="0"/>
    <n v="1"/>
    <n v="652"/>
    <d v="2016-05-12T00:00:00"/>
  </r>
  <r>
    <n v="1755"/>
    <n v="62694"/>
    <n v="658"/>
    <n v="1.0495422209461831E-2"/>
    <x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x v="1"/>
    <x v="47"/>
    <s v="51-66"/>
    <n v="2536"/>
    <n v="0"/>
    <n v="1"/>
    <n v="0"/>
    <n v="0"/>
    <n v="0"/>
    <n v="0"/>
    <n v="0"/>
    <n v="1"/>
    <n v="0"/>
    <n v="567"/>
    <d v="2015-11-05T00:00:00"/>
  </r>
  <r>
    <n v="464"/>
    <n v="55614"/>
    <n v="656"/>
    <n v="1.1795591038227785E-2"/>
    <x v="0"/>
    <n v="0"/>
    <n v="85"/>
    <n v="504"/>
    <n v="13"/>
    <n v="131"/>
    <n v="8"/>
    <n v="0"/>
    <n v="26"/>
    <n v="1"/>
    <n v="9"/>
    <n v="4"/>
    <n v="6"/>
    <n v="7"/>
    <n v="0"/>
    <n v="0"/>
    <n v="0"/>
    <n v="1"/>
    <n v="0"/>
    <n v="0"/>
    <x v="1"/>
    <x v="34"/>
    <s v="66+"/>
    <n v="2373"/>
    <n v="1"/>
    <n v="0"/>
    <n v="0"/>
    <n v="0"/>
    <n v="0"/>
    <n v="0"/>
    <n v="0"/>
    <n v="0"/>
    <n v="1"/>
    <n v="630"/>
    <d v="2016-04-16T00:00:00"/>
  </r>
  <r>
    <n v="1131"/>
    <n v="50965"/>
    <n v="656"/>
    <n v="1.2871578534288237E-2"/>
    <x v="0"/>
    <n v="1"/>
    <n v="87"/>
    <n v="544"/>
    <n v="13"/>
    <n v="85"/>
    <n v="8"/>
    <n v="6"/>
    <n v="29"/>
    <n v="3"/>
    <n v="10"/>
    <n v="4"/>
    <n v="5"/>
    <n v="8"/>
    <n v="0"/>
    <n v="0"/>
    <n v="1"/>
    <n v="0"/>
    <n v="0"/>
    <n v="0"/>
    <x v="1"/>
    <x v="5"/>
    <s v="51-66"/>
    <n v="2653"/>
    <n v="0"/>
    <n v="1"/>
    <n v="0"/>
    <n v="0"/>
    <n v="0"/>
    <n v="0"/>
    <n v="0"/>
    <n v="1"/>
    <n v="0"/>
    <n v="627"/>
    <d v="2015-07-11T00:00:00"/>
  </r>
  <r>
    <n v="682"/>
    <n v="89891"/>
    <n v="653"/>
    <n v="7.2643534947881326E-3"/>
    <x v="0"/>
    <n v="0"/>
    <n v="17"/>
    <n v="412"/>
    <n v="22"/>
    <n v="132"/>
    <n v="59"/>
    <n v="28"/>
    <n v="183"/>
    <n v="1"/>
    <n v="11"/>
    <n v="6"/>
    <n v="8"/>
    <n v="4"/>
    <n v="0"/>
    <n v="0"/>
    <n v="0"/>
    <n v="0"/>
    <n v="1"/>
    <n v="0"/>
    <x v="1"/>
    <x v="1"/>
    <s v="24-35"/>
    <n v="2599"/>
    <n v="0"/>
    <n v="0"/>
    <n v="0"/>
    <n v="1"/>
    <n v="0"/>
    <n v="0"/>
    <n v="1"/>
    <n v="0"/>
    <n v="0"/>
    <n v="470"/>
    <d v="2015-09-03T00:00:00"/>
  </r>
  <r>
    <n v="1077"/>
    <n v="54450"/>
    <n v="652"/>
    <n v="1.1974288337924702E-2"/>
    <x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  <x v="5"/>
    <s v="51-66"/>
    <n v="2812"/>
    <n v="0"/>
    <n v="0"/>
    <n v="0"/>
    <n v="1"/>
    <n v="0"/>
    <n v="0"/>
    <n v="1"/>
    <n v="0"/>
    <n v="0"/>
    <n v="620"/>
    <d v="2015-02-02T00:00:00"/>
  </r>
  <r>
    <n v="2011"/>
    <n v="57642"/>
    <n v="652"/>
    <n v="1.1311196696852989E-2"/>
    <x v="0"/>
    <n v="1"/>
    <n v="24"/>
    <n v="580"/>
    <n v="6"/>
    <n v="58"/>
    <n v="8"/>
    <n v="0"/>
    <n v="27"/>
    <n v="3"/>
    <n v="7"/>
    <n v="6"/>
    <n v="6"/>
    <n v="4"/>
    <n v="0"/>
    <n v="0"/>
    <n v="1"/>
    <n v="0"/>
    <n v="0"/>
    <n v="0"/>
    <x v="1"/>
    <x v="2"/>
    <s v="36-50"/>
    <n v="2330"/>
    <n v="0"/>
    <n v="0"/>
    <n v="1"/>
    <n v="0"/>
    <n v="0"/>
    <n v="0"/>
    <n v="0"/>
    <n v="0"/>
    <n v="1"/>
    <n v="625"/>
    <d v="2016-05-29T00:00:00"/>
  </r>
  <r>
    <n v="465"/>
    <n v="59432"/>
    <n v="651"/>
    <n v="1.0953694979135819E-2"/>
    <x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x v="1"/>
    <x v="46"/>
    <s v="51-66"/>
    <n v="2601"/>
    <n v="1"/>
    <n v="0"/>
    <n v="0"/>
    <n v="0"/>
    <n v="0"/>
    <n v="0"/>
    <n v="0"/>
    <n v="1"/>
    <n v="0"/>
    <n v="639"/>
    <d v="2015-09-01T00:00:00"/>
  </r>
  <r>
    <n v="1345"/>
    <n v="69401"/>
    <n v="651"/>
    <n v="9.3802682958458814E-3"/>
    <x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x v="1"/>
    <x v="30"/>
    <s v="36-50"/>
    <n v="2257"/>
    <n v="0"/>
    <n v="0"/>
    <n v="0"/>
    <n v="1"/>
    <n v="0"/>
    <n v="1"/>
    <n v="0"/>
    <n v="0"/>
    <n v="0"/>
    <n v="612"/>
    <d v="2016-08-10T00:00:00"/>
  </r>
  <r>
    <n v="1227"/>
    <n v="65695"/>
    <n v="650"/>
    <n v="9.8942080828069105E-3"/>
    <x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x v="1"/>
    <x v="24"/>
    <s v="51-66"/>
    <n v="2308"/>
    <n v="0"/>
    <n v="1"/>
    <n v="0"/>
    <n v="0"/>
    <n v="0"/>
    <n v="0"/>
    <n v="0"/>
    <n v="0"/>
    <n v="1"/>
    <n v="644"/>
    <d v="2016-06-20T00:00:00"/>
  </r>
  <r>
    <n v="1392"/>
    <n v="54108"/>
    <n v="650"/>
    <n v="1.2013011015007022E-2"/>
    <x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x v="1"/>
    <x v="30"/>
    <s v="36-50"/>
    <n v="2760"/>
    <n v="0"/>
    <n v="1"/>
    <n v="0"/>
    <n v="0"/>
    <n v="0"/>
    <n v="0"/>
    <n v="0"/>
    <n v="1"/>
    <n v="0"/>
    <n v="553"/>
    <d v="2015-03-26T00:00:00"/>
  </r>
  <r>
    <n v="117"/>
    <n v="77376"/>
    <n v="649"/>
    <n v="8.3876137303556652E-3"/>
    <x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x v="1"/>
    <x v="5"/>
    <s v="51-66"/>
    <n v="2209"/>
    <n v="0"/>
    <n v="0"/>
    <n v="0"/>
    <n v="1"/>
    <n v="0"/>
    <n v="0"/>
    <n v="0"/>
    <n v="0"/>
    <n v="1"/>
    <n v="637"/>
    <d v="2016-09-27T00:00:00"/>
  </r>
  <r>
    <n v="1561"/>
    <n v="55012"/>
    <n v="647"/>
    <n v="1.1761070311931942E-2"/>
    <x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x v="1"/>
    <x v="30"/>
    <s v="36-50"/>
    <n v="2259"/>
    <n v="0"/>
    <n v="0"/>
    <n v="0"/>
    <n v="1"/>
    <n v="0"/>
    <n v="0"/>
    <n v="0"/>
    <n v="0"/>
    <n v="1"/>
    <n v="634"/>
    <d v="2016-08-08T00:00:00"/>
  </r>
  <r>
    <n v="457"/>
    <n v="60093"/>
    <n v="645"/>
    <n v="1.0733363286905297E-2"/>
    <x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x v="1"/>
    <x v="35"/>
    <s v="36-50"/>
    <n v="2527"/>
    <n v="0"/>
    <n v="1"/>
    <n v="0"/>
    <n v="0"/>
    <n v="0"/>
    <n v="0"/>
    <n v="1"/>
    <n v="0"/>
    <n v="0"/>
    <n v="555"/>
    <d v="2015-11-14T00:00:00"/>
  </r>
  <r>
    <n v="67"/>
    <n v="60631"/>
    <n v="642"/>
    <n v="1.0588642773498705E-2"/>
    <x v="1"/>
    <n v="1"/>
    <n v="88"/>
    <n v="565"/>
    <n v="6"/>
    <n v="65"/>
    <n v="0"/>
    <n v="6"/>
    <n v="19"/>
    <n v="5"/>
    <n v="9"/>
    <n v="2"/>
    <n v="8"/>
    <n v="7"/>
    <n v="0"/>
    <n v="0"/>
    <n v="0"/>
    <n v="1"/>
    <n v="0"/>
    <n v="0"/>
    <x v="1"/>
    <x v="16"/>
    <s v="36-50"/>
    <n v="2609"/>
    <n v="0"/>
    <n v="1"/>
    <n v="0"/>
    <n v="0"/>
    <n v="0"/>
    <n v="0"/>
    <n v="0"/>
    <n v="0"/>
    <n v="1"/>
    <n v="623"/>
    <d v="2015-08-24T00:00:00"/>
  </r>
  <r>
    <n v="1263"/>
    <n v="56046"/>
    <n v="641"/>
    <n v="1.1437033865039432E-2"/>
    <x v="0"/>
    <n v="0"/>
    <n v="9"/>
    <n v="577"/>
    <n v="0"/>
    <n v="64"/>
    <n v="0"/>
    <n v="0"/>
    <n v="51"/>
    <n v="2"/>
    <n v="10"/>
    <n v="1"/>
    <n v="8"/>
    <n v="8"/>
    <n v="0"/>
    <n v="0"/>
    <n v="1"/>
    <n v="0"/>
    <n v="0"/>
    <n v="0"/>
    <x v="0"/>
    <x v="47"/>
    <s v="51-66"/>
    <n v="2702"/>
    <n v="0"/>
    <n v="0"/>
    <n v="0"/>
    <n v="1"/>
    <n v="0"/>
    <n v="0"/>
    <n v="1"/>
    <n v="0"/>
    <n v="0"/>
    <n v="590"/>
    <d v="2015-05-23T00:00:00"/>
  </r>
  <r>
    <n v="963"/>
    <n v="56320"/>
    <n v="619"/>
    <n v="1.0990767045454545E-2"/>
    <x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x v="1"/>
    <x v="26"/>
    <s v="51-66"/>
    <n v="2606"/>
    <n v="0"/>
    <n v="1"/>
    <n v="0"/>
    <n v="0"/>
    <n v="0"/>
    <n v="0"/>
    <n v="0"/>
    <n v="0"/>
    <n v="1"/>
    <n v="536"/>
    <d v="2015-08-27T00:00:00"/>
  </r>
  <r>
    <n v="1265"/>
    <n v="42000"/>
    <n v="618"/>
    <n v="1.4714285714285714E-2"/>
    <x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  <x v="36"/>
    <s v="24-35"/>
    <n v="2694"/>
    <n v="0"/>
    <n v="0"/>
    <n v="1"/>
    <n v="0"/>
    <n v="0"/>
    <n v="0"/>
    <n v="0"/>
    <n v="0"/>
    <n v="1"/>
    <n v="583"/>
    <d v="2015-05-31T00:00:00"/>
  </r>
  <r>
    <n v="1278"/>
    <n v="33051"/>
    <n v="616"/>
    <n v="1.8637862697043962E-2"/>
    <x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x v="0"/>
    <x v="29"/>
    <s v="51-66"/>
    <n v="2841"/>
    <n v="0"/>
    <n v="0"/>
    <n v="0"/>
    <n v="0"/>
    <n v="1"/>
    <n v="0"/>
    <n v="0"/>
    <n v="1"/>
    <n v="0"/>
    <n v="397"/>
    <d v="2015-01-04T00:00:00"/>
  </r>
  <r>
    <n v="1288"/>
    <n v="42564"/>
    <n v="615"/>
    <n v="1.4448829997180716E-2"/>
    <x v="0"/>
    <n v="1"/>
    <n v="28"/>
    <n v="324"/>
    <n v="48"/>
    <n v="186"/>
    <n v="39"/>
    <n v="18"/>
    <n v="198"/>
    <n v="6"/>
    <n v="6"/>
    <n v="8"/>
    <n v="4"/>
    <n v="7"/>
    <n v="0"/>
    <n v="0"/>
    <n v="1"/>
    <n v="0"/>
    <n v="0"/>
    <n v="0"/>
    <x v="0"/>
    <x v="14"/>
    <s v="51-66"/>
    <n v="2702"/>
    <n v="1"/>
    <n v="0"/>
    <n v="0"/>
    <n v="0"/>
    <n v="0"/>
    <n v="0"/>
    <n v="0"/>
    <n v="0"/>
    <n v="1"/>
    <n v="417"/>
    <d v="2015-05-23T00:00:00"/>
  </r>
  <r>
    <n v="1856"/>
    <n v="60689"/>
    <n v="615"/>
    <n v="1.0133632124437707E-2"/>
    <x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x v="1"/>
    <x v="15"/>
    <s v="66+"/>
    <n v="2552"/>
    <n v="0"/>
    <n v="0"/>
    <n v="1"/>
    <n v="0"/>
    <n v="0"/>
    <n v="0"/>
    <n v="1"/>
    <n v="0"/>
    <n v="0"/>
    <n v="591"/>
    <d v="2015-10-20T00:00:00"/>
  </r>
  <r>
    <n v="912"/>
    <n v="44010"/>
    <n v="614"/>
    <n v="1.3951374687571006E-2"/>
    <x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x v="1"/>
    <x v="41"/>
    <s v="36-50"/>
    <n v="2783"/>
    <n v="0"/>
    <n v="0"/>
    <n v="0"/>
    <n v="1"/>
    <n v="0"/>
    <n v="0"/>
    <n v="1"/>
    <n v="0"/>
    <n v="0"/>
    <n v="566"/>
    <d v="2015-03-03T00:00:00"/>
  </r>
  <r>
    <n v="109"/>
    <n v="56129"/>
    <n v="612"/>
    <n v="1.0903454542215254E-2"/>
    <x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  <x v="10"/>
    <s v="66+"/>
    <n v="2533"/>
    <n v="0"/>
    <n v="0"/>
    <n v="0"/>
    <n v="1"/>
    <n v="0"/>
    <n v="0"/>
    <n v="0"/>
    <n v="1"/>
    <n v="0"/>
    <n v="564"/>
    <d v="2015-11-08T00:00:00"/>
  </r>
  <r>
    <n v="1431"/>
    <n v="66033"/>
    <n v="612"/>
    <n v="9.2680932261142157E-3"/>
    <x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x v="1"/>
    <x v="12"/>
    <s v="51-66"/>
    <n v="2684"/>
    <n v="0"/>
    <n v="0"/>
    <n v="0"/>
    <n v="0"/>
    <n v="1"/>
    <n v="0"/>
    <n v="1"/>
    <n v="0"/>
    <n v="0"/>
    <n v="547"/>
    <d v="2015-06-10T00:00:00"/>
  </r>
  <r>
    <n v="631"/>
    <n v="77353"/>
    <n v="611"/>
    <n v="7.8988533088567986E-3"/>
    <x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x v="1"/>
    <x v="41"/>
    <s v="36-50"/>
    <n v="2354"/>
    <n v="0"/>
    <n v="1"/>
    <n v="0"/>
    <n v="0"/>
    <n v="0"/>
    <n v="0"/>
    <n v="1"/>
    <n v="0"/>
    <n v="0"/>
    <n v="552"/>
    <d v="2016-05-05T00:00:00"/>
  </r>
  <r>
    <n v="642"/>
    <n v="66476"/>
    <n v="611"/>
    <n v="9.1912870810518087E-3"/>
    <x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x v="1"/>
    <x v="7"/>
    <s v="36-50"/>
    <n v="2638"/>
    <n v="1"/>
    <n v="0"/>
    <n v="0"/>
    <n v="0"/>
    <n v="0"/>
    <n v="0"/>
    <n v="0"/>
    <n v="0"/>
    <n v="1"/>
    <n v="533"/>
    <d v="2015-07-26T00:00:00"/>
  </r>
  <r>
    <n v="900"/>
    <n v="53700"/>
    <n v="611"/>
    <n v="1.13780260707635E-2"/>
    <x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x v="1"/>
    <x v="50"/>
    <s v="66+"/>
    <n v="2840"/>
    <n v="0"/>
    <n v="0"/>
    <n v="1"/>
    <n v="0"/>
    <n v="0"/>
    <n v="0"/>
    <n v="1"/>
    <n v="0"/>
    <n v="0"/>
    <n v="528"/>
    <d v="2015-01-05T00:00:00"/>
  </r>
  <r>
    <n v="513"/>
    <n v="54058"/>
    <n v="608"/>
    <n v="1.1247178955936217E-2"/>
    <x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x v="1"/>
    <x v="7"/>
    <s v="36-50"/>
    <n v="2549"/>
    <n v="0"/>
    <n v="0"/>
    <n v="0"/>
    <n v="1"/>
    <n v="0"/>
    <n v="0"/>
    <n v="1"/>
    <n v="0"/>
    <n v="0"/>
    <n v="554"/>
    <d v="2015-10-23T00:00:00"/>
  </r>
  <r>
    <n v="1356"/>
    <n v="57957"/>
    <n v="608"/>
    <n v="1.0490536087099055E-2"/>
    <x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x v="1"/>
    <x v="29"/>
    <s v="51-66"/>
    <n v="2473"/>
    <n v="0"/>
    <n v="0"/>
    <n v="0"/>
    <n v="1"/>
    <n v="0"/>
    <n v="0"/>
    <n v="1"/>
    <n v="0"/>
    <n v="0"/>
    <n v="579"/>
    <d v="2016-01-07T00:00:00"/>
  </r>
  <r>
    <n v="654"/>
    <n v="45938"/>
    <n v="607"/>
    <n v="1.3213461622186425E-2"/>
    <x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x v="1"/>
    <x v="21"/>
    <s v="51-66"/>
    <n v="2397"/>
    <n v="0"/>
    <n v="0"/>
    <n v="1"/>
    <n v="0"/>
    <n v="0"/>
    <n v="0"/>
    <n v="1"/>
    <n v="0"/>
    <n v="0"/>
    <n v="578"/>
    <d v="2016-03-23T00:00:00"/>
  </r>
  <r>
    <n v="662"/>
    <n v="43185"/>
    <n v="607"/>
    <n v="1.4055806414264212E-2"/>
    <x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x v="1"/>
    <x v="15"/>
    <s v="66+"/>
    <n v="2604"/>
    <n v="1"/>
    <n v="0"/>
    <n v="0"/>
    <n v="0"/>
    <n v="0"/>
    <n v="0"/>
    <n v="1"/>
    <n v="0"/>
    <n v="0"/>
    <n v="577"/>
    <d v="2015-08-29T00:00:00"/>
  </r>
  <r>
    <n v="56"/>
    <n v="66653"/>
    <n v="606"/>
    <n v="9.0918638320855779E-3"/>
    <x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x v="1"/>
    <x v="16"/>
    <s v="36-50"/>
    <n v="2819"/>
    <n v="0"/>
    <n v="0"/>
    <n v="0"/>
    <n v="1"/>
    <n v="0"/>
    <n v="0"/>
    <n v="1"/>
    <n v="0"/>
    <n v="0"/>
    <n v="600"/>
    <d v="2015-01-26T00:00:00"/>
  </r>
  <r>
    <n v="715"/>
    <n v="75127"/>
    <n v="606"/>
    <n v="8.0663409959135859E-3"/>
    <x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  <x v="50"/>
    <s v="66+"/>
    <n v="2197"/>
    <n v="0"/>
    <n v="0"/>
    <n v="1"/>
    <n v="0"/>
    <n v="0"/>
    <n v="0"/>
    <n v="1"/>
    <n v="0"/>
    <n v="0"/>
    <n v="379"/>
    <d v="2016-10-09T00:00:00"/>
  </r>
  <r>
    <n v="1051"/>
    <n v="47025"/>
    <n v="606"/>
    <n v="1.2886762360446571E-2"/>
    <x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x v="1"/>
    <x v="37"/>
    <s v="36-50"/>
    <n v="2449"/>
    <n v="0"/>
    <n v="1"/>
    <n v="0"/>
    <n v="0"/>
    <n v="0"/>
    <n v="1"/>
    <n v="0"/>
    <n v="0"/>
    <n v="0"/>
    <n v="577"/>
    <d v="2016-01-31T00:00:00"/>
  </r>
  <r>
    <n v="884"/>
    <n v="56067"/>
    <n v="605"/>
    <n v="1.0790661173239161E-2"/>
    <x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x v="1"/>
    <x v="46"/>
    <s v="51-66"/>
    <n v="2503"/>
    <n v="0"/>
    <n v="0"/>
    <n v="0"/>
    <n v="1"/>
    <n v="0"/>
    <n v="0"/>
    <n v="0"/>
    <n v="0"/>
    <n v="1"/>
    <n v="485"/>
    <d v="2015-12-08T00:00:00"/>
  </r>
  <r>
    <n v="1270"/>
    <n v="62159"/>
    <n v="605"/>
    <n v="9.7331038144114288E-3"/>
    <x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x v="1"/>
    <x v="8"/>
    <s v="66+"/>
    <n v="2221"/>
    <n v="0"/>
    <n v="0"/>
    <n v="1"/>
    <n v="0"/>
    <n v="0"/>
    <n v="0"/>
    <n v="0"/>
    <n v="0"/>
    <n v="1"/>
    <n v="576"/>
    <d v="2016-09-15T00:00:00"/>
  </r>
  <r>
    <n v="1610"/>
    <n v="77981"/>
    <n v="604"/>
    <n v="7.7454764622151553E-3"/>
    <x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x v="1"/>
    <x v="9"/>
    <s v="36-50"/>
    <n v="2558"/>
    <n v="0"/>
    <n v="1"/>
    <n v="0"/>
    <n v="0"/>
    <n v="0"/>
    <n v="0"/>
    <n v="1"/>
    <n v="0"/>
    <n v="0"/>
    <n v="544"/>
    <d v="2015-10-14T00:00:00"/>
  </r>
  <r>
    <n v="296"/>
    <n v="64795"/>
    <n v="603"/>
    <n v="9.3062736322247087E-3"/>
    <x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x v="1"/>
    <x v="28"/>
    <s v="36-50"/>
    <n v="2687"/>
    <n v="0"/>
    <n v="1"/>
    <n v="0"/>
    <n v="0"/>
    <n v="0"/>
    <n v="0"/>
    <n v="1"/>
    <n v="0"/>
    <n v="0"/>
    <n v="526"/>
    <d v="2015-06-07T00:00:00"/>
  </r>
  <r>
    <n v="58"/>
    <n v="67680"/>
    <n v="600"/>
    <n v="8.8652482269503553E-3"/>
    <x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x v="1"/>
    <x v="15"/>
    <s v="66+"/>
    <n v="2542"/>
    <n v="0"/>
    <n v="0"/>
    <n v="0"/>
    <n v="0"/>
    <n v="1"/>
    <n v="0"/>
    <n v="0"/>
    <n v="0"/>
    <n v="1"/>
    <n v="594"/>
    <d v="2015-10-30T00:00:00"/>
  </r>
  <r>
    <n v="554"/>
    <n v="61794"/>
    <n v="600"/>
    <n v="9.7096805515098552E-3"/>
    <x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x v="1"/>
    <x v="21"/>
    <s v="51-66"/>
    <n v="2447"/>
    <n v="0"/>
    <n v="1"/>
    <n v="0"/>
    <n v="0"/>
    <n v="0"/>
    <n v="0"/>
    <n v="0"/>
    <n v="1"/>
    <n v="0"/>
    <n v="589"/>
    <d v="2016-02-02T00:00:00"/>
  </r>
  <r>
    <n v="2012"/>
    <n v="63777"/>
    <n v="600"/>
    <n v="9.4077802342537285E-3"/>
    <x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x v="1"/>
    <x v="19"/>
    <s v="36-50"/>
    <n v="2621"/>
    <n v="0"/>
    <n v="1"/>
    <n v="0"/>
    <n v="0"/>
    <n v="0"/>
    <n v="0"/>
    <n v="1"/>
    <n v="0"/>
    <n v="0"/>
    <n v="547"/>
    <d v="2015-08-12T00:00:00"/>
  </r>
  <r>
    <n v="1359"/>
    <n v="49476"/>
    <n v="599"/>
    <n v="1.2106880103484518E-2"/>
    <x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x v="1"/>
    <x v="33"/>
    <s v="51-66"/>
    <n v="2533"/>
    <n v="1"/>
    <n v="0"/>
    <n v="0"/>
    <n v="0"/>
    <n v="0"/>
    <n v="0"/>
    <n v="0"/>
    <n v="1"/>
    <n v="0"/>
    <n v="403"/>
    <d v="2015-11-08T00:00:00"/>
  </r>
  <r>
    <n v="908"/>
    <n v="54753"/>
    <n v="597"/>
    <n v="1.0903512136321297E-2"/>
    <x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x v="1"/>
    <x v="29"/>
    <s v="51-66"/>
    <n v="2449"/>
    <n v="0"/>
    <n v="0"/>
    <n v="0"/>
    <n v="1"/>
    <n v="0"/>
    <n v="0"/>
    <n v="1"/>
    <n v="0"/>
    <n v="0"/>
    <n v="466"/>
    <d v="2016-01-31T00:00:00"/>
  </r>
  <r>
    <n v="1311"/>
    <n v="60208"/>
    <n v="597"/>
    <n v="9.9156258304544248E-3"/>
    <x v="1"/>
    <n v="1"/>
    <n v="13"/>
    <n v="488"/>
    <n v="23"/>
    <n v="71"/>
    <n v="15"/>
    <n v="0"/>
    <n v="59"/>
    <n v="11"/>
    <n v="8"/>
    <n v="3"/>
    <n v="7"/>
    <n v="7"/>
    <n v="0"/>
    <n v="0"/>
    <n v="0"/>
    <n v="1"/>
    <n v="0"/>
    <n v="0"/>
    <x v="0"/>
    <x v="30"/>
    <s v="36-50"/>
    <n v="2789"/>
    <n v="0"/>
    <n v="0"/>
    <n v="0"/>
    <n v="0"/>
    <n v="1"/>
    <n v="0"/>
    <n v="1"/>
    <n v="0"/>
    <n v="0"/>
    <n v="538"/>
    <d v="2015-02-25T00:00:00"/>
  </r>
  <r>
    <n v="1306"/>
    <n v="55517"/>
    <n v="597"/>
    <n v="1.0753462903254858E-2"/>
    <x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x v="0"/>
    <x v="51"/>
    <s v="66+"/>
    <n v="2799"/>
    <n v="0"/>
    <n v="1"/>
    <n v="0"/>
    <n v="0"/>
    <n v="0"/>
    <n v="0"/>
    <n v="0"/>
    <n v="0"/>
    <n v="1"/>
    <n v="561"/>
    <d v="2015-02-15T00:00:00"/>
  </r>
  <r>
    <n v="120"/>
    <n v="73448"/>
    <n v="595"/>
    <n v="8.1009693933122746E-3"/>
    <x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x v="1"/>
    <x v="3"/>
    <s v="51-66"/>
    <n v="2298"/>
    <n v="0"/>
    <n v="1"/>
    <n v="0"/>
    <n v="0"/>
    <n v="0"/>
    <n v="0"/>
    <n v="1"/>
    <n v="0"/>
    <n v="0"/>
    <n v="465"/>
    <d v="2016-06-30T00:00:00"/>
  </r>
  <r>
    <n v="336"/>
    <n v="62187"/>
    <n v="595"/>
    <n v="9.5679161239487359E-3"/>
    <x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x v="1"/>
    <x v="3"/>
    <s v="51-66"/>
    <n v="2258"/>
    <n v="0"/>
    <n v="0"/>
    <n v="0"/>
    <n v="0"/>
    <n v="1"/>
    <n v="0"/>
    <n v="0"/>
    <n v="0"/>
    <n v="1"/>
    <n v="554"/>
    <d v="2016-08-09T00:00:00"/>
  </r>
  <r>
    <n v="1094"/>
    <n v="62710"/>
    <n v="595"/>
    <n v="9.4881199170786159E-3"/>
    <x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x v="1"/>
    <x v="9"/>
    <s v="36-50"/>
    <n v="2561"/>
    <n v="0"/>
    <n v="1"/>
    <n v="0"/>
    <n v="0"/>
    <n v="0"/>
    <n v="0"/>
    <n v="1"/>
    <n v="0"/>
    <n v="0"/>
    <n v="584"/>
    <d v="2015-10-11T00:00:00"/>
  </r>
  <r>
    <n v="1383"/>
    <n v="57867"/>
    <n v="595"/>
    <n v="1.0282198835260166E-2"/>
    <x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x v="1"/>
    <x v="37"/>
    <s v="36-50"/>
    <n v="2430"/>
    <n v="0"/>
    <n v="0"/>
    <n v="0"/>
    <n v="1"/>
    <n v="0"/>
    <n v="0"/>
    <n v="1"/>
    <n v="0"/>
    <n v="0"/>
    <n v="578"/>
    <d v="2016-02-19T00:00:00"/>
  </r>
  <r>
    <n v="219"/>
    <n v="79761"/>
    <n v="594"/>
    <n v="7.4472486553578817E-3"/>
    <x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x v="1"/>
    <x v="27"/>
    <s v="51-66"/>
    <n v="2427"/>
    <n v="0"/>
    <n v="0"/>
    <n v="1"/>
    <n v="0"/>
    <n v="0"/>
    <n v="0"/>
    <n v="0"/>
    <n v="0"/>
    <n v="1"/>
    <n v="583"/>
    <d v="2016-02-22T00:00:00"/>
  </r>
  <r>
    <n v="619"/>
    <n v="56253"/>
    <n v="592"/>
    <n v="1.0523883170675341E-2"/>
    <x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x v="1"/>
    <x v="33"/>
    <s v="51-66"/>
    <n v="2728"/>
    <n v="0"/>
    <n v="0"/>
    <n v="0"/>
    <n v="1"/>
    <n v="0"/>
    <n v="0"/>
    <n v="1"/>
    <n v="0"/>
    <n v="0"/>
    <n v="587"/>
    <d v="2015-04-27T00:00:00"/>
  </r>
  <r>
    <n v="119"/>
    <n v="61331"/>
    <n v="591"/>
    <n v="9.6362361611583049E-3"/>
    <x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x v="1"/>
    <x v="27"/>
    <s v="51-66"/>
    <n v="2635"/>
    <n v="0"/>
    <n v="0"/>
    <n v="1"/>
    <n v="0"/>
    <n v="0"/>
    <n v="0"/>
    <n v="0"/>
    <n v="1"/>
    <n v="0"/>
    <n v="550"/>
    <d v="2015-07-29T00:00:00"/>
  </r>
  <r>
    <n v="657"/>
    <n v="71427"/>
    <n v="591"/>
    <n v="8.2741820320047042E-3"/>
    <x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x v="1"/>
    <x v="37"/>
    <s v="36-50"/>
    <n v="2268"/>
    <n v="0"/>
    <n v="1"/>
    <n v="0"/>
    <n v="0"/>
    <n v="0"/>
    <n v="0"/>
    <n v="1"/>
    <n v="0"/>
    <n v="0"/>
    <n v="568"/>
    <d v="2016-07-30T00:00:00"/>
  </r>
  <r>
    <n v="788"/>
    <n v="56628"/>
    <n v="590"/>
    <n v="1.0418874055237691E-2"/>
    <x v="0"/>
    <n v="1"/>
    <n v="30"/>
    <n v="479"/>
    <n v="5"/>
    <n v="82"/>
    <n v="7"/>
    <n v="17"/>
    <n v="171"/>
    <n v="2"/>
    <n v="7"/>
    <n v="6"/>
    <n v="5"/>
    <n v="5"/>
    <n v="0"/>
    <n v="0"/>
    <n v="1"/>
    <n v="0"/>
    <n v="0"/>
    <n v="0"/>
    <x v="1"/>
    <x v="13"/>
    <s v="36-50"/>
    <n v="2259"/>
    <n v="0"/>
    <n v="0"/>
    <n v="1"/>
    <n v="0"/>
    <n v="0"/>
    <n v="0"/>
    <n v="1"/>
    <n v="0"/>
    <n v="0"/>
    <n v="419"/>
    <d v="2016-08-08T00:00:00"/>
  </r>
  <r>
    <n v="300"/>
    <n v="40464"/>
    <n v="589"/>
    <n v="1.4556148675365758E-2"/>
    <x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x v="1"/>
    <x v="10"/>
    <s v="66+"/>
    <n v="2693"/>
    <n v="0"/>
    <n v="0"/>
    <n v="1"/>
    <n v="0"/>
    <n v="0"/>
    <n v="0"/>
    <n v="1"/>
    <n v="0"/>
    <n v="0"/>
    <n v="548"/>
    <d v="2015-06-01T00:00:00"/>
  </r>
  <r>
    <n v="1549"/>
    <n v="49090"/>
    <n v="588"/>
    <n v="1.1977999592585048E-2"/>
    <x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x v="1"/>
    <x v="15"/>
    <s v="66+"/>
    <n v="2504"/>
    <n v="0"/>
    <n v="0"/>
    <n v="1"/>
    <n v="0"/>
    <n v="0"/>
    <n v="0"/>
    <n v="1"/>
    <n v="0"/>
    <n v="0"/>
    <n v="488"/>
    <d v="2015-12-07T00:00:00"/>
  </r>
  <r>
    <n v="1179"/>
    <n v="74190"/>
    <n v="577"/>
    <n v="7.7773284809273483E-3"/>
    <x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x v="1"/>
    <x v="16"/>
    <s v="36-50"/>
    <n v="2207"/>
    <n v="0"/>
    <n v="1"/>
    <n v="0"/>
    <n v="0"/>
    <n v="0"/>
    <n v="0"/>
    <n v="1"/>
    <n v="0"/>
    <n v="0"/>
    <n v="513"/>
    <d v="2016-09-29T00:00:00"/>
  </r>
  <r>
    <n v="1322"/>
    <n v="65704"/>
    <n v="571"/>
    <n v="8.6904906854985992E-3"/>
    <x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x v="1"/>
    <x v="9"/>
    <s v="36-50"/>
    <n v="2418"/>
    <n v="0"/>
    <n v="0"/>
    <n v="1"/>
    <n v="0"/>
    <n v="0"/>
    <n v="1"/>
    <n v="0"/>
    <n v="0"/>
    <n v="0"/>
    <n v="325"/>
    <d v="2016-03-02T00:00:00"/>
  </r>
  <r>
    <n v="7"/>
    <n v="55635"/>
    <n v="563"/>
    <n v="1.0119529073425003E-2"/>
    <x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x v="1"/>
    <x v="28"/>
    <s v="36-50"/>
    <n v="2752"/>
    <n v="1"/>
    <n v="0"/>
    <n v="0"/>
    <n v="0"/>
    <n v="0"/>
    <n v="0"/>
    <n v="1"/>
    <n v="0"/>
    <n v="0"/>
    <n v="536"/>
    <d v="2015-04-03T00:00:00"/>
  </r>
  <r>
    <n v="1611"/>
    <n v="62905"/>
    <n v="563"/>
    <n v="8.9500039742468809E-3"/>
    <x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x v="1"/>
    <x v="42"/>
    <s v="51-66"/>
    <n v="2451"/>
    <n v="0"/>
    <n v="1"/>
    <n v="0"/>
    <n v="0"/>
    <n v="0"/>
    <n v="1"/>
    <n v="0"/>
    <n v="0"/>
    <n v="0"/>
    <n v="504"/>
    <d v="2016-01-29T00:00:00"/>
  </r>
  <r>
    <n v="1434"/>
    <n v="76800"/>
    <n v="560"/>
    <n v="7.2916666666666668E-3"/>
    <x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x v="1"/>
    <x v="47"/>
    <s v="51-66"/>
    <n v="2272"/>
    <n v="0"/>
    <n v="1"/>
    <n v="0"/>
    <n v="0"/>
    <n v="0"/>
    <n v="1"/>
    <n v="0"/>
    <n v="0"/>
    <n v="0"/>
    <n v="479"/>
    <d v="2016-07-26T00:00:00"/>
  </r>
  <r>
    <n v="1521"/>
    <n v="50334"/>
    <n v="560"/>
    <n v="1.1125680454563516E-2"/>
    <x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x v="1"/>
    <x v="9"/>
    <s v="36-50"/>
    <n v="2499"/>
    <n v="0"/>
    <n v="0"/>
    <n v="0"/>
    <n v="1"/>
    <n v="0"/>
    <n v="1"/>
    <n v="0"/>
    <n v="0"/>
    <n v="0"/>
    <n v="426"/>
    <d v="2015-12-12T00:00:00"/>
  </r>
  <r>
    <n v="751"/>
    <n v="61872"/>
    <n v="557"/>
    <n v="9.0024566847685551E-3"/>
    <x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x v="1"/>
    <x v="2"/>
    <s v="36-50"/>
    <n v="2357"/>
    <n v="0"/>
    <n v="1"/>
    <n v="0"/>
    <n v="0"/>
    <n v="0"/>
    <n v="0"/>
    <n v="0"/>
    <n v="1"/>
    <n v="0"/>
    <n v="541"/>
    <d v="2016-05-02T00:00:00"/>
  </r>
  <r>
    <n v="1502"/>
    <n v="50002"/>
    <n v="556"/>
    <n v="1.1119555217791288E-2"/>
    <x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x v="1"/>
    <x v="44"/>
    <s v="66+"/>
    <n v="2536"/>
    <n v="1"/>
    <n v="0"/>
    <n v="0"/>
    <n v="0"/>
    <n v="0"/>
    <n v="0"/>
    <n v="1"/>
    <n v="0"/>
    <n v="0"/>
    <n v="474"/>
    <d v="2015-11-05T00:00:00"/>
  </r>
  <r>
    <n v="339"/>
    <n v="54803"/>
    <n v="551"/>
    <n v="1.0054194113460943E-2"/>
    <x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x v="1"/>
    <x v="3"/>
    <s v="51-66"/>
    <n v="2836"/>
    <n v="0"/>
    <n v="0"/>
    <n v="1"/>
    <n v="0"/>
    <n v="0"/>
    <n v="0"/>
    <n v="1"/>
    <n v="0"/>
    <n v="0"/>
    <n v="409"/>
    <d v="2015-01-09T00:00:00"/>
  </r>
  <r>
    <n v="1912"/>
    <n v="58275"/>
    <n v="551"/>
    <n v="9.4551694551694553E-3"/>
    <x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x v="1"/>
    <x v="38"/>
    <s v="51-66"/>
    <n v="2551"/>
    <n v="0"/>
    <n v="0"/>
    <n v="0"/>
    <n v="0"/>
    <n v="1"/>
    <n v="0"/>
    <n v="1"/>
    <n v="0"/>
    <n v="0"/>
    <n v="487"/>
    <d v="2015-10-21T00:00:00"/>
  </r>
  <r>
    <n v="889"/>
    <n v="57937"/>
    <n v="550"/>
    <n v="9.4930700588570349E-3"/>
    <x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x v="1"/>
    <x v="31"/>
    <s v="36-50"/>
    <n v="2292"/>
    <n v="0"/>
    <n v="1"/>
    <n v="0"/>
    <n v="0"/>
    <n v="0"/>
    <n v="1"/>
    <n v="0"/>
    <n v="0"/>
    <n v="0"/>
    <n v="417"/>
    <d v="2016-07-06T00:00:00"/>
  </r>
  <r>
    <n v="1395"/>
    <n v="57136"/>
    <n v="550"/>
    <n v="9.6261551386166346E-3"/>
    <x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x v="1"/>
    <x v="9"/>
    <s v="36-50"/>
    <n v="2514"/>
    <n v="0"/>
    <n v="1"/>
    <n v="0"/>
    <n v="0"/>
    <n v="0"/>
    <n v="0"/>
    <n v="0"/>
    <n v="1"/>
    <n v="0"/>
    <n v="458"/>
    <d v="2015-11-27T00:00:00"/>
  </r>
  <r>
    <n v="101"/>
    <n v="57288"/>
    <n v="548"/>
    <n v="9.5657031140902113E-3"/>
    <x v="0"/>
    <n v="1"/>
    <n v="27"/>
    <n v="527"/>
    <n v="0"/>
    <n v="21"/>
    <n v="0"/>
    <n v="0"/>
    <n v="60"/>
    <n v="3"/>
    <n v="8"/>
    <n v="1"/>
    <n v="8"/>
    <n v="6"/>
    <n v="0"/>
    <n v="0"/>
    <n v="0"/>
    <n v="1"/>
    <n v="0"/>
    <n v="0"/>
    <x v="1"/>
    <x v="33"/>
    <s v="51-66"/>
    <n v="2163"/>
    <n v="0"/>
    <n v="0"/>
    <n v="0"/>
    <n v="1"/>
    <n v="0"/>
    <n v="0"/>
    <n v="0"/>
    <n v="1"/>
    <n v="0"/>
    <n v="488"/>
    <d v="2016-11-12T00:00:00"/>
  </r>
  <r>
    <n v="712"/>
    <n v="79146"/>
    <n v="548"/>
    <n v="6.9239127688070145E-3"/>
    <x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  <x v="26"/>
    <s v="51-66"/>
    <n v="2225"/>
    <n v="0"/>
    <n v="0"/>
    <n v="1"/>
    <n v="0"/>
    <n v="0"/>
    <n v="0"/>
    <n v="1"/>
    <n v="0"/>
    <n v="0"/>
    <n v="532"/>
    <d v="2016-09-11T00:00:00"/>
  </r>
  <r>
    <n v="1313"/>
    <n v="64713"/>
    <n v="548"/>
    <n v="8.4681594115556379E-3"/>
    <x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x v="0"/>
    <x v="2"/>
    <s v="36-50"/>
    <n v="2301"/>
    <n v="1"/>
    <n v="0"/>
    <n v="0"/>
    <n v="0"/>
    <n v="0"/>
    <n v="0"/>
    <n v="1"/>
    <n v="0"/>
    <n v="0"/>
    <n v="494"/>
    <d v="2016-06-27T00:00:00"/>
  </r>
  <r>
    <n v="668"/>
    <n v="58398"/>
    <n v="547"/>
    <n v="9.3667591355868357E-3"/>
    <x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x v="1"/>
    <x v="10"/>
    <s v="66+"/>
    <n v="2570"/>
    <n v="0"/>
    <n v="0"/>
    <n v="0"/>
    <n v="1"/>
    <n v="0"/>
    <n v="0"/>
    <n v="1"/>
    <n v="0"/>
    <n v="0"/>
    <n v="498"/>
    <d v="2015-10-02T00:00:00"/>
  </r>
  <r>
    <n v="1964"/>
    <n v="69263"/>
    <n v="547"/>
    <n v="7.8974344166438063E-3"/>
    <x v="0"/>
    <n v="1"/>
    <n v="14"/>
    <n v="492"/>
    <n v="5"/>
    <n v="32"/>
    <n v="13"/>
    <n v="5"/>
    <n v="21"/>
    <n v="1"/>
    <n v="9"/>
    <n v="1"/>
    <n v="7"/>
    <n v="6"/>
    <n v="0"/>
    <n v="0"/>
    <n v="0"/>
    <n v="1"/>
    <n v="0"/>
    <n v="0"/>
    <x v="1"/>
    <x v="47"/>
    <s v="51-66"/>
    <n v="2275"/>
    <n v="0"/>
    <n v="0"/>
    <n v="1"/>
    <n v="0"/>
    <n v="0"/>
    <n v="0"/>
    <n v="1"/>
    <n v="0"/>
    <n v="0"/>
    <n v="526"/>
    <d v="2016-07-23T00:00:00"/>
  </r>
  <r>
    <n v="933"/>
    <n v="42021"/>
    <n v="546"/>
    <n v="1.2993503248375811E-2"/>
    <x v="1"/>
    <n v="0"/>
    <n v="34"/>
    <n v="393"/>
    <n v="5"/>
    <n v="136"/>
    <n v="7"/>
    <n v="5"/>
    <n v="27"/>
    <n v="5"/>
    <n v="10"/>
    <n v="1"/>
    <n v="6"/>
    <n v="9"/>
    <n v="0"/>
    <n v="0"/>
    <n v="1"/>
    <n v="0"/>
    <n v="0"/>
    <n v="0"/>
    <x v="1"/>
    <x v="43"/>
    <s v="36-50"/>
    <n v="2826"/>
    <n v="0"/>
    <n v="0"/>
    <n v="0"/>
    <n v="1"/>
    <n v="0"/>
    <n v="0"/>
    <n v="0"/>
    <n v="1"/>
    <n v="0"/>
    <n v="519"/>
    <d v="2015-01-19T00:00:00"/>
  </r>
  <r>
    <n v="1041"/>
    <n v="65463"/>
    <n v="546"/>
    <n v="8.3405893405435125E-3"/>
    <x v="1"/>
    <n v="0"/>
    <n v="17"/>
    <n v="391"/>
    <n v="32"/>
    <n v="70"/>
    <n v="21"/>
    <n v="32"/>
    <n v="16"/>
    <n v="2"/>
    <n v="6"/>
    <n v="2"/>
    <n v="9"/>
    <n v="5"/>
    <n v="0"/>
    <n v="0"/>
    <n v="0"/>
    <n v="1"/>
    <n v="0"/>
    <n v="0"/>
    <x v="1"/>
    <x v="35"/>
    <s v="36-50"/>
    <n v="2309"/>
    <n v="0"/>
    <n v="1"/>
    <n v="0"/>
    <n v="0"/>
    <n v="0"/>
    <n v="1"/>
    <n v="0"/>
    <n v="0"/>
    <n v="0"/>
    <n v="530"/>
    <d v="2016-06-19T00:00:00"/>
  </r>
  <r>
    <n v="1355"/>
    <n v="64866"/>
    <n v="546"/>
    <n v="8.4173526963278143E-3"/>
    <x v="0"/>
    <n v="1"/>
    <n v="9"/>
    <n v="508"/>
    <n v="5"/>
    <n v="21"/>
    <n v="7"/>
    <n v="5"/>
    <n v="10"/>
    <n v="4"/>
    <n v="7"/>
    <n v="3"/>
    <n v="7"/>
    <n v="5"/>
    <n v="0"/>
    <n v="0"/>
    <n v="0"/>
    <n v="1"/>
    <n v="0"/>
    <n v="0"/>
    <x v="1"/>
    <x v="51"/>
    <s v="66+"/>
    <n v="2313"/>
    <n v="0"/>
    <n v="0"/>
    <n v="0"/>
    <n v="0"/>
    <n v="1"/>
    <n v="0"/>
    <n v="0"/>
    <n v="1"/>
    <n v="0"/>
    <n v="536"/>
    <d v="2016-06-15T00:00:00"/>
  </r>
  <r>
    <n v="570"/>
    <n v="61467"/>
    <n v="545"/>
    <n v="8.8665462768640086E-3"/>
    <x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x v="1"/>
    <x v="40"/>
    <s v="66+"/>
    <n v="2726"/>
    <n v="0"/>
    <n v="1"/>
    <n v="0"/>
    <n v="0"/>
    <n v="0"/>
    <n v="0"/>
    <n v="0"/>
    <n v="0"/>
    <n v="1"/>
    <n v="496"/>
    <d v="2015-04-29T00:00:00"/>
  </r>
  <r>
    <n v="63"/>
    <n v="69096"/>
    <n v="544"/>
    <n v="7.8731040870672689E-3"/>
    <x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x v="1"/>
    <x v="27"/>
    <s v="51-66"/>
    <n v="2434"/>
    <n v="0"/>
    <n v="0"/>
    <n v="0"/>
    <n v="1"/>
    <n v="0"/>
    <n v="0"/>
    <n v="1"/>
    <n v="0"/>
    <n v="0"/>
    <n v="435"/>
    <d v="2016-02-15T00:00:00"/>
  </r>
  <r>
    <n v="1859"/>
    <n v="49767"/>
    <n v="543"/>
    <n v="1.0910844535535596E-2"/>
    <x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x v="1"/>
    <x v="1"/>
    <s v="24-35"/>
    <n v="2582"/>
    <n v="0"/>
    <n v="0"/>
    <n v="1"/>
    <n v="0"/>
    <n v="0"/>
    <n v="0"/>
    <n v="1"/>
    <n v="0"/>
    <n v="0"/>
    <n v="394"/>
    <d v="2015-09-20T00:00:00"/>
  </r>
  <r>
    <n v="1338"/>
    <n v="56337"/>
    <n v="542"/>
    <n v="9.6206755773292855E-3"/>
    <x v="1"/>
    <n v="1"/>
    <n v="25"/>
    <n v="349"/>
    <n v="16"/>
    <n v="144"/>
    <n v="28"/>
    <n v="5"/>
    <n v="182"/>
    <n v="5"/>
    <n v="8"/>
    <n v="5"/>
    <n v="4"/>
    <n v="8"/>
    <n v="1"/>
    <n v="0"/>
    <n v="1"/>
    <n v="0"/>
    <n v="0"/>
    <n v="0"/>
    <x v="0"/>
    <x v="43"/>
    <s v="36-50"/>
    <n v="2618"/>
    <n v="0"/>
    <n v="1"/>
    <n v="0"/>
    <n v="0"/>
    <n v="0"/>
    <n v="1"/>
    <n v="0"/>
    <n v="0"/>
    <n v="0"/>
    <n v="360"/>
    <d v="2015-08-15T00:00:00"/>
  </r>
  <r>
    <n v="1315"/>
    <n v="42720"/>
    <n v="542"/>
    <n v="1.2687265917602997E-2"/>
    <x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x v="0"/>
    <x v="47"/>
    <s v="51-66"/>
    <n v="2590"/>
    <n v="0"/>
    <n v="0"/>
    <n v="1"/>
    <n v="0"/>
    <n v="0"/>
    <n v="0"/>
    <n v="1"/>
    <n v="0"/>
    <n v="0"/>
    <n v="430"/>
    <d v="2015-09-12T00:00:00"/>
  </r>
  <r>
    <n v="1192"/>
    <n v="57183"/>
    <n v="540"/>
    <n v="9.4433660353601592E-3"/>
    <x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x v="1"/>
    <x v="22"/>
    <s v="51-66"/>
    <n v="2626"/>
    <n v="0"/>
    <n v="1"/>
    <n v="0"/>
    <n v="0"/>
    <n v="0"/>
    <n v="0"/>
    <n v="0"/>
    <n v="1"/>
    <n v="0"/>
    <n v="470"/>
    <d v="2015-08-07T00:00:00"/>
  </r>
  <r>
    <n v="1339"/>
    <n v="57091"/>
    <n v="540"/>
    <n v="9.4585836646756925E-3"/>
    <x v="0"/>
    <n v="0"/>
    <n v="0"/>
    <n v="464"/>
    <n v="5"/>
    <n v="64"/>
    <n v="7"/>
    <n v="0"/>
    <n v="37"/>
    <n v="1"/>
    <n v="7"/>
    <n v="3"/>
    <n v="7"/>
    <n v="5"/>
    <n v="0"/>
    <n v="1"/>
    <n v="0"/>
    <n v="0"/>
    <n v="0"/>
    <n v="0"/>
    <x v="0"/>
    <x v="21"/>
    <s v="51-66"/>
    <n v="2173"/>
    <n v="0"/>
    <n v="0"/>
    <n v="1"/>
    <n v="0"/>
    <n v="0"/>
    <n v="0"/>
    <n v="1"/>
    <n v="0"/>
    <n v="0"/>
    <n v="503"/>
    <d v="2016-11-02T00:00:00"/>
  </r>
  <r>
    <n v="23"/>
    <n v="65324"/>
    <n v="539"/>
    <n v="8.251178739819974E-3"/>
    <x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  <x v="44"/>
    <s v="66+"/>
    <n v="2328"/>
    <n v="0"/>
    <n v="1"/>
    <n v="0"/>
    <n v="0"/>
    <n v="0"/>
    <n v="0"/>
    <n v="0"/>
    <n v="0"/>
    <n v="1"/>
    <n v="534"/>
    <d v="2016-05-31T00:00:00"/>
  </r>
  <r>
    <n v="1360"/>
    <n v="50725"/>
    <n v="538"/>
    <n v="1.0606209955643174E-2"/>
    <x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x v="1"/>
    <x v="10"/>
    <s v="66+"/>
    <n v="2660"/>
    <n v="0"/>
    <n v="1"/>
    <n v="0"/>
    <n v="0"/>
    <n v="0"/>
    <n v="0"/>
    <n v="1"/>
    <n v="0"/>
    <n v="0"/>
    <n v="490"/>
    <d v="2015-07-04T00:00:00"/>
  </r>
  <r>
    <n v="438"/>
    <n v="53790"/>
    <n v="537"/>
    <n v="9.983268265476854E-3"/>
    <x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x v="1"/>
    <x v="15"/>
    <s v="66+"/>
    <n v="2274"/>
    <n v="0"/>
    <n v="1"/>
    <n v="0"/>
    <n v="0"/>
    <n v="0"/>
    <n v="0"/>
    <n v="1"/>
    <n v="0"/>
    <n v="0"/>
    <n v="532"/>
    <d v="2016-07-24T00:00:00"/>
  </r>
  <r>
    <n v="1508"/>
    <n v="56386"/>
    <n v="537"/>
    <n v="9.5236406200120589E-3"/>
    <x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x v="1"/>
    <x v="43"/>
    <s v="36-50"/>
    <n v="2769"/>
    <n v="0"/>
    <n v="0"/>
    <n v="0"/>
    <n v="1"/>
    <n v="0"/>
    <n v="0"/>
    <n v="1"/>
    <n v="0"/>
    <n v="0"/>
    <n v="462"/>
    <d v="2015-03-17T00:00:00"/>
  </r>
  <r>
    <n v="1589"/>
    <n v="75342"/>
    <n v="537"/>
    <n v="7.1274986063550212E-3"/>
    <x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x v="1"/>
    <x v="27"/>
    <s v="51-66"/>
    <n v="2578"/>
    <n v="0"/>
    <n v="0"/>
    <n v="1"/>
    <n v="0"/>
    <n v="0"/>
    <n v="1"/>
    <n v="0"/>
    <n v="0"/>
    <n v="0"/>
    <n v="511"/>
    <d v="2015-09-24T00:00:00"/>
  </r>
  <r>
    <n v="1974"/>
    <n v="44325"/>
    <n v="537"/>
    <n v="1.2115059221658207E-2"/>
    <x v="0"/>
    <n v="1"/>
    <n v="69"/>
    <n v="516"/>
    <n v="0"/>
    <n v="21"/>
    <n v="0"/>
    <n v="0"/>
    <n v="5"/>
    <n v="4"/>
    <n v="8"/>
    <n v="2"/>
    <n v="7"/>
    <n v="8"/>
    <n v="0"/>
    <n v="0"/>
    <n v="0"/>
    <n v="1"/>
    <n v="0"/>
    <n v="0"/>
    <x v="1"/>
    <x v="9"/>
    <s v="36-50"/>
    <n v="2638"/>
    <n v="0"/>
    <n v="1"/>
    <n v="0"/>
    <n v="0"/>
    <n v="0"/>
    <n v="0"/>
    <n v="0"/>
    <n v="0"/>
    <n v="1"/>
    <n v="532"/>
    <d v="2015-07-26T00:00:00"/>
  </r>
  <r>
    <n v="286"/>
    <n v="64100"/>
    <n v="536"/>
    <n v="8.361934477379096E-3"/>
    <x v="0"/>
    <n v="1"/>
    <n v="93"/>
    <n v="509"/>
    <n v="0"/>
    <n v="27"/>
    <n v="0"/>
    <n v="0"/>
    <n v="10"/>
    <n v="1"/>
    <n v="8"/>
    <n v="3"/>
    <n v="6"/>
    <n v="7"/>
    <n v="0"/>
    <n v="0"/>
    <n v="0"/>
    <n v="1"/>
    <n v="0"/>
    <n v="0"/>
    <x v="1"/>
    <x v="42"/>
    <s v="51-66"/>
    <n v="2451"/>
    <n v="0"/>
    <n v="1"/>
    <n v="0"/>
    <n v="0"/>
    <n v="0"/>
    <n v="0"/>
    <n v="0"/>
    <n v="1"/>
    <n v="0"/>
    <n v="526"/>
    <d v="2016-01-29T00:00:00"/>
  </r>
  <r>
    <n v="904"/>
    <n v="52597"/>
    <n v="536"/>
    <n v="1.019069528680343E-2"/>
    <x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x v="1"/>
    <x v="46"/>
    <s v="51-66"/>
    <n v="2212"/>
    <n v="0"/>
    <n v="0"/>
    <n v="1"/>
    <n v="0"/>
    <n v="0"/>
    <n v="0"/>
    <n v="0"/>
    <n v="0"/>
    <n v="1"/>
    <n v="494"/>
    <d v="2016-09-24T00:00:00"/>
  </r>
  <r>
    <n v="780"/>
    <n v="48789"/>
    <n v="535"/>
    <n v="1.096558650515485E-2"/>
    <x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x v="1"/>
    <x v="17"/>
    <s v="24-35"/>
    <n v="2816"/>
    <n v="0"/>
    <n v="0"/>
    <n v="1"/>
    <n v="0"/>
    <n v="0"/>
    <n v="0"/>
    <n v="1"/>
    <n v="0"/>
    <n v="0"/>
    <n v="390"/>
    <d v="2015-01-29T00:00:00"/>
  </r>
  <r>
    <n v="781"/>
    <n v="56575"/>
    <n v="532"/>
    <n v="9.4034467520989831E-3"/>
    <x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x v="1"/>
    <x v="26"/>
    <s v="51-66"/>
    <n v="2579"/>
    <n v="0"/>
    <n v="0"/>
    <n v="0"/>
    <n v="1"/>
    <n v="0"/>
    <n v="0"/>
    <n v="0"/>
    <n v="0"/>
    <n v="1"/>
    <n v="522"/>
    <d v="2015-09-23T00:00:00"/>
  </r>
  <r>
    <n v="976"/>
    <n v="47703"/>
    <n v="532"/>
    <n v="1.1152338427352578E-2"/>
    <x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x v="1"/>
    <x v="10"/>
    <s v="66+"/>
    <n v="2555"/>
    <n v="0"/>
    <n v="1"/>
    <n v="0"/>
    <n v="0"/>
    <n v="0"/>
    <n v="0"/>
    <n v="1"/>
    <n v="0"/>
    <n v="0"/>
    <n v="409"/>
    <d v="2015-10-17T00:00:00"/>
  </r>
  <r>
    <n v="85"/>
    <n v="47916"/>
    <n v="531"/>
    <n v="1.1081893313298272E-2"/>
    <x v="0"/>
    <n v="1"/>
    <n v="72"/>
    <n v="505"/>
    <n v="0"/>
    <n v="26"/>
    <n v="0"/>
    <n v="0"/>
    <n v="75"/>
    <n v="5"/>
    <n v="7"/>
    <n v="4"/>
    <n v="6"/>
    <n v="6"/>
    <n v="0"/>
    <n v="0"/>
    <n v="0"/>
    <n v="1"/>
    <n v="0"/>
    <n v="0"/>
    <x v="1"/>
    <x v="24"/>
    <s v="51-66"/>
    <n v="2743"/>
    <n v="0"/>
    <n v="0"/>
    <n v="0"/>
    <n v="0"/>
    <n v="1"/>
    <n v="0"/>
    <n v="1"/>
    <n v="0"/>
    <n v="0"/>
    <n v="456"/>
    <d v="2015-04-12T00:00:00"/>
  </r>
  <r>
    <n v="1799"/>
    <n v="32632"/>
    <n v="523"/>
    <n v="1.60272125520961E-2"/>
    <x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x v="1"/>
    <x v="33"/>
    <s v="51-66"/>
    <n v="2855"/>
    <n v="0"/>
    <n v="1"/>
    <n v="0"/>
    <n v="0"/>
    <n v="0"/>
    <n v="1"/>
    <n v="0"/>
    <n v="0"/>
    <n v="0"/>
    <n v="470"/>
    <d v="2014-12-21T00:00:00"/>
  </r>
  <r>
    <n v="1348"/>
    <n v="38410"/>
    <n v="520"/>
    <n v="1.3538141109086176E-2"/>
    <x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x v="0"/>
    <x v="35"/>
    <s v="36-50"/>
    <n v="2812"/>
    <n v="0"/>
    <n v="1"/>
    <n v="0"/>
    <n v="0"/>
    <n v="0"/>
    <n v="0"/>
    <n v="0"/>
    <n v="0"/>
    <n v="1"/>
    <n v="506"/>
    <d v="2015-02-02T00:00:00"/>
  </r>
  <r>
    <n v="1495"/>
    <n v="41003"/>
    <n v="513"/>
    <n v="1.2511279662463723E-2"/>
    <x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x v="1"/>
    <x v="33"/>
    <s v="51-66"/>
    <n v="2628"/>
    <n v="1"/>
    <n v="0"/>
    <n v="0"/>
    <n v="0"/>
    <n v="0"/>
    <n v="0"/>
    <n v="0"/>
    <n v="0"/>
    <n v="1"/>
    <n v="425"/>
    <d v="2015-08-05T00:00:00"/>
  </r>
  <r>
    <n v="1776"/>
    <n v="56939"/>
    <n v="512"/>
    <n v="8.9920792426983268E-3"/>
    <x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x v="1"/>
    <x v="7"/>
    <s v="36-50"/>
    <n v="2443"/>
    <n v="0"/>
    <n v="1"/>
    <n v="0"/>
    <n v="0"/>
    <n v="0"/>
    <n v="0"/>
    <n v="1"/>
    <n v="0"/>
    <n v="0"/>
    <n v="463"/>
    <d v="2016-02-06T00:00:00"/>
  </r>
  <r>
    <n v="1136"/>
    <n v="65748"/>
    <n v="511"/>
    <n v="7.7720995315446861E-3"/>
    <x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x v="1"/>
    <x v="38"/>
    <s v="51-66"/>
    <n v="2599"/>
    <n v="0"/>
    <n v="0"/>
    <n v="0"/>
    <n v="1"/>
    <n v="0"/>
    <n v="0"/>
    <n v="1"/>
    <n v="0"/>
    <n v="0"/>
    <n v="477"/>
    <d v="2015-09-03T00:00:00"/>
  </r>
  <r>
    <n v="835"/>
    <n v="51195"/>
    <n v="506"/>
    <n v="9.8837777126672532E-3"/>
    <x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x v="1"/>
    <x v="46"/>
    <s v="51-66"/>
    <n v="2613"/>
    <n v="0"/>
    <n v="0"/>
    <n v="0"/>
    <n v="1"/>
    <n v="0"/>
    <n v="0"/>
    <n v="1"/>
    <n v="0"/>
    <n v="0"/>
    <n v="448"/>
    <d v="2015-08-20T00:00:00"/>
  </r>
  <r>
    <n v="1925"/>
    <n v="53230"/>
    <n v="503"/>
    <n v="9.4495585196317858E-3"/>
    <x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x v="1"/>
    <x v="5"/>
    <s v="51-66"/>
    <n v="2854"/>
    <n v="0"/>
    <n v="1"/>
    <n v="0"/>
    <n v="0"/>
    <n v="0"/>
    <n v="1"/>
    <n v="0"/>
    <n v="0"/>
    <n v="0"/>
    <n v="274"/>
    <d v="2014-12-22T00:00:00"/>
  </r>
  <r>
    <n v="768"/>
    <n v="22507"/>
    <n v="502"/>
    <n v="2.2304172035366776E-2"/>
    <x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x v="1"/>
    <x v="44"/>
    <s v="66+"/>
    <n v="2741"/>
    <n v="0"/>
    <n v="0"/>
    <n v="1"/>
    <n v="0"/>
    <n v="0"/>
    <n v="0"/>
    <n v="1"/>
    <n v="0"/>
    <n v="0"/>
    <n v="434"/>
    <d v="2015-04-14T00:00:00"/>
  </r>
  <r>
    <n v="1273"/>
    <n v="58554"/>
    <n v="498"/>
    <n v="8.50496977149298E-3"/>
    <x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  <x v="14"/>
    <s v="51-66"/>
    <n v="2800"/>
    <n v="0"/>
    <n v="0"/>
    <n v="0"/>
    <n v="1"/>
    <n v="0"/>
    <n v="0"/>
    <n v="1"/>
    <n v="0"/>
    <n v="0"/>
    <n v="410"/>
    <d v="2015-02-14T00:00:00"/>
  </r>
  <r>
    <n v="51"/>
    <n v="66373"/>
    <n v="497"/>
    <n v="7.4879845720398353E-3"/>
    <x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  <x v="37"/>
    <s v="36-50"/>
    <n v="2541"/>
    <n v="0"/>
    <n v="1"/>
    <n v="0"/>
    <n v="0"/>
    <n v="0"/>
    <n v="0"/>
    <n v="1"/>
    <n v="0"/>
    <n v="0"/>
    <n v="388"/>
    <d v="2015-10-31T00:00:00"/>
  </r>
  <r>
    <n v="195"/>
    <n v="46014"/>
    <n v="497"/>
    <n v="1.0801060546790107E-2"/>
    <x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x v="1"/>
    <x v="35"/>
    <s v="36-50"/>
    <n v="2683"/>
    <n v="0"/>
    <n v="0"/>
    <n v="0"/>
    <n v="1"/>
    <n v="0"/>
    <n v="0"/>
    <n v="0"/>
    <n v="1"/>
    <n v="0"/>
    <n v="453"/>
    <d v="2015-06-11T00:00:00"/>
  </r>
  <r>
    <n v="823"/>
    <n v="42835"/>
    <n v="497"/>
    <n v="1.1602661375043772E-2"/>
    <x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x v="1"/>
    <x v="28"/>
    <s v="36-50"/>
    <n v="2523"/>
    <n v="1"/>
    <n v="0"/>
    <n v="0"/>
    <n v="0"/>
    <n v="0"/>
    <n v="0"/>
    <n v="0"/>
    <n v="1"/>
    <n v="0"/>
    <n v="399"/>
    <d v="2015-11-18T00:00:00"/>
  </r>
  <r>
    <n v="1000"/>
    <n v="65526"/>
    <n v="497"/>
    <n v="7.5847755089582759E-3"/>
    <x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  <x v="42"/>
    <s v="51-66"/>
    <n v="2238"/>
    <n v="0"/>
    <n v="1"/>
    <n v="0"/>
    <n v="0"/>
    <n v="0"/>
    <n v="0"/>
    <n v="0"/>
    <n v="0"/>
    <n v="1"/>
    <n v="488"/>
    <d v="2016-08-29T00:00:00"/>
  </r>
  <r>
    <n v="183"/>
    <n v="69142"/>
    <n v="496"/>
    <n v="7.173642648462584E-3"/>
    <x v="0"/>
    <n v="1"/>
    <n v="50"/>
    <n v="448"/>
    <n v="4"/>
    <n v="34"/>
    <n v="6"/>
    <n v="4"/>
    <n v="39"/>
    <n v="3"/>
    <n v="8"/>
    <n v="1"/>
    <n v="7"/>
    <n v="5"/>
    <n v="0"/>
    <n v="0"/>
    <n v="0"/>
    <n v="1"/>
    <n v="0"/>
    <n v="0"/>
    <x v="1"/>
    <x v="50"/>
    <s v="66+"/>
    <n v="2159"/>
    <n v="1"/>
    <n v="0"/>
    <n v="0"/>
    <n v="0"/>
    <n v="0"/>
    <n v="0"/>
    <n v="1"/>
    <n v="0"/>
    <n v="0"/>
    <n v="457"/>
    <d v="2016-11-16T00:00:00"/>
  </r>
  <r>
    <n v="1141"/>
    <n v="61559"/>
    <n v="496"/>
    <n v="8.0573108724963042E-3"/>
    <x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x v="1"/>
    <x v="47"/>
    <s v="51-66"/>
    <n v="2506"/>
    <n v="0"/>
    <n v="0"/>
    <n v="1"/>
    <n v="0"/>
    <n v="0"/>
    <n v="0"/>
    <n v="1"/>
    <n v="0"/>
    <n v="0"/>
    <n v="462"/>
    <d v="2015-12-05T00:00:00"/>
  </r>
  <r>
    <n v="1351"/>
    <n v="46049"/>
    <n v="496"/>
    <n v="1.0771135095224652E-2"/>
    <x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x v="0"/>
    <x v="7"/>
    <s v="36-50"/>
    <n v="2502"/>
    <n v="0"/>
    <n v="1"/>
    <n v="0"/>
    <n v="0"/>
    <n v="0"/>
    <n v="0"/>
    <n v="1"/>
    <n v="0"/>
    <n v="0"/>
    <n v="477"/>
    <d v="2015-12-09T00:00:00"/>
  </r>
  <r>
    <n v="1883"/>
    <n v="54591"/>
    <n v="495"/>
    <n v="9.0674286970379731E-3"/>
    <x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x v="1"/>
    <x v="4"/>
    <s v="66+"/>
    <n v="2487"/>
    <n v="0"/>
    <n v="0"/>
    <n v="0"/>
    <n v="1"/>
    <n v="0"/>
    <n v="0"/>
    <n v="1"/>
    <n v="0"/>
    <n v="0"/>
    <n v="471"/>
    <d v="2015-12-24T00:00:00"/>
  </r>
  <r>
    <n v="447"/>
    <n v="55842"/>
    <n v="494"/>
    <n v="8.8463880233515986E-3"/>
    <x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x v="1"/>
    <x v="13"/>
    <s v="36-50"/>
    <n v="2196"/>
    <n v="0"/>
    <n v="1"/>
    <n v="0"/>
    <n v="0"/>
    <n v="0"/>
    <n v="0"/>
    <n v="0"/>
    <n v="1"/>
    <n v="0"/>
    <n v="470"/>
    <d v="2016-10-10T00:00:00"/>
  </r>
  <r>
    <n v="1353"/>
    <n v="86836"/>
    <n v="494"/>
    <n v="5.6888847943249348E-3"/>
    <x v="0"/>
    <n v="0"/>
    <n v="7"/>
    <n v="179"/>
    <n v="21"/>
    <n v="273"/>
    <n v="0"/>
    <n v="21"/>
    <n v="63"/>
    <n v="1"/>
    <n v="6"/>
    <n v="10"/>
    <n v="6"/>
    <n v="5"/>
    <n v="1"/>
    <n v="0"/>
    <n v="1"/>
    <n v="0"/>
    <n v="1"/>
    <n v="0"/>
    <x v="0"/>
    <x v="16"/>
    <s v="36-50"/>
    <n v="2814"/>
    <n v="0"/>
    <n v="1"/>
    <n v="0"/>
    <n v="0"/>
    <n v="0"/>
    <n v="0"/>
    <n v="0"/>
    <n v="0"/>
    <n v="1"/>
    <n v="431"/>
    <d v="2015-01-31T00:00:00"/>
  </r>
  <r>
    <n v="2000"/>
    <n v="41769"/>
    <n v="494"/>
    <n v="1.1826953003423592E-2"/>
    <x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x v="1"/>
    <x v="38"/>
    <s v="51-66"/>
    <n v="2660"/>
    <n v="1"/>
    <n v="0"/>
    <n v="0"/>
    <n v="0"/>
    <n v="0"/>
    <n v="1"/>
    <n v="0"/>
    <n v="0"/>
    <n v="0"/>
    <n v="467"/>
    <d v="2015-07-04T00:00:00"/>
  </r>
  <r>
    <n v="47"/>
    <n v="65486"/>
    <n v="493"/>
    <n v="7.5283266652414254E-3"/>
    <x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x v="1"/>
    <x v="12"/>
    <s v="51-66"/>
    <n v="2207"/>
    <n v="0"/>
    <n v="0"/>
    <n v="0"/>
    <n v="0"/>
    <n v="1"/>
    <n v="0"/>
    <n v="1"/>
    <n v="0"/>
    <n v="0"/>
    <n v="479"/>
    <d v="2016-09-29T00:00:00"/>
  </r>
  <r>
    <n v="318"/>
    <n v="59292"/>
    <n v="493"/>
    <n v="8.3147810834513936E-3"/>
    <x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  <x v="51"/>
    <s v="66+"/>
    <n v="2540"/>
    <n v="0"/>
    <n v="0"/>
    <n v="0"/>
    <n v="1"/>
    <n v="0"/>
    <n v="0"/>
    <n v="0"/>
    <n v="0"/>
    <n v="1"/>
    <n v="479"/>
    <d v="2015-11-01T00:00:00"/>
  </r>
  <r>
    <n v="403"/>
    <n v="42387"/>
    <n v="493"/>
    <n v="1.16309245759313E-2"/>
    <x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x v="1"/>
    <x v="32"/>
    <s v="24-35"/>
    <n v="2767"/>
    <n v="0"/>
    <n v="1"/>
    <n v="0"/>
    <n v="0"/>
    <n v="0"/>
    <n v="0"/>
    <n v="1"/>
    <n v="0"/>
    <n v="0"/>
    <n v="302"/>
    <d v="2015-03-19T00:00:00"/>
  </r>
  <r>
    <n v="520"/>
    <n v="60504"/>
    <n v="492"/>
    <n v="8.1316937723125739E-3"/>
    <x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x v="1"/>
    <x v="28"/>
    <s v="36-50"/>
    <n v="2301"/>
    <n v="0"/>
    <n v="0"/>
    <n v="1"/>
    <n v="0"/>
    <n v="0"/>
    <n v="0"/>
    <n v="0"/>
    <n v="0"/>
    <n v="1"/>
    <n v="458"/>
    <d v="2016-06-27T00:00:00"/>
  </r>
  <r>
    <n v="1354"/>
    <n v="57091"/>
    <n v="492"/>
    <n v="8.6178206722600757E-3"/>
    <x v="0"/>
    <n v="1"/>
    <n v="82"/>
    <n v="462"/>
    <n v="0"/>
    <n v="24"/>
    <n v="6"/>
    <n v="0"/>
    <n v="4"/>
    <n v="2"/>
    <n v="9"/>
    <n v="2"/>
    <n v="5"/>
    <n v="7"/>
    <n v="0"/>
    <n v="0"/>
    <n v="0"/>
    <n v="1"/>
    <n v="0"/>
    <n v="0"/>
    <x v="0"/>
    <x v="9"/>
    <s v="36-50"/>
    <n v="2742"/>
    <n v="0"/>
    <n v="1"/>
    <n v="0"/>
    <n v="0"/>
    <n v="0"/>
    <n v="0"/>
    <n v="0"/>
    <n v="0"/>
    <n v="1"/>
    <n v="488"/>
    <d v="2015-04-13T00:00:00"/>
  </r>
  <r>
    <n v="171"/>
    <n v="61286"/>
    <n v="491"/>
    <n v="8.0116176614561229E-3"/>
    <x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  <x v="22"/>
    <s v="51-66"/>
    <n v="2490"/>
    <n v="0"/>
    <n v="1"/>
    <n v="0"/>
    <n v="0"/>
    <n v="0"/>
    <n v="0"/>
    <n v="1"/>
    <n v="0"/>
    <n v="0"/>
    <n v="374"/>
    <d v="2015-12-21T00:00:00"/>
  </r>
  <r>
    <n v="629"/>
    <n v="59247"/>
    <n v="491"/>
    <n v="8.2873394433473427E-3"/>
    <x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x v="1"/>
    <x v="46"/>
    <s v="51-66"/>
    <n v="2392"/>
    <n v="0"/>
    <n v="0"/>
    <n v="1"/>
    <n v="0"/>
    <n v="0"/>
    <n v="0"/>
    <n v="0"/>
    <n v="1"/>
    <n v="0"/>
    <n v="408"/>
    <d v="2016-03-28T00:00:00"/>
  </r>
  <r>
    <n v="766"/>
    <n v="65968"/>
    <n v="491"/>
    <n v="7.4430026679602234E-3"/>
    <x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x v="1"/>
    <x v="2"/>
    <s v="36-50"/>
    <n v="2207"/>
    <n v="0"/>
    <n v="0"/>
    <n v="0"/>
    <n v="1"/>
    <n v="0"/>
    <n v="0"/>
    <n v="0"/>
    <n v="0"/>
    <n v="1"/>
    <n v="487"/>
    <d v="2016-09-29T00:00:00"/>
  </r>
  <r>
    <n v="1656"/>
    <n v="50387"/>
    <n v="491"/>
    <n v="9.7445769742195414E-3"/>
    <x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x v="1"/>
    <x v="5"/>
    <s v="51-66"/>
    <n v="2461"/>
    <n v="0"/>
    <n v="1"/>
    <n v="0"/>
    <n v="0"/>
    <n v="0"/>
    <n v="0"/>
    <n v="1"/>
    <n v="0"/>
    <n v="0"/>
    <n v="457"/>
    <d v="2016-01-19T00:00:00"/>
  </r>
  <r>
    <n v="739"/>
    <n v="43783"/>
    <n v="490"/>
    <n v="1.1191558367402873E-2"/>
    <x v="1"/>
    <n v="0"/>
    <n v="22"/>
    <n v="327"/>
    <n v="9"/>
    <n v="125"/>
    <n v="25"/>
    <n v="4"/>
    <n v="139"/>
    <n v="6"/>
    <n v="7"/>
    <n v="1"/>
    <n v="8"/>
    <n v="7"/>
    <n v="0"/>
    <n v="0"/>
    <n v="1"/>
    <n v="0"/>
    <n v="0"/>
    <n v="0"/>
    <x v="1"/>
    <x v="37"/>
    <s v="36-50"/>
    <n v="2190"/>
    <n v="0"/>
    <n v="1"/>
    <n v="0"/>
    <n v="0"/>
    <n v="0"/>
    <n v="0"/>
    <n v="0"/>
    <n v="1"/>
    <n v="0"/>
    <n v="351"/>
    <d v="2016-10-16T00:00:00"/>
  </r>
  <r>
    <n v="1091"/>
    <n v="59594"/>
    <n v="490"/>
    <n v="8.2223042588180015E-3"/>
    <x v="0"/>
    <n v="1"/>
    <n v="74"/>
    <n v="457"/>
    <n v="4"/>
    <n v="29"/>
    <n v="0"/>
    <n v="0"/>
    <n v="9"/>
    <n v="1"/>
    <n v="8"/>
    <n v="1"/>
    <n v="7"/>
    <n v="7"/>
    <n v="0"/>
    <n v="0"/>
    <n v="0"/>
    <n v="1"/>
    <n v="0"/>
    <n v="0"/>
    <x v="1"/>
    <x v="47"/>
    <s v="51-66"/>
    <n v="2776"/>
    <n v="0"/>
    <n v="1"/>
    <n v="0"/>
    <n v="0"/>
    <n v="0"/>
    <n v="0"/>
    <n v="1"/>
    <n v="0"/>
    <n v="0"/>
    <n v="481"/>
    <d v="2015-03-10T00:00:00"/>
  </r>
  <r>
    <n v="1366"/>
    <n v="78028"/>
    <n v="490"/>
    <n v="6.279796995950172E-3"/>
    <x v="0"/>
    <n v="1"/>
    <n v="38"/>
    <n v="158"/>
    <n v="19"/>
    <n v="288"/>
    <n v="25"/>
    <n v="0"/>
    <n v="38"/>
    <n v="1"/>
    <n v="6"/>
    <n v="4"/>
    <n v="9"/>
    <n v="7"/>
    <n v="0"/>
    <n v="0"/>
    <n v="0"/>
    <n v="1"/>
    <n v="1"/>
    <n v="0"/>
    <x v="0"/>
    <x v="5"/>
    <s v="51-66"/>
    <n v="2816"/>
    <n v="0"/>
    <n v="0"/>
    <n v="0"/>
    <n v="0"/>
    <n v="1"/>
    <n v="0"/>
    <n v="0"/>
    <n v="0"/>
    <n v="1"/>
    <n v="452"/>
    <d v="2015-01-29T00:00:00"/>
  </r>
  <r>
    <n v="1284"/>
    <n v="50611"/>
    <n v="489"/>
    <n v="9.6619312007271141E-3"/>
    <x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x v="1"/>
    <x v="24"/>
    <s v="51-66"/>
    <n v="2792"/>
    <n v="1"/>
    <n v="0"/>
    <n v="0"/>
    <n v="0"/>
    <n v="0"/>
    <n v="0"/>
    <n v="0"/>
    <n v="0"/>
    <n v="1"/>
    <n v="485"/>
    <d v="2015-02-22T00:00:00"/>
  </r>
  <r>
    <n v="1380"/>
    <n v="50611"/>
    <n v="489"/>
    <n v="9.6619312007271141E-3"/>
    <x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x v="0"/>
    <x v="24"/>
    <s v="51-66"/>
    <n v="2792"/>
    <n v="1"/>
    <n v="0"/>
    <n v="0"/>
    <n v="0"/>
    <n v="0"/>
    <n v="0"/>
    <n v="0"/>
    <n v="0"/>
    <n v="1"/>
    <n v="485"/>
    <d v="2015-02-22T00:00:00"/>
  </r>
  <r>
    <n v="1472"/>
    <n v="53843"/>
    <n v="489"/>
    <n v="9.0819605148301542E-3"/>
    <x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x v="1"/>
    <x v="47"/>
    <s v="51-66"/>
    <n v="2526"/>
    <n v="0"/>
    <n v="1"/>
    <n v="0"/>
    <n v="0"/>
    <n v="0"/>
    <n v="0"/>
    <n v="0"/>
    <n v="1"/>
    <n v="0"/>
    <n v="416"/>
    <d v="2015-11-15T00:00:00"/>
  </r>
  <r>
    <n v="382"/>
    <n v="50437"/>
    <n v="486"/>
    <n v="9.6357832543569211E-3"/>
    <x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x v="1"/>
    <x v="33"/>
    <s v="51-66"/>
    <n v="2779"/>
    <n v="0"/>
    <n v="1"/>
    <n v="0"/>
    <n v="0"/>
    <n v="0"/>
    <n v="0"/>
    <n v="1"/>
    <n v="0"/>
    <n v="0"/>
    <n v="482"/>
    <d v="2015-03-07T00:00:00"/>
  </r>
  <r>
    <n v="977"/>
    <n v="61180"/>
    <n v="486"/>
    <n v="7.9437724746649237E-3"/>
    <x v="0"/>
    <n v="1"/>
    <n v="70"/>
    <n v="403"/>
    <n v="24"/>
    <n v="29"/>
    <n v="6"/>
    <n v="24"/>
    <n v="218"/>
    <n v="2"/>
    <n v="5"/>
    <n v="5"/>
    <n v="6"/>
    <n v="3"/>
    <n v="0"/>
    <n v="0"/>
    <n v="1"/>
    <n v="0"/>
    <n v="0"/>
    <n v="0"/>
    <x v="1"/>
    <x v="29"/>
    <s v="51-66"/>
    <n v="2226"/>
    <n v="0"/>
    <n v="1"/>
    <n v="0"/>
    <n v="0"/>
    <n v="0"/>
    <n v="0"/>
    <n v="1"/>
    <n v="0"/>
    <n v="0"/>
    <n v="268"/>
    <d v="2016-09-10T00:00:00"/>
  </r>
  <r>
    <n v="634"/>
    <n v="70337"/>
    <n v="485"/>
    <n v="6.8953751226239392E-3"/>
    <x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x v="1"/>
    <x v="19"/>
    <s v="36-50"/>
    <n v="2337"/>
    <n v="0"/>
    <n v="0"/>
    <n v="1"/>
    <n v="0"/>
    <n v="0"/>
    <n v="0"/>
    <n v="1"/>
    <n v="0"/>
    <n v="0"/>
    <n v="394"/>
    <d v="2016-05-22T00:00:00"/>
  </r>
  <r>
    <n v="1108"/>
    <n v="48070"/>
    <n v="485"/>
    <n v="1.0089452881214895E-2"/>
    <x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x v="1"/>
    <x v="51"/>
    <s v="66+"/>
    <n v="2691"/>
    <n v="0"/>
    <n v="0"/>
    <n v="0"/>
    <n v="1"/>
    <n v="0"/>
    <n v="0"/>
    <n v="1"/>
    <n v="0"/>
    <n v="0"/>
    <n v="466"/>
    <d v="2015-06-03T00:00:00"/>
  </r>
  <r>
    <n v="501"/>
    <n v="57954"/>
    <n v="484"/>
    <n v="8.3514511509127937E-3"/>
    <x v="1"/>
    <n v="1"/>
    <n v="52"/>
    <n v="456"/>
    <n v="4"/>
    <n v="24"/>
    <n v="0"/>
    <n v="0"/>
    <n v="9"/>
    <n v="7"/>
    <n v="8"/>
    <n v="2"/>
    <n v="6"/>
    <n v="7"/>
    <n v="0"/>
    <n v="0"/>
    <n v="0"/>
    <n v="1"/>
    <n v="0"/>
    <n v="0"/>
    <x v="1"/>
    <x v="13"/>
    <s v="36-50"/>
    <n v="2170"/>
    <n v="0"/>
    <n v="0"/>
    <n v="0"/>
    <n v="1"/>
    <n v="0"/>
    <n v="0"/>
    <n v="0"/>
    <n v="1"/>
    <n v="0"/>
    <n v="475"/>
    <d v="2016-11-05T00:00:00"/>
  </r>
  <r>
    <n v="1696"/>
    <n v="54006"/>
    <n v="484"/>
    <n v="8.9619671888308706E-3"/>
    <x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x v="1"/>
    <x v="23"/>
    <s v="24-35"/>
    <n v="2808"/>
    <n v="0"/>
    <n v="0"/>
    <n v="0"/>
    <n v="1"/>
    <n v="0"/>
    <n v="0"/>
    <n v="1"/>
    <n v="0"/>
    <n v="0"/>
    <n v="387"/>
    <d v="2015-02-06T00:00:00"/>
  </r>
  <r>
    <n v="1454"/>
    <n v="60482"/>
    <n v="483"/>
    <n v="7.9858470288680927E-3"/>
    <x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x v="1"/>
    <x v="7"/>
    <s v="36-50"/>
    <n v="2681"/>
    <n v="0"/>
    <n v="0"/>
    <n v="1"/>
    <n v="0"/>
    <n v="0"/>
    <n v="0"/>
    <n v="0"/>
    <n v="1"/>
    <n v="0"/>
    <n v="459"/>
    <d v="2015-06-13T00:00:00"/>
  </r>
  <r>
    <n v="103"/>
    <n v="43974"/>
    <n v="479"/>
    <n v="1.0892800291081093E-2"/>
    <x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x v="1"/>
    <x v="41"/>
    <s v="36-50"/>
    <n v="2723"/>
    <n v="0"/>
    <n v="1"/>
    <n v="0"/>
    <n v="0"/>
    <n v="0"/>
    <n v="0"/>
    <n v="0"/>
    <n v="0"/>
    <n v="1"/>
    <n v="407"/>
    <d v="2015-05-02T00:00:00"/>
  </r>
  <r>
    <n v="54"/>
    <n v="55954"/>
    <n v="475"/>
    <n v="8.489116059620402E-3"/>
    <x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x v="1"/>
    <x v="14"/>
    <s v="51-66"/>
    <n v="2277"/>
    <n v="0"/>
    <n v="1"/>
    <n v="0"/>
    <n v="0"/>
    <n v="0"/>
    <n v="0"/>
    <n v="0"/>
    <n v="0"/>
    <n v="1"/>
    <n v="432"/>
    <d v="2016-07-21T00:00:00"/>
  </r>
  <r>
    <n v="499"/>
    <n v="47682"/>
    <n v="460"/>
    <n v="9.6472463403380736E-3"/>
    <x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x v="1"/>
    <x v="16"/>
    <s v="36-50"/>
    <n v="2658"/>
    <n v="0"/>
    <n v="0"/>
    <n v="0"/>
    <n v="0"/>
    <n v="1"/>
    <n v="1"/>
    <n v="0"/>
    <n v="0"/>
    <n v="0"/>
    <n v="399"/>
    <d v="2015-07-06T00:00:00"/>
  </r>
  <r>
    <n v="916"/>
    <n v="59052"/>
    <n v="460"/>
    <n v="7.7897446318498948E-3"/>
    <x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x v="1"/>
    <x v="29"/>
    <s v="51-66"/>
    <n v="2383"/>
    <n v="1"/>
    <n v="0"/>
    <n v="0"/>
    <n v="0"/>
    <n v="0"/>
    <n v="1"/>
    <n v="0"/>
    <n v="0"/>
    <n v="0"/>
    <n v="429"/>
    <d v="2016-04-06T00:00:00"/>
  </r>
  <r>
    <n v="1350"/>
    <n v="32727"/>
    <n v="459"/>
    <n v="1.4025116875973966E-2"/>
    <x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x v="1"/>
    <x v="47"/>
    <s v="51-66"/>
    <n v="2829"/>
    <n v="0"/>
    <n v="0"/>
    <n v="0"/>
    <n v="1"/>
    <n v="0"/>
    <n v="0"/>
    <n v="0"/>
    <n v="0"/>
    <n v="1"/>
    <n v="389"/>
    <d v="2015-01-16T00:00:00"/>
  </r>
  <r>
    <n v="106"/>
    <n v="36550"/>
    <n v="457"/>
    <n v="1.2503419972640218E-2"/>
    <x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x v="1"/>
    <x v="37"/>
    <s v="36-50"/>
    <n v="2654"/>
    <n v="0"/>
    <n v="1"/>
    <n v="0"/>
    <n v="0"/>
    <n v="0"/>
    <n v="1"/>
    <n v="0"/>
    <n v="0"/>
    <n v="0"/>
    <n v="337"/>
    <d v="2015-07-10T00:00:00"/>
  </r>
  <r>
    <n v="610"/>
    <n v="66886"/>
    <n v="453"/>
    <n v="6.7727177585742903E-3"/>
    <x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x v="1"/>
    <x v="27"/>
    <s v="51-66"/>
    <n v="2445"/>
    <n v="0"/>
    <n v="0"/>
    <n v="0"/>
    <n v="1"/>
    <n v="0"/>
    <n v="0"/>
    <n v="1"/>
    <n v="0"/>
    <n v="0"/>
    <n v="307"/>
    <d v="2016-02-04T00:00:00"/>
  </r>
  <r>
    <n v="1819"/>
    <n v="56559"/>
    <n v="453"/>
    <n v="8.0093353842889733E-3"/>
    <x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x v="1"/>
    <x v="16"/>
    <s v="36-50"/>
    <n v="2710"/>
    <n v="0"/>
    <n v="0"/>
    <n v="0"/>
    <n v="1"/>
    <n v="0"/>
    <n v="0"/>
    <n v="0"/>
    <n v="0"/>
    <n v="1"/>
    <n v="422"/>
    <d v="2015-05-15T00:00:00"/>
  </r>
  <r>
    <n v="1382"/>
    <n v="36130"/>
    <n v="451"/>
    <n v="1.2482701356213674E-2"/>
    <x v="0"/>
    <n v="1"/>
    <n v="46"/>
    <n v="157"/>
    <n v="43"/>
    <n v="127"/>
    <n v="68"/>
    <n v="56"/>
    <n v="37"/>
    <n v="6"/>
    <n v="3"/>
    <n v="8"/>
    <n v="4"/>
    <n v="4"/>
    <n v="0"/>
    <n v="0"/>
    <n v="1"/>
    <n v="0"/>
    <n v="0"/>
    <n v="0"/>
    <x v="0"/>
    <x v="44"/>
    <s v="66+"/>
    <n v="2671"/>
    <n v="0"/>
    <n v="0"/>
    <n v="1"/>
    <n v="0"/>
    <n v="0"/>
    <n v="0"/>
    <n v="1"/>
    <n v="0"/>
    <n v="0"/>
    <n v="414"/>
    <d v="2015-06-23T00:00:00"/>
  </r>
  <r>
    <n v="1779"/>
    <n v="61798"/>
    <n v="450"/>
    <n v="7.2817890546619628E-3"/>
    <x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x v="1"/>
    <x v="42"/>
    <s v="51-66"/>
    <n v="2377"/>
    <n v="0"/>
    <n v="0"/>
    <n v="1"/>
    <n v="0"/>
    <n v="0"/>
    <n v="0"/>
    <n v="0"/>
    <n v="0"/>
    <n v="1"/>
    <n v="437"/>
    <d v="2016-04-12T00:00:00"/>
  </r>
  <r>
    <n v="2007"/>
    <n v="58025"/>
    <n v="448"/>
    <n v="7.7208099956915122E-3"/>
    <x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x v="1"/>
    <x v="19"/>
    <s v="36-50"/>
    <n v="2374"/>
    <n v="0"/>
    <n v="1"/>
    <n v="0"/>
    <n v="0"/>
    <n v="0"/>
    <n v="0"/>
    <n v="1"/>
    <n v="0"/>
    <n v="0"/>
    <n v="426"/>
    <d v="2016-04-15T00:00:00"/>
  </r>
  <r>
    <n v="138"/>
    <n v="65747"/>
    <n v="447"/>
    <n v="6.7987892983710279E-3"/>
    <x v="0"/>
    <n v="1"/>
    <n v="96"/>
    <n v="346"/>
    <n v="17"/>
    <n v="48"/>
    <n v="23"/>
    <n v="13"/>
    <n v="13"/>
    <n v="4"/>
    <n v="8"/>
    <n v="1"/>
    <n v="6"/>
    <n v="6"/>
    <n v="0"/>
    <n v="0"/>
    <n v="0"/>
    <n v="1"/>
    <n v="0"/>
    <n v="0"/>
    <x v="1"/>
    <x v="3"/>
    <s v="51-66"/>
    <n v="2273"/>
    <n v="0"/>
    <n v="1"/>
    <n v="0"/>
    <n v="0"/>
    <n v="0"/>
    <n v="0"/>
    <n v="1"/>
    <n v="0"/>
    <n v="0"/>
    <n v="434"/>
    <d v="2016-07-25T00:00:00"/>
  </r>
  <r>
    <n v="1387"/>
    <n v="54998"/>
    <n v="447"/>
    <n v="8.1275682752100075E-3"/>
    <x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x v="0"/>
    <x v="5"/>
    <s v="51-66"/>
    <n v="2635"/>
    <n v="0"/>
    <n v="0"/>
    <n v="1"/>
    <n v="0"/>
    <n v="0"/>
    <n v="0"/>
    <n v="0"/>
    <n v="0"/>
    <n v="1"/>
    <n v="439"/>
    <d v="2015-07-29T00:00:00"/>
  </r>
  <r>
    <n v="137"/>
    <n v="59354"/>
    <n v="446"/>
    <n v="7.5142366142130273E-3"/>
    <x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x v="1"/>
    <x v="10"/>
    <s v="66+"/>
    <n v="2225"/>
    <n v="0"/>
    <n v="1"/>
    <n v="0"/>
    <n v="0"/>
    <n v="0"/>
    <n v="0"/>
    <n v="0"/>
    <n v="1"/>
    <n v="0"/>
    <n v="433"/>
    <d v="2016-09-11T00:00:00"/>
  </r>
  <r>
    <n v="1685"/>
    <n v="57705"/>
    <n v="446"/>
    <n v="7.7289662940819683E-3"/>
    <x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x v="1"/>
    <x v="22"/>
    <s v="51-66"/>
    <n v="2328"/>
    <n v="0"/>
    <n v="1"/>
    <n v="0"/>
    <n v="0"/>
    <n v="0"/>
    <n v="0"/>
    <n v="0"/>
    <n v="0"/>
    <n v="1"/>
    <n v="406"/>
    <d v="2016-05-31T00:00:00"/>
  </r>
  <r>
    <n v="409"/>
    <n v="51529"/>
    <n v="445"/>
    <n v="8.6359137573017129E-3"/>
    <x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x v="1"/>
    <x v="4"/>
    <s v="66+"/>
    <n v="2454"/>
    <n v="0"/>
    <n v="0"/>
    <n v="0"/>
    <n v="0"/>
    <n v="1"/>
    <n v="0"/>
    <n v="0"/>
    <n v="1"/>
    <n v="0"/>
    <n v="423"/>
    <d v="2016-01-26T00:00:00"/>
  </r>
  <r>
    <n v="703"/>
    <n v="51518"/>
    <n v="445"/>
    <n v="8.6377576769284519E-3"/>
    <x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x v="1"/>
    <x v="27"/>
    <s v="51-66"/>
    <n v="2428"/>
    <n v="0"/>
    <n v="0"/>
    <n v="0"/>
    <n v="1"/>
    <n v="0"/>
    <n v="0"/>
    <n v="0"/>
    <n v="0"/>
    <n v="1"/>
    <n v="441"/>
    <d v="2016-02-21T00:00:00"/>
  </r>
  <r>
    <n v="1105"/>
    <n v="54386"/>
    <n v="445"/>
    <n v="8.1822527856433638E-3"/>
    <x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x v="1"/>
    <x v="43"/>
    <s v="36-50"/>
    <n v="2567"/>
    <n v="0"/>
    <n v="1"/>
    <n v="0"/>
    <n v="0"/>
    <n v="0"/>
    <n v="0"/>
    <n v="1"/>
    <n v="0"/>
    <n v="0"/>
    <n v="420"/>
    <d v="2015-10-05T00:00:00"/>
  </r>
  <r>
    <n v="1317"/>
    <n v="57537"/>
    <n v="445"/>
    <n v="7.7341536750265049E-3"/>
    <x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x v="1"/>
    <x v="19"/>
    <s v="36-50"/>
    <n v="2543"/>
    <n v="0"/>
    <n v="0"/>
    <n v="1"/>
    <n v="0"/>
    <n v="0"/>
    <n v="0"/>
    <n v="1"/>
    <n v="0"/>
    <n v="0"/>
    <n v="345"/>
    <d v="2015-10-29T00:00:00"/>
  </r>
  <r>
    <n v="1523"/>
    <n v="50729"/>
    <n v="444"/>
    <n v="8.7523901515898211E-3"/>
    <x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x v="1"/>
    <x v="27"/>
    <s v="51-66"/>
    <n v="2582"/>
    <n v="0"/>
    <n v="0"/>
    <n v="1"/>
    <n v="0"/>
    <n v="0"/>
    <n v="0"/>
    <n v="0"/>
    <n v="0"/>
    <n v="1"/>
    <n v="392"/>
    <d v="2015-09-20T00:00:00"/>
  </r>
  <r>
    <n v="555"/>
    <n v="53863"/>
    <n v="443"/>
    <n v="8.2245697417522232E-3"/>
    <x v="0"/>
    <n v="1"/>
    <n v="4"/>
    <n v="399"/>
    <n v="4"/>
    <n v="30"/>
    <n v="6"/>
    <n v="4"/>
    <n v="30"/>
    <n v="3"/>
    <n v="7"/>
    <n v="1"/>
    <n v="7"/>
    <n v="7"/>
    <n v="0"/>
    <n v="0"/>
    <n v="0"/>
    <n v="1"/>
    <n v="0"/>
    <n v="0"/>
    <x v="1"/>
    <x v="38"/>
    <s v="51-66"/>
    <n v="2202"/>
    <n v="0"/>
    <n v="0"/>
    <n v="0"/>
    <n v="1"/>
    <n v="0"/>
    <n v="0"/>
    <n v="1"/>
    <n v="0"/>
    <n v="0"/>
    <n v="413"/>
    <d v="2016-10-04T00:00:00"/>
  </r>
  <r>
    <n v="1393"/>
    <n v="84460"/>
    <n v="442"/>
    <n v="5.233246507222354E-3"/>
    <x v="0"/>
    <n v="0"/>
    <n v="80"/>
    <n v="152"/>
    <n v="27"/>
    <n v="103"/>
    <n v="106"/>
    <n v="54"/>
    <n v="81"/>
    <n v="0"/>
    <n v="9"/>
    <n v="9"/>
    <n v="4"/>
    <n v="5"/>
    <n v="1"/>
    <n v="1"/>
    <n v="0"/>
    <n v="1"/>
    <n v="1"/>
    <n v="0"/>
    <x v="0"/>
    <x v="27"/>
    <s v="51-66"/>
    <n v="2700"/>
    <n v="0"/>
    <n v="0"/>
    <n v="0"/>
    <n v="1"/>
    <n v="0"/>
    <n v="0"/>
    <n v="0"/>
    <n v="0"/>
    <n v="1"/>
    <n v="361"/>
    <d v="2015-05-25T00:00:00"/>
  </r>
  <r>
    <n v="1391"/>
    <n v="55521"/>
    <n v="442"/>
    <n v="7.9609517119648421E-3"/>
    <x v="1"/>
    <n v="2"/>
    <n v="11"/>
    <n v="416"/>
    <n v="0"/>
    <n v="26"/>
    <n v="0"/>
    <n v="0"/>
    <n v="4"/>
    <n v="9"/>
    <n v="6"/>
    <n v="3"/>
    <n v="6"/>
    <n v="7"/>
    <n v="0"/>
    <n v="0"/>
    <n v="0"/>
    <n v="1"/>
    <n v="0"/>
    <n v="0"/>
    <x v="0"/>
    <x v="38"/>
    <s v="51-66"/>
    <n v="2409"/>
    <n v="0"/>
    <n v="0"/>
    <n v="1"/>
    <n v="0"/>
    <n v="0"/>
    <n v="0"/>
    <n v="0"/>
    <n v="0"/>
    <n v="1"/>
    <n v="438"/>
    <d v="2016-03-11T00:00:00"/>
  </r>
  <r>
    <n v="1988"/>
    <n v="55593"/>
    <n v="440"/>
    <n v="7.9146655154425909E-3"/>
    <x v="0"/>
    <n v="1"/>
    <n v="63"/>
    <n v="293"/>
    <n v="8"/>
    <n v="124"/>
    <n v="11"/>
    <n v="4"/>
    <n v="106"/>
    <n v="2"/>
    <n v="6"/>
    <n v="6"/>
    <n v="3"/>
    <n v="6"/>
    <n v="0"/>
    <n v="0"/>
    <n v="1"/>
    <n v="0"/>
    <n v="0"/>
    <n v="0"/>
    <x v="1"/>
    <x v="30"/>
    <s v="36-50"/>
    <n v="2471"/>
    <n v="0"/>
    <n v="0"/>
    <n v="0"/>
    <n v="1"/>
    <n v="0"/>
    <n v="0"/>
    <n v="1"/>
    <n v="0"/>
    <n v="0"/>
    <n v="334"/>
    <d v="2016-01-09T00:00:00"/>
  </r>
  <r>
    <n v="448"/>
    <n v="62010"/>
    <n v="438"/>
    <n v="7.0633768746976291E-3"/>
    <x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x v="1"/>
    <x v="9"/>
    <s v="36-50"/>
    <n v="2773"/>
    <n v="0"/>
    <n v="1"/>
    <n v="0"/>
    <n v="0"/>
    <n v="0"/>
    <n v="0"/>
    <n v="0"/>
    <n v="0"/>
    <n v="1"/>
    <n v="346"/>
    <d v="2015-03-13T00:00:00"/>
  </r>
  <r>
    <n v="1202"/>
    <n v="39767"/>
    <n v="438"/>
    <n v="1.1014157467246712E-2"/>
    <x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x v="1"/>
    <x v="15"/>
    <s v="66+"/>
    <n v="2502"/>
    <n v="0"/>
    <n v="0"/>
    <n v="0"/>
    <n v="1"/>
    <n v="0"/>
    <n v="0"/>
    <n v="0"/>
    <n v="1"/>
    <n v="0"/>
    <n v="391"/>
    <d v="2015-12-09T00:00:00"/>
  </r>
  <r>
    <n v="1720"/>
    <n v="52413"/>
    <n v="438"/>
    <n v="8.3567053975158838E-3"/>
    <x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x v="1"/>
    <x v="39"/>
    <s v="36-50"/>
    <n v="2762"/>
    <n v="0"/>
    <n v="0"/>
    <n v="1"/>
    <n v="0"/>
    <n v="0"/>
    <n v="0"/>
    <n v="1"/>
    <n v="0"/>
    <n v="0"/>
    <n v="426"/>
    <d v="2015-03-24T00:00:00"/>
  </r>
  <r>
    <n v="684"/>
    <n v="53593"/>
    <n v="437"/>
    <n v="8.1540499692123979E-3"/>
    <x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x v="1"/>
    <x v="10"/>
    <s v="66+"/>
    <n v="2850"/>
    <n v="0"/>
    <n v="0"/>
    <n v="0"/>
    <n v="1"/>
    <n v="0"/>
    <n v="0"/>
    <n v="0"/>
    <n v="0"/>
    <n v="1"/>
    <n v="394"/>
    <d v="2014-12-26T00:00:00"/>
  </r>
  <r>
    <n v="756"/>
    <n v="49681"/>
    <n v="437"/>
    <n v="8.7961192407560226E-3"/>
    <x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  <x v="7"/>
    <s v="36-50"/>
    <n v="2396"/>
    <n v="0"/>
    <n v="1"/>
    <n v="0"/>
    <n v="0"/>
    <n v="0"/>
    <n v="0"/>
    <n v="0"/>
    <n v="1"/>
    <n v="0"/>
    <n v="416"/>
    <d v="2016-03-24T00:00:00"/>
  </r>
  <r>
    <n v="1310"/>
    <n v="57045"/>
    <n v="437"/>
    <n v="7.6606188097116312E-3"/>
    <x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x v="1"/>
    <x v="51"/>
    <s v="66+"/>
    <n v="2818"/>
    <n v="0"/>
    <n v="1"/>
    <n v="0"/>
    <n v="0"/>
    <n v="0"/>
    <n v="0"/>
    <n v="1"/>
    <n v="0"/>
    <n v="0"/>
    <n v="420"/>
    <d v="2015-01-27T00:00:00"/>
  </r>
  <r>
    <n v="1377"/>
    <n v="64014"/>
    <n v="436"/>
    <n v="6.8110100915424751E-3"/>
    <x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x v="1"/>
    <x v="8"/>
    <s v="66+"/>
    <n v="2178"/>
    <n v="0"/>
    <n v="0"/>
    <n v="0"/>
    <n v="1"/>
    <n v="0"/>
    <n v="0"/>
    <n v="0"/>
    <n v="0"/>
    <n v="1"/>
    <n v="428"/>
    <d v="2016-10-28T00:00:00"/>
  </r>
  <r>
    <n v="1491"/>
    <n v="50664"/>
    <n v="435"/>
    <n v="8.5859782093794402E-3"/>
    <x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x v="1"/>
    <x v="29"/>
    <s v="51-66"/>
    <n v="2688"/>
    <n v="0"/>
    <n v="0"/>
    <n v="1"/>
    <n v="0"/>
    <n v="0"/>
    <n v="0"/>
    <n v="1"/>
    <n v="0"/>
    <n v="0"/>
    <n v="309"/>
    <d v="2015-06-06T00:00:00"/>
  </r>
  <r>
    <n v="1401"/>
    <n v="51569"/>
    <n v="433"/>
    <n v="8.3965172875176946E-3"/>
    <x v="0"/>
    <n v="1"/>
    <n v="39"/>
    <n v="380"/>
    <n v="0"/>
    <n v="47"/>
    <n v="6"/>
    <n v="0"/>
    <n v="34"/>
    <n v="4"/>
    <n v="7"/>
    <n v="1"/>
    <n v="7"/>
    <n v="8"/>
    <n v="0"/>
    <n v="0"/>
    <n v="0"/>
    <n v="1"/>
    <n v="0"/>
    <n v="0"/>
    <x v="0"/>
    <x v="4"/>
    <s v="66+"/>
    <n v="2661"/>
    <n v="0"/>
    <n v="0"/>
    <n v="0"/>
    <n v="0"/>
    <n v="1"/>
    <n v="0"/>
    <n v="0"/>
    <n v="0"/>
    <n v="1"/>
    <n v="399"/>
    <d v="2015-07-03T00:00:00"/>
  </r>
  <r>
    <n v="1632"/>
    <n v="49094"/>
    <n v="433"/>
    <n v="8.8198150486821208E-3"/>
    <x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x v="1"/>
    <x v="30"/>
    <s v="36-50"/>
    <n v="2805"/>
    <n v="0"/>
    <n v="1"/>
    <n v="0"/>
    <n v="0"/>
    <n v="0"/>
    <n v="0"/>
    <n v="1"/>
    <n v="0"/>
    <n v="0"/>
    <n v="364"/>
    <d v="2015-02-09T00:00:00"/>
  </r>
  <r>
    <n v="1625"/>
    <n v="65370"/>
    <n v="432"/>
    <n v="6.6085360256998623E-3"/>
    <x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x v="1"/>
    <x v="39"/>
    <s v="36-50"/>
    <n v="2491"/>
    <n v="0"/>
    <n v="1"/>
    <n v="0"/>
    <n v="0"/>
    <n v="0"/>
    <n v="1"/>
    <n v="0"/>
    <n v="0"/>
    <n v="0"/>
    <n v="403"/>
    <d v="2015-12-20T00:00:00"/>
  </r>
  <r>
    <n v="1870"/>
    <n v="55801"/>
    <n v="432"/>
    <n v="7.7417967419938713E-3"/>
    <x v="1"/>
    <n v="1"/>
    <n v="35"/>
    <n v="367"/>
    <n v="4"/>
    <n v="51"/>
    <n v="6"/>
    <n v="4"/>
    <n v="95"/>
    <n v="6"/>
    <n v="7"/>
    <n v="2"/>
    <n v="6"/>
    <n v="7"/>
    <n v="1"/>
    <n v="0"/>
    <n v="0"/>
    <n v="0"/>
    <n v="0"/>
    <n v="0"/>
    <x v="1"/>
    <x v="16"/>
    <s v="36-50"/>
    <n v="2439"/>
    <n v="0"/>
    <n v="0"/>
    <n v="1"/>
    <n v="0"/>
    <n v="0"/>
    <n v="0"/>
    <n v="1"/>
    <n v="0"/>
    <n v="0"/>
    <n v="337"/>
    <d v="2016-02-10T00:00:00"/>
  </r>
  <r>
    <n v="338"/>
    <n v="51479"/>
    <n v="429"/>
    <n v="8.3334952116396969E-3"/>
    <x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x v="1"/>
    <x v="26"/>
    <s v="51-66"/>
    <n v="2707"/>
    <n v="0"/>
    <n v="1"/>
    <n v="0"/>
    <n v="0"/>
    <n v="0"/>
    <n v="0"/>
    <n v="1"/>
    <n v="0"/>
    <n v="0"/>
    <n v="364"/>
    <d v="2015-05-18T00:00:00"/>
  </r>
  <r>
    <n v="1405"/>
    <n v="46374"/>
    <n v="429"/>
    <n v="9.250873334195886E-3"/>
    <x v="0"/>
    <n v="1"/>
    <n v="1"/>
    <n v="408"/>
    <n v="0"/>
    <n v="21"/>
    <n v="0"/>
    <n v="0"/>
    <n v="17"/>
    <n v="3"/>
    <n v="7"/>
    <n v="1"/>
    <n v="7"/>
    <n v="8"/>
    <n v="1"/>
    <n v="0"/>
    <n v="0"/>
    <n v="1"/>
    <n v="0"/>
    <n v="0"/>
    <x v="0"/>
    <x v="35"/>
    <s v="36-50"/>
    <n v="2263"/>
    <n v="0"/>
    <n v="1"/>
    <n v="0"/>
    <n v="0"/>
    <n v="0"/>
    <n v="0"/>
    <n v="0"/>
    <n v="0"/>
    <n v="1"/>
    <n v="412"/>
    <d v="2016-08-04T00:00:00"/>
  </r>
  <r>
    <n v="639"/>
    <n v="41039"/>
    <n v="422"/>
    <n v="1.0282901630156681E-2"/>
    <x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x v="1"/>
    <x v="31"/>
    <s v="36-50"/>
    <n v="2498"/>
    <n v="0"/>
    <n v="0"/>
    <n v="0"/>
    <n v="1"/>
    <n v="0"/>
    <n v="1"/>
    <n v="0"/>
    <n v="0"/>
    <n v="0"/>
    <n v="377"/>
    <d v="2015-12-13T00:00:00"/>
  </r>
  <r>
    <n v="424"/>
    <n v="70829"/>
    <n v="408"/>
    <n v="5.7603523980290557E-3"/>
    <x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x v="1"/>
    <x v="41"/>
    <s v="36-50"/>
    <n v="2369"/>
    <n v="0"/>
    <n v="1"/>
    <n v="0"/>
    <n v="0"/>
    <n v="0"/>
    <n v="1"/>
    <n v="0"/>
    <n v="0"/>
    <n v="0"/>
    <n v="385"/>
    <d v="2016-04-20T00:00:00"/>
  </r>
  <r>
    <n v="5"/>
    <n v="58293"/>
    <n v="407"/>
    <n v="6.9819703909560328E-3"/>
    <x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x v="1"/>
    <x v="43"/>
    <s v="36-50"/>
    <n v="2320"/>
    <n v="0"/>
    <n v="1"/>
    <n v="0"/>
    <n v="0"/>
    <n v="0"/>
    <n v="0"/>
    <n v="0"/>
    <n v="0"/>
    <n v="1"/>
    <n v="392"/>
    <d v="2016-06-08T00:00:00"/>
  </r>
  <r>
    <n v="496"/>
    <n v="50353"/>
    <n v="407"/>
    <n v="8.0829344825531745E-3"/>
    <x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x v="1"/>
    <x v="13"/>
    <s v="36-50"/>
    <n v="2180"/>
    <n v="0"/>
    <n v="1"/>
    <n v="0"/>
    <n v="0"/>
    <n v="0"/>
    <n v="0"/>
    <n v="0"/>
    <n v="1"/>
    <n v="0"/>
    <n v="372"/>
    <d v="2016-10-26T00:00:00"/>
  </r>
  <r>
    <n v="118"/>
    <n v="62998"/>
    <n v="405"/>
    <n v="6.428775516683069E-3"/>
    <x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x v="1"/>
    <x v="50"/>
    <s v="66+"/>
    <n v="2431"/>
    <n v="0"/>
    <n v="1"/>
    <n v="0"/>
    <n v="0"/>
    <n v="0"/>
    <n v="0"/>
    <n v="1"/>
    <n v="0"/>
    <n v="0"/>
    <n v="347"/>
    <d v="2016-02-18T00:00:00"/>
  </r>
  <r>
    <n v="1613"/>
    <n v="59481"/>
    <n v="403"/>
    <n v="6.775272776180629E-3"/>
    <x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x v="1"/>
    <x v="16"/>
    <s v="36-50"/>
    <n v="2408"/>
    <n v="0"/>
    <n v="0"/>
    <n v="0"/>
    <n v="1"/>
    <n v="0"/>
    <n v="0"/>
    <n v="1"/>
    <n v="0"/>
    <n v="0"/>
    <n v="345"/>
    <d v="2016-03-12T00:00:00"/>
  </r>
  <r>
    <n v="88"/>
    <n v="50150"/>
    <n v="399"/>
    <n v="7.9561316051844459E-3"/>
    <x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  <x v="20"/>
    <s v="36-50"/>
    <n v="2533"/>
    <n v="0"/>
    <n v="1"/>
    <n v="0"/>
    <n v="0"/>
    <n v="0"/>
    <n v="0"/>
    <n v="0"/>
    <n v="0"/>
    <n v="1"/>
    <n v="388"/>
    <d v="2015-11-08T00:00:00"/>
  </r>
  <r>
    <n v="844"/>
    <n v="37087"/>
    <n v="398"/>
    <n v="1.0731523175236606E-2"/>
    <x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x v="1"/>
    <x v="35"/>
    <s v="36-50"/>
    <n v="2481"/>
    <n v="0"/>
    <n v="1"/>
    <n v="0"/>
    <n v="0"/>
    <n v="0"/>
    <n v="0"/>
    <n v="0"/>
    <n v="0"/>
    <n v="1"/>
    <n v="395"/>
    <d v="2015-12-30T00:00:00"/>
  </r>
  <r>
    <n v="1029"/>
    <n v="61825"/>
    <n v="397"/>
    <n v="6.4213505863323899E-3"/>
    <x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  <x v="19"/>
    <s v="36-50"/>
    <n v="2485"/>
    <n v="0"/>
    <n v="0"/>
    <n v="1"/>
    <n v="0"/>
    <n v="0"/>
    <n v="0"/>
    <n v="1"/>
    <n v="0"/>
    <n v="0"/>
    <n v="370"/>
    <d v="2015-12-26T00:00:00"/>
  </r>
  <r>
    <n v="1275"/>
    <n v="53034"/>
    <n v="397"/>
    <n v="7.4857638496059128E-3"/>
    <x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x v="1"/>
    <x v="35"/>
    <s v="36-50"/>
    <n v="2554"/>
    <n v="1"/>
    <n v="0"/>
    <n v="0"/>
    <n v="0"/>
    <n v="0"/>
    <n v="0"/>
    <n v="1"/>
    <n v="0"/>
    <n v="0"/>
    <n v="347"/>
    <d v="2015-10-18T00:00:00"/>
  </r>
  <r>
    <n v="261"/>
    <n v="65640"/>
    <n v="395"/>
    <n v="6.0176721511273614E-3"/>
    <x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x v="1"/>
    <x v="35"/>
    <s v="36-50"/>
    <n v="2279"/>
    <n v="0"/>
    <n v="0"/>
    <n v="0"/>
    <n v="1"/>
    <n v="0"/>
    <n v="0"/>
    <n v="0"/>
    <n v="0"/>
    <n v="1"/>
    <n v="329"/>
    <d v="2016-07-19T00:00:00"/>
  </r>
  <r>
    <n v="953"/>
    <n v="59412"/>
    <n v="395"/>
    <n v="6.6484885208375416E-3"/>
    <x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x v="1"/>
    <x v="15"/>
    <s v="66+"/>
    <n v="2230"/>
    <n v="0"/>
    <n v="1"/>
    <n v="0"/>
    <n v="0"/>
    <n v="0"/>
    <n v="0"/>
    <n v="0"/>
    <n v="1"/>
    <n v="0"/>
    <n v="384"/>
    <d v="2016-09-06T00:00:00"/>
  </r>
  <r>
    <n v="1413"/>
    <n v="62972"/>
    <n v="395"/>
    <n v="6.2726291049990468E-3"/>
    <x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0"/>
    <x v="38"/>
    <s v="51-66"/>
    <n v="2854"/>
    <n v="0"/>
    <n v="1"/>
    <n v="0"/>
    <n v="0"/>
    <n v="0"/>
    <n v="1"/>
    <n v="0"/>
    <n v="0"/>
    <n v="0"/>
    <n v="203"/>
    <d v="2014-12-22T00:00:00"/>
  </r>
  <r>
    <n v="1406"/>
    <n v="55158"/>
    <n v="395"/>
    <n v="7.1612458754849702E-3"/>
    <x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x v="0"/>
    <x v="2"/>
    <s v="36-50"/>
    <n v="2858"/>
    <n v="0"/>
    <n v="1"/>
    <n v="0"/>
    <n v="0"/>
    <n v="0"/>
    <n v="0"/>
    <n v="0"/>
    <n v="0"/>
    <n v="1"/>
    <n v="372"/>
    <d v="2014-12-18T00:00:00"/>
  </r>
  <r>
    <n v="1675"/>
    <n v="62972"/>
    <n v="395"/>
    <n v="6.2726291049990468E-3"/>
    <x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1"/>
    <x v="38"/>
    <s v="51-66"/>
    <n v="2854"/>
    <n v="0"/>
    <n v="1"/>
    <n v="0"/>
    <n v="0"/>
    <n v="0"/>
    <n v="1"/>
    <n v="0"/>
    <n v="0"/>
    <n v="0"/>
    <n v="203"/>
    <d v="2014-12-22T00:00:00"/>
  </r>
  <r>
    <n v="1957"/>
    <n v="47320"/>
    <n v="395"/>
    <n v="8.347421808960271E-3"/>
    <x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x v="1"/>
    <x v="12"/>
    <s v="51-66"/>
    <n v="2491"/>
    <n v="0"/>
    <n v="0"/>
    <n v="0"/>
    <n v="1"/>
    <n v="0"/>
    <n v="0"/>
    <n v="1"/>
    <n v="0"/>
    <n v="0"/>
    <n v="376"/>
    <d v="2015-12-20T00:00:00"/>
  </r>
  <r>
    <n v="152"/>
    <n v="62551"/>
    <n v="394"/>
    <n v="6.2988601301338107E-3"/>
    <x v="0"/>
    <n v="0"/>
    <n v="27"/>
    <n v="125"/>
    <n v="16"/>
    <n v="98"/>
    <n v="134"/>
    <n v="21"/>
    <n v="27"/>
    <n v="1"/>
    <n v="6"/>
    <n v="7"/>
    <n v="4"/>
    <n v="3"/>
    <n v="0"/>
    <n v="0"/>
    <n v="1"/>
    <n v="0"/>
    <n v="0"/>
    <n v="0"/>
    <x v="1"/>
    <x v="10"/>
    <s v="66+"/>
    <n v="2382"/>
    <n v="1"/>
    <n v="0"/>
    <n v="0"/>
    <n v="0"/>
    <n v="0"/>
    <n v="0"/>
    <n v="1"/>
    <n v="0"/>
    <n v="0"/>
    <n v="367"/>
    <d v="2016-04-07T00:00:00"/>
  </r>
  <r>
    <n v="208"/>
    <n v="51369"/>
    <n v="394"/>
    <n v="7.6699955225914464E-3"/>
    <x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  <x v="7"/>
    <s v="36-50"/>
    <n v="2771"/>
    <n v="0"/>
    <n v="0"/>
    <n v="0"/>
    <n v="1"/>
    <n v="0"/>
    <n v="0"/>
    <n v="1"/>
    <n v="0"/>
    <n v="0"/>
    <n v="212"/>
    <d v="2015-03-15T00:00:00"/>
  </r>
  <r>
    <n v="1418"/>
    <n v="37070"/>
    <n v="394"/>
    <n v="1.0628540598867009E-2"/>
    <x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  <x v="22"/>
    <s v="51-66"/>
    <n v="2625"/>
    <n v="0"/>
    <n v="0"/>
    <n v="1"/>
    <n v="0"/>
    <n v="0"/>
    <n v="0"/>
    <n v="1"/>
    <n v="0"/>
    <n v="0"/>
    <n v="355"/>
    <d v="2015-08-08T00:00:00"/>
  </r>
  <r>
    <n v="1595"/>
    <n v="37292"/>
    <n v="394"/>
    <n v="1.0565268690335729E-2"/>
    <x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x v="1"/>
    <x v="20"/>
    <s v="36-50"/>
    <n v="2596"/>
    <n v="0"/>
    <n v="0"/>
    <n v="0"/>
    <n v="1"/>
    <n v="0"/>
    <n v="0"/>
    <n v="1"/>
    <n v="0"/>
    <n v="0"/>
    <n v="328"/>
    <d v="2015-09-06T00:00:00"/>
  </r>
  <r>
    <n v="1916"/>
    <n v="45736"/>
    <n v="394"/>
    <n v="8.6146580374322195E-3"/>
    <x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x v="1"/>
    <x v="44"/>
    <s v="66+"/>
    <n v="2499"/>
    <n v="0"/>
    <n v="1"/>
    <n v="0"/>
    <n v="0"/>
    <n v="0"/>
    <n v="0"/>
    <n v="0"/>
    <n v="1"/>
    <n v="0"/>
    <n v="351"/>
    <d v="2015-12-12T00:00:00"/>
  </r>
  <r>
    <n v="197"/>
    <n v="41443"/>
    <n v="393"/>
    <n v="9.4829042299061361E-3"/>
    <x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x v="1"/>
    <x v="13"/>
    <s v="36-50"/>
    <n v="2248"/>
    <n v="0"/>
    <n v="1"/>
    <n v="0"/>
    <n v="0"/>
    <n v="0"/>
    <n v="0"/>
    <n v="1"/>
    <n v="0"/>
    <n v="0"/>
    <n v="304"/>
    <d v="2016-08-19T00:00:00"/>
  </r>
  <r>
    <n v="420"/>
    <n v="55707"/>
    <n v="393"/>
    <n v="7.0547687005223757E-3"/>
    <x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x v="1"/>
    <x v="10"/>
    <s v="66+"/>
    <n v="2348"/>
    <n v="0"/>
    <n v="1"/>
    <n v="0"/>
    <n v="0"/>
    <n v="0"/>
    <n v="0"/>
    <n v="0"/>
    <n v="0"/>
    <n v="1"/>
    <n v="358"/>
    <d v="2016-05-11T00:00:00"/>
  </r>
  <r>
    <n v="720"/>
    <n v="62058"/>
    <n v="392"/>
    <n v="6.3166715008540399E-3"/>
    <x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x v="1"/>
    <x v="5"/>
    <s v="51-66"/>
    <n v="2558"/>
    <n v="0"/>
    <n v="1"/>
    <n v="0"/>
    <n v="0"/>
    <n v="0"/>
    <n v="0"/>
    <n v="0"/>
    <n v="1"/>
    <n v="0"/>
    <n v="334"/>
    <d v="2015-10-14T00:00:00"/>
  </r>
  <r>
    <n v="1078"/>
    <n v="57744"/>
    <n v="392"/>
    <n v="6.7885840953172622E-3"/>
    <x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x v="1"/>
    <x v="44"/>
    <s v="66+"/>
    <n v="2388"/>
    <n v="0"/>
    <n v="1"/>
    <n v="0"/>
    <n v="0"/>
    <n v="0"/>
    <n v="0"/>
    <n v="0"/>
    <n v="0"/>
    <n v="1"/>
    <n v="373"/>
    <d v="2016-04-01T00:00:00"/>
  </r>
  <r>
    <n v="1811"/>
    <n v="58116"/>
    <n v="392"/>
    <n v="6.7451304287975775E-3"/>
    <x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x v="1"/>
    <x v="5"/>
    <s v="51-66"/>
    <n v="2236"/>
    <n v="0"/>
    <n v="1"/>
    <n v="0"/>
    <n v="0"/>
    <n v="0"/>
    <n v="0"/>
    <n v="1"/>
    <n v="0"/>
    <n v="0"/>
    <n v="341"/>
    <d v="2016-08-31T00:00:00"/>
  </r>
  <r>
    <n v="1101"/>
    <n v="66726"/>
    <n v="391"/>
    <n v="5.8597847915355331E-3"/>
    <x v="1"/>
    <n v="1"/>
    <n v="61"/>
    <n v="349"/>
    <n v="7"/>
    <n v="35"/>
    <n v="0"/>
    <n v="0"/>
    <n v="47"/>
    <n v="3"/>
    <n v="8"/>
    <n v="2"/>
    <n v="4"/>
    <n v="7"/>
    <n v="0"/>
    <n v="0"/>
    <n v="0"/>
    <n v="1"/>
    <n v="0"/>
    <n v="0"/>
    <x v="1"/>
    <x v="12"/>
    <s v="51-66"/>
    <n v="2327"/>
    <n v="0"/>
    <n v="1"/>
    <n v="0"/>
    <n v="0"/>
    <n v="0"/>
    <n v="0"/>
    <n v="0"/>
    <n v="1"/>
    <n v="0"/>
    <n v="344"/>
    <d v="2016-06-01T00:00:00"/>
  </r>
  <r>
    <n v="1480"/>
    <n v="60432"/>
    <n v="390"/>
    <n v="6.4535345512311357E-3"/>
    <x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x v="1"/>
    <x v="30"/>
    <s v="36-50"/>
    <n v="2271"/>
    <n v="0"/>
    <n v="1"/>
    <n v="0"/>
    <n v="0"/>
    <n v="0"/>
    <n v="0"/>
    <n v="0"/>
    <n v="1"/>
    <n v="0"/>
    <n v="379"/>
    <d v="2016-07-27T00:00:00"/>
  </r>
  <r>
    <n v="1820"/>
    <n v="32644"/>
    <n v="390"/>
    <n v="1.1947065310623698E-2"/>
    <x v="1"/>
    <n v="0"/>
    <n v="38"/>
    <n v="239"/>
    <n v="3"/>
    <n v="141"/>
    <n v="0"/>
    <n v="7"/>
    <n v="23"/>
    <n v="4"/>
    <n v="7"/>
    <n v="1"/>
    <n v="6"/>
    <n v="8"/>
    <n v="0"/>
    <n v="0"/>
    <n v="1"/>
    <n v="0"/>
    <n v="0"/>
    <n v="0"/>
    <x v="1"/>
    <x v="30"/>
    <s v="36-50"/>
    <n v="2688"/>
    <n v="0"/>
    <n v="1"/>
    <n v="0"/>
    <n v="0"/>
    <n v="0"/>
    <n v="0"/>
    <n v="0"/>
    <n v="0"/>
    <n v="1"/>
    <n v="367"/>
    <d v="2015-06-06T00:00:00"/>
  </r>
  <r>
    <n v="584"/>
    <n v="54456"/>
    <n v="389"/>
    <n v="7.1433818128397242E-3"/>
    <x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x v="1"/>
    <x v="21"/>
    <s v="51-66"/>
    <n v="2512"/>
    <n v="0"/>
    <n v="1"/>
    <n v="0"/>
    <n v="0"/>
    <n v="0"/>
    <n v="0"/>
    <n v="0"/>
    <n v="0"/>
    <n v="1"/>
    <n v="374"/>
    <d v="2015-11-29T00:00:00"/>
  </r>
  <r>
    <n v="1036"/>
    <n v="38508"/>
    <n v="389"/>
    <n v="1.0101797029188741E-2"/>
    <x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x v="1"/>
    <x v="18"/>
    <s v="24-35"/>
    <n v="2490"/>
    <n v="0"/>
    <n v="1"/>
    <n v="0"/>
    <n v="0"/>
    <n v="0"/>
    <n v="0"/>
    <n v="1"/>
    <n v="0"/>
    <n v="0"/>
    <n v="335"/>
    <d v="2015-12-21T00:00:00"/>
  </r>
  <r>
    <n v="1279"/>
    <n v="47025"/>
    <n v="389"/>
    <n v="8.2721956406166929E-3"/>
    <x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x v="1"/>
    <x v="7"/>
    <s v="36-50"/>
    <n v="2393"/>
    <n v="0"/>
    <n v="0"/>
    <n v="1"/>
    <n v="0"/>
    <n v="0"/>
    <n v="0"/>
    <n v="1"/>
    <n v="0"/>
    <n v="0"/>
    <n v="363"/>
    <d v="2016-03-27T00:00:00"/>
  </r>
  <r>
    <n v="1287"/>
    <n v="56243"/>
    <n v="389"/>
    <n v="6.9164162651352166E-3"/>
    <x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x v="1"/>
    <x v="16"/>
    <s v="36-50"/>
    <n v="2340"/>
    <n v="0"/>
    <n v="0"/>
    <n v="1"/>
    <n v="0"/>
    <n v="0"/>
    <n v="0"/>
    <n v="1"/>
    <n v="0"/>
    <n v="0"/>
    <n v="382"/>
    <d v="2016-05-19T00:00:00"/>
  </r>
  <r>
    <n v="1430"/>
    <n v="53367"/>
    <n v="389"/>
    <n v="7.2891487248674279E-3"/>
    <x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x v="0"/>
    <x v="35"/>
    <s v="36-50"/>
    <n v="2461"/>
    <n v="1"/>
    <n v="0"/>
    <n v="0"/>
    <n v="0"/>
    <n v="0"/>
    <n v="0"/>
    <n v="0"/>
    <n v="1"/>
    <n v="0"/>
    <n v="378"/>
    <d v="2016-01-19T00:00:00"/>
  </r>
  <r>
    <n v="1807"/>
    <n v="53201"/>
    <n v="388"/>
    <n v="7.2930959944361952E-3"/>
    <x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x v="1"/>
    <x v="16"/>
    <s v="36-50"/>
    <n v="2661"/>
    <n v="0"/>
    <n v="0"/>
    <n v="1"/>
    <n v="0"/>
    <n v="0"/>
    <n v="0"/>
    <n v="1"/>
    <n v="0"/>
    <n v="0"/>
    <n v="361"/>
    <d v="2015-07-03T00:00:00"/>
  </r>
  <r>
    <n v="114"/>
    <n v="71488"/>
    <n v="387"/>
    <n v="5.4134959713518348E-3"/>
    <x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x v="1"/>
    <x v="47"/>
    <s v="51-66"/>
    <n v="2655"/>
    <n v="0"/>
    <n v="0"/>
    <n v="0"/>
    <n v="1"/>
    <n v="0"/>
    <n v="1"/>
    <n v="0"/>
    <n v="0"/>
    <n v="0"/>
    <n v="215"/>
    <d v="2015-07-09T00:00:00"/>
  </r>
  <r>
    <n v="334"/>
    <n v="46681"/>
    <n v="387"/>
    <n v="8.290310833101262E-3"/>
    <x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  <x v="40"/>
    <s v="66+"/>
    <n v="2423"/>
    <n v="0"/>
    <n v="0"/>
    <n v="0"/>
    <n v="1"/>
    <n v="0"/>
    <n v="0"/>
    <n v="0"/>
    <n v="0"/>
    <n v="1"/>
    <n v="349"/>
    <d v="2016-02-26T00:00:00"/>
  </r>
  <r>
    <n v="449"/>
    <n v="41124"/>
    <n v="387"/>
    <n v="9.4105631747884444E-3"/>
    <x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x v="1"/>
    <x v="13"/>
    <s v="36-50"/>
    <n v="2765"/>
    <n v="0"/>
    <n v="1"/>
    <n v="0"/>
    <n v="0"/>
    <n v="0"/>
    <n v="0"/>
    <n v="1"/>
    <n v="0"/>
    <n v="0"/>
    <n v="268"/>
    <d v="2015-03-21T00:00:00"/>
  </r>
  <r>
    <n v="812"/>
    <n v="57906"/>
    <n v="386"/>
    <n v="6.6659758919628363E-3"/>
    <x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x v="1"/>
    <x v="30"/>
    <s v="36-50"/>
    <n v="2542"/>
    <n v="0"/>
    <n v="0"/>
    <n v="0"/>
    <n v="1"/>
    <n v="0"/>
    <n v="0"/>
    <n v="0"/>
    <n v="0"/>
    <n v="1"/>
    <n v="371"/>
    <d v="2015-10-30T00:00:00"/>
  </r>
  <r>
    <n v="813"/>
    <n v="43456"/>
    <n v="386"/>
    <n v="8.8825478645066271E-3"/>
    <x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x v="1"/>
    <x v="22"/>
    <s v="51-66"/>
    <n v="2619"/>
    <n v="0"/>
    <n v="0"/>
    <n v="1"/>
    <n v="0"/>
    <n v="0"/>
    <n v="0"/>
    <n v="0"/>
    <n v="1"/>
    <n v="0"/>
    <n v="379"/>
    <d v="2015-08-14T00:00:00"/>
  </r>
  <r>
    <n v="1437"/>
    <n v="42014"/>
    <n v="386"/>
    <n v="9.1874137192364449E-3"/>
    <x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  <x v="13"/>
    <s v="36-50"/>
    <n v="2840"/>
    <n v="0"/>
    <n v="1"/>
    <n v="0"/>
    <n v="0"/>
    <n v="0"/>
    <n v="0"/>
    <n v="1"/>
    <n v="0"/>
    <n v="0"/>
    <n v="336"/>
    <d v="2015-01-05T00:00:00"/>
  </r>
  <r>
    <n v="1733"/>
    <n v="73395"/>
    <n v="386"/>
    <n v="5.2592138429048297E-3"/>
    <x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x v="1"/>
    <x v="36"/>
    <s v="24-35"/>
    <n v="2262"/>
    <n v="0"/>
    <n v="1"/>
    <n v="0"/>
    <n v="0"/>
    <n v="0"/>
    <n v="0"/>
    <n v="0"/>
    <n v="1"/>
    <n v="0"/>
    <n v="375"/>
    <d v="2016-08-05T00:00:00"/>
  </r>
  <r>
    <n v="681"/>
    <n v="56962"/>
    <n v="385"/>
    <n v="6.7588918928408416E-3"/>
    <x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  <x v="47"/>
    <s v="51-66"/>
    <n v="2420"/>
    <n v="0"/>
    <n v="1"/>
    <n v="0"/>
    <n v="0"/>
    <n v="0"/>
    <n v="0"/>
    <n v="0"/>
    <n v="1"/>
    <n v="0"/>
    <n v="359"/>
    <d v="2016-02-29T00:00:00"/>
  </r>
  <r>
    <n v="1444"/>
    <n v="47958"/>
    <n v="385"/>
    <n v="8.0278577088285577E-3"/>
    <x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x v="1"/>
    <x v="50"/>
    <s v="66+"/>
    <n v="2685"/>
    <n v="0"/>
    <n v="0"/>
    <n v="1"/>
    <n v="0"/>
    <n v="0"/>
    <n v="0"/>
    <n v="1"/>
    <n v="0"/>
    <n v="0"/>
    <n v="363"/>
    <d v="2015-06-09T00:00:00"/>
  </r>
  <r>
    <n v="1448"/>
    <n v="43795"/>
    <n v="385"/>
    <n v="8.7909578719031854E-3"/>
    <x v="0"/>
    <n v="1"/>
    <n v="11"/>
    <n v="314"/>
    <n v="11"/>
    <n v="53"/>
    <n v="4"/>
    <n v="3"/>
    <n v="107"/>
    <n v="3"/>
    <n v="7"/>
    <n v="3"/>
    <n v="4"/>
    <n v="7"/>
    <n v="0"/>
    <n v="0"/>
    <n v="0"/>
    <n v="1"/>
    <n v="0"/>
    <n v="0"/>
    <x v="0"/>
    <x v="14"/>
    <s v="51-66"/>
    <n v="2415"/>
    <n v="0"/>
    <n v="0"/>
    <n v="0"/>
    <n v="1"/>
    <n v="0"/>
    <n v="0"/>
    <n v="0"/>
    <n v="1"/>
    <n v="0"/>
    <n v="278"/>
    <d v="2016-03-05T00:00:00"/>
  </r>
  <r>
    <n v="1681"/>
    <n v="65735"/>
    <n v="384"/>
    <n v="5.8416368753327758E-3"/>
    <x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x v="1"/>
    <x v="47"/>
    <s v="51-66"/>
    <n v="2363"/>
    <n v="0"/>
    <n v="0"/>
    <n v="0"/>
    <n v="1"/>
    <n v="0"/>
    <n v="0"/>
    <n v="0"/>
    <n v="1"/>
    <n v="0"/>
    <n v="373"/>
    <d v="2016-04-26T00:00:00"/>
  </r>
  <r>
    <n v="1797"/>
    <n v="40794"/>
    <n v="384"/>
    <n v="9.413148992498897E-3"/>
    <x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x v="1"/>
    <x v="16"/>
    <s v="36-50"/>
    <n v="2607"/>
    <n v="0"/>
    <n v="1"/>
    <n v="0"/>
    <n v="0"/>
    <n v="0"/>
    <n v="0"/>
    <n v="1"/>
    <n v="0"/>
    <n v="0"/>
    <n v="334"/>
    <d v="2015-08-26T00:00:00"/>
  </r>
  <r>
    <n v="1933"/>
    <n v="58692"/>
    <n v="384"/>
    <n v="6.5426293191576364E-3"/>
    <x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x v="1"/>
    <x v="47"/>
    <s v="51-66"/>
    <n v="2243"/>
    <n v="0"/>
    <n v="1"/>
    <n v="0"/>
    <n v="0"/>
    <n v="0"/>
    <n v="0"/>
    <n v="1"/>
    <n v="0"/>
    <n v="0"/>
    <n v="373"/>
    <d v="2016-08-24T00:00:00"/>
  </r>
  <r>
    <n v="561"/>
    <n v="59973"/>
    <n v="382"/>
    <n v="6.3695329564970905E-3"/>
    <x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x v="1"/>
    <x v="9"/>
    <s v="36-50"/>
    <n v="2450"/>
    <n v="0"/>
    <n v="1"/>
    <n v="0"/>
    <n v="0"/>
    <n v="0"/>
    <n v="0"/>
    <n v="0"/>
    <n v="0"/>
    <n v="1"/>
    <n v="382"/>
    <d v="2016-01-30T00:00:00"/>
  </r>
  <r>
    <n v="926"/>
    <n v="65352"/>
    <n v="382"/>
    <n v="5.8452686987391358E-3"/>
    <x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x v="1"/>
    <x v="35"/>
    <s v="36-50"/>
    <n v="2471"/>
    <n v="0"/>
    <n v="1"/>
    <n v="0"/>
    <n v="0"/>
    <n v="0"/>
    <n v="0"/>
    <n v="0"/>
    <n v="0"/>
    <n v="1"/>
    <n v="359"/>
    <d v="2016-01-09T00:00:00"/>
  </r>
  <r>
    <n v="1449"/>
    <n v="48432"/>
    <n v="382"/>
    <n v="7.8873472084572179E-3"/>
    <x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  <x v="30"/>
    <s v="36-50"/>
    <n v="2778"/>
    <n v="0"/>
    <n v="0"/>
    <n v="1"/>
    <n v="0"/>
    <n v="0"/>
    <n v="0"/>
    <n v="0"/>
    <n v="0"/>
    <n v="1"/>
    <n v="340"/>
    <d v="2015-03-08T00:00:00"/>
  </r>
  <r>
    <n v="1971"/>
    <n v="48432"/>
    <n v="382"/>
    <n v="7.8873472084572179E-3"/>
    <x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1"/>
    <x v="30"/>
    <s v="36-50"/>
    <n v="2778"/>
    <n v="0"/>
    <n v="0"/>
    <n v="1"/>
    <n v="0"/>
    <n v="0"/>
    <n v="0"/>
    <n v="0"/>
    <n v="0"/>
    <n v="1"/>
    <n v="340"/>
    <d v="2015-03-08T00:00:00"/>
  </r>
  <r>
    <n v="1538"/>
    <n v="49544"/>
    <n v="381"/>
    <n v="7.6901340222832234E-3"/>
    <x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x v="1"/>
    <x v="7"/>
    <s v="36-50"/>
    <n v="2661"/>
    <n v="0"/>
    <n v="1"/>
    <n v="0"/>
    <n v="0"/>
    <n v="0"/>
    <n v="0"/>
    <n v="0"/>
    <n v="0"/>
    <n v="1"/>
    <n v="358"/>
    <d v="2015-07-03T00:00:00"/>
  </r>
  <r>
    <n v="1511"/>
    <n v="58494"/>
    <n v="377"/>
    <n v="6.4451054809040245E-3"/>
    <x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x v="1"/>
    <x v="35"/>
    <s v="36-50"/>
    <n v="2358"/>
    <n v="0"/>
    <n v="1"/>
    <n v="0"/>
    <n v="0"/>
    <n v="0"/>
    <n v="0"/>
    <n v="0"/>
    <n v="1"/>
    <n v="0"/>
    <n v="358"/>
    <d v="2016-05-01T00:00:00"/>
  </r>
  <r>
    <n v="2013"/>
    <n v="57967"/>
    <n v="377"/>
    <n v="6.5037003812514014E-3"/>
    <x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x v="1"/>
    <x v="46"/>
    <s v="51-66"/>
    <n v="2642"/>
    <n v="0"/>
    <n v="0"/>
    <n v="1"/>
    <n v="0"/>
    <n v="0"/>
    <n v="0"/>
    <n v="1"/>
    <n v="0"/>
    <n v="0"/>
    <n v="286"/>
    <d v="2015-07-22T00:00:00"/>
  </r>
  <r>
    <n v="1328"/>
    <n v="31907"/>
    <n v="375"/>
    <n v="1.1752906885636381E-2"/>
    <x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x v="1"/>
    <x v="9"/>
    <s v="36-50"/>
    <n v="2641"/>
    <n v="0"/>
    <n v="0"/>
    <n v="1"/>
    <n v="0"/>
    <n v="0"/>
    <n v="0"/>
    <n v="1"/>
    <n v="0"/>
    <n v="0"/>
    <n v="301"/>
    <d v="2015-07-23T00:00:00"/>
  </r>
  <r>
    <n v="1452"/>
    <n v="72967"/>
    <n v="372"/>
    <n v="5.0981950744857264E-3"/>
    <x v="0"/>
    <n v="1"/>
    <n v="1"/>
    <n v="158"/>
    <n v="35"/>
    <n v="179"/>
    <n v="0"/>
    <n v="0"/>
    <n v="125"/>
    <n v="2"/>
    <n v="7"/>
    <n v="2"/>
    <n v="8"/>
    <n v="5"/>
    <n v="0"/>
    <n v="0"/>
    <n v="1"/>
    <n v="0"/>
    <n v="0"/>
    <n v="0"/>
    <x v="0"/>
    <x v="2"/>
    <s v="36-50"/>
    <n v="2720"/>
    <n v="1"/>
    <n v="0"/>
    <n v="0"/>
    <n v="0"/>
    <n v="0"/>
    <n v="0"/>
    <n v="1"/>
    <n v="0"/>
    <n v="0"/>
    <n v="247"/>
    <d v="2015-05-05T00:00:00"/>
  </r>
  <r>
    <n v="386"/>
    <n v="46923"/>
    <n v="363"/>
    <n v="7.7360782558659929E-3"/>
    <x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x v="1"/>
    <x v="36"/>
    <s v="24-35"/>
    <n v="2835"/>
    <n v="0"/>
    <n v="0"/>
    <n v="1"/>
    <n v="0"/>
    <n v="0"/>
    <n v="0"/>
    <n v="1"/>
    <n v="0"/>
    <n v="0"/>
    <n v="357"/>
    <d v="2015-01-10T00:00:00"/>
  </r>
  <r>
    <n v="815"/>
    <n v="53172"/>
    <n v="361"/>
    <n v="6.7892875949747983E-3"/>
    <x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x v="1"/>
    <x v="37"/>
    <s v="36-50"/>
    <n v="2578"/>
    <n v="0"/>
    <n v="0"/>
    <n v="0"/>
    <n v="1"/>
    <n v="0"/>
    <n v="0"/>
    <n v="1"/>
    <n v="0"/>
    <n v="0"/>
    <n v="236"/>
    <d v="2015-09-24T00:00:00"/>
  </r>
  <r>
    <n v="758"/>
    <n v="55267"/>
    <n v="360"/>
    <n v="6.5138328478115334E-3"/>
    <x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x v="1"/>
    <x v="12"/>
    <s v="51-66"/>
    <n v="2410"/>
    <n v="0"/>
    <n v="1"/>
    <n v="0"/>
    <n v="0"/>
    <n v="0"/>
    <n v="0"/>
    <n v="1"/>
    <n v="0"/>
    <n v="0"/>
    <n v="315"/>
    <d v="2016-03-10T00:00:00"/>
  </r>
  <r>
    <n v="1233"/>
    <n v="47009"/>
    <n v="358"/>
    <n v="7.6155629773022185E-3"/>
    <x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x v="1"/>
    <x v="47"/>
    <s v="51-66"/>
    <n v="2430"/>
    <n v="0"/>
    <n v="0"/>
    <n v="0"/>
    <n v="1"/>
    <n v="0"/>
    <n v="0"/>
    <n v="1"/>
    <n v="0"/>
    <n v="0"/>
    <n v="268"/>
    <d v="2016-02-19T00:00:00"/>
  </r>
  <r>
    <n v="1724"/>
    <n v="42081"/>
    <n v="355"/>
    <n v="8.4361113091418923E-3"/>
    <x v="1"/>
    <n v="0"/>
    <n v="86"/>
    <n v="175"/>
    <n v="10"/>
    <n v="110"/>
    <n v="54"/>
    <n v="6"/>
    <n v="27"/>
    <n v="2"/>
    <n v="6"/>
    <n v="3"/>
    <n v="4"/>
    <n v="6"/>
    <n v="0"/>
    <n v="0"/>
    <n v="1"/>
    <n v="0"/>
    <n v="0"/>
    <n v="0"/>
    <x v="1"/>
    <x v="31"/>
    <s v="36-50"/>
    <n v="2647"/>
    <n v="0"/>
    <n v="1"/>
    <n v="0"/>
    <n v="0"/>
    <n v="0"/>
    <n v="0"/>
    <n v="1"/>
    <n v="0"/>
    <n v="0"/>
    <n v="328"/>
    <d v="2015-07-17T00:00:00"/>
  </r>
  <r>
    <n v="1013"/>
    <n v="50014"/>
    <n v="354"/>
    <n v="7.0780181549166231E-3"/>
    <x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x v="1"/>
    <x v="14"/>
    <s v="51-66"/>
    <n v="2317"/>
    <n v="0"/>
    <n v="0"/>
    <n v="1"/>
    <n v="0"/>
    <n v="0"/>
    <n v="0"/>
    <n v="0"/>
    <n v="1"/>
    <n v="0"/>
    <n v="312"/>
    <d v="2016-06-11T00:00:00"/>
  </r>
  <r>
    <n v="1854"/>
    <n v="60905"/>
    <n v="354"/>
    <n v="5.8123306789261966E-3"/>
    <x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x v="1"/>
    <x v="51"/>
    <s v="66+"/>
    <n v="2365"/>
    <n v="0"/>
    <n v="0"/>
    <n v="0"/>
    <n v="1"/>
    <n v="0"/>
    <n v="0"/>
    <n v="1"/>
    <n v="0"/>
    <n v="0"/>
    <n v="316"/>
    <d v="2016-04-24T00:00:00"/>
  </r>
  <r>
    <n v="2006"/>
    <n v="40101"/>
    <n v="353"/>
    <n v="8.8027729981795966E-3"/>
    <x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x v="1"/>
    <x v="23"/>
    <s v="24-35"/>
    <n v="2782"/>
    <n v="0"/>
    <n v="0"/>
    <n v="0"/>
    <n v="1"/>
    <n v="0"/>
    <n v="0"/>
    <n v="0"/>
    <n v="1"/>
    <n v="0"/>
    <n v="291"/>
    <d v="2015-03-04T00:00:00"/>
  </r>
  <r>
    <n v="870"/>
    <n v="24401"/>
    <n v="352"/>
    <n v="1.4425638293512561E-2"/>
    <x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x v="1"/>
    <x v="19"/>
    <s v="36-50"/>
    <n v="2826"/>
    <n v="0"/>
    <n v="0"/>
    <n v="0"/>
    <n v="1"/>
    <n v="0"/>
    <n v="0"/>
    <n v="0"/>
    <n v="1"/>
    <n v="0"/>
    <n v="237"/>
    <d v="2015-01-19T00:00:00"/>
  </r>
  <r>
    <n v="1592"/>
    <n v="54984"/>
    <n v="352"/>
    <n v="6.4018623599592607E-3"/>
    <x v="0"/>
    <n v="1"/>
    <n v="51"/>
    <n v="173"/>
    <n v="13"/>
    <n v="131"/>
    <n v="32"/>
    <n v="3"/>
    <n v="6"/>
    <n v="4"/>
    <n v="6"/>
    <n v="1"/>
    <n v="6"/>
    <n v="7"/>
    <n v="1"/>
    <n v="0"/>
    <n v="0"/>
    <n v="0"/>
    <n v="0"/>
    <n v="0"/>
    <x v="1"/>
    <x v="29"/>
    <s v="51-66"/>
    <n v="2195"/>
    <n v="0"/>
    <n v="1"/>
    <n v="0"/>
    <n v="0"/>
    <n v="0"/>
    <n v="0"/>
    <n v="1"/>
    <n v="0"/>
    <n v="0"/>
    <n v="346"/>
    <d v="2016-10-11T00:00:00"/>
  </r>
  <r>
    <n v="294"/>
    <n v="66503"/>
    <n v="351"/>
    <n v="5.2779573853811105E-3"/>
    <x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x v="1"/>
    <x v="23"/>
    <s v="24-35"/>
    <n v="2843"/>
    <n v="0"/>
    <n v="0"/>
    <n v="1"/>
    <n v="0"/>
    <n v="0"/>
    <n v="0"/>
    <n v="1"/>
    <n v="0"/>
    <n v="0"/>
    <n v="301"/>
    <d v="2015-01-02T00:00:00"/>
  </r>
  <r>
    <n v="1863"/>
    <n v="37150"/>
    <n v="351"/>
    <n v="9.4481830417227457E-3"/>
    <x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x v="1"/>
    <x v="28"/>
    <s v="36-50"/>
    <n v="2815"/>
    <n v="0"/>
    <n v="1"/>
    <n v="0"/>
    <n v="0"/>
    <n v="0"/>
    <n v="0"/>
    <n v="1"/>
    <n v="0"/>
    <n v="0"/>
    <n v="235"/>
    <d v="2015-01-30T00:00:00"/>
  </r>
  <r>
    <n v="1379"/>
    <n v="49854"/>
    <n v="350"/>
    <n v="7.0204998595900028E-3"/>
    <x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x v="1"/>
    <x v="9"/>
    <s v="36-50"/>
    <n v="2390"/>
    <n v="0"/>
    <n v="0"/>
    <n v="0"/>
    <n v="1"/>
    <n v="0"/>
    <n v="0"/>
    <n v="0"/>
    <n v="1"/>
    <n v="0"/>
    <n v="320"/>
    <d v="2016-03-30T00:00:00"/>
  </r>
  <r>
    <n v="1782"/>
    <n v="46998"/>
    <n v="350"/>
    <n v="7.4471254095918975E-3"/>
    <x v="0"/>
    <n v="1"/>
    <n v="55"/>
    <n v="172"/>
    <n v="41"/>
    <n v="86"/>
    <n v="45"/>
    <n v="6"/>
    <n v="27"/>
    <n v="5"/>
    <n v="5"/>
    <n v="3"/>
    <n v="5"/>
    <n v="7"/>
    <n v="0"/>
    <n v="0"/>
    <n v="1"/>
    <n v="0"/>
    <n v="0"/>
    <n v="0"/>
    <x v="1"/>
    <x v="5"/>
    <s v="51-66"/>
    <n v="2774"/>
    <n v="0"/>
    <n v="0"/>
    <n v="1"/>
    <n v="0"/>
    <n v="0"/>
    <n v="0"/>
    <n v="1"/>
    <n v="0"/>
    <n v="0"/>
    <n v="323"/>
    <d v="2015-03-12T00:00:00"/>
  </r>
  <r>
    <n v="1828"/>
    <n v="41638"/>
    <n v="350"/>
    <n v="8.405783178827033E-3"/>
    <x v="0"/>
    <n v="1"/>
    <n v="68"/>
    <n v="315"/>
    <n v="0"/>
    <n v="31"/>
    <n v="4"/>
    <n v="0"/>
    <n v="91"/>
    <n v="4"/>
    <n v="5"/>
    <n v="5"/>
    <n v="3"/>
    <n v="8"/>
    <n v="0"/>
    <n v="0"/>
    <n v="1"/>
    <n v="0"/>
    <n v="0"/>
    <n v="0"/>
    <x v="1"/>
    <x v="42"/>
    <s v="51-66"/>
    <n v="2660"/>
    <n v="1"/>
    <n v="0"/>
    <n v="0"/>
    <n v="0"/>
    <n v="0"/>
    <n v="0"/>
    <n v="1"/>
    <n v="0"/>
    <n v="0"/>
    <n v="259"/>
    <d v="2015-07-04T00:00:00"/>
  </r>
  <r>
    <n v="580"/>
    <n v="45837"/>
    <n v="349"/>
    <n v="7.6139363396382836E-3"/>
    <x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x v="1"/>
    <x v="35"/>
    <s v="36-50"/>
    <n v="2497"/>
    <n v="0"/>
    <n v="1"/>
    <n v="0"/>
    <n v="0"/>
    <n v="0"/>
    <n v="0"/>
    <n v="1"/>
    <n v="0"/>
    <n v="0"/>
    <n v="325"/>
    <d v="2015-12-14T00:00:00"/>
  </r>
  <r>
    <n v="1152"/>
    <n v="54730"/>
    <n v="349"/>
    <n v="6.3767586332907E-3"/>
    <x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x v="1"/>
    <x v="16"/>
    <s v="36-50"/>
    <n v="2477"/>
    <n v="0"/>
    <n v="1"/>
    <n v="0"/>
    <n v="0"/>
    <n v="0"/>
    <n v="0"/>
    <n v="0"/>
    <n v="1"/>
    <n v="0"/>
    <n v="293"/>
    <d v="2016-01-03T00:00:00"/>
  </r>
  <r>
    <n v="615"/>
    <n v="49431"/>
    <n v="348"/>
    <n v="7.0401165260666381E-3"/>
    <x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x v="1"/>
    <x v="38"/>
    <s v="51-66"/>
    <n v="2854"/>
    <n v="1"/>
    <n v="0"/>
    <n v="0"/>
    <n v="0"/>
    <n v="0"/>
    <n v="0"/>
    <n v="1"/>
    <n v="0"/>
    <n v="0"/>
    <n v="331"/>
    <d v="2014-12-22T00:00:00"/>
  </r>
  <r>
    <n v="1459"/>
    <n v="50501"/>
    <n v="348"/>
    <n v="6.8909526544028831E-3"/>
    <x v="1"/>
    <n v="1"/>
    <n v="10"/>
    <n v="297"/>
    <n v="0"/>
    <n v="38"/>
    <n v="13"/>
    <n v="0"/>
    <n v="152"/>
    <n v="7"/>
    <n v="5"/>
    <n v="4"/>
    <n v="4"/>
    <n v="6"/>
    <n v="0"/>
    <n v="0"/>
    <n v="1"/>
    <n v="0"/>
    <n v="0"/>
    <n v="0"/>
    <x v="0"/>
    <x v="44"/>
    <s v="66+"/>
    <n v="2535"/>
    <n v="0"/>
    <n v="1"/>
    <n v="0"/>
    <n v="0"/>
    <n v="0"/>
    <n v="0"/>
    <n v="1"/>
    <n v="0"/>
    <n v="0"/>
    <n v="196"/>
    <d v="2015-11-06T00:00:00"/>
  </r>
  <r>
    <n v="1972"/>
    <n v="52914"/>
    <n v="348"/>
    <n v="6.5767093774804402E-3"/>
    <x v="0"/>
    <n v="1"/>
    <n v="32"/>
    <n v="254"/>
    <n v="10"/>
    <n v="44"/>
    <n v="30"/>
    <n v="10"/>
    <n v="227"/>
    <n v="2"/>
    <n v="7"/>
    <n v="3"/>
    <n v="3"/>
    <n v="7"/>
    <n v="0"/>
    <n v="0"/>
    <n v="1"/>
    <n v="0"/>
    <n v="0"/>
    <n v="0"/>
    <x v="1"/>
    <x v="28"/>
    <s v="36-50"/>
    <n v="2697"/>
    <n v="0"/>
    <n v="1"/>
    <n v="0"/>
    <n v="0"/>
    <n v="0"/>
    <n v="0"/>
    <n v="1"/>
    <n v="0"/>
    <n v="0"/>
    <n v="121"/>
    <d v="2015-05-28T00:00:00"/>
  </r>
  <r>
    <n v="1704"/>
    <n v="30538"/>
    <n v="347"/>
    <n v="1.136289213438994E-2"/>
    <x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x v="1"/>
    <x v="28"/>
    <s v="36-50"/>
    <n v="2795"/>
    <n v="0"/>
    <n v="0"/>
    <n v="0"/>
    <n v="1"/>
    <n v="0"/>
    <n v="0"/>
    <n v="0"/>
    <n v="1"/>
    <n v="0"/>
    <n v="327"/>
    <d v="2015-02-19T00:00:00"/>
  </r>
  <r>
    <n v="1638"/>
    <n v="62535"/>
    <n v="346"/>
    <n v="5.532901575117934E-3"/>
    <x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x v="1"/>
    <x v="38"/>
    <s v="51-66"/>
    <n v="2428"/>
    <n v="0"/>
    <n v="0"/>
    <n v="1"/>
    <n v="0"/>
    <n v="0"/>
    <n v="0"/>
    <n v="1"/>
    <n v="0"/>
    <n v="0"/>
    <n v="294"/>
    <d v="2016-02-21T00:00:00"/>
  </r>
  <r>
    <n v="24"/>
    <n v="40689"/>
    <n v="345"/>
    <n v="8.4789500847895008E-3"/>
    <x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  <x v="15"/>
    <s v="66+"/>
    <n v="2627"/>
    <n v="0"/>
    <n v="0"/>
    <n v="0"/>
    <n v="1"/>
    <n v="0"/>
    <n v="0"/>
    <n v="1"/>
    <n v="0"/>
    <n v="0"/>
    <n v="246"/>
    <d v="2015-08-06T00:00:00"/>
  </r>
  <r>
    <n v="483"/>
    <n v="44124"/>
    <n v="345"/>
    <n v="7.8188740821321726E-3"/>
    <x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x v="1"/>
    <x v="8"/>
    <s v="66+"/>
    <n v="2573"/>
    <n v="0"/>
    <n v="0"/>
    <n v="0"/>
    <n v="1"/>
    <n v="0"/>
    <n v="0"/>
    <n v="0"/>
    <n v="0"/>
    <n v="1"/>
    <n v="293"/>
    <d v="2015-09-29T00:00:00"/>
  </r>
  <r>
    <n v="600"/>
    <n v="56181"/>
    <n v="345"/>
    <n v="6.1408661291183853E-3"/>
    <x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x v="1"/>
    <x v="46"/>
    <s v="51-66"/>
    <n v="2696"/>
    <n v="0"/>
    <n v="1"/>
    <n v="0"/>
    <n v="0"/>
    <n v="0"/>
    <n v="0"/>
    <n v="1"/>
    <n v="0"/>
    <n v="0"/>
    <n v="297"/>
    <d v="2015-05-29T00:00:00"/>
  </r>
  <r>
    <n v="1757"/>
    <n v="67472"/>
    <n v="345"/>
    <n v="5.1132321555608252E-3"/>
    <x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x v="1"/>
    <x v="6"/>
    <s v="66+"/>
    <n v="2433"/>
    <n v="0"/>
    <n v="1"/>
    <n v="0"/>
    <n v="0"/>
    <n v="0"/>
    <n v="0"/>
    <n v="0"/>
    <n v="0"/>
    <n v="1"/>
    <n v="276"/>
    <d v="2016-02-16T00:00:00"/>
  </r>
  <r>
    <n v="1286"/>
    <n v="48904"/>
    <n v="344"/>
    <n v="7.0341894323572712E-3"/>
    <x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x v="1"/>
    <x v="24"/>
    <s v="51-66"/>
    <n v="2733"/>
    <n v="0"/>
    <n v="0"/>
    <n v="1"/>
    <n v="0"/>
    <n v="0"/>
    <n v="0"/>
    <n v="1"/>
    <n v="0"/>
    <n v="0"/>
    <n v="317"/>
    <d v="2015-04-22T00:00:00"/>
  </r>
  <r>
    <n v="740"/>
    <n v="40780"/>
    <n v="343"/>
    <n v="8.4109857773418343E-3"/>
    <x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x v="1"/>
    <x v="7"/>
    <s v="36-50"/>
    <n v="2818"/>
    <n v="1"/>
    <n v="0"/>
    <n v="0"/>
    <n v="0"/>
    <n v="0"/>
    <n v="0"/>
    <n v="1"/>
    <n v="0"/>
    <n v="0"/>
    <n v="309"/>
    <d v="2015-01-27T00:00:00"/>
  </r>
  <r>
    <n v="1135"/>
    <n v="42213"/>
    <n v="343"/>
    <n v="8.1254589818302424E-3"/>
    <x v="0"/>
    <n v="1"/>
    <n v="96"/>
    <n v="309"/>
    <n v="3"/>
    <n v="24"/>
    <n v="4"/>
    <n v="3"/>
    <n v="20"/>
    <n v="2"/>
    <n v="5"/>
    <n v="1"/>
    <n v="7"/>
    <n v="7"/>
    <n v="0"/>
    <n v="0"/>
    <n v="0"/>
    <n v="1"/>
    <n v="0"/>
    <n v="0"/>
    <x v="1"/>
    <x v="12"/>
    <s v="51-66"/>
    <n v="2419"/>
    <n v="0"/>
    <n v="0"/>
    <n v="0"/>
    <n v="1"/>
    <n v="0"/>
    <n v="0"/>
    <n v="1"/>
    <n v="0"/>
    <n v="0"/>
    <n v="323"/>
    <d v="2016-03-01T00:00:00"/>
  </r>
  <r>
    <n v="1460"/>
    <n v="39552"/>
    <n v="343"/>
    <n v="8.6721278317152106E-3"/>
    <x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x v="0"/>
    <x v="46"/>
    <s v="51-66"/>
    <n v="2717"/>
    <n v="1"/>
    <n v="0"/>
    <n v="0"/>
    <n v="0"/>
    <n v="0"/>
    <n v="0"/>
    <n v="1"/>
    <n v="0"/>
    <n v="0"/>
    <n v="302"/>
    <d v="2015-05-08T00:00:00"/>
  </r>
  <r>
    <n v="605"/>
    <n v="45906"/>
    <n v="342"/>
    <n v="7.4500065350934517E-3"/>
    <x v="0"/>
    <n v="1"/>
    <n v="20"/>
    <n v="305"/>
    <n v="3"/>
    <n v="27"/>
    <n v="4"/>
    <n v="3"/>
    <n v="144"/>
    <n v="2"/>
    <n v="5"/>
    <n v="4"/>
    <n v="4"/>
    <n v="5"/>
    <n v="0"/>
    <n v="0"/>
    <n v="1"/>
    <n v="0"/>
    <n v="0"/>
    <n v="0"/>
    <x v="1"/>
    <x v="42"/>
    <s v="51-66"/>
    <n v="2577"/>
    <n v="0"/>
    <n v="0"/>
    <n v="1"/>
    <n v="0"/>
    <n v="0"/>
    <n v="0"/>
    <n v="1"/>
    <n v="0"/>
    <n v="0"/>
    <n v="198"/>
    <d v="2015-09-25T00:00:00"/>
  </r>
  <r>
    <n v="1009"/>
    <n v="46610"/>
    <n v="342"/>
    <n v="7.3374812272044626E-3"/>
    <x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x v="1"/>
    <x v="27"/>
    <s v="51-66"/>
    <n v="2505"/>
    <n v="0"/>
    <n v="0"/>
    <n v="0"/>
    <n v="1"/>
    <n v="0"/>
    <n v="0"/>
    <n v="1"/>
    <n v="0"/>
    <n v="0"/>
    <n v="217"/>
    <d v="2015-12-06T00:00:00"/>
  </r>
  <r>
    <n v="481"/>
    <n v="48920"/>
    <n v="341"/>
    <n v="6.9705641864268196E-3"/>
    <x v="0"/>
    <n v="2"/>
    <n v="93"/>
    <n v="238"/>
    <n v="17"/>
    <n v="68"/>
    <n v="8"/>
    <n v="10"/>
    <n v="6"/>
    <n v="3"/>
    <n v="6"/>
    <n v="2"/>
    <n v="5"/>
    <n v="7"/>
    <n v="0"/>
    <n v="0"/>
    <n v="0"/>
    <n v="1"/>
    <n v="0"/>
    <n v="0"/>
    <x v="1"/>
    <x v="42"/>
    <s v="51-66"/>
    <n v="2411"/>
    <n v="0"/>
    <n v="1"/>
    <n v="0"/>
    <n v="0"/>
    <n v="0"/>
    <n v="0"/>
    <n v="1"/>
    <n v="0"/>
    <n v="0"/>
    <n v="335"/>
    <d v="2016-03-09T00:00:00"/>
  </r>
  <r>
    <n v="1461"/>
    <n v="36715"/>
    <n v="341"/>
    <n v="9.287757047528258E-3"/>
    <x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x v="0"/>
    <x v="28"/>
    <s v="36-50"/>
    <n v="2748"/>
    <n v="0"/>
    <n v="1"/>
    <n v="0"/>
    <n v="0"/>
    <n v="0"/>
    <n v="0"/>
    <n v="1"/>
    <n v="0"/>
    <n v="0"/>
    <n v="325"/>
    <d v="2015-04-07T00:00:00"/>
  </r>
  <r>
    <n v="1890"/>
    <n v="51651"/>
    <n v="341"/>
    <n v="6.602001897349519E-3"/>
    <x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x v="1"/>
    <x v="24"/>
    <s v="51-66"/>
    <n v="2758"/>
    <n v="0"/>
    <n v="1"/>
    <n v="0"/>
    <n v="0"/>
    <n v="0"/>
    <n v="0"/>
    <n v="1"/>
    <n v="0"/>
    <n v="0"/>
    <n v="249"/>
    <d v="2015-03-28T00:00:00"/>
  </r>
  <r>
    <n v="498"/>
    <n v="49154"/>
    <n v="340"/>
    <n v="6.9170362534076574E-3"/>
    <x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x v="1"/>
    <x v="24"/>
    <s v="51-66"/>
    <n v="2397"/>
    <n v="0"/>
    <n v="1"/>
    <n v="0"/>
    <n v="0"/>
    <n v="0"/>
    <n v="0"/>
    <n v="0"/>
    <n v="0"/>
    <n v="1"/>
    <n v="269"/>
    <d v="2016-03-23T00:00:00"/>
  </r>
  <r>
    <n v="267"/>
    <n v="35416"/>
    <n v="339"/>
    <n v="9.5719448836683978E-3"/>
    <x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x v="1"/>
    <x v="4"/>
    <s v="66+"/>
    <n v="2540"/>
    <n v="1"/>
    <n v="0"/>
    <n v="0"/>
    <n v="0"/>
    <n v="0"/>
    <n v="0"/>
    <n v="0"/>
    <n v="1"/>
    <n v="0"/>
    <n v="288"/>
    <d v="2015-11-01T00:00:00"/>
  </r>
  <r>
    <n v="1257"/>
    <n v="43263"/>
    <n v="339"/>
    <n v="7.8357950211497118E-3"/>
    <x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x v="1"/>
    <x v="13"/>
    <s v="36-50"/>
    <n v="2744"/>
    <n v="0"/>
    <n v="1"/>
    <n v="0"/>
    <n v="0"/>
    <n v="0"/>
    <n v="0"/>
    <n v="0"/>
    <n v="1"/>
    <n v="0"/>
    <n v="237"/>
    <d v="2015-04-11T00:00:00"/>
  </r>
  <r>
    <n v="139"/>
    <n v="46344"/>
    <n v="338"/>
    <n v="7.2932849991368892E-3"/>
    <x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x v="1"/>
    <x v="9"/>
    <s v="36-50"/>
    <n v="2721"/>
    <n v="0"/>
    <n v="0"/>
    <n v="0"/>
    <n v="1"/>
    <n v="0"/>
    <n v="1"/>
    <n v="0"/>
    <n v="0"/>
    <n v="0"/>
    <n v="247"/>
    <d v="2015-05-04T00:00:00"/>
  </r>
  <r>
    <n v="1468"/>
    <n v="50388"/>
    <n v="338"/>
    <n v="6.7079463364293082E-3"/>
    <x v="0"/>
    <n v="1"/>
    <n v="3"/>
    <n v="292"/>
    <n v="6"/>
    <n v="37"/>
    <n v="0"/>
    <n v="3"/>
    <n v="34"/>
    <n v="4"/>
    <n v="6"/>
    <n v="1"/>
    <n v="6"/>
    <n v="7"/>
    <n v="1"/>
    <n v="0"/>
    <n v="0"/>
    <n v="1"/>
    <n v="0"/>
    <n v="0"/>
    <x v="0"/>
    <x v="12"/>
    <s v="51-66"/>
    <n v="2191"/>
    <n v="0"/>
    <n v="0"/>
    <n v="1"/>
    <n v="0"/>
    <n v="0"/>
    <n v="0"/>
    <n v="1"/>
    <n v="0"/>
    <n v="0"/>
    <n v="304"/>
    <d v="2016-10-15T00:00:00"/>
  </r>
  <r>
    <n v="1663"/>
    <n v="54111"/>
    <n v="338"/>
    <n v="6.2464193971650869E-3"/>
    <x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x v="1"/>
    <x v="47"/>
    <s v="51-66"/>
    <n v="2467"/>
    <n v="0"/>
    <n v="0"/>
    <n v="0"/>
    <n v="0"/>
    <n v="1"/>
    <n v="0"/>
    <n v="0"/>
    <n v="0"/>
    <n v="1"/>
    <n v="288"/>
    <d v="2016-01-13T00:00:00"/>
  </r>
  <r>
    <n v="1223"/>
    <n v="50200"/>
    <n v="337"/>
    <n v="6.7131474103585657E-3"/>
    <x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x v="1"/>
    <x v="7"/>
    <s v="36-50"/>
    <n v="2611"/>
    <n v="0"/>
    <n v="0"/>
    <n v="0"/>
    <n v="1"/>
    <n v="0"/>
    <n v="0"/>
    <n v="1"/>
    <n v="0"/>
    <n v="0"/>
    <n v="273"/>
    <d v="2015-08-22T00:00:00"/>
  </r>
  <r>
    <n v="1482"/>
    <n v="59754"/>
    <n v="336"/>
    <n v="5.6230545235465409E-3"/>
    <x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x v="0"/>
    <x v="47"/>
    <s v="51-66"/>
    <n v="2734"/>
    <n v="0"/>
    <n v="1"/>
    <n v="0"/>
    <n v="0"/>
    <n v="0"/>
    <n v="0"/>
    <n v="1"/>
    <n v="0"/>
    <n v="0"/>
    <n v="197"/>
    <d v="2015-04-21T00:00:00"/>
  </r>
  <r>
    <n v="1198"/>
    <n v="46149"/>
    <n v="335"/>
    <n v="7.2590955383648615E-3"/>
    <x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x v="1"/>
    <x v="16"/>
    <s v="36-50"/>
    <n v="2371"/>
    <n v="0"/>
    <n v="1"/>
    <n v="0"/>
    <n v="0"/>
    <n v="0"/>
    <n v="0"/>
    <n v="1"/>
    <n v="0"/>
    <n v="0"/>
    <n v="308"/>
    <d v="2016-04-18T00:00:00"/>
  </r>
  <r>
    <n v="1035"/>
    <n v="54210"/>
    <n v="322"/>
    <n v="5.9398634938203285E-3"/>
    <x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x v="1"/>
    <x v="19"/>
    <s v="36-50"/>
    <n v="2564"/>
    <n v="0"/>
    <n v="1"/>
    <n v="0"/>
    <n v="0"/>
    <n v="0"/>
    <n v="1"/>
    <n v="0"/>
    <n v="0"/>
    <n v="0"/>
    <n v="277"/>
    <d v="2015-10-08T00:00:00"/>
  </r>
  <r>
    <n v="1484"/>
    <n v="48752"/>
    <n v="316"/>
    <n v="6.4817853626517883E-3"/>
    <x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x v="0"/>
    <x v="3"/>
    <s v="51-66"/>
    <n v="2723"/>
    <n v="0"/>
    <n v="1"/>
    <n v="0"/>
    <n v="0"/>
    <n v="0"/>
    <n v="0"/>
    <n v="1"/>
    <n v="0"/>
    <n v="0"/>
    <n v="316"/>
    <d v="2015-05-02T00:00:00"/>
  </r>
  <r>
    <n v="689"/>
    <n v="70545"/>
    <n v="313"/>
    <n v="4.4368842582748601E-3"/>
    <x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x v="1"/>
    <x v="50"/>
    <s v="66+"/>
    <n v="2185"/>
    <n v="0"/>
    <n v="0"/>
    <n v="0"/>
    <n v="1"/>
    <n v="0"/>
    <n v="0"/>
    <n v="0"/>
    <n v="1"/>
    <n v="0"/>
    <n v="292"/>
    <d v="2016-10-21T00:00:00"/>
  </r>
  <r>
    <n v="849"/>
    <n v="57100"/>
    <n v="313"/>
    <n v="5.4816112084063043E-3"/>
    <x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x v="1"/>
    <x v="30"/>
    <s v="36-50"/>
    <n v="2366"/>
    <n v="0"/>
    <n v="0"/>
    <n v="0"/>
    <n v="1"/>
    <n v="0"/>
    <n v="0"/>
    <n v="1"/>
    <n v="0"/>
    <n v="0"/>
    <n v="217"/>
    <d v="2016-04-23T00:00:00"/>
  </r>
  <r>
    <n v="1390"/>
    <n v="53253"/>
    <n v="311"/>
    <n v="5.8400465701462833E-3"/>
    <x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x v="1"/>
    <x v="16"/>
    <s v="36-50"/>
    <n v="2662"/>
    <n v="0"/>
    <n v="0"/>
    <n v="0"/>
    <n v="1"/>
    <n v="0"/>
    <n v="0"/>
    <n v="0"/>
    <n v="1"/>
    <n v="0"/>
    <n v="186"/>
    <d v="2015-07-02T00:00:00"/>
  </r>
  <r>
    <n v="238"/>
    <n v="45989"/>
    <n v="310"/>
    <n v="6.7407423514318637E-3"/>
    <x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x v="1"/>
    <x v="42"/>
    <s v="51-66"/>
    <n v="2774"/>
    <n v="0"/>
    <n v="0"/>
    <n v="1"/>
    <n v="0"/>
    <n v="0"/>
    <n v="0"/>
    <n v="1"/>
    <n v="0"/>
    <n v="0"/>
    <n v="298"/>
    <d v="2015-03-12T00:00:00"/>
  </r>
  <r>
    <n v="1496"/>
    <n v="35196"/>
    <n v="310"/>
    <n v="8.8078190703489035E-3"/>
    <x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0"/>
    <x v="39"/>
    <s v="36-50"/>
    <n v="2752"/>
    <n v="0"/>
    <n v="0"/>
    <n v="0"/>
    <n v="1"/>
    <n v="0"/>
    <n v="0"/>
    <n v="1"/>
    <n v="0"/>
    <n v="0"/>
    <n v="123"/>
    <d v="2015-04-03T00:00:00"/>
  </r>
  <r>
    <n v="1572"/>
    <n v="35196"/>
    <n v="310"/>
    <n v="8.8078190703489035E-3"/>
    <x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1"/>
    <x v="39"/>
    <s v="36-50"/>
    <n v="2752"/>
    <n v="0"/>
    <n v="0"/>
    <n v="0"/>
    <n v="1"/>
    <n v="0"/>
    <n v="0"/>
    <n v="1"/>
    <n v="0"/>
    <n v="0"/>
    <n v="123"/>
    <d v="2015-04-03T00:00:00"/>
  </r>
  <r>
    <n v="1237"/>
    <n v="46692"/>
    <n v="309"/>
    <n v="6.6178360318684144E-3"/>
    <x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x v="1"/>
    <x v="27"/>
    <s v="51-66"/>
    <n v="2547"/>
    <n v="0"/>
    <n v="0"/>
    <n v="0"/>
    <n v="1"/>
    <n v="0"/>
    <n v="0"/>
    <n v="0"/>
    <n v="1"/>
    <n v="0"/>
    <n v="221"/>
    <d v="2015-10-25T00:00:00"/>
  </r>
  <r>
    <n v="1303"/>
    <n v="51039"/>
    <n v="308"/>
    <n v="6.0346009913987341E-3"/>
    <x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x v="1"/>
    <x v="3"/>
    <s v="51-66"/>
    <n v="2725"/>
    <n v="0"/>
    <n v="1"/>
    <n v="0"/>
    <n v="0"/>
    <n v="0"/>
    <n v="0"/>
    <n v="0"/>
    <n v="0"/>
    <n v="1"/>
    <n v="199"/>
    <d v="2015-04-30T00:00:00"/>
  </r>
  <r>
    <n v="1897"/>
    <n v="71322"/>
    <n v="308"/>
    <n v="4.318443117130759E-3"/>
    <x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x v="1"/>
    <x v="7"/>
    <s v="36-50"/>
    <n v="2217"/>
    <n v="0"/>
    <n v="0"/>
    <n v="0"/>
    <n v="1"/>
    <n v="0"/>
    <n v="0"/>
    <n v="1"/>
    <n v="0"/>
    <n v="0"/>
    <n v="266"/>
    <d v="2016-09-19T00:00:00"/>
  </r>
  <r>
    <n v="532"/>
    <n v="48799"/>
    <n v="307"/>
    <n v="6.2911125227975984E-3"/>
    <x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x v="1"/>
    <x v="33"/>
    <s v="51-66"/>
    <n v="2395"/>
    <n v="1"/>
    <n v="0"/>
    <n v="0"/>
    <n v="0"/>
    <n v="0"/>
    <n v="0"/>
    <n v="0"/>
    <n v="0"/>
    <n v="1"/>
    <n v="283"/>
    <d v="2016-03-25T00:00:00"/>
  </r>
  <r>
    <n v="426"/>
    <n v="38988"/>
    <n v="306"/>
    <n v="7.8485687903970449E-3"/>
    <x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x v="1"/>
    <x v="9"/>
    <s v="36-50"/>
    <n v="2837"/>
    <n v="0"/>
    <n v="1"/>
    <n v="0"/>
    <n v="0"/>
    <n v="0"/>
    <n v="0"/>
    <n v="1"/>
    <n v="0"/>
    <n v="0"/>
    <n v="264"/>
    <d v="2015-01-08T00:00:00"/>
  </r>
  <r>
    <n v="1042"/>
    <n v="66480"/>
    <n v="306"/>
    <n v="4.6028880866425996E-3"/>
    <x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x v="1"/>
    <x v="47"/>
    <s v="51-66"/>
    <n v="2188"/>
    <n v="0"/>
    <n v="1"/>
    <n v="0"/>
    <n v="0"/>
    <n v="0"/>
    <n v="0"/>
    <n v="1"/>
    <n v="0"/>
    <n v="0"/>
    <n v="300"/>
    <d v="2016-10-18T00:00:00"/>
  </r>
  <r>
    <n v="1167"/>
    <n v="27683"/>
    <n v="306"/>
    <n v="1.1053715276523499E-2"/>
    <x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x v="1"/>
    <x v="37"/>
    <s v="36-50"/>
    <n v="2853"/>
    <n v="0"/>
    <n v="0"/>
    <n v="0"/>
    <n v="1"/>
    <n v="0"/>
    <n v="0"/>
    <n v="0"/>
    <n v="0"/>
    <n v="1"/>
    <n v="261"/>
    <d v="2014-12-23T00:00:00"/>
  </r>
  <r>
    <n v="1507"/>
    <n v="38513"/>
    <n v="306"/>
    <n v="7.9453690961493514E-3"/>
    <x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x v="0"/>
    <x v="31"/>
    <s v="36-50"/>
    <n v="2311"/>
    <n v="0"/>
    <n v="0"/>
    <n v="1"/>
    <n v="0"/>
    <n v="0"/>
    <n v="0"/>
    <n v="0"/>
    <n v="0"/>
    <n v="1"/>
    <n v="288"/>
    <d v="2016-06-17T00:00:00"/>
  </r>
  <r>
    <n v="1256"/>
    <n v="50127"/>
    <n v="305"/>
    <n v="6.0845452550521671E-3"/>
    <x v="0"/>
    <n v="1"/>
    <n v="88"/>
    <n v="274"/>
    <n v="0"/>
    <n v="21"/>
    <n v="4"/>
    <n v="6"/>
    <n v="15"/>
    <n v="1"/>
    <n v="5"/>
    <n v="1"/>
    <n v="6"/>
    <n v="6"/>
    <n v="0"/>
    <n v="0"/>
    <n v="0"/>
    <n v="1"/>
    <n v="0"/>
    <n v="0"/>
    <x v="1"/>
    <x v="46"/>
    <s v="51-66"/>
    <n v="2190"/>
    <n v="0"/>
    <n v="0"/>
    <n v="0"/>
    <n v="1"/>
    <n v="0"/>
    <n v="0"/>
    <n v="1"/>
    <n v="0"/>
    <n v="0"/>
    <n v="290"/>
    <d v="2016-10-16T00:00:00"/>
  </r>
  <r>
    <n v="1519"/>
    <n v="36634"/>
    <n v="305"/>
    <n v="8.3255991701697875E-3"/>
    <x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x v="1"/>
    <x v="44"/>
    <s v="66+"/>
    <n v="2556"/>
    <n v="0"/>
    <n v="0"/>
    <n v="0"/>
    <n v="1"/>
    <n v="0"/>
    <n v="0"/>
    <n v="0"/>
    <n v="1"/>
    <n v="0"/>
    <n v="275"/>
    <d v="2015-10-16T00:00:00"/>
  </r>
  <r>
    <n v="504"/>
    <n v="47352"/>
    <n v="304"/>
    <n v="6.4200033789491469E-3"/>
    <x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  <x v="15"/>
    <s v="66+"/>
    <n v="2603"/>
    <n v="0"/>
    <n v="0"/>
    <n v="0"/>
    <n v="1"/>
    <n v="0"/>
    <n v="0"/>
    <n v="0"/>
    <n v="1"/>
    <n v="0"/>
    <n v="289"/>
    <d v="2015-08-30T00:00:00"/>
  </r>
  <r>
    <n v="511"/>
    <n v="42710"/>
    <n v="304"/>
    <n v="7.117771013814095E-3"/>
    <x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x v="1"/>
    <x v="39"/>
    <s v="36-50"/>
    <n v="2737"/>
    <n v="0"/>
    <n v="0"/>
    <n v="1"/>
    <n v="0"/>
    <n v="0"/>
    <n v="0"/>
    <n v="0"/>
    <n v="0"/>
    <n v="1"/>
    <n v="202"/>
    <d v="2015-04-18T00:00:00"/>
  </r>
  <r>
    <n v="902"/>
    <n v="54237"/>
    <n v="304"/>
    <n v="5.6050297767206887E-3"/>
    <x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x v="1"/>
    <x v="12"/>
    <s v="51-66"/>
    <n v="2587"/>
    <n v="1"/>
    <n v="0"/>
    <n v="0"/>
    <n v="0"/>
    <n v="0"/>
    <n v="0"/>
    <n v="0"/>
    <n v="0"/>
    <n v="1"/>
    <n v="247"/>
    <d v="2015-09-15T00:00:00"/>
  </r>
  <r>
    <n v="1341"/>
    <n v="51876"/>
    <n v="304"/>
    <n v="5.8601279975325779E-3"/>
    <x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x v="1"/>
    <x v="27"/>
    <s v="51-66"/>
    <n v="2416"/>
    <n v="0"/>
    <n v="1"/>
    <n v="0"/>
    <n v="0"/>
    <n v="0"/>
    <n v="0"/>
    <n v="1"/>
    <n v="0"/>
    <n v="0"/>
    <n v="298"/>
    <d v="2016-03-04T00:00:00"/>
  </r>
  <r>
    <n v="143"/>
    <n v="49967"/>
    <n v="303"/>
    <n v="6.0640022414793762E-3"/>
    <x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x v="1"/>
    <x v="27"/>
    <s v="51-66"/>
    <n v="2515"/>
    <n v="0"/>
    <n v="0"/>
    <n v="1"/>
    <n v="0"/>
    <n v="0"/>
    <n v="0"/>
    <n v="1"/>
    <n v="0"/>
    <n v="0"/>
    <n v="300"/>
    <d v="2015-11-26T00:00:00"/>
  </r>
  <r>
    <n v="177"/>
    <n v="51148"/>
    <n v="303"/>
    <n v="5.9239852975678424E-3"/>
    <x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x v="1"/>
    <x v="30"/>
    <s v="36-50"/>
    <n v="2655"/>
    <n v="0"/>
    <n v="1"/>
    <n v="0"/>
    <n v="0"/>
    <n v="0"/>
    <n v="0"/>
    <n v="1"/>
    <n v="0"/>
    <n v="0"/>
    <n v="291"/>
    <d v="2015-07-09T00:00:00"/>
  </r>
  <r>
    <n v="746"/>
    <n v="45183"/>
    <n v="303"/>
    <n v="6.7060620144744707E-3"/>
    <x v="0"/>
    <n v="0"/>
    <n v="33"/>
    <n v="219"/>
    <n v="3"/>
    <n v="60"/>
    <n v="12"/>
    <n v="9"/>
    <n v="12"/>
    <n v="1"/>
    <n v="4"/>
    <n v="1"/>
    <n v="7"/>
    <n v="7"/>
    <n v="0"/>
    <n v="0"/>
    <n v="0"/>
    <n v="1"/>
    <n v="0"/>
    <n v="0"/>
    <x v="1"/>
    <x v="46"/>
    <s v="51-66"/>
    <n v="2684"/>
    <n v="0"/>
    <n v="0"/>
    <n v="1"/>
    <n v="0"/>
    <n v="0"/>
    <n v="0"/>
    <n v="0"/>
    <n v="1"/>
    <n v="0"/>
    <n v="291"/>
    <d v="2015-06-10T00:00:00"/>
  </r>
  <r>
    <n v="785"/>
    <n v="49494"/>
    <n v="303"/>
    <n v="6.1219541762637898E-3"/>
    <x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x v="1"/>
    <x v="9"/>
    <s v="36-50"/>
    <n v="2589"/>
    <n v="0"/>
    <n v="0"/>
    <n v="1"/>
    <n v="0"/>
    <n v="0"/>
    <n v="0"/>
    <n v="0"/>
    <n v="1"/>
    <n v="0"/>
    <n v="221"/>
    <d v="2015-09-13T00:00:00"/>
  </r>
  <r>
    <n v="863"/>
    <n v="42607"/>
    <n v="303"/>
    <n v="7.1115074987678079E-3"/>
    <x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x v="1"/>
    <x v="44"/>
    <s v="66+"/>
    <n v="2383"/>
    <n v="0"/>
    <n v="0"/>
    <n v="1"/>
    <n v="0"/>
    <n v="0"/>
    <n v="1"/>
    <n v="0"/>
    <n v="0"/>
    <n v="0"/>
    <n v="256"/>
    <d v="2016-04-06T00:00:00"/>
  </r>
  <r>
    <n v="1513"/>
    <n v="34600"/>
    <n v="303"/>
    <n v="8.7572254335260124E-3"/>
    <x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  <x v="28"/>
    <s v="36-50"/>
    <n v="2703"/>
    <n v="0"/>
    <n v="0"/>
    <n v="0"/>
    <n v="1"/>
    <n v="0"/>
    <n v="0"/>
    <n v="1"/>
    <n v="0"/>
    <n v="0"/>
    <n v="288"/>
    <d v="2015-05-22T00:00:00"/>
  </r>
  <r>
    <n v="1056"/>
    <n v="46734"/>
    <n v="301"/>
    <n v="6.4407069799289601E-3"/>
    <x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x v="1"/>
    <x v="44"/>
    <s v="66+"/>
    <n v="2747"/>
    <n v="0"/>
    <n v="1"/>
    <n v="0"/>
    <n v="0"/>
    <n v="0"/>
    <n v="0"/>
    <n v="1"/>
    <n v="0"/>
    <n v="0"/>
    <n v="272"/>
    <d v="2015-04-08T00:00:00"/>
  </r>
  <r>
    <n v="491"/>
    <n v="42691"/>
    <n v="300"/>
    <n v="7.0272422758895321E-3"/>
    <x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x v="1"/>
    <x v="1"/>
    <s v="24-35"/>
    <n v="2476"/>
    <n v="0"/>
    <n v="1"/>
    <n v="0"/>
    <n v="0"/>
    <n v="0"/>
    <n v="0"/>
    <n v="1"/>
    <n v="0"/>
    <n v="0"/>
    <n v="242"/>
    <d v="2016-01-04T00:00:00"/>
  </r>
  <r>
    <n v="583"/>
    <n v="30522"/>
    <n v="300"/>
    <n v="9.8289758207194804E-3"/>
    <x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x v="1"/>
    <x v="24"/>
    <s v="51-66"/>
    <n v="2840"/>
    <n v="0"/>
    <n v="1"/>
    <n v="0"/>
    <n v="0"/>
    <n v="0"/>
    <n v="0"/>
    <n v="0"/>
    <n v="1"/>
    <n v="0"/>
    <n v="274"/>
    <d v="2015-01-05T00:00:00"/>
  </r>
  <r>
    <n v="1956"/>
    <n v="62994"/>
    <n v="300"/>
    <n v="4.7623583198399847E-3"/>
    <x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x v="1"/>
    <x v="41"/>
    <s v="36-50"/>
    <n v="2276"/>
    <n v="0"/>
    <n v="0"/>
    <n v="0"/>
    <n v="1"/>
    <n v="0"/>
    <n v="0"/>
    <n v="1"/>
    <n v="0"/>
    <n v="0"/>
    <n v="288"/>
    <d v="2016-07-22T00:00:00"/>
  </r>
  <r>
    <n v="1289"/>
    <n v="57420"/>
    <n v="298"/>
    <n v="5.1898293277603622E-3"/>
    <x v="0"/>
    <n v="1"/>
    <n v="22"/>
    <n v="280"/>
    <n v="0"/>
    <n v="18"/>
    <n v="0"/>
    <n v="0"/>
    <n v="24"/>
    <n v="3"/>
    <n v="5"/>
    <n v="1"/>
    <n v="6"/>
    <n v="7"/>
    <n v="0"/>
    <n v="0"/>
    <n v="0"/>
    <n v="1"/>
    <n v="0"/>
    <n v="0"/>
    <x v="1"/>
    <x v="28"/>
    <s v="36-50"/>
    <n v="2528"/>
    <n v="0"/>
    <n v="0"/>
    <n v="0"/>
    <n v="1"/>
    <n v="0"/>
    <n v="0"/>
    <n v="0"/>
    <n v="1"/>
    <n v="0"/>
    <n v="274"/>
    <d v="2015-11-13T00:00:00"/>
  </r>
  <r>
    <n v="838"/>
    <n v="51390"/>
    <n v="297"/>
    <n v="5.7793345008756566E-3"/>
    <x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x v="1"/>
    <x v="47"/>
    <s v="51-66"/>
    <n v="2818"/>
    <n v="0"/>
    <n v="0"/>
    <n v="0"/>
    <n v="0"/>
    <n v="1"/>
    <n v="0"/>
    <n v="0"/>
    <n v="1"/>
    <n v="0"/>
    <n v="241"/>
    <d v="2015-01-27T00:00:00"/>
  </r>
  <r>
    <n v="1067"/>
    <n v="49669"/>
    <n v="297"/>
    <n v="5.979584851718376E-3"/>
    <x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x v="1"/>
    <x v="35"/>
    <s v="36-50"/>
    <n v="2195"/>
    <n v="0"/>
    <n v="0"/>
    <n v="0"/>
    <n v="1"/>
    <n v="0"/>
    <n v="1"/>
    <n v="0"/>
    <n v="0"/>
    <n v="0"/>
    <n v="268"/>
    <d v="2016-10-11T00:00:00"/>
  </r>
  <r>
    <n v="1229"/>
    <n v="45143"/>
    <n v="297"/>
    <n v="6.5790931041357463E-3"/>
    <x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  <x v="47"/>
    <s v="51-66"/>
    <n v="2466"/>
    <n v="0"/>
    <n v="0"/>
    <n v="0"/>
    <n v="1"/>
    <n v="0"/>
    <n v="0"/>
    <n v="0"/>
    <n v="1"/>
    <n v="0"/>
    <n v="283"/>
    <d v="2016-01-14T00:00:00"/>
  </r>
  <r>
    <n v="1516"/>
    <n v="37774"/>
    <n v="297"/>
    <n v="7.8625509609784507E-3"/>
    <x v="2"/>
    <n v="0"/>
    <n v="28"/>
    <n v="173"/>
    <n v="8"/>
    <n v="107"/>
    <n v="7"/>
    <n v="2"/>
    <n v="176"/>
    <n v="4"/>
    <n v="7"/>
    <n v="2"/>
    <n v="3"/>
    <n v="9"/>
    <n v="0"/>
    <n v="0"/>
    <n v="1"/>
    <n v="0"/>
    <n v="0"/>
    <n v="1"/>
    <x v="0"/>
    <x v="13"/>
    <s v="36-50"/>
    <n v="2823"/>
    <n v="0"/>
    <n v="0"/>
    <n v="1"/>
    <n v="0"/>
    <n v="0"/>
    <n v="0"/>
    <n v="1"/>
    <n v="0"/>
    <n v="0"/>
    <n v="121"/>
    <d v="2015-01-22T00:00:00"/>
  </r>
  <r>
    <n v="1735"/>
    <n v="45688"/>
    <n v="297"/>
    <n v="6.500612852390124E-3"/>
    <x v="0"/>
    <n v="1"/>
    <n v="20"/>
    <n v="279"/>
    <n v="0"/>
    <n v="18"/>
    <n v="0"/>
    <n v="0"/>
    <n v="9"/>
    <n v="2"/>
    <n v="3"/>
    <n v="1"/>
    <n v="8"/>
    <n v="4"/>
    <n v="0"/>
    <n v="0"/>
    <n v="0"/>
    <n v="1"/>
    <n v="0"/>
    <n v="0"/>
    <x v="1"/>
    <x v="14"/>
    <s v="51-66"/>
    <n v="2314"/>
    <n v="0"/>
    <n v="1"/>
    <n v="0"/>
    <n v="0"/>
    <n v="0"/>
    <n v="0"/>
    <n v="1"/>
    <n v="0"/>
    <n v="0"/>
    <n v="288"/>
    <d v="2016-06-14T00:00:00"/>
  </r>
  <r>
    <n v="13"/>
    <n v="59354"/>
    <n v="296"/>
    <n v="4.9870269905987804E-3"/>
    <x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x v="1"/>
    <x v="50"/>
    <s v="66+"/>
    <n v="2385"/>
    <n v="1"/>
    <n v="0"/>
    <n v="0"/>
    <n v="0"/>
    <n v="0"/>
    <n v="0"/>
    <n v="0"/>
    <n v="1"/>
    <n v="0"/>
    <n v="282"/>
    <d v="2016-04-04T00:00:00"/>
  </r>
  <r>
    <n v="461"/>
    <n v="46310"/>
    <n v="295"/>
    <n v="6.3701144461239473E-3"/>
    <x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x v="1"/>
    <x v="7"/>
    <s v="36-50"/>
    <n v="2732"/>
    <n v="1"/>
    <n v="0"/>
    <n v="0"/>
    <n v="0"/>
    <n v="0"/>
    <n v="0"/>
    <n v="1"/>
    <n v="0"/>
    <n v="0"/>
    <n v="281"/>
    <d v="2015-04-23T00:00:00"/>
  </r>
  <r>
    <n v="1070"/>
    <n v="49678"/>
    <n v="295"/>
    <n v="5.9382422802850355E-3"/>
    <x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x v="1"/>
    <x v="21"/>
    <s v="51-66"/>
    <n v="2671"/>
    <n v="0"/>
    <n v="1"/>
    <n v="0"/>
    <n v="0"/>
    <n v="0"/>
    <n v="0"/>
    <n v="1"/>
    <n v="0"/>
    <n v="0"/>
    <n v="275"/>
    <d v="2015-06-23T00:00:00"/>
  </r>
  <r>
    <n v="1945"/>
    <n v="63516"/>
    <n v="295"/>
    <n v="4.644499023868002E-3"/>
    <x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x v="1"/>
    <x v="30"/>
    <s v="36-50"/>
    <n v="2517"/>
    <n v="0"/>
    <n v="0"/>
    <n v="0"/>
    <n v="1"/>
    <n v="0"/>
    <n v="0"/>
    <n v="0"/>
    <n v="0"/>
    <n v="1"/>
    <n v="290"/>
    <d v="2015-11-24T00:00:00"/>
  </r>
  <r>
    <n v="1487"/>
    <n v="57100"/>
    <n v="294"/>
    <n v="5.1488616462346763E-3"/>
    <x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x v="1"/>
    <x v="36"/>
    <s v="24-35"/>
    <n v="2201"/>
    <n v="0"/>
    <n v="0"/>
    <n v="1"/>
    <n v="0"/>
    <n v="0"/>
    <n v="0"/>
    <n v="1"/>
    <n v="0"/>
    <n v="0"/>
    <n v="277"/>
    <d v="2016-10-05T00:00:00"/>
  </r>
  <r>
    <n v="938"/>
    <n v="46086"/>
    <n v="293"/>
    <n v="6.3576791216421475E-3"/>
    <x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x v="1"/>
    <x v="5"/>
    <s v="51-66"/>
    <n v="2397"/>
    <n v="1"/>
    <n v="0"/>
    <n v="0"/>
    <n v="0"/>
    <n v="0"/>
    <n v="0"/>
    <n v="1"/>
    <n v="0"/>
    <n v="0"/>
    <n v="243"/>
    <d v="2016-03-23T00:00:00"/>
  </r>
  <r>
    <n v="1332"/>
    <n v="70844"/>
    <n v="292"/>
    <n v="4.1217322567895657E-3"/>
    <x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x v="1"/>
    <x v="26"/>
    <s v="51-66"/>
    <n v="2401"/>
    <n v="1"/>
    <n v="0"/>
    <n v="0"/>
    <n v="0"/>
    <n v="0"/>
    <n v="0"/>
    <n v="1"/>
    <n v="0"/>
    <n v="0"/>
    <n v="290"/>
    <d v="2016-03-19T00:00:00"/>
  </r>
  <r>
    <n v="1469"/>
    <n v="36108"/>
    <n v="292"/>
    <n v="8.0868505594328122E-3"/>
    <x v="1"/>
    <n v="0"/>
    <n v="68"/>
    <n v="141"/>
    <n v="8"/>
    <n v="129"/>
    <n v="3"/>
    <n v="11"/>
    <n v="47"/>
    <n v="3"/>
    <n v="7"/>
    <n v="1"/>
    <n v="4"/>
    <n v="9"/>
    <n v="0"/>
    <n v="0"/>
    <n v="1"/>
    <n v="0"/>
    <n v="0"/>
    <n v="0"/>
    <x v="1"/>
    <x v="39"/>
    <s v="36-50"/>
    <n v="2416"/>
    <n v="0"/>
    <n v="0"/>
    <n v="1"/>
    <n v="0"/>
    <n v="0"/>
    <n v="0"/>
    <n v="1"/>
    <n v="0"/>
    <n v="0"/>
    <n v="245"/>
    <d v="2016-03-04T00:00:00"/>
  </r>
  <r>
    <n v="1203"/>
    <n v="26997"/>
    <n v="290"/>
    <n v="1.0741934288995074E-2"/>
    <x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x v="1"/>
    <x v="15"/>
    <s v="66+"/>
    <n v="2760"/>
    <n v="0"/>
    <n v="1"/>
    <n v="0"/>
    <n v="0"/>
    <n v="0"/>
    <n v="0"/>
    <n v="0"/>
    <n v="0"/>
    <n v="0"/>
    <n v="146"/>
    <d v="2015-03-26T00:00:00"/>
  </r>
  <r>
    <n v="17"/>
    <n v="37760"/>
    <n v="289"/>
    <n v="7.6536016949152541E-3"/>
    <x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  <x v="8"/>
    <s v="66+"/>
    <n v="2826"/>
    <n v="0"/>
    <n v="0"/>
    <n v="0"/>
    <n v="1"/>
    <n v="0"/>
    <n v="0"/>
    <n v="1"/>
    <n v="0"/>
    <n v="0"/>
    <n v="261"/>
    <d v="2015-01-19T00:00:00"/>
  </r>
  <r>
    <n v="1522"/>
    <n v="57107"/>
    <n v="279"/>
    <n v="4.8855656924720265E-3"/>
    <x v="0"/>
    <n v="1"/>
    <n v="44"/>
    <n v="159"/>
    <n v="0"/>
    <n v="120"/>
    <n v="0"/>
    <n v="0"/>
    <n v="137"/>
    <n v="7"/>
    <n v="4"/>
    <n v="4"/>
    <n v="8"/>
    <n v="8"/>
    <n v="0"/>
    <n v="1"/>
    <n v="0"/>
    <n v="1"/>
    <n v="0"/>
    <n v="0"/>
    <x v="0"/>
    <x v="14"/>
    <s v="51-66"/>
    <n v="2833"/>
    <n v="0"/>
    <n v="0"/>
    <n v="1"/>
    <n v="0"/>
    <n v="0"/>
    <n v="0"/>
    <n v="1"/>
    <n v="0"/>
    <n v="0"/>
    <n v="142"/>
    <d v="2015-01-12T00:00:00"/>
  </r>
  <r>
    <n v="811"/>
    <n v="49514"/>
    <n v="276"/>
    <n v="5.5741810397059418E-3"/>
    <x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x v="1"/>
    <x v="16"/>
    <s v="36-50"/>
    <n v="2353"/>
    <n v="0"/>
    <n v="0"/>
    <n v="1"/>
    <n v="0"/>
    <n v="0"/>
    <n v="1"/>
    <n v="0"/>
    <n v="0"/>
    <n v="0"/>
    <n v="183"/>
    <d v="2016-05-06T00:00:00"/>
  </r>
  <r>
    <n v="1809"/>
    <n v="51373"/>
    <n v="276"/>
    <n v="5.372471921048021E-3"/>
    <x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x v="1"/>
    <x v="1"/>
    <s v="24-35"/>
    <n v="2531"/>
    <n v="0"/>
    <n v="1"/>
    <n v="0"/>
    <n v="0"/>
    <n v="0"/>
    <n v="0"/>
    <n v="1"/>
    <n v="0"/>
    <n v="0"/>
    <n v="159"/>
    <d v="2015-11-10T00:00:00"/>
  </r>
  <r>
    <n v="810"/>
    <n v="38683"/>
    <n v="275"/>
    <n v="7.1090659979836102E-3"/>
    <x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x v="1"/>
    <x v="32"/>
    <s v="24-35"/>
    <n v="2792"/>
    <n v="0"/>
    <n v="0"/>
    <n v="0"/>
    <n v="1"/>
    <n v="0"/>
    <n v="1"/>
    <n v="0"/>
    <n v="0"/>
    <n v="0"/>
    <n v="209"/>
    <d v="2015-02-22T00:00:00"/>
  </r>
  <r>
    <n v="1731"/>
    <n v="113734"/>
    <n v="274"/>
    <n v="2.4091300754391825E-3"/>
    <x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x v="1"/>
    <x v="49"/>
    <s v="66+"/>
    <n v="2191"/>
    <n v="0"/>
    <n v="0"/>
    <n v="1"/>
    <n v="0"/>
    <n v="0"/>
    <n v="0"/>
    <n v="0"/>
    <n v="0"/>
    <n v="1"/>
    <n v="271"/>
    <d v="2016-10-15T00:00:00"/>
  </r>
  <r>
    <n v="1530"/>
    <n v="36262"/>
    <n v="273"/>
    <n v="7.5285422756604711E-3"/>
    <x v="0"/>
    <n v="0"/>
    <n v="24"/>
    <n v="88"/>
    <n v="39"/>
    <n v="54"/>
    <n v="64"/>
    <n v="28"/>
    <n v="153"/>
    <n v="1"/>
    <n v="3"/>
    <n v="5"/>
    <n v="3"/>
    <n v="6"/>
    <n v="0"/>
    <n v="0"/>
    <n v="1"/>
    <n v="0"/>
    <n v="0"/>
    <n v="0"/>
    <x v="0"/>
    <x v="20"/>
    <s v="36-50"/>
    <n v="2441"/>
    <n v="0"/>
    <n v="1"/>
    <n v="0"/>
    <n v="0"/>
    <n v="0"/>
    <n v="0"/>
    <n v="0"/>
    <n v="1"/>
    <n v="0"/>
    <n v="120"/>
    <d v="2016-02-08T00:00:00"/>
  </r>
  <r>
    <n v="189"/>
    <n v="48721"/>
    <n v="272"/>
    <n v="5.5828082346421459E-3"/>
    <x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x v="1"/>
    <x v="33"/>
    <s v="51-66"/>
    <n v="2571"/>
    <n v="1"/>
    <n v="0"/>
    <n v="0"/>
    <n v="0"/>
    <n v="0"/>
    <n v="0"/>
    <n v="0"/>
    <n v="1"/>
    <n v="0"/>
    <n v="251"/>
    <d v="2015-10-01T00:00:00"/>
  </r>
  <r>
    <n v="1251"/>
    <n v="51948"/>
    <n v="270"/>
    <n v="5.1975051975051978E-3"/>
    <x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x v="1"/>
    <x v="16"/>
    <s v="36-50"/>
    <n v="2444"/>
    <n v="0"/>
    <n v="1"/>
    <n v="0"/>
    <n v="0"/>
    <n v="0"/>
    <n v="0"/>
    <n v="1"/>
    <n v="0"/>
    <n v="0"/>
    <n v="229"/>
    <d v="2016-02-05T00:00:00"/>
  </r>
  <r>
    <n v="356"/>
    <n v="27421"/>
    <n v="269"/>
    <n v="9.8099996353159993E-3"/>
    <x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x v="1"/>
    <x v="44"/>
    <s v="66+"/>
    <n v="2723"/>
    <n v="0"/>
    <n v="0"/>
    <n v="0"/>
    <n v="0"/>
    <n v="1"/>
    <n v="0"/>
    <n v="1"/>
    <n v="0"/>
    <n v="0"/>
    <n v="214"/>
    <d v="2015-05-02T00:00:00"/>
  </r>
  <r>
    <n v="972"/>
    <n v="28071"/>
    <n v="269"/>
    <n v="9.5828435039720713E-3"/>
    <x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x v="1"/>
    <x v="41"/>
    <s v="36-50"/>
    <n v="2828"/>
    <n v="0"/>
    <n v="0"/>
    <n v="1"/>
    <n v="0"/>
    <n v="0"/>
    <n v="0"/>
    <n v="1"/>
    <n v="0"/>
    <n v="0"/>
    <n v="225"/>
    <d v="2015-01-17T00:00:00"/>
  </r>
  <r>
    <n v="1853"/>
    <n v="40059"/>
    <n v="269"/>
    <n v="6.7150952345290697E-3"/>
    <x v="1"/>
    <n v="0"/>
    <n v="82"/>
    <n v="110"/>
    <n v="29"/>
    <n v="92"/>
    <n v="28"/>
    <n v="10"/>
    <n v="145"/>
    <n v="1"/>
    <n v="6"/>
    <n v="2"/>
    <n v="3"/>
    <n v="8"/>
    <n v="0"/>
    <n v="0"/>
    <n v="1"/>
    <n v="0"/>
    <n v="0"/>
    <n v="0"/>
    <x v="1"/>
    <x v="39"/>
    <s v="36-50"/>
    <n v="2433"/>
    <n v="0"/>
    <n v="1"/>
    <n v="0"/>
    <n v="0"/>
    <n v="0"/>
    <n v="0"/>
    <n v="1"/>
    <n v="0"/>
    <n v="0"/>
    <n v="124"/>
    <d v="2016-02-16T00:00:00"/>
  </r>
  <r>
    <n v="1954"/>
    <n v="59686"/>
    <n v="269"/>
    <n v="4.506919545622089E-3"/>
    <x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x v="1"/>
    <x v="47"/>
    <s v="51-66"/>
    <n v="2314"/>
    <n v="0"/>
    <n v="0"/>
    <n v="1"/>
    <n v="0"/>
    <n v="0"/>
    <n v="0"/>
    <n v="1"/>
    <n v="0"/>
    <n v="0"/>
    <n v="264"/>
    <d v="2016-06-14T00:00:00"/>
  </r>
  <r>
    <n v="20"/>
    <n v="37040"/>
    <n v="268"/>
    <n v="7.2354211663066955E-3"/>
    <x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x v="1"/>
    <x v="31"/>
    <s v="36-50"/>
    <n v="2849"/>
    <n v="0"/>
    <n v="1"/>
    <n v="0"/>
    <n v="0"/>
    <n v="0"/>
    <n v="0"/>
    <n v="1"/>
    <n v="0"/>
    <n v="0"/>
    <n v="220"/>
    <d v="2014-12-27T00:00:00"/>
  </r>
  <r>
    <n v="243"/>
    <n v="44159"/>
    <n v="268"/>
    <n v="6.0689780112774296E-3"/>
    <x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x v="1"/>
    <x v="2"/>
    <s v="36-50"/>
    <n v="2171"/>
    <n v="0"/>
    <n v="1"/>
    <n v="0"/>
    <n v="0"/>
    <n v="0"/>
    <n v="0"/>
    <n v="0"/>
    <n v="1"/>
    <n v="0"/>
    <n v="261"/>
    <d v="2016-11-04T00:00:00"/>
  </r>
  <r>
    <n v="429"/>
    <n v="50300"/>
    <n v="265"/>
    <n v="5.2683896620278328E-3"/>
    <x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x v="1"/>
    <x v="50"/>
    <s v="66+"/>
    <n v="2194"/>
    <n v="0"/>
    <n v="1"/>
    <n v="0"/>
    <n v="0"/>
    <n v="0"/>
    <n v="0"/>
    <n v="1"/>
    <n v="0"/>
    <n v="0"/>
    <n v="260"/>
    <d v="2016-10-12T00:00:00"/>
  </r>
  <r>
    <n v="1531"/>
    <n v="36864"/>
    <n v="265"/>
    <n v="7.1885850694444441E-3"/>
    <x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x v="0"/>
    <x v="12"/>
    <s v="51-66"/>
    <n v="2844"/>
    <n v="0"/>
    <n v="0"/>
    <n v="1"/>
    <n v="0"/>
    <n v="0"/>
    <n v="0"/>
    <n v="1"/>
    <n v="0"/>
    <n v="0"/>
    <n v="176"/>
    <d v="2015-01-01T00:00:00"/>
  </r>
  <r>
    <n v="1420"/>
    <n v="23331"/>
    <n v="264"/>
    <n v="1.1315417256011316E-2"/>
    <x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x v="1"/>
    <x v="0"/>
    <s v="24-35"/>
    <n v="2791"/>
    <n v="0"/>
    <n v="0"/>
    <n v="1"/>
    <n v="0"/>
    <n v="0"/>
    <n v="1"/>
    <n v="0"/>
    <n v="0"/>
    <n v="0"/>
    <n v="259"/>
    <d v="2015-02-23T00:00:00"/>
  </r>
  <r>
    <n v="1821"/>
    <n v="67506"/>
    <n v="264"/>
    <n v="3.9107634876899833E-3"/>
    <x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x v="1"/>
    <x v="41"/>
    <s v="36-50"/>
    <n v="2337"/>
    <n v="0"/>
    <n v="0"/>
    <n v="1"/>
    <n v="0"/>
    <n v="0"/>
    <n v="1"/>
    <n v="0"/>
    <n v="0"/>
    <n v="0"/>
    <n v="197"/>
    <d v="2016-05-22T00:00:00"/>
  </r>
  <r>
    <n v="538"/>
    <n v="44989"/>
    <n v="263"/>
    <n v="5.845873435728734E-3"/>
    <x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  <x v="35"/>
    <s v="36-50"/>
    <n v="2814"/>
    <n v="0"/>
    <n v="1"/>
    <n v="0"/>
    <n v="0"/>
    <n v="0"/>
    <n v="0"/>
    <n v="1"/>
    <n v="0"/>
    <n v="0"/>
    <n v="157"/>
    <d v="2015-01-31T00:00:00"/>
  </r>
  <r>
    <n v="1533"/>
    <n v="39660"/>
    <n v="263"/>
    <n v="6.6313666162380229E-3"/>
    <x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x v="0"/>
    <x v="31"/>
    <s v="36-50"/>
    <n v="2849"/>
    <n v="0"/>
    <n v="0"/>
    <n v="1"/>
    <n v="0"/>
    <n v="0"/>
    <n v="0"/>
    <n v="1"/>
    <n v="0"/>
    <n v="0"/>
    <n v="227"/>
    <d v="2014-12-27T00:00:00"/>
  </r>
  <r>
    <n v="1829"/>
    <n v="68805"/>
    <n v="263"/>
    <n v="3.8223966281520239E-3"/>
    <x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x v="1"/>
    <x v="29"/>
    <s v="51-66"/>
    <n v="2444"/>
    <n v="1"/>
    <n v="0"/>
    <n v="0"/>
    <n v="0"/>
    <n v="0"/>
    <n v="0"/>
    <n v="0"/>
    <n v="0"/>
    <n v="1"/>
    <n v="243"/>
    <d v="2016-02-05T00:00:00"/>
  </r>
  <r>
    <n v="380"/>
    <n v="65808"/>
    <n v="262"/>
    <n v="3.9812788718696819E-3"/>
    <x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x v="1"/>
    <x v="28"/>
    <s v="36-50"/>
    <n v="2189"/>
    <n v="1"/>
    <n v="0"/>
    <n v="0"/>
    <n v="0"/>
    <n v="0"/>
    <n v="0"/>
    <n v="0"/>
    <n v="0"/>
    <n v="1"/>
    <n v="252"/>
    <d v="2016-10-17T00:00:00"/>
  </r>
  <r>
    <n v="790"/>
    <n v="40049"/>
    <n v="262"/>
    <n v="6.5419860670678422E-3"/>
    <x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x v="1"/>
    <x v="35"/>
    <s v="36-50"/>
    <n v="2736"/>
    <n v="0"/>
    <n v="1"/>
    <n v="0"/>
    <n v="0"/>
    <n v="0"/>
    <n v="0"/>
    <n v="1"/>
    <n v="0"/>
    <n v="0"/>
    <n v="234"/>
    <d v="2015-04-19T00:00:00"/>
  </r>
  <r>
    <n v="1231"/>
    <n v="59060"/>
    <n v="262"/>
    <n v="4.4361666102268882E-3"/>
    <x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x v="1"/>
    <x v="32"/>
    <s v="24-35"/>
    <n v="2328"/>
    <n v="0"/>
    <n v="1"/>
    <n v="0"/>
    <n v="0"/>
    <n v="0"/>
    <n v="1"/>
    <n v="0"/>
    <n v="0"/>
    <n v="0"/>
    <n v="250"/>
    <d v="2016-05-31T00:00:00"/>
  </r>
  <r>
    <n v="453"/>
    <n v="43057"/>
    <n v="261"/>
    <n v="6.0617321225352443E-3"/>
    <x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x v="1"/>
    <x v="16"/>
    <s v="36-50"/>
    <n v="2401"/>
    <n v="0"/>
    <n v="1"/>
    <n v="0"/>
    <n v="0"/>
    <n v="0"/>
    <n v="0"/>
    <n v="1"/>
    <n v="0"/>
    <n v="0"/>
    <n v="256"/>
    <d v="2016-03-19T00:00:00"/>
  </r>
  <r>
    <n v="1220"/>
    <n v="44267"/>
    <n v="261"/>
    <n v="5.8960399394582868E-3"/>
    <x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x v="1"/>
    <x v="2"/>
    <s v="36-50"/>
    <n v="2648"/>
    <n v="1"/>
    <n v="0"/>
    <n v="0"/>
    <n v="0"/>
    <n v="0"/>
    <n v="0"/>
    <n v="1"/>
    <n v="0"/>
    <n v="0"/>
    <n v="212"/>
    <d v="2015-07-16T00:00:00"/>
  </r>
  <r>
    <n v="1090"/>
    <n v="44375"/>
    <n v="260"/>
    <n v="5.8591549295774646E-3"/>
    <x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x v="1"/>
    <x v="47"/>
    <s v="51-66"/>
    <n v="2257"/>
    <n v="0"/>
    <n v="1"/>
    <n v="0"/>
    <n v="0"/>
    <n v="0"/>
    <n v="0"/>
    <n v="1"/>
    <n v="0"/>
    <n v="0"/>
    <n v="219"/>
    <d v="2016-08-10T00:00:00"/>
  </r>
  <r>
    <n v="1483"/>
    <n v="33955"/>
    <n v="260"/>
    <n v="7.6571933441319396E-3"/>
    <x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x v="1"/>
    <x v="16"/>
    <s v="36-50"/>
    <n v="2483"/>
    <n v="0"/>
    <n v="0"/>
    <n v="1"/>
    <n v="0"/>
    <n v="0"/>
    <n v="0"/>
    <n v="1"/>
    <n v="0"/>
    <n v="0"/>
    <n v="250"/>
    <d v="2015-12-28T00:00:00"/>
  </r>
  <r>
    <n v="1842"/>
    <n v="48195"/>
    <n v="260"/>
    <n v="5.3947504927897086E-3"/>
    <x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x v="1"/>
    <x v="5"/>
    <s v="51-66"/>
    <n v="2318"/>
    <n v="0"/>
    <n v="1"/>
    <n v="0"/>
    <n v="0"/>
    <n v="0"/>
    <n v="0"/>
    <n v="1"/>
    <n v="0"/>
    <n v="0"/>
    <n v="255"/>
    <d v="2016-06-10T00:00:00"/>
  </r>
  <r>
    <n v="541"/>
    <n v="64413"/>
    <n v="259"/>
    <n v="4.0209274525328737E-3"/>
    <x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x v="1"/>
    <x v="2"/>
    <s v="36-50"/>
    <n v="2491"/>
    <n v="0"/>
    <n v="0"/>
    <n v="0"/>
    <n v="1"/>
    <n v="0"/>
    <n v="0"/>
    <n v="0"/>
    <n v="0"/>
    <n v="1"/>
    <n v="239"/>
    <d v="2015-12-20T00:00:00"/>
  </r>
  <r>
    <n v="890"/>
    <n v="68274"/>
    <n v="259"/>
    <n v="3.7935378035562585E-3"/>
    <x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x v="1"/>
    <x v="19"/>
    <s v="36-50"/>
    <n v="2431"/>
    <n v="1"/>
    <n v="0"/>
    <n v="0"/>
    <n v="0"/>
    <n v="0"/>
    <n v="0"/>
    <n v="1"/>
    <n v="0"/>
    <n v="0"/>
    <n v="213"/>
    <d v="2016-02-18T00:00:00"/>
  </r>
  <r>
    <n v="1054"/>
    <n v="52034"/>
    <n v="259"/>
    <n v="4.977514701925664E-3"/>
    <x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x v="1"/>
    <x v="30"/>
    <s v="36-50"/>
    <n v="2567"/>
    <n v="1"/>
    <n v="0"/>
    <n v="0"/>
    <n v="0"/>
    <n v="0"/>
    <n v="0"/>
    <n v="0"/>
    <n v="1"/>
    <n v="0"/>
    <n v="186"/>
    <d v="2015-10-05T00:00:00"/>
  </r>
  <r>
    <n v="1546"/>
    <n v="46610"/>
    <n v="259"/>
    <n v="5.5567474790817421E-3"/>
    <x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x v="0"/>
    <x v="50"/>
    <s v="66+"/>
    <n v="2767"/>
    <n v="1"/>
    <n v="0"/>
    <n v="0"/>
    <n v="0"/>
    <n v="0"/>
    <n v="0"/>
    <n v="0"/>
    <n v="0"/>
    <n v="1"/>
    <n v="216"/>
    <d v="2015-03-19T00:00:00"/>
  </r>
  <r>
    <n v="1565"/>
    <n v="52117"/>
    <n v="259"/>
    <n v="4.9695876585375215E-3"/>
    <x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x v="1"/>
    <x v="47"/>
    <s v="51-66"/>
    <n v="2841"/>
    <n v="0"/>
    <n v="0"/>
    <n v="0"/>
    <n v="1"/>
    <n v="0"/>
    <n v="0"/>
    <n v="1"/>
    <n v="0"/>
    <n v="0"/>
    <n v="239"/>
    <d v="2015-01-04T00:00:00"/>
  </r>
  <r>
    <n v="744"/>
    <n v="51267"/>
    <n v="258"/>
    <n v="5.0324770320088943E-3"/>
    <x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x v="1"/>
    <x v="37"/>
    <s v="36-50"/>
    <n v="2402"/>
    <n v="0"/>
    <n v="1"/>
    <n v="0"/>
    <n v="0"/>
    <n v="0"/>
    <n v="0"/>
    <n v="1"/>
    <n v="0"/>
    <n v="0"/>
    <n v="246"/>
    <d v="2016-03-18T00:00:00"/>
  </r>
  <r>
    <n v="798"/>
    <n v="49166"/>
    <n v="258"/>
    <n v="5.2475287800512549E-3"/>
    <x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x v="1"/>
    <x v="35"/>
    <s v="36-50"/>
    <n v="2540"/>
    <n v="0"/>
    <n v="0"/>
    <n v="1"/>
    <n v="0"/>
    <n v="0"/>
    <n v="0"/>
    <n v="1"/>
    <n v="0"/>
    <n v="0"/>
    <n v="148"/>
    <d v="2015-11-01T00:00:00"/>
  </r>
  <r>
    <n v="808"/>
    <n v="44602"/>
    <n v="258"/>
    <n v="5.7844939688803197E-3"/>
    <x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x v="1"/>
    <x v="3"/>
    <s v="51-66"/>
    <n v="2293"/>
    <n v="0"/>
    <n v="0"/>
    <n v="0"/>
    <n v="1"/>
    <n v="0"/>
    <n v="0"/>
    <n v="0"/>
    <n v="1"/>
    <n v="0"/>
    <n v="224"/>
    <d v="2016-07-05T00:00:00"/>
  </r>
  <r>
    <n v="943"/>
    <n v="36930"/>
    <n v="258"/>
    <n v="6.9861900893582454E-3"/>
    <x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x v="1"/>
    <x v="44"/>
    <s v="66+"/>
    <n v="2567"/>
    <n v="0"/>
    <n v="1"/>
    <n v="0"/>
    <n v="0"/>
    <n v="0"/>
    <n v="0"/>
    <n v="0"/>
    <n v="0"/>
    <n v="1"/>
    <n v="219"/>
    <d v="2015-10-05T00:00:00"/>
  </r>
  <r>
    <n v="1416"/>
    <n v="53083"/>
    <n v="258"/>
    <n v="4.8603130945877211E-3"/>
    <x v="1"/>
    <n v="1"/>
    <n v="65"/>
    <n v="215"/>
    <n v="7"/>
    <n v="33"/>
    <n v="3"/>
    <n v="0"/>
    <n v="13"/>
    <n v="6"/>
    <n v="5"/>
    <n v="1"/>
    <n v="5"/>
    <n v="7"/>
    <n v="0"/>
    <n v="0"/>
    <n v="0"/>
    <n v="1"/>
    <n v="0"/>
    <n v="0"/>
    <x v="1"/>
    <x v="27"/>
    <s v="51-66"/>
    <n v="2569"/>
    <n v="0"/>
    <n v="0"/>
    <n v="0"/>
    <n v="1"/>
    <n v="0"/>
    <n v="1"/>
    <n v="0"/>
    <n v="0"/>
    <n v="0"/>
    <n v="245"/>
    <d v="2015-10-03T00:00:00"/>
  </r>
  <r>
    <n v="1544"/>
    <n v="49413"/>
    <n v="258"/>
    <n v="5.2212980389775973E-3"/>
    <x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x v="1"/>
    <x v="50"/>
    <s v="66+"/>
    <n v="2406"/>
    <n v="0"/>
    <n v="1"/>
    <n v="0"/>
    <n v="0"/>
    <n v="0"/>
    <n v="0"/>
    <n v="1"/>
    <n v="0"/>
    <n v="0"/>
    <n v="212"/>
    <d v="2016-03-14T00:00:00"/>
  </r>
  <r>
    <n v="153"/>
    <n v="52332"/>
    <n v="257"/>
    <n v="4.9109531453030647E-3"/>
    <x v="0"/>
    <n v="0"/>
    <n v="63"/>
    <n v="212"/>
    <n v="5"/>
    <n v="33"/>
    <n v="7"/>
    <n v="0"/>
    <n v="2"/>
    <n v="1"/>
    <n v="3"/>
    <n v="2"/>
    <n v="6"/>
    <n v="4"/>
    <n v="0"/>
    <n v="0"/>
    <n v="0"/>
    <n v="1"/>
    <n v="0"/>
    <n v="0"/>
    <x v="1"/>
    <x v="29"/>
    <s v="51-66"/>
    <n v="2464"/>
    <n v="1"/>
    <n v="0"/>
    <n v="0"/>
    <n v="0"/>
    <n v="0"/>
    <n v="0"/>
    <n v="1"/>
    <n v="0"/>
    <n v="0"/>
    <n v="255"/>
    <d v="2016-01-16T00:00:00"/>
  </r>
  <r>
    <n v="1037"/>
    <n v="53187"/>
    <n v="257"/>
    <n v="4.832007821460131E-3"/>
    <x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x v="1"/>
    <x v="2"/>
    <s v="36-50"/>
    <n v="2405"/>
    <n v="0"/>
    <n v="0"/>
    <n v="0"/>
    <n v="1"/>
    <n v="0"/>
    <n v="0"/>
    <n v="1"/>
    <n v="0"/>
    <n v="0"/>
    <n v="247"/>
    <d v="2016-03-15T00:00:00"/>
  </r>
  <r>
    <n v="1567"/>
    <n v="54222"/>
    <n v="257"/>
    <n v="4.7397735236619819E-3"/>
    <x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x v="1"/>
    <x v="30"/>
    <s v="36-50"/>
    <n v="2279"/>
    <n v="0"/>
    <n v="1"/>
    <n v="0"/>
    <n v="0"/>
    <n v="0"/>
    <n v="0"/>
    <n v="0"/>
    <n v="0"/>
    <n v="1"/>
    <n v="250"/>
    <d v="2016-07-19T00:00:00"/>
  </r>
  <r>
    <n v="1623"/>
    <n v="28973"/>
    <n v="257"/>
    <n v="8.8703275463362444E-3"/>
    <x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x v="1"/>
    <x v="13"/>
    <s v="36-50"/>
    <n v="2783"/>
    <n v="0"/>
    <n v="1"/>
    <n v="0"/>
    <n v="0"/>
    <n v="0"/>
    <n v="0"/>
    <n v="0"/>
    <n v="0"/>
    <n v="1"/>
    <n v="245"/>
    <d v="2015-03-03T00:00:00"/>
  </r>
  <r>
    <n v="121"/>
    <n v="41551"/>
    <n v="256"/>
    <n v="6.1611032225457867E-3"/>
    <x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x v="1"/>
    <x v="42"/>
    <s v="51-66"/>
    <n v="2478"/>
    <n v="0"/>
    <n v="1"/>
    <n v="0"/>
    <n v="0"/>
    <n v="0"/>
    <n v="0"/>
    <n v="0"/>
    <n v="0"/>
    <n v="1"/>
    <n v="233"/>
    <d v="2016-01-02T00:00:00"/>
  </r>
  <r>
    <n v="577"/>
    <n v="45006"/>
    <n v="256"/>
    <n v="5.68813047149269E-3"/>
    <x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x v="1"/>
    <x v="34"/>
    <s v="66+"/>
    <n v="2505"/>
    <n v="0"/>
    <n v="0"/>
    <n v="0"/>
    <n v="0"/>
    <n v="1"/>
    <n v="0"/>
    <n v="0"/>
    <n v="1"/>
    <n v="0"/>
    <n v="246"/>
    <d v="2015-12-06T00:00:00"/>
  </r>
  <r>
    <n v="1451"/>
    <n v="38201"/>
    <n v="256"/>
    <n v="6.7013952514332082E-3"/>
    <x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x v="1"/>
    <x v="24"/>
    <s v="51-66"/>
    <n v="2616"/>
    <n v="0"/>
    <n v="0"/>
    <n v="0"/>
    <n v="1"/>
    <n v="0"/>
    <n v="0"/>
    <n v="0"/>
    <n v="0"/>
    <n v="1"/>
    <n v="244"/>
    <d v="2015-08-17T00:00:00"/>
  </r>
  <r>
    <n v="1462"/>
    <n v="61482"/>
    <n v="256"/>
    <n v="4.1638203051299564E-3"/>
    <x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x v="1"/>
    <x v="47"/>
    <s v="51-66"/>
    <n v="2161"/>
    <n v="0"/>
    <n v="1"/>
    <n v="0"/>
    <n v="0"/>
    <n v="0"/>
    <n v="0"/>
    <n v="1"/>
    <n v="0"/>
    <n v="0"/>
    <n v="213"/>
    <d v="2016-11-14T00:00:00"/>
  </r>
  <r>
    <n v="992"/>
    <n v="42557"/>
    <n v="255"/>
    <n v="5.9919637192471275E-3"/>
    <x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x v="1"/>
    <x v="35"/>
    <s v="36-50"/>
    <n v="2828"/>
    <n v="0"/>
    <n v="1"/>
    <n v="0"/>
    <n v="0"/>
    <n v="0"/>
    <n v="0"/>
    <n v="1"/>
    <n v="0"/>
    <n v="0"/>
    <n v="240"/>
    <d v="2015-01-17T00:00:00"/>
  </r>
  <r>
    <n v="1547"/>
    <n v="43776"/>
    <n v="255"/>
    <n v="5.8251096491228069E-3"/>
    <x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x v="0"/>
    <x v="50"/>
    <s v="66+"/>
    <n v="2670"/>
    <n v="0"/>
    <n v="0"/>
    <n v="0"/>
    <n v="1"/>
    <n v="0"/>
    <n v="0"/>
    <n v="0"/>
    <n v="1"/>
    <n v="0"/>
    <n v="235"/>
    <d v="2015-06-24T00:00:00"/>
  </r>
  <r>
    <n v="1562"/>
    <n v="37929"/>
    <n v="255"/>
    <n v="6.7230878747132801E-3"/>
    <x v="0"/>
    <n v="0"/>
    <n v="49"/>
    <n v="202"/>
    <n v="2"/>
    <n v="46"/>
    <n v="3"/>
    <n v="2"/>
    <n v="10"/>
    <n v="2"/>
    <n v="4"/>
    <n v="2"/>
    <n v="5"/>
    <n v="7"/>
    <n v="1"/>
    <n v="0"/>
    <n v="0"/>
    <n v="1"/>
    <n v="0"/>
    <n v="0"/>
    <x v="0"/>
    <x v="23"/>
    <s v="24-35"/>
    <n v="2493"/>
    <n v="0"/>
    <n v="0"/>
    <n v="1"/>
    <n v="0"/>
    <n v="0"/>
    <n v="0"/>
    <n v="0"/>
    <n v="0"/>
    <n v="1"/>
    <n v="245"/>
    <d v="2015-12-18T00:00:00"/>
  </r>
  <r>
    <n v="1674"/>
    <n v="47743"/>
    <n v="255"/>
    <n v="5.3410971241857445E-3"/>
    <x v="0"/>
    <n v="1"/>
    <n v="56"/>
    <n v="198"/>
    <n v="2"/>
    <n v="43"/>
    <n v="0"/>
    <n v="12"/>
    <n v="20"/>
    <n v="3"/>
    <n v="4"/>
    <n v="1"/>
    <n v="6"/>
    <n v="6"/>
    <n v="0"/>
    <n v="0"/>
    <n v="0"/>
    <n v="1"/>
    <n v="0"/>
    <n v="0"/>
    <x v="1"/>
    <x v="12"/>
    <s v="51-66"/>
    <n v="2623"/>
    <n v="0"/>
    <n v="1"/>
    <n v="0"/>
    <n v="0"/>
    <n v="0"/>
    <n v="0"/>
    <n v="1"/>
    <n v="0"/>
    <n v="0"/>
    <n v="235"/>
    <d v="2015-08-10T00:00:00"/>
  </r>
  <r>
    <n v="194"/>
    <n v="44377"/>
    <n v="254"/>
    <n v="5.7236856930391869E-3"/>
    <x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x v="1"/>
    <x v="14"/>
    <s v="51-66"/>
    <n v="2791"/>
    <n v="0"/>
    <n v="1"/>
    <n v="0"/>
    <n v="0"/>
    <n v="0"/>
    <n v="0"/>
    <n v="0"/>
    <n v="0"/>
    <n v="1"/>
    <n v="244"/>
    <d v="2015-02-23T00:00:00"/>
  </r>
  <r>
    <n v="685"/>
    <n v="45072"/>
    <n v="254"/>
    <n v="5.6354277600283989E-3"/>
    <x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x v="1"/>
    <x v="40"/>
    <s v="66+"/>
    <n v="2415"/>
    <n v="1"/>
    <n v="0"/>
    <n v="0"/>
    <n v="0"/>
    <n v="0"/>
    <n v="0"/>
    <n v="0"/>
    <n v="0"/>
    <n v="1"/>
    <n v="224"/>
    <d v="2016-03-05T00:00:00"/>
  </r>
  <r>
    <n v="850"/>
    <n v="58917"/>
    <n v="254"/>
    <n v="4.3111495833121167E-3"/>
    <x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x v="1"/>
    <x v="3"/>
    <s v="51-66"/>
    <n v="2621"/>
    <n v="0"/>
    <n v="0"/>
    <n v="0"/>
    <n v="1"/>
    <n v="0"/>
    <n v="0"/>
    <n v="1"/>
    <n v="0"/>
    <n v="0"/>
    <n v="226"/>
    <d v="2015-08-12T00:00:00"/>
  </r>
  <r>
    <n v="1295"/>
    <n v="53761"/>
    <n v="254"/>
    <n v="4.7246144974981861E-3"/>
    <x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x v="1"/>
    <x v="9"/>
    <s v="36-50"/>
    <n v="2420"/>
    <n v="0"/>
    <n v="1"/>
    <n v="0"/>
    <n v="0"/>
    <n v="0"/>
    <n v="0"/>
    <n v="0"/>
    <n v="1"/>
    <n v="0"/>
    <n v="183"/>
    <d v="2016-02-29T00:00:00"/>
  </r>
  <r>
    <n v="1304"/>
    <n v="60544"/>
    <n v="254"/>
    <n v="4.1952959830866806E-3"/>
    <x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  <x v="21"/>
    <s v="51-66"/>
    <n v="2832"/>
    <n v="0"/>
    <n v="1"/>
    <n v="0"/>
    <n v="0"/>
    <n v="0"/>
    <n v="0"/>
    <n v="1"/>
    <n v="0"/>
    <n v="0"/>
    <n v="219"/>
    <d v="2015-01-13T00:00:00"/>
  </r>
  <r>
    <n v="1381"/>
    <n v="42873"/>
    <n v="254"/>
    <n v="5.9244746110605744E-3"/>
    <x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x v="1"/>
    <x v="51"/>
    <s v="66+"/>
    <n v="2683"/>
    <n v="1"/>
    <n v="0"/>
    <n v="0"/>
    <n v="0"/>
    <n v="0"/>
    <n v="0"/>
    <n v="0"/>
    <n v="0"/>
    <n v="1"/>
    <n v="239"/>
    <d v="2015-06-11T00:00:00"/>
  </r>
  <r>
    <n v="993"/>
    <n v="53312"/>
    <n v="253"/>
    <n v="4.7456482593037216E-3"/>
    <x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x v="1"/>
    <x v="15"/>
    <s v="66+"/>
    <n v="2483"/>
    <n v="0"/>
    <n v="1"/>
    <n v="0"/>
    <n v="0"/>
    <n v="0"/>
    <n v="0"/>
    <n v="0"/>
    <n v="0"/>
    <n v="1"/>
    <n v="228"/>
    <d v="2015-12-28T00:00:00"/>
  </r>
  <r>
    <n v="950"/>
    <n v="30168"/>
    <n v="252"/>
    <n v="8.3532219570405727E-3"/>
    <x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x v="1"/>
    <x v="37"/>
    <s v="36-50"/>
    <n v="2638"/>
    <n v="0"/>
    <n v="0"/>
    <n v="1"/>
    <n v="0"/>
    <n v="0"/>
    <n v="0"/>
    <n v="1"/>
    <n v="0"/>
    <n v="0"/>
    <n v="225"/>
    <d v="2015-07-26T00:00:00"/>
  </r>
  <r>
    <n v="1568"/>
    <n v="42586"/>
    <n v="252"/>
    <n v="5.9174376555675571E-3"/>
    <x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  <x v="38"/>
    <s v="51-66"/>
    <n v="2767"/>
    <n v="0"/>
    <n v="0"/>
    <n v="0"/>
    <n v="1"/>
    <n v="0"/>
    <n v="0"/>
    <n v="1"/>
    <n v="0"/>
    <n v="0"/>
    <n v="252"/>
    <d v="2015-03-19T00:00:00"/>
  </r>
  <r>
    <n v="833"/>
    <n v="46231"/>
    <n v="251"/>
    <n v="5.4292574246717568E-3"/>
    <x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x v="1"/>
    <x v="10"/>
    <s v="66+"/>
    <n v="2739"/>
    <n v="0"/>
    <n v="0"/>
    <n v="1"/>
    <n v="0"/>
    <n v="0"/>
    <n v="0"/>
    <n v="0"/>
    <n v="0"/>
    <n v="1"/>
    <n v="239"/>
    <d v="2015-04-16T00:00:00"/>
  </r>
  <r>
    <n v="192"/>
    <n v="46097"/>
    <n v="233"/>
    <n v="5.0545588650020611E-3"/>
    <x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x v="1"/>
    <x v="5"/>
    <s v="51-66"/>
    <n v="2614"/>
    <n v="0"/>
    <n v="0"/>
    <n v="0"/>
    <n v="1"/>
    <n v="0"/>
    <n v="0"/>
    <n v="1"/>
    <n v="0"/>
    <n v="0"/>
    <n v="225"/>
    <d v="2015-08-19T00:00:00"/>
  </r>
  <r>
    <n v="376"/>
    <n v="30507"/>
    <n v="233"/>
    <n v="7.6375913724718919E-3"/>
    <x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x v="1"/>
    <x v="24"/>
    <s v="51-66"/>
    <n v="2634"/>
    <n v="0"/>
    <n v="0"/>
    <n v="0"/>
    <n v="1"/>
    <n v="0"/>
    <n v="0"/>
    <n v="1"/>
    <n v="0"/>
    <n v="0"/>
    <n v="123"/>
    <d v="2015-07-30T00:00:00"/>
  </r>
  <r>
    <n v="30"/>
    <n v="38620"/>
    <n v="229"/>
    <n v="5.9295701708959089E-3"/>
    <x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  <x v="33"/>
    <s v="51-66"/>
    <n v="2573"/>
    <n v="0"/>
    <n v="0"/>
    <n v="0"/>
    <n v="1"/>
    <n v="0"/>
    <n v="0"/>
    <n v="0"/>
    <n v="1"/>
    <n v="0"/>
    <n v="140"/>
    <d v="2015-09-29T00:00:00"/>
  </r>
  <r>
    <n v="669"/>
    <n v="50272"/>
    <n v="229"/>
    <n v="4.5552196053469125E-3"/>
    <x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x v="1"/>
    <x v="31"/>
    <s v="36-50"/>
    <n v="2485"/>
    <n v="0"/>
    <n v="0"/>
    <n v="0"/>
    <n v="1"/>
    <n v="0"/>
    <n v="0"/>
    <n v="1"/>
    <n v="0"/>
    <n v="0"/>
    <n v="225"/>
    <d v="2015-12-26T00:00:00"/>
  </r>
  <r>
    <n v="1536"/>
    <n v="27573"/>
    <n v="229"/>
    <n v="8.3052261270083055E-3"/>
    <x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x v="1"/>
    <x v="16"/>
    <s v="36-50"/>
    <n v="2620"/>
    <n v="0"/>
    <n v="1"/>
    <n v="0"/>
    <n v="0"/>
    <n v="0"/>
    <n v="0"/>
    <n v="1"/>
    <n v="0"/>
    <n v="0"/>
    <n v="214"/>
    <d v="2015-08-13T00:00:00"/>
  </r>
  <r>
    <n v="576"/>
    <n v="26877"/>
    <n v="228"/>
    <n v="8.4830896305391219E-3"/>
    <x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x v="1"/>
    <x v="3"/>
    <s v="51-66"/>
    <n v="2473"/>
    <n v="0"/>
    <n v="0"/>
    <n v="1"/>
    <n v="0"/>
    <n v="0"/>
    <n v="0"/>
    <n v="0"/>
    <n v="1"/>
    <n v="0"/>
    <n v="188"/>
    <d v="2016-01-07T00:00:00"/>
  </r>
  <r>
    <n v="287"/>
    <n v="42670"/>
    <n v="226"/>
    <n v="5.2964612139676584E-3"/>
    <x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x v="1"/>
    <x v="17"/>
    <s v="24-35"/>
    <n v="2587"/>
    <n v="0"/>
    <n v="0"/>
    <n v="0"/>
    <n v="1"/>
    <n v="0"/>
    <n v="0"/>
    <n v="0"/>
    <n v="1"/>
    <n v="0"/>
    <n v="211"/>
    <d v="2015-09-15T00:00:00"/>
  </r>
  <r>
    <n v="507"/>
    <n v="57247"/>
    <n v="226"/>
    <n v="3.9478051251593971E-3"/>
    <x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x v="1"/>
    <x v="50"/>
    <s v="66+"/>
    <n v="2484"/>
    <n v="0"/>
    <n v="0"/>
    <n v="0"/>
    <n v="1"/>
    <n v="0"/>
    <n v="1"/>
    <n v="0"/>
    <n v="0"/>
    <n v="0"/>
    <n v="220"/>
    <d v="2015-12-27T00:00:00"/>
  </r>
  <r>
    <n v="523"/>
    <n v="43462"/>
    <n v="225"/>
    <n v="5.1769361741291244E-3"/>
    <x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x v="1"/>
    <x v="50"/>
    <s v="66+"/>
    <n v="2814"/>
    <n v="0"/>
    <n v="0"/>
    <n v="0"/>
    <n v="1"/>
    <n v="0"/>
    <n v="0"/>
    <n v="1"/>
    <n v="0"/>
    <n v="0"/>
    <n v="210"/>
    <d v="2015-01-31T00:00:00"/>
  </r>
  <r>
    <n v="533"/>
    <n v="52157"/>
    <n v="225"/>
    <n v="4.313898422071822E-3"/>
    <x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x v="1"/>
    <x v="51"/>
    <s v="66+"/>
    <n v="2181"/>
    <n v="0"/>
    <n v="0"/>
    <n v="0"/>
    <n v="1"/>
    <n v="0"/>
    <n v="0"/>
    <n v="0"/>
    <n v="0"/>
    <n v="1"/>
    <n v="185"/>
    <d v="2016-10-25T00:00:00"/>
  </r>
  <r>
    <n v="955"/>
    <n v="54165"/>
    <n v="225"/>
    <n v="4.1539739684297982E-3"/>
    <x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x v="1"/>
    <x v="3"/>
    <s v="51-66"/>
    <n v="2556"/>
    <n v="0"/>
    <n v="0"/>
    <n v="0"/>
    <n v="1"/>
    <n v="0"/>
    <n v="0"/>
    <n v="1"/>
    <n v="0"/>
    <n v="0"/>
    <n v="214"/>
    <d v="2015-10-16T00:00:00"/>
  </r>
  <r>
    <n v="607"/>
    <n v="46463"/>
    <n v="224"/>
    <n v="4.8210403977358325E-3"/>
    <x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x v="1"/>
    <x v="28"/>
    <s v="36-50"/>
    <n v="2474"/>
    <n v="0"/>
    <n v="1"/>
    <n v="0"/>
    <n v="0"/>
    <n v="0"/>
    <n v="0"/>
    <n v="0"/>
    <n v="0"/>
    <n v="1"/>
    <n v="213"/>
    <d v="2016-01-06T00:00:00"/>
  </r>
  <r>
    <n v="1084"/>
    <n v="54197"/>
    <n v="224"/>
    <n v="4.1330700961307821E-3"/>
    <x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x v="1"/>
    <x v="24"/>
    <s v="51-66"/>
    <n v="2246"/>
    <n v="0"/>
    <n v="1"/>
    <n v="0"/>
    <n v="0"/>
    <n v="0"/>
    <n v="0"/>
    <n v="0"/>
    <n v="1"/>
    <n v="0"/>
    <n v="211"/>
    <d v="2016-08-21T00:00:00"/>
  </r>
  <r>
    <n v="1109"/>
    <n v="43140"/>
    <n v="224"/>
    <n v="5.1923968474733425E-3"/>
    <x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x v="1"/>
    <x v="12"/>
    <s v="51-66"/>
    <n v="2699"/>
    <n v="0"/>
    <n v="1"/>
    <n v="0"/>
    <n v="0"/>
    <n v="0"/>
    <n v="0"/>
    <n v="1"/>
    <n v="0"/>
    <n v="0"/>
    <n v="213"/>
    <d v="2015-05-26T00:00:00"/>
  </r>
  <r>
    <n v="1402"/>
    <n v="51766"/>
    <n v="224"/>
    <n v="4.327164548159023E-3"/>
    <x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x v="1"/>
    <x v="41"/>
    <s v="36-50"/>
    <n v="2269"/>
    <n v="0"/>
    <n v="0"/>
    <n v="1"/>
    <n v="0"/>
    <n v="0"/>
    <n v="0"/>
    <n v="1"/>
    <n v="0"/>
    <n v="0"/>
    <n v="173"/>
    <d v="2016-07-29T00:00:00"/>
  </r>
  <r>
    <n v="1493"/>
    <n v="54549"/>
    <n v="224"/>
    <n v="4.1063997506828719E-3"/>
    <x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x v="1"/>
    <x v="50"/>
    <s v="66+"/>
    <n v="2277"/>
    <n v="0"/>
    <n v="1"/>
    <n v="0"/>
    <n v="0"/>
    <n v="0"/>
    <n v="0"/>
    <n v="0"/>
    <n v="0"/>
    <n v="1"/>
    <n v="215"/>
    <d v="2016-07-21T00:00:00"/>
  </r>
  <r>
    <n v="1576"/>
    <n v="32233"/>
    <n v="224"/>
    <n v="6.9493996835541215E-3"/>
    <x v="1"/>
    <n v="0"/>
    <n v="26"/>
    <n v="138"/>
    <n v="15"/>
    <n v="35"/>
    <n v="25"/>
    <n v="11"/>
    <n v="72"/>
    <n v="2"/>
    <n v="6"/>
    <n v="2"/>
    <n v="2"/>
    <n v="9"/>
    <n v="0"/>
    <n v="0"/>
    <n v="1"/>
    <n v="0"/>
    <n v="0"/>
    <n v="0"/>
    <x v="0"/>
    <x v="35"/>
    <s v="36-50"/>
    <n v="2838"/>
    <n v="0"/>
    <n v="0"/>
    <n v="1"/>
    <n v="0"/>
    <n v="0"/>
    <n v="0"/>
    <n v="1"/>
    <n v="0"/>
    <n v="0"/>
    <n v="152"/>
    <d v="2015-01-07T00:00:00"/>
  </r>
  <r>
    <n v="547"/>
    <n v="54603"/>
    <n v="223"/>
    <n v="4.084024687288244E-3"/>
    <x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x v="1"/>
    <x v="5"/>
    <s v="51-66"/>
    <n v="2514"/>
    <n v="0"/>
    <n v="0"/>
    <n v="0"/>
    <n v="1"/>
    <n v="0"/>
    <n v="0"/>
    <n v="0"/>
    <n v="1"/>
    <n v="0"/>
    <n v="219"/>
    <d v="2015-11-27T00:00:00"/>
  </r>
  <r>
    <n v="502"/>
    <n v="65316"/>
    <n v="222"/>
    <n v="3.3988609222855041E-3"/>
    <x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x v="1"/>
    <x v="46"/>
    <s v="51-66"/>
    <n v="2590"/>
    <n v="0"/>
    <n v="1"/>
    <n v="0"/>
    <n v="0"/>
    <n v="0"/>
    <n v="0"/>
    <n v="1"/>
    <n v="0"/>
    <n v="0"/>
    <n v="184"/>
    <d v="2015-09-12T00:00:00"/>
  </r>
  <r>
    <n v="1631"/>
    <n v="46904"/>
    <n v="222"/>
    <n v="4.7330718062425382E-3"/>
    <x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x v="1"/>
    <x v="26"/>
    <s v="51-66"/>
    <n v="2762"/>
    <n v="0"/>
    <n v="0"/>
    <n v="1"/>
    <n v="0"/>
    <n v="0"/>
    <n v="0"/>
    <n v="1"/>
    <n v="0"/>
    <n v="0"/>
    <n v="191"/>
    <d v="2015-03-24T00:00:00"/>
  </r>
  <r>
    <n v="281"/>
    <n v="39747"/>
    <n v="221"/>
    <n v="5.5601680629984657E-3"/>
    <x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x v="1"/>
    <x v="0"/>
    <s v="24-35"/>
    <n v="2236"/>
    <n v="0"/>
    <n v="0"/>
    <n v="1"/>
    <n v="0"/>
    <n v="0"/>
    <n v="0"/>
    <n v="1"/>
    <n v="0"/>
    <n v="0"/>
    <n v="169"/>
    <d v="2016-08-31T00:00:00"/>
  </r>
  <r>
    <n v="1103"/>
    <n v="47353"/>
    <n v="221"/>
    <n v="4.6670749477329843E-3"/>
    <x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x v="1"/>
    <x v="24"/>
    <s v="51-66"/>
    <n v="2387"/>
    <n v="0"/>
    <n v="1"/>
    <n v="0"/>
    <n v="0"/>
    <n v="0"/>
    <n v="0"/>
    <n v="0"/>
    <n v="1"/>
    <n v="0"/>
    <n v="217"/>
    <d v="2016-04-02T00:00:00"/>
  </r>
  <r>
    <n v="1139"/>
    <n v="56721"/>
    <n v="221"/>
    <n v="3.896264170236773E-3"/>
    <x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x v="1"/>
    <x v="9"/>
    <s v="36-50"/>
    <n v="2765"/>
    <n v="0"/>
    <n v="1"/>
    <n v="0"/>
    <n v="0"/>
    <n v="0"/>
    <n v="0"/>
    <n v="1"/>
    <n v="0"/>
    <n v="0"/>
    <n v="146"/>
    <d v="2015-03-21T00:00:00"/>
  </r>
  <r>
    <n v="1267"/>
    <n v="69139"/>
    <n v="221"/>
    <n v="3.1964593066142119E-3"/>
    <x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  <x v="47"/>
    <s v="51-66"/>
    <n v="2312"/>
    <n v="0"/>
    <n v="1"/>
    <n v="0"/>
    <n v="0"/>
    <n v="0"/>
    <n v="0"/>
    <n v="1"/>
    <n v="0"/>
    <n v="0"/>
    <n v="215"/>
    <d v="2016-06-16T00:00:00"/>
  </r>
  <r>
    <n v="1281"/>
    <n v="67267"/>
    <n v="221"/>
    <n v="3.2854148393714599E-3"/>
    <x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x v="1"/>
    <x v="27"/>
    <s v="51-66"/>
    <n v="2206"/>
    <n v="0"/>
    <n v="1"/>
    <n v="0"/>
    <n v="0"/>
    <n v="0"/>
    <n v="0"/>
    <n v="1"/>
    <n v="0"/>
    <n v="0"/>
    <n v="191"/>
    <d v="2016-09-30T00:00:00"/>
  </r>
  <r>
    <n v="1578"/>
    <n v="47175"/>
    <n v="221"/>
    <n v="4.6846846846846845E-3"/>
    <x v="1"/>
    <n v="1"/>
    <n v="81"/>
    <n v="167"/>
    <n v="2"/>
    <n v="44"/>
    <n v="6"/>
    <n v="2"/>
    <n v="19"/>
    <n v="7"/>
    <n v="4"/>
    <n v="2"/>
    <n v="4"/>
    <n v="8"/>
    <n v="0"/>
    <n v="0"/>
    <n v="1"/>
    <n v="0"/>
    <n v="0"/>
    <n v="0"/>
    <x v="0"/>
    <x v="46"/>
    <s v="51-66"/>
    <n v="2768"/>
    <n v="0"/>
    <n v="0"/>
    <n v="0"/>
    <n v="1"/>
    <n v="0"/>
    <n v="0"/>
    <n v="0"/>
    <n v="1"/>
    <n v="0"/>
    <n v="202"/>
    <d v="2015-03-18T00:00:00"/>
  </r>
  <r>
    <n v="1729"/>
    <n v="49160"/>
    <n v="221"/>
    <n v="4.4955248169243284E-3"/>
    <x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x v="1"/>
    <x v="4"/>
    <s v="66+"/>
    <n v="2411"/>
    <n v="1"/>
    <n v="0"/>
    <n v="0"/>
    <n v="0"/>
    <n v="0"/>
    <n v="0"/>
    <n v="1"/>
    <n v="0"/>
    <n v="0"/>
    <n v="206"/>
    <d v="2016-03-09T00:00:00"/>
  </r>
  <r>
    <n v="1808"/>
    <n v="57113"/>
    <n v="221"/>
    <n v="3.8695218251536428E-3"/>
    <x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x v="1"/>
    <x v="37"/>
    <s v="36-50"/>
    <n v="2667"/>
    <n v="0"/>
    <n v="1"/>
    <n v="0"/>
    <n v="0"/>
    <n v="0"/>
    <n v="0"/>
    <n v="1"/>
    <n v="0"/>
    <n v="0"/>
    <n v="179"/>
    <d v="2015-06-27T00:00:00"/>
  </r>
  <r>
    <n v="1934"/>
    <n v="40590"/>
    <n v="221"/>
    <n v="5.4446908105444695E-3"/>
    <x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x v="1"/>
    <x v="3"/>
    <s v="51-66"/>
    <n v="2429"/>
    <n v="0"/>
    <n v="0"/>
    <n v="0"/>
    <n v="0"/>
    <n v="1"/>
    <n v="0"/>
    <n v="1"/>
    <n v="0"/>
    <n v="0"/>
    <n v="184"/>
    <d v="2016-02-20T00:00:00"/>
  </r>
  <r>
    <n v="1282"/>
    <n v="57338"/>
    <n v="220"/>
    <n v="3.8368969967560781E-3"/>
    <x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x v="1"/>
    <x v="16"/>
    <s v="36-50"/>
    <n v="2220"/>
    <n v="0"/>
    <n v="0"/>
    <n v="1"/>
    <n v="0"/>
    <n v="0"/>
    <n v="0"/>
    <n v="1"/>
    <n v="0"/>
    <n v="0"/>
    <n v="203"/>
    <d v="2016-09-16T00:00:00"/>
  </r>
  <r>
    <n v="1498"/>
    <n v="42731"/>
    <n v="220"/>
    <n v="5.1484870468746346E-3"/>
    <x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x v="1"/>
    <x v="3"/>
    <s v="51-66"/>
    <n v="2410"/>
    <n v="0"/>
    <n v="0"/>
    <n v="0"/>
    <n v="1"/>
    <n v="0"/>
    <n v="0"/>
    <n v="0"/>
    <n v="0"/>
    <n v="1"/>
    <n v="196"/>
    <d v="2016-03-10T00:00:00"/>
  </r>
  <r>
    <n v="1902"/>
    <n v="54252"/>
    <n v="220"/>
    <n v="4.0551500405515001E-3"/>
    <x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x v="1"/>
    <x v="5"/>
    <s v="51-66"/>
    <n v="2556"/>
    <n v="0"/>
    <n v="0"/>
    <n v="1"/>
    <n v="0"/>
    <n v="0"/>
    <n v="0"/>
    <n v="1"/>
    <n v="0"/>
    <n v="0"/>
    <n v="176"/>
    <d v="2015-10-16T00:00:00"/>
  </r>
  <r>
    <n v="200"/>
    <n v="44551"/>
    <n v="219"/>
    <n v="4.9157145743080966E-3"/>
    <x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x v="1"/>
    <x v="44"/>
    <s v="66+"/>
    <n v="2461"/>
    <n v="0"/>
    <n v="0"/>
    <n v="0"/>
    <n v="0"/>
    <n v="1"/>
    <n v="0"/>
    <n v="0"/>
    <n v="1"/>
    <n v="0"/>
    <n v="153"/>
    <d v="2016-01-19T00:00:00"/>
  </r>
  <r>
    <n v="1463"/>
    <n v="34968"/>
    <n v="219"/>
    <n v="6.2628689087165408E-3"/>
    <x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x v="1"/>
    <x v="41"/>
    <s v="36-50"/>
    <n v="2604"/>
    <n v="0"/>
    <n v="1"/>
    <n v="0"/>
    <n v="0"/>
    <n v="0"/>
    <n v="0"/>
    <n v="1"/>
    <n v="0"/>
    <n v="0"/>
    <n v="217"/>
    <d v="2015-08-29T00:00:00"/>
  </r>
  <r>
    <n v="1579"/>
    <n v="42207"/>
    <n v="219"/>
    <n v="5.1887127727628119E-3"/>
    <x v="1"/>
    <n v="0"/>
    <n v="71"/>
    <n v="116"/>
    <n v="11"/>
    <n v="72"/>
    <n v="3"/>
    <n v="17"/>
    <n v="46"/>
    <n v="4"/>
    <n v="4"/>
    <n v="1"/>
    <n v="5"/>
    <n v="6"/>
    <n v="0"/>
    <n v="0"/>
    <n v="1"/>
    <n v="0"/>
    <n v="0"/>
    <n v="0"/>
    <x v="0"/>
    <x v="39"/>
    <s v="36-50"/>
    <n v="2613"/>
    <n v="0"/>
    <n v="1"/>
    <n v="0"/>
    <n v="0"/>
    <n v="0"/>
    <n v="0"/>
    <n v="0"/>
    <n v="1"/>
    <n v="0"/>
    <n v="173"/>
    <d v="2015-08-20T00:00:00"/>
  </r>
  <r>
    <n v="1910"/>
    <n v="48150"/>
    <n v="219"/>
    <n v="4.5482866043613703E-3"/>
    <x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x v="1"/>
    <x v="4"/>
    <s v="66+"/>
    <n v="2545"/>
    <n v="0"/>
    <n v="1"/>
    <n v="0"/>
    <n v="0"/>
    <n v="0"/>
    <n v="0"/>
    <n v="0"/>
    <n v="1"/>
    <n v="0"/>
    <n v="172"/>
    <d v="2015-10-27T00:00:00"/>
  </r>
  <r>
    <n v="253"/>
    <n v="61905"/>
    <n v="218"/>
    <n v="3.5215249172118571E-3"/>
    <x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x v="1"/>
    <x v="16"/>
    <s v="36-50"/>
    <n v="2304"/>
    <n v="0"/>
    <n v="0"/>
    <n v="0"/>
    <n v="1"/>
    <n v="0"/>
    <n v="0"/>
    <n v="0"/>
    <n v="0"/>
    <n v="1"/>
    <n v="205"/>
    <d v="2016-06-24T00:00:00"/>
  </r>
  <r>
    <n v="291"/>
    <n v="54198"/>
    <n v="218"/>
    <n v="4.0222886453374664E-3"/>
    <x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x v="1"/>
    <x v="22"/>
    <s v="51-66"/>
    <n v="2353"/>
    <n v="0"/>
    <n v="1"/>
    <n v="0"/>
    <n v="0"/>
    <n v="0"/>
    <n v="0"/>
    <n v="1"/>
    <n v="0"/>
    <n v="0"/>
    <n v="201"/>
    <d v="2016-05-06T00:00:00"/>
  </r>
  <r>
    <n v="364"/>
    <n v="62499"/>
    <n v="218"/>
    <n v="3.4880558088929421E-3"/>
    <x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x v="1"/>
    <x v="19"/>
    <s v="36-50"/>
    <n v="2361"/>
    <n v="0"/>
    <n v="0"/>
    <n v="0"/>
    <n v="1"/>
    <n v="0"/>
    <n v="0"/>
    <n v="0"/>
    <n v="1"/>
    <n v="0"/>
    <n v="214"/>
    <d v="2016-04-28T00:00:00"/>
  </r>
  <r>
    <n v="26"/>
    <n v="53359"/>
    <n v="216"/>
    <n v="4.0480518750351394E-3"/>
    <x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x v="1"/>
    <x v="7"/>
    <s v="36-50"/>
    <n v="2557"/>
    <n v="0"/>
    <n v="1"/>
    <n v="0"/>
    <n v="0"/>
    <n v="0"/>
    <n v="0"/>
    <n v="1"/>
    <n v="0"/>
    <n v="0"/>
    <n v="175"/>
    <d v="2015-10-15T00:00:00"/>
  </r>
  <r>
    <n v="345"/>
    <n v="48178"/>
    <n v="216"/>
    <n v="4.4833741541782553E-3"/>
    <x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x v="1"/>
    <x v="16"/>
    <s v="36-50"/>
    <n v="2768"/>
    <n v="0"/>
    <n v="1"/>
    <n v="0"/>
    <n v="0"/>
    <n v="0"/>
    <n v="0"/>
    <n v="1"/>
    <n v="0"/>
    <n v="0"/>
    <n v="178"/>
    <d v="2015-03-18T00:00:00"/>
  </r>
  <r>
    <n v="608"/>
    <n v="55282"/>
    <n v="216"/>
    <n v="3.9072392460475381E-3"/>
    <x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x v="1"/>
    <x v="2"/>
    <s v="36-50"/>
    <n v="2357"/>
    <n v="1"/>
    <n v="0"/>
    <n v="0"/>
    <n v="0"/>
    <n v="0"/>
    <n v="0"/>
    <n v="0"/>
    <n v="1"/>
    <n v="0"/>
    <n v="197"/>
    <d v="2016-05-02T00:00:00"/>
  </r>
  <r>
    <n v="640"/>
    <n v="38946"/>
    <n v="216"/>
    <n v="5.5461408103527959E-3"/>
    <x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  <x v="38"/>
    <s v="51-66"/>
    <n v="2407"/>
    <n v="0"/>
    <n v="0"/>
    <n v="0"/>
    <n v="1"/>
    <n v="0"/>
    <n v="0"/>
    <n v="1"/>
    <n v="0"/>
    <n v="0"/>
    <n v="175"/>
    <d v="2016-03-13T00:00:00"/>
  </r>
  <r>
    <n v="907"/>
    <n v="50183"/>
    <n v="216"/>
    <n v="4.304246457963852E-3"/>
    <x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x v="1"/>
    <x v="41"/>
    <s v="36-50"/>
    <n v="2163"/>
    <n v="0"/>
    <n v="1"/>
    <n v="0"/>
    <n v="0"/>
    <n v="0"/>
    <n v="0"/>
    <n v="1"/>
    <n v="0"/>
    <n v="0"/>
    <n v="201"/>
    <d v="2016-11-12T00:00:00"/>
  </r>
  <r>
    <n v="1093"/>
    <n v="40344"/>
    <n v="216"/>
    <n v="5.353955978584176E-3"/>
    <x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x v="1"/>
    <x v="35"/>
    <s v="36-50"/>
    <n v="2418"/>
    <n v="0"/>
    <n v="1"/>
    <n v="0"/>
    <n v="0"/>
    <n v="0"/>
    <n v="0"/>
    <n v="0"/>
    <n v="0"/>
    <n v="1"/>
    <n v="214"/>
    <d v="2016-03-02T00:00:00"/>
  </r>
  <r>
    <n v="1581"/>
    <n v="38808"/>
    <n v="216"/>
    <n v="5.5658627087198514E-3"/>
    <x v="1"/>
    <n v="0"/>
    <n v="21"/>
    <n v="125"/>
    <n v="17"/>
    <n v="52"/>
    <n v="3"/>
    <n v="19"/>
    <n v="30"/>
    <n v="4"/>
    <n v="5"/>
    <n v="1"/>
    <n v="4"/>
    <n v="8"/>
    <n v="0"/>
    <n v="0"/>
    <n v="1"/>
    <n v="0"/>
    <n v="0"/>
    <n v="0"/>
    <x v="0"/>
    <x v="9"/>
    <s v="36-50"/>
    <n v="2831"/>
    <n v="0"/>
    <n v="0"/>
    <n v="1"/>
    <n v="0"/>
    <n v="0"/>
    <n v="0"/>
    <n v="1"/>
    <n v="0"/>
    <n v="0"/>
    <n v="186"/>
    <d v="2015-01-14T00:00:00"/>
  </r>
  <r>
    <n v="548"/>
    <n v="45207"/>
    <n v="213"/>
    <n v="4.7116596987192248E-3"/>
    <x v="1"/>
    <n v="1"/>
    <n v="64"/>
    <n v="203"/>
    <n v="0"/>
    <n v="10"/>
    <n v="0"/>
    <n v="0"/>
    <n v="2"/>
    <n v="5"/>
    <n v="3"/>
    <n v="1"/>
    <n v="6"/>
    <n v="6"/>
    <n v="0"/>
    <n v="0"/>
    <n v="0"/>
    <n v="1"/>
    <n v="0"/>
    <n v="0"/>
    <x v="1"/>
    <x v="35"/>
    <s v="36-50"/>
    <n v="2755"/>
    <n v="0"/>
    <n v="1"/>
    <n v="0"/>
    <n v="0"/>
    <n v="0"/>
    <n v="0"/>
    <n v="0"/>
    <n v="0"/>
    <n v="1"/>
    <n v="211"/>
    <d v="2015-03-31T00:00:00"/>
  </r>
  <r>
    <n v="131"/>
    <n v="41883"/>
    <n v="196"/>
    <n v="4.6797029821168496E-3"/>
    <x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x v="1"/>
    <x v="0"/>
    <s v="24-35"/>
    <n v="2626"/>
    <n v="0"/>
    <n v="0"/>
    <n v="0"/>
    <n v="1"/>
    <n v="0"/>
    <n v="0"/>
    <n v="1"/>
    <n v="0"/>
    <n v="0"/>
    <n v="80"/>
    <d v="2015-08-07T00:00:00"/>
  </r>
  <r>
    <n v="1492"/>
    <n v="54414"/>
    <n v="193"/>
    <n v="3.5468813173080457E-3"/>
    <x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x v="1"/>
    <x v="33"/>
    <s v="51-66"/>
    <n v="2681"/>
    <n v="0"/>
    <n v="0"/>
    <n v="0"/>
    <n v="1"/>
    <n v="0"/>
    <n v="0"/>
    <n v="1"/>
    <n v="0"/>
    <n v="0"/>
    <n v="175"/>
    <d v="2015-06-13T00:00:00"/>
  </r>
  <r>
    <n v="459"/>
    <n v="28457"/>
    <n v="191"/>
    <n v="6.7118810837403804E-3"/>
    <x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x v="1"/>
    <x v="50"/>
    <s v="66+"/>
    <n v="2768"/>
    <n v="0"/>
    <n v="0"/>
    <n v="0"/>
    <n v="0"/>
    <n v="1"/>
    <n v="1"/>
    <n v="0"/>
    <n v="0"/>
    <n v="0"/>
    <n v="177"/>
    <d v="2015-03-18T00:00:00"/>
  </r>
  <r>
    <n v="648"/>
    <n v="42315"/>
    <n v="190"/>
    <n v="4.4901335223915869E-3"/>
    <x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x v="1"/>
    <x v="27"/>
    <s v="51-66"/>
    <n v="2511"/>
    <n v="0"/>
    <n v="0"/>
    <n v="0"/>
    <n v="1"/>
    <n v="0"/>
    <n v="0"/>
    <n v="0"/>
    <n v="1"/>
    <n v="0"/>
    <n v="110"/>
    <d v="2015-11-30T00:00:00"/>
  </r>
  <r>
    <n v="1524"/>
    <n v="34916"/>
    <n v="189"/>
    <n v="5.41299117882919E-3"/>
    <x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x v="1"/>
    <x v="14"/>
    <s v="51-66"/>
    <n v="2569"/>
    <n v="0"/>
    <n v="0"/>
    <n v="0"/>
    <n v="1"/>
    <n v="0"/>
    <n v="0"/>
    <n v="1"/>
    <n v="0"/>
    <n v="0"/>
    <n v="147"/>
    <d v="2015-10-03T00:00:00"/>
  </r>
  <r>
    <n v="593"/>
    <n v="28769"/>
    <n v="188"/>
    <n v="6.5348117765650525E-3"/>
    <x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x v="1"/>
    <x v="13"/>
    <s v="36-50"/>
    <n v="2717"/>
    <n v="0"/>
    <n v="0"/>
    <n v="1"/>
    <n v="0"/>
    <n v="0"/>
    <n v="0"/>
    <n v="1"/>
    <n v="0"/>
    <n v="0"/>
    <n v="185"/>
    <d v="2015-05-08T00:00:00"/>
  </r>
  <r>
    <n v="1636"/>
    <n v="34074"/>
    <n v="188"/>
    <n v="5.5174032987028235E-3"/>
    <x v="1"/>
    <n v="1"/>
    <n v="69"/>
    <n v="135"/>
    <n v="1"/>
    <n v="41"/>
    <n v="10"/>
    <n v="1"/>
    <n v="67"/>
    <n v="5"/>
    <n v="3"/>
    <n v="3"/>
    <n v="3"/>
    <n v="6"/>
    <n v="0"/>
    <n v="0"/>
    <n v="1"/>
    <n v="0"/>
    <n v="0"/>
    <n v="0"/>
    <x v="1"/>
    <x v="50"/>
    <s v="66+"/>
    <n v="2510"/>
    <n v="0"/>
    <n v="0"/>
    <n v="0"/>
    <n v="1"/>
    <n v="0"/>
    <n v="0"/>
    <n v="1"/>
    <n v="0"/>
    <n v="0"/>
    <n v="121"/>
    <d v="2015-12-01T00:00:00"/>
  </r>
  <r>
    <n v="81"/>
    <n v="54178"/>
    <n v="187"/>
    <n v="3.4515855144154452E-3"/>
    <x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x v="1"/>
    <x v="26"/>
    <s v="51-66"/>
    <n v="2318"/>
    <n v="0"/>
    <n v="0"/>
    <n v="0"/>
    <n v="1"/>
    <n v="0"/>
    <n v="0"/>
    <n v="1"/>
    <n v="0"/>
    <n v="0"/>
    <n v="180"/>
    <d v="2016-06-10T00:00:00"/>
  </r>
  <r>
    <n v="855"/>
    <n v="45921"/>
    <n v="187"/>
    <n v="4.0722109710154396E-3"/>
    <x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x v="1"/>
    <x v="18"/>
    <s v="24-35"/>
    <n v="2270"/>
    <n v="0"/>
    <n v="1"/>
    <n v="0"/>
    <n v="0"/>
    <n v="0"/>
    <n v="0"/>
    <n v="0"/>
    <n v="0"/>
    <n v="1"/>
    <n v="175"/>
    <d v="2016-07-28T00:00:00"/>
  </r>
  <r>
    <n v="234"/>
    <n v="26490"/>
    <n v="185"/>
    <n v="6.9837674594186482E-3"/>
    <x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  <x v="27"/>
    <s v="51-66"/>
    <n v="2804"/>
    <n v="0"/>
    <n v="0"/>
    <n v="0"/>
    <n v="1"/>
    <n v="0"/>
    <n v="1"/>
    <n v="0"/>
    <n v="0"/>
    <n v="0"/>
    <n v="160"/>
    <d v="2015-02-10T00:00:00"/>
  </r>
  <r>
    <n v="366"/>
    <n v="51012"/>
    <n v="185"/>
    <n v="3.6265976632949108E-3"/>
    <x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  <x v="8"/>
    <s v="66+"/>
    <n v="2596"/>
    <n v="0"/>
    <n v="1"/>
    <n v="0"/>
    <n v="0"/>
    <n v="0"/>
    <n v="0"/>
    <n v="0"/>
    <n v="0"/>
    <n v="1"/>
    <n v="161"/>
    <d v="2015-09-06T00:00:00"/>
  </r>
  <r>
    <n v="479"/>
    <n v="39665"/>
    <n v="185"/>
    <n v="4.6640615151897135E-3"/>
    <x v="1"/>
    <n v="0"/>
    <n v="97"/>
    <n v="127"/>
    <n v="1"/>
    <n v="56"/>
    <n v="0"/>
    <n v="1"/>
    <n v="31"/>
    <n v="3"/>
    <n v="4"/>
    <n v="2"/>
    <n v="3"/>
    <n v="7"/>
    <n v="0"/>
    <n v="0"/>
    <n v="1"/>
    <n v="0"/>
    <n v="0"/>
    <n v="0"/>
    <x v="1"/>
    <x v="43"/>
    <s v="36-50"/>
    <n v="2559"/>
    <n v="0"/>
    <n v="0"/>
    <n v="0"/>
    <n v="1"/>
    <n v="0"/>
    <n v="0"/>
    <n v="0"/>
    <n v="0"/>
    <n v="1"/>
    <n v="154"/>
    <d v="2015-10-13T00:00:00"/>
  </r>
  <r>
    <n v="1670"/>
    <n v="48186"/>
    <n v="185"/>
    <n v="3.8392894201635329E-3"/>
    <x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x v="1"/>
    <x v="35"/>
    <s v="36-50"/>
    <n v="2260"/>
    <n v="0"/>
    <n v="0"/>
    <n v="0"/>
    <n v="1"/>
    <n v="0"/>
    <n v="0"/>
    <n v="1"/>
    <n v="0"/>
    <n v="0"/>
    <n v="151"/>
    <d v="2016-08-07T00:00:00"/>
  </r>
  <r>
    <n v="164"/>
    <n v="51650"/>
    <n v="184"/>
    <n v="3.5624394966118104E-3"/>
    <x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x v="1"/>
    <x v="7"/>
    <s v="36-50"/>
    <n v="2208"/>
    <n v="0"/>
    <n v="1"/>
    <n v="0"/>
    <n v="0"/>
    <n v="0"/>
    <n v="0"/>
    <n v="0"/>
    <n v="0"/>
    <n v="1"/>
    <n v="177"/>
    <d v="2016-09-28T00:00:00"/>
  </r>
  <r>
    <n v="1290"/>
    <n v="46390"/>
    <n v="184"/>
    <n v="3.9663720629446002E-3"/>
    <x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x v="1"/>
    <x v="38"/>
    <s v="51-66"/>
    <n v="2214"/>
    <n v="1"/>
    <n v="0"/>
    <n v="0"/>
    <n v="0"/>
    <n v="0"/>
    <n v="0"/>
    <n v="0"/>
    <n v="1"/>
    <n v="0"/>
    <n v="146"/>
    <d v="2016-09-22T00:00:00"/>
  </r>
  <r>
    <n v="1346"/>
    <n v="46053"/>
    <n v="184"/>
    <n v="3.9953966082557054E-3"/>
    <x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x v="1"/>
    <x v="9"/>
    <s v="36-50"/>
    <n v="2656"/>
    <n v="0"/>
    <n v="0"/>
    <n v="0"/>
    <n v="1"/>
    <n v="0"/>
    <n v="0"/>
    <n v="1"/>
    <n v="0"/>
    <n v="0"/>
    <n v="159"/>
    <d v="2015-07-08T00:00:00"/>
  </r>
  <r>
    <n v="1582"/>
    <n v="46854"/>
    <n v="184"/>
    <n v="3.927092670849874E-3"/>
    <x v="1"/>
    <n v="1"/>
    <n v="81"/>
    <n v="96"/>
    <n v="1"/>
    <n v="79"/>
    <n v="7"/>
    <n v="1"/>
    <n v="79"/>
    <n v="6"/>
    <n v="5"/>
    <n v="1"/>
    <n v="3"/>
    <n v="8"/>
    <n v="0"/>
    <n v="0"/>
    <n v="1"/>
    <n v="0"/>
    <n v="0"/>
    <n v="0"/>
    <x v="0"/>
    <x v="30"/>
    <s v="36-50"/>
    <n v="2249"/>
    <n v="0"/>
    <n v="0"/>
    <n v="1"/>
    <n v="0"/>
    <n v="0"/>
    <n v="0"/>
    <n v="0"/>
    <n v="0"/>
    <n v="1"/>
    <n v="105"/>
    <d v="2016-08-18T00:00:00"/>
  </r>
  <r>
    <n v="1668"/>
    <n v="44911"/>
    <n v="184"/>
    <n v="4.0969918282826034E-3"/>
    <x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x v="1"/>
    <x v="29"/>
    <s v="51-66"/>
    <n v="2630"/>
    <n v="0"/>
    <n v="0"/>
    <n v="0"/>
    <n v="1"/>
    <n v="0"/>
    <n v="0"/>
    <n v="1"/>
    <n v="0"/>
    <n v="0"/>
    <n v="153"/>
    <d v="2015-08-03T00:00:00"/>
  </r>
  <r>
    <n v="716"/>
    <n v="48726"/>
    <n v="183"/>
    <n v="3.7556951114394777E-3"/>
    <x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x v="1"/>
    <x v="38"/>
    <s v="51-66"/>
    <n v="2587"/>
    <n v="0"/>
    <n v="1"/>
    <n v="0"/>
    <n v="0"/>
    <n v="0"/>
    <n v="0"/>
    <n v="1"/>
    <n v="0"/>
    <n v="0"/>
    <n v="124"/>
    <d v="2015-09-15T00:00:00"/>
  </r>
  <r>
    <n v="847"/>
    <n v="54137"/>
    <n v="183"/>
    <n v="3.3803129098398509E-3"/>
    <x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x v="1"/>
    <x v="2"/>
    <s v="36-50"/>
    <n v="2476"/>
    <n v="1"/>
    <n v="0"/>
    <n v="0"/>
    <n v="0"/>
    <n v="0"/>
    <n v="0"/>
    <n v="1"/>
    <n v="0"/>
    <n v="0"/>
    <n v="163"/>
    <d v="2016-01-04T00:00:00"/>
  </r>
  <r>
    <n v="205"/>
    <n v="30732"/>
    <n v="182"/>
    <n v="5.9221658206429781E-3"/>
    <x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x v="1"/>
    <x v="41"/>
    <s v="36-50"/>
    <n v="2699"/>
    <n v="0"/>
    <n v="1"/>
    <n v="0"/>
    <n v="0"/>
    <n v="0"/>
    <n v="0"/>
    <n v="0"/>
    <n v="0"/>
    <n v="1"/>
    <n v="179"/>
    <d v="2015-05-26T00:00:00"/>
  </r>
  <r>
    <n v="417"/>
    <n v="42618"/>
    <n v="182"/>
    <n v="4.2704960345393969E-3"/>
    <x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x v="1"/>
    <x v="9"/>
    <s v="36-50"/>
    <n v="2422"/>
    <n v="1"/>
    <n v="0"/>
    <n v="0"/>
    <n v="0"/>
    <n v="0"/>
    <n v="0"/>
    <n v="0"/>
    <n v="1"/>
    <n v="0"/>
    <n v="172"/>
    <d v="2016-02-27T00:00:00"/>
  </r>
  <r>
    <n v="510"/>
    <n v="43638"/>
    <n v="182"/>
    <n v="4.1706769329483478E-3"/>
    <x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x v="1"/>
    <x v="3"/>
    <s v="51-66"/>
    <n v="2851"/>
    <n v="0"/>
    <n v="0"/>
    <n v="0"/>
    <n v="0"/>
    <n v="1"/>
    <n v="0"/>
    <n v="1"/>
    <n v="0"/>
    <n v="0"/>
    <n v="163"/>
    <d v="2014-12-25T00:00:00"/>
  </r>
  <r>
    <n v="660"/>
    <n v="41335"/>
    <n v="182"/>
    <n v="4.4030482641828957E-3"/>
    <x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  <x v="14"/>
    <s v="51-66"/>
    <n v="2344"/>
    <n v="1"/>
    <n v="0"/>
    <n v="0"/>
    <n v="0"/>
    <n v="0"/>
    <n v="0"/>
    <n v="0"/>
    <n v="1"/>
    <n v="0"/>
    <n v="177"/>
    <d v="2016-05-15T00:00:00"/>
  </r>
  <r>
    <n v="1154"/>
    <n v="44421"/>
    <n v="182"/>
    <n v="4.097161252560726E-3"/>
    <x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x v="1"/>
    <x v="28"/>
    <s v="36-50"/>
    <n v="2658"/>
    <n v="1"/>
    <n v="0"/>
    <n v="0"/>
    <n v="0"/>
    <n v="0"/>
    <n v="0"/>
    <n v="1"/>
    <n v="0"/>
    <n v="0"/>
    <n v="175"/>
    <d v="2015-07-06T00:00:00"/>
  </r>
  <r>
    <n v="1188"/>
    <n v="45579"/>
    <n v="182"/>
    <n v="3.9930669826016363E-3"/>
    <x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x v="1"/>
    <x v="40"/>
    <s v="66+"/>
    <n v="2472"/>
    <n v="0"/>
    <n v="1"/>
    <n v="0"/>
    <n v="0"/>
    <n v="0"/>
    <n v="0"/>
    <n v="0"/>
    <n v="0"/>
    <n v="1"/>
    <n v="181"/>
    <d v="2016-01-08T00:00:00"/>
  </r>
  <r>
    <n v="1575"/>
    <n v="44392"/>
    <n v="182"/>
    <n v="4.0998378086141646E-3"/>
    <x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x v="1"/>
    <x v="35"/>
    <s v="36-50"/>
    <n v="2456"/>
    <n v="0"/>
    <n v="0"/>
    <n v="0"/>
    <n v="1"/>
    <n v="0"/>
    <n v="0"/>
    <n v="1"/>
    <n v="0"/>
    <n v="0"/>
    <n v="153"/>
    <d v="2016-01-24T00:00:00"/>
  </r>
  <r>
    <n v="796"/>
    <n v="49980"/>
    <n v="181"/>
    <n v="3.6214485794317727E-3"/>
    <x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x v="1"/>
    <x v="33"/>
    <s v="51-66"/>
    <n v="2408"/>
    <n v="0"/>
    <n v="0"/>
    <n v="1"/>
    <n v="0"/>
    <n v="0"/>
    <n v="0"/>
    <n v="1"/>
    <n v="0"/>
    <n v="0"/>
    <n v="167"/>
    <d v="2016-03-12T00:00:00"/>
  </r>
  <r>
    <n v="1128"/>
    <n v="51412"/>
    <n v="181"/>
    <n v="3.5205788531860265E-3"/>
    <x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x v="1"/>
    <x v="27"/>
    <s v="51-66"/>
    <n v="2339"/>
    <n v="0"/>
    <n v="1"/>
    <n v="0"/>
    <n v="0"/>
    <n v="0"/>
    <n v="0"/>
    <n v="0"/>
    <n v="1"/>
    <n v="0"/>
    <n v="167"/>
    <d v="2016-05-20T00:00:00"/>
  </r>
  <r>
    <n v="1318"/>
    <n v="51315"/>
    <n v="181"/>
    <n v="3.5272337523141383E-3"/>
    <x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x v="1"/>
    <x v="40"/>
    <s v="66+"/>
    <n v="2285"/>
    <n v="0"/>
    <n v="0"/>
    <n v="0"/>
    <n v="1"/>
    <n v="0"/>
    <n v="0"/>
    <n v="1"/>
    <n v="0"/>
    <n v="0"/>
    <n v="140"/>
    <d v="2016-07-13T00:00:00"/>
  </r>
  <r>
    <n v="1370"/>
    <n v="41020"/>
    <n v="181"/>
    <n v="4.4124817162359822E-3"/>
    <x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x v="1"/>
    <x v="36"/>
    <s v="24-35"/>
    <n v="2403"/>
    <n v="0"/>
    <n v="0"/>
    <n v="1"/>
    <n v="0"/>
    <n v="0"/>
    <n v="0"/>
    <n v="0"/>
    <n v="1"/>
    <n v="0"/>
    <n v="145"/>
    <d v="2016-03-17T00:00:00"/>
  </r>
  <r>
    <n v="1995"/>
    <n v="35893"/>
    <n v="181"/>
    <n v="5.042765998941298E-3"/>
    <x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x v="1"/>
    <x v="14"/>
    <s v="51-66"/>
    <n v="2781"/>
    <n v="0"/>
    <n v="0"/>
    <n v="1"/>
    <n v="0"/>
    <n v="0"/>
    <n v="0"/>
    <n v="1"/>
    <n v="0"/>
    <n v="0"/>
    <n v="163"/>
    <d v="2015-03-05T00:00:00"/>
  </r>
  <r>
    <n v="95"/>
    <n v="49096"/>
    <n v="180"/>
    <n v="3.6662864591820109E-3"/>
    <x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x v="1"/>
    <x v="42"/>
    <s v="51-66"/>
    <n v="2437"/>
    <n v="0"/>
    <n v="1"/>
    <n v="0"/>
    <n v="0"/>
    <n v="0"/>
    <n v="0"/>
    <n v="1"/>
    <n v="0"/>
    <n v="0"/>
    <n v="173"/>
    <d v="2016-02-12T00:00:00"/>
  </r>
  <r>
    <n v="627"/>
    <n v="54690"/>
    <n v="180"/>
    <n v="3.2912781130005485E-3"/>
    <x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  <x v="28"/>
    <s v="36-50"/>
    <n v="2393"/>
    <n v="0"/>
    <n v="1"/>
    <n v="0"/>
    <n v="0"/>
    <n v="0"/>
    <n v="1"/>
    <n v="0"/>
    <n v="0"/>
    <n v="0"/>
    <n v="162"/>
    <d v="2016-03-27T00:00:00"/>
  </r>
  <r>
    <n v="1864"/>
    <n v="43020"/>
    <n v="180"/>
    <n v="4.1841004184100415E-3"/>
    <x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x v="1"/>
    <x v="2"/>
    <s v="36-50"/>
    <n v="2370"/>
    <n v="0"/>
    <n v="0"/>
    <n v="1"/>
    <n v="0"/>
    <n v="0"/>
    <n v="0"/>
    <n v="1"/>
    <n v="0"/>
    <n v="0"/>
    <n v="137"/>
    <d v="2016-04-19T00:00:00"/>
  </r>
  <r>
    <n v="1935"/>
    <n v="62637"/>
    <n v="180"/>
    <n v="2.8737008477417499E-3"/>
    <x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x v="1"/>
    <x v="44"/>
    <s v="66+"/>
    <n v="2279"/>
    <n v="1"/>
    <n v="0"/>
    <n v="0"/>
    <n v="0"/>
    <n v="0"/>
    <n v="0"/>
    <n v="0"/>
    <n v="1"/>
    <n v="0"/>
    <n v="175"/>
    <d v="2016-07-19T00:00:00"/>
  </r>
  <r>
    <n v="135"/>
    <n v="35688"/>
    <n v="179"/>
    <n v="5.015691548980049E-3"/>
    <x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  <x v="30"/>
    <s v="36-50"/>
    <n v="2835"/>
    <n v="0"/>
    <n v="1"/>
    <n v="0"/>
    <n v="0"/>
    <n v="0"/>
    <n v="1"/>
    <n v="0"/>
    <n v="0"/>
    <n v="0"/>
    <n v="147"/>
    <d v="2015-01-10T00:00:00"/>
  </r>
  <r>
    <n v="979"/>
    <n v="8028"/>
    <n v="176"/>
    <n v="2.1923268560039861E-2"/>
    <x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x v="1"/>
    <x v="1"/>
    <s v="24-35"/>
    <n v="2808"/>
    <n v="0"/>
    <n v="0"/>
    <n v="1"/>
    <n v="0"/>
    <n v="0"/>
    <n v="0"/>
    <n v="1"/>
    <n v="0"/>
    <n v="0"/>
    <n v="174"/>
    <d v="2015-02-06T00:00:00"/>
  </r>
  <r>
    <n v="820"/>
    <n v="42395"/>
    <n v="157"/>
    <n v="3.7032668946809766E-3"/>
    <x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x v="1"/>
    <x v="43"/>
    <s v="36-50"/>
    <n v="2245"/>
    <n v="0"/>
    <n v="0"/>
    <n v="1"/>
    <n v="0"/>
    <n v="0"/>
    <n v="1"/>
    <n v="0"/>
    <n v="0"/>
    <n v="0"/>
    <n v="132"/>
    <d v="2016-08-22T00:00:00"/>
  </r>
  <r>
    <n v="1583"/>
    <n v="40442"/>
    <n v="156"/>
    <n v="3.8573759952524604E-3"/>
    <x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x v="0"/>
    <x v="50"/>
    <s v="66+"/>
    <n v="2838"/>
    <n v="0"/>
    <n v="0"/>
    <n v="0"/>
    <n v="1"/>
    <n v="0"/>
    <n v="0"/>
    <n v="0"/>
    <n v="1"/>
    <n v="0"/>
    <n v="143"/>
    <d v="2015-01-07T00:00:00"/>
  </r>
  <r>
    <n v="472"/>
    <n v="24279"/>
    <n v="155"/>
    <n v="6.3841179620247948E-3"/>
    <x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x v="1"/>
    <x v="48"/>
    <s v="24-35"/>
    <n v="2706"/>
    <n v="0"/>
    <n v="1"/>
    <n v="0"/>
    <n v="0"/>
    <n v="0"/>
    <n v="0"/>
    <n v="0"/>
    <n v="0"/>
    <n v="0"/>
    <n v="47"/>
    <d v="2015-05-19T00:00:00"/>
  </r>
  <r>
    <n v="369"/>
    <n v="43824"/>
    <n v="154"/>
    <n v="3.5140562248995983E-3"/>
    <x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x v="1"/>
    <x v="28"/>
    <s v="36-50"/>
    <n v="2811"/>
    <n v="0"/>
    <n v="1"/>
    <n v="0"/>
    <n v="0"/>
    <n v="0"/>
    <n v="0"/>
    <n v="1"/>
    <n v="0"/>
    <n v="0"/>
    <n v="122"/>
    <d v="2015-02-03T00:00:00"/>
  </r>
  <r>
    <n v="1316"/>
    <n v="34412"/>
    <n v="154"/>
    <n v="4.4751830756712772E-3"/>
    <x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x v="1"/>
    <x v="48"/>
    <s v="24-35"/>
    <n v="2660"/>
    <n v="0"/>
    <n v="0"/>
    <n v="1"/>
    <n v="0"/>
    <n v="0"/>
    <n v="0"/>
    <n v="1"/>
    <n v="0"/>
    <n v="0"/>
    <n v="99"/>
    <d v="2015-07-04T00:00:00"/>
  </r>
  <r>
    <n v="1596"/>
    <n v="36145"/>
    <n v="154"/>
    <n v="4.2606169594688065E-3"/>
    <x v="1"/>
    <n v="0"/>
    <n v="13"/>
    <n v="56"/>
    <n v="4"/>
    <n v="76"/>
    <n v="17"/>
    <n v="1"/>
    <n v="18"/>
    <n v="4"/>
    <n v="4"/>
    <n v="1"/>
    <n v="3"/>
    <n v="9"/>
    <n v="0"/>
    <n v="0"/>
    <n v="1"/>
    <n v="0"/>
    <n v="0"/>
    <n v="0"/>
    <x v="0"/>
    <x v="23"/>
    <s v="24-35"/>
    <n v="2537"/>
    <n v="0"/>
    <n v="1"/>
    <n v="0"/>
    <n v="0"/>
    <n v="0"/>
    <n v="1"/>
    <n v="0"/>
    <n v="0"/>
    <n v="0"/>
    <n v="136"/>
    <d v="2015-11-04T00:00:00"/>
  </r>
  <r>
    <n v="540"/>
    <n v="38593"/>
    <n v="153"/>
    <n v="3.9644495115694553E-3"/>
    <x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x v="1"/>
    <x v="37"/>
    <s v="36-50"/>
    <n v="2448"/>
    <n v="0"/>
    <n v="0"/>
    <n v="1"/>
    <n v="0"/>
    <n v="0"/>
    <n v="1"/>
    <n v="0"/>
    <n v="0"/>
    <n v="0"/>
    <n v="129"/>
    <d v="2016-02-01T00:00:00"/>
  </r>
  <r>
    <n v="1597"/>
    <n v="44051"/>
    <n v="153"/>
    <n v="3.4732469183446461E-3"/>
    <x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x v="0"/>
    <x v="30"/>
    <s v="36-50"/>
    <n v="2675"/>
    <n v="1"/>
    <n v="0"/>
    <n v="0"/>
    <n v="0"/>
    <n v="0"/>
    <n v="0"/>
    <n v="0"/>
    <n v="1"/>
    <n v="0"/>
    <n v="135"/>
    <d v="2015-06-19T00:00:00"/>
  </r>
  <r>
    <n v="1813"/>
    <n v="39791"/>
    <n v="153"/>
    <n v="3.8450905983765174E-3"/>
    <x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x v="1"/>
    <x v="28"/>
    <s v="36-50"/>
    <n v="2617"/>
    <n v="0"/>
    <n v="1"/>
    <n v="0"/>
    <n v="0"/>
    <n v="0"/>
    <n v="0"/>
    <n v="0"/>
    <n v="1"/>
    <n v="0"/>
    <n v="132"/>
    <d v="2015-08-16T00:00:00"/>
  </r>
  <r>
    <n v="1832"/>
    <n v="39146"/>
    <n v="153"/>
    <n v="3.9084453073110915E-3"/>
    <x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x v="1"/>
    <x v="18"/>
    <s v="24-35"/>
    <n v="2659"/>
    <n v="0"/>
    <n v="0"/>
    <n v="1"/>
    <n v="0"/>
    <n v="0"/>
    <n v="0"/>
    <n v="1"/>
    <n v="0"/>
    <n v="0"/>
    <n v="141"/>
    <d v="2015-07-05T00:00:00"/>
  </r>
  <r>
    <n v="413"/>
    <n v="56223"/>
    <n v="152"/>
    <n v="2.7035199117798766E-3"/>
    <x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x v="1"/>
    <x v="40"/>
    <s v="66+"/>
    <n v="2350"/>
    <n v="0"/>
    <n v="1"/>
    <n v="0"/>
    <n v="0"/>
    <n v="0"/>
    <n v="0"/>
    <n v="0"/>
    <n v="0"/>
    <n v="1"/>
    <n v="148"/>
    <d v="2016-05-09T00:00:00"/>
  </r>
  <r>
    <n v="544"/>
    <n v="51287"/>
    <n v="152"/>
    <n v="2.9637140015988457E-3"/>
    <x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x v="1"/>
    <x v="14"/>
    <s v="51-66"/>
    <n v="2248"/>
    <n v="0"/>
    <n v="1"/>
    <n v="0"/>
    <n v="0"/>
    <n v="0"/>
    <n v="0"/>
    <n v="1"/>
    <n v="0"/>
    <n v="0"/>
    <n v="122"/>
    <d v="2016-08-19T00:00:00"/>
  </r>
  <r>
    <n v="1126"/>
    <n v="54809"/>
    <n v="152"/>
    <n v="2.7732671641518729E-3"/>
    <x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1"/>
    <x v="13"/>
    <s v="36-50"/>
    <n v="2450"/>
    <n v="0"/>
    <n v="1"/>
    <n v="0"/>
    <n v="0"/>
    <n v="0"/>
    <n v="0"/>
    <n v="1"/>
    <n v="0"/>
    <n v="0"/>
    <n v="130"/>
    <d v="2016-01-30T00:00:00"/>
  </r>
  <r>
    <n v="1243"/>
    <n v="45503"/>
    <n v="152"/>
    <n v="3.3404390919280049E-3"/>
    <x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x v="1"/>
    <x v="16"/>
    <s v="36-50"/>
    <n v="2436"/>
    <n v="0"/>
    <n v="1"/>
    <n v="0"/>
    <n v="0"/>
    <n v="0"/>
    <n v="0"/>
    <n v="0"/>
    <n v="0"/>
    <n v="1"/>
    <n v="134"/>
    <d v="2016-02-13T00:00:00"/>
  </r>
  <r>
    <n v="1594"/>
    <n v="55761"/>
    <n v="152"/>
    <n v="2.7259195495059271E-3"/>
    <x v="0"/>
    <n v="1"/>
    <n v="97"/>
    <n v="136"/>
    <n v="1"/>
    <n v="12"/>
    <n v="0"/>
    <n v="3"/>
    <n v="32"/>
    <n v="2"/>
    <n v="4"/>
    <n v="1"/>
    <n v="3"/>
    <n v="6"/>
    <n v="0"/>
    <n v="0"/>
    <n v="0"/>
    <n v="1"/>
    <n v="0"/>
    <n v="0"/>
    <x v="1"/>
    <x v="42"/>
    <s v="51-66"/>
    <n v="2225"/>
    <n v="0"/>
    <n v="0"/>
    <n v="0"/>
    <n v="1"/>
    <n v="0"/>
    <n v="0"/>
    <n v="1"/>
    <n v="0"/>
    <n v="0"/>
    <n v="120"/>
    <d v="2016-09-11T00:00:00"/>
  </r>
  <r>
    <n v="1603"/>
    <n v="54809"/>
    <n v="152"/>
    <n v="2.7732671641518729E-3"/>
    <x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0"/>
    <x v="13"/>
    <s v="36-50"/>
    <n v="2450"/>
    <n v="0"/>
    <n v="1"/>
    <n v="0"/>
    <n v="0"/>
    <n v="0"/>
    <n v="0"/>
    <n v="1"/>
    <n v="0"/>
    <n v="0"/>
    <n v="130"/>
    <d v="2016-01-30T00:00:00"/>
  </r>
  <r>
    <n v="1618"/>
    <n v="47808"/>
    <n v="152"/>
    <n v="3.1793842034805891E-3"/>
    <x v="0"/>
    <n v="1"/>
    <n v="30"/>
    <n v="123"/>
    <n v="1"/>
    <n v="26"/>
    <n v="2"/>
    <n v="0"/>
    <n v="72"/>
    <n v="2"/>
    <n v="3"/>
    <n v="2"/>
    <n v="3"/>
    <n v="7"/>
    <n v="0"/>
    <n v="0"/>
    <n v="1"/>
    <n v="0"/>
    <n v="0"/>
    <n v="0"/>
    <x v="1"/>
    <x v="16"/>
    <s v="36-50"/>
    <n v="2411"/>
    <n v="0"/>
    <n v="1"/>
    <n v="0"/>
    <n v="0"/>
    <n v="0"/>
    <n v="0"/>
    <n v="0"/>
    <n v="1"/>
    <n v="0"/>
    <n v="80"/>
    <d v="2016-03-09T00:00:00"/>
  </r>
  <r>
    <n v="1677"/>
    <n v="32313"/>
    <n v="152"/>
    <n v="4.7039891065515423E-3"/>
    <x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x v="1"/>
    <x v="31"/>
    <s v="36-50"/>
    <n v="2662"/>
    <n v="0"/>
    <n v="0"/>
    <n v="0"/>
    <n v="1"/>
    <n v="0"/>
    <n v="0"/>
    <n v="0"/>
    <n v="0"/>
    <n v="1"/>
    <n v="145"/>
    <d v="2015-07-02T00:00:00"/>
  </r>
  <r>
    <n v="1116"/>
    <n v="31497"/>
    <n v="151"/>
    <n v="4.7941073753055849E-3"/>
    <x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  <x v="46"/>
    <s v="51-66"/>
    <n v="2729"/>
    <n v="0"/>
    <n v="0"/>
    <n v="0"/>
    <n v="1"/>
    <n v="0"/>
    <n v="0"/>
    <n v="0"/>
    <n v="0"/>
    <n v="1"/>
    <n v="147"/>
    <d v="2015-04-26T00:00:00"/>
  </r>
  <r>
    <n v="1364"/>
    <n v="34380"/>
    <n v="151"/>
    <n v="4.3920884235020361E-3"/>
    <x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x v="1"/>
    <x v="13"/>
    <s v="36-50"/>
    <n v="2582"/>
    <n v="0"/>
    <n v="1"/>
    <n v="0"/>
    <n v="0"/>
    <n v="0"/>
    <n v="0"/>
    <n v="1"/>
    <n v="0"/>
    <n v="0"/>
    <n v="127"/>
    <d v="2015-09-20T00:00:00"/>
  </r>
  <r>
    <n v="1608"/>
    <n v="52869"/>
    <n v="151"/>
    <n v="2.8561160604513042E-3"/>
    <x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x v="0"/>
    <x v="44"/>
    <s v="66+"/>
    <n v="2781"/>
    <n v="0"/>
    <n v="1"/>
    <n v="0"/>
    <n v="0"/>
    <n v="0"/>
    <n v="0"/>
    <n v="0"/>
    <n v="0"/>
    <n v="1"/>
    <n v="130"/>
    <d v="2015-03-05T00:00:00"/>
  </r>
  <r>
    <n v="1605"/>
    <n v="39763"/>
    <n v="151"/>
    <n v="3.7975001886175592E-3"/>
    <x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x v="0"/>
    <x v="28"/>
    <s v="36-50"/>
    <n v="2488"/>
    <n v="0"/>
    <n v="0"/>
    <n v="1"/>
    <n v="0"/>
    <n v="0"/>
    <n v="0"/>
    <n v="0"/>
    <n v="1"/>
    <n v="0"/>
    <n v="135"/>
    <d v="2015-12-23T00:00:00"/>
  </r>
  <r>
    <n v="1775"/>
    <n v="51141"/>
    <n v="151"/>
    <n v="2.9526211845681549E-3"/>
    <x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x v="1"/>
    <x v="54"/>
    <s v="66+"/>
    <n v="2515"/>
    <n v="0"/>
    <n v="0"/>
    <n v="1"/>
    <n v="0"/>
    <n v="0"/>
    <n v="0"/>
    <n v="0"/>
    <n v="0"/>
    <n v="1"/>
    <n v="145"/>
    <d v="2015-11-26T00:00:00"/>
  </r>
  <r>
    <n v="1865"/>
    <n v="53154"/>
    <n v="151"/>
    <n v="2.8408021973887194E-3"/>
    <x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x v="1"/>
    <x v="29"/>
    <s v="51-66"/>
    <n v="2179"/>
    <n v="0"/>
    <n v="1"/>
    <n v="0"/>
    <n v="0"/>
    <n v="0"/>
    <n v="0"/>
    <n v="1"/>
    <n v="0"/>
    <n v="0"/>
    <n v="144"/>
    <d v="2016-10-27T00:00:00"/>
  </r>
  <r>
    <n v="207"/>
    <n v="42011"/>
    <n v="150"/>
    <n v="3.570493442193711E-3"/>
    <x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x v="1"/>
    <x v="37"/>
    <s v="36-50"/>
    <n v="2619"/>
    <n v="0"/>
    <n v="0"/>
    <n v="0"/>
    <n v="1"/>
    <n v="0"/>
    <n v="0"/>
    <n v="1"/>
    <n v="0"/>
    <n v="0"/>
    <n v="111"/>
    <d v="2015-08-14T00:00:00"/>
  </r>
  <r>
    <n v="616"/>
    <n v="61278"/>
    <n v="150"/>
    <n v="2.4478605698619407E-3"/>
    <x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x v="1"/>
    <x v="10"/>
    <s v="66+"/>
    <n v="2335"/>
    <n v="0"/>
    <n v="0"/>
    <n v="0"/>
    <n v="1"/>
    <n v="0"/>
    <n v="0"/>
    <n v="1"/>
    <n v="0"/>
    <n v="0"/>
    <n v="135"/>
    <d v="2016-05-24T00:00:00"/>
  </r>
  <r>
    <n v="1121"/>
    <n v="62307"/>
    <n v="150"/>
    <n v="2.4074341566758151E-3"/>
    <x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x v="1"/>
    <x v="50"/>
    <s v="66+"/>
    <n v="2291"/>
    <n v="0"/>
    <n v="0"/>
    <n v="1"/>
    <n v="0"/>
    <n v="0"/>
    <n v="0"/>
    <n v="1"/>
    <n v="0"/>
    <n v="0"/>
    <n v="140"/>
    <d v="2016-07-07T00:00:00"/>
  </r>
  <r>
    <n v="1213"/>
    <n v="60033"/>
    <n v="150"/>
    <n v="2.498625755834291E-3"/>
    <x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x v="1"/>
    <x v="44"/>
    <s v="66+"/>
    <n v="2251"/>
    <n v="0"/>
    <n v="0"/>
    <n v="0"/>
    <n v="1"/>
    <n v="0"/>
    <n v="0"/>
    <n v="0"/>
    <n v="1"/>
    <n v="0"/>
    <n v="102"/>
    <d v="2016-08-16T00:00:00"/>
  </r>
  <r>
    <n v="1563"/>
    <n v="38175"/>
    <n v="150"/>
    <n v="3.929273084479371E-3"/>
    <x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x v="1"/>
    <x v="39"/>
    <s v="36-50"/>
    <n v="2438"/>
    <n v="0"/>
    <n v="1"/>
    <n v="0"/>
    <n v="0"/>
    <n v="0"/>
    <n v="0"/>
    <n v="0"/>
    <n v="0"/>
    <n v="1"/>
    <n v="147"/>
    <d v="2016-02-11T00:00:00"/>
  </r>
  <r>
    <n v="1619"/>
    <n v="35641"/>
    <n v="150"/>
    <n v="4.2086361213209507E-3"/>
    <x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x v="0"/>
    <x v="9"/>
    <s v="36-50"/>
    <n v="2509"/>
    <n v="0"/>
    <n v="1"/>
    <n v="0"/>
    <n v="0"/>
    <n v="0"/>
    <n v="0"/>
    <n v="0"/>
    <n v="1"/>
    <n v="0"/>
    <n v="122"/>
    <d v="2015-12-02T00:00:00"/>
  </r>
  <r>
    <n v="305"/>
    <n v="29999"/>
    <n v="149"/>
    <n v="4.9668322277409251E-3"/>
    <x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x v="1"/>
    <x v="18"/>
    <s v="24-35"/>
    <n v="2660"/>
    <n v="0"/>
    <n v="0"/>
    <n v="1"/>
    <n v="0"/>
    <n v="0"/>
    <n v="0"/>
    <n v="0"/>
    <n v="0"/>
    <n v="1"/>
    <n v="138"/>
    <d v="2015-07-04T00:00:00"/>
  </r>
  <r>
    <n v="1291"/>
    <n v="54342"/>
    <n v="149"/>
    <n v="2.7418939310294064E-3"/>
    <x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x v="1"/>
    <x v="5"/>
    <s v="51-66"/>
    <n v="2520"/>
    <n v="0"/>
    <n v="0"/>
    <n v="0"/>
    <n v="1"/>
    <n v="0"/>
    <n v="1"/>
    <n v="0"/>
    <n v="0"/>
    <n v="0"/>
    <n v="121"/>
    <d v="2015-11-21T00:00:00"/>
  </r>
  <r>
    <n v="1630"/>
    <n v="43300"/>
    <n v="149"/>
    <n v="3.441108545034642E-3"/>
    <x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x v="0"/>
    <x v="28"/>
    <s v="36-50"/>
    <n v="2783"/>
    <n v="1"/>
    <n v="0"/>
    <n v="0"/>
    <n v="0"/>
    <n v="0"/>
    <n v="0"/>
    <n v="1"/>
    <n v="0"/>
    <n v="0"/>
    <n v="118"/>
    <d v="2015-03-03T00:00:00"/>
  </r>
  <r>
    <n v="1622"/>
    <n v="21888"/>
    <n v="149"/>
    <n v="6.8073830409356726E-3"/>
    <x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x v="0"/>
    <x v="18"/>
    <s v="24-35"/>
    <n v="2706"/>
    <n v="0"/>
    <n v="0"/>
    <n v="1"/>
    <n v="0"/>
    <n v="0"/>
    <n v="0"/>
    <n v="0"/>
    <n v="1"/>
    <n v="0"/>
    <n v="85"/>
    <d v="2015-05-19T00:00:00"/>
  </r>
  <r>
    <n v="1643"/>
    <n v="59385"/>
    <n v="149"/>
    <n v="2.5090511071819482E-3"/>
    <x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x v="1"/>
    <x v="15"/>
    <s v="66+"/>
    <n v="2586"/>
    <n v="0"/>
    <n v="0"/>
    <n v="0"/>
    <n v="1"/>
    <n v="0"/>
    <n v="0"/>
    <n v="0"/>
    <n v="1"/>
    <n v="0"/>
    <n v="113"/>
    <d v="2015-09-16T00:00:00"/>
  </r>
  <r>
    <n v="1803"/>
    <n v="24570"/>
    <n v="149"/>
    <n v="6.0643060643060642E-3"/>
    <x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x v="1"/>
    <x v="39"/>
    <s v="36-50"/>
    <n v="2646"/>
    <n v="0"/>
    <n v="1"/>
    <n v="0"/>
    <n v="0"/>
    <n v="0"/>
    <n v="0"/>
    <n v="1"/>
    <n v="0"/>
    <n v="0"/>
    <n v="105"/>
    <d v="2015-07-18T00:00:00"/>
  </r>
  <r>
    <n v="1951"/>
    <n v="41713"/>
    <n v="149"/>
    <n v="3.5720279049696736E-3"/>
    <x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x v="1"/>
    <x v="42"/>
    <s v="51-66"/>
    <n v="2220"/>
    <n v="1"/>
    <n v="0"/>
    <n v="0"/>
    <n v="0"/>
    <n v="0"/>
    <n v="1"/>
    <n v="0"/>
    <n v="0"/>
    <n v="0"/>
    <n v="124"/>
    <d v="2016-09-16T00:00:00"/>
  </r>
  <r>
    <n v="73"/>
    <n v="29760"/>
    <n v="148"/>
    <n v="4.9731182795698927E-3"/>
    <x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  <x v="23"/>
    <s v="24-35"/>
    <n v="2828"/>
    <n v="0"/>
    <n v="0"/>
    <n v="1"/>
    <n v="0"/>
    <n v="0"/>
    <n v="0"/>
    <n v="1"/>
    <n v="0"/>
    <n v="0"/>
    <n v="131"/>
    <d v="2015-01-17T00:00:00"/>
  </r>
  <r>
    <n v="145"/>
    <n v="55375"/>
    <n v="148"/>
    <n v="2.672686230248307E-3"/>
    <x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x v="1"/>
    <x v="13"/>
    <s v="36-50"/>
    <n v="2414"/>
    <n v="0"/>
    <n v="0"/>
    <n v="0"/>
    <n v="1"/>
    <n v="0"/>
    <n v="0"/>
    <n v="1"/>
    <n v="0"/>
    <n v="0"/>
    <n v="134"/>
    <d v="2016-03-06T00:00:00"/>
  </r>
  <r>
    <n v="1142"/>
    <n v="33629"/>
    <n v="148"/>
    <n v="4.4009634541615867E-3"/>
    <x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x v="1"/>
    <x v="33"/>
    <s v="51-66"/>
    <n v="2849"/>
    <n v="0"/>
    <n v="0"/>
    <n v="0"/>
    <n v="1"/>
    <n v="0"/>
    <n v="0"/>
    <n v="0"/>
    <n v="0"/>
    <n v="1"/>
    <n v="144"/>
    <d v="2014-12-27T00:00:00"/>
  </r>
  <r>
    <n v="618"/>
    <n v="46734"/>
    <n v="147"/>
    <n v="3.1454615483373989E-3"/>
    <x v="1"/>
    <n v="2"/>
    <n v="86"/>
    <n v="100"/>
    <n v="1"/>
    <n v="39"/>
    <n v="6"/>
    <n v="1"/>
    <n v="76"/>
    <n v="4"/>
    <n v="3"/>
    <n v="2"/>
    <n v="3"/>
    <n v="6"/>
    <n v="0"/>
    <n v="0"/>
    <n v="1"/>
    <n v="0"/>
    <n v="0"/>
    <n v="0"/>
    <x v="1"/>
    <x v="22"/>
    <s v="51-66"/>
    <n v="2410"/>
    <n v="0"/>
    <n v="0"/>
    <n v="1"/>
    <n v="0"/>
    <n v="0"/>
    <n v="0"/>
    <n v="0"/>
    <n v="0"/>
    <n v="1"/>
    <n v="71"/>
    <d v="2016-03-10T00:00:00"/>
  </r>
  <r>
    <n v="906"/>
    <n v="40233"/>
    <n v="147"/>
    <n v="3.6537170979047051E-3"/>
    <x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x v="1"/>
    <x v="16"/>
    <s v="36-50"/>
    <n v="2417"/>
    <n v="0"/>
    <n v="1"/>
    <n v="0"/>
    <n v="0"/>
    <n v="0"/>
    <n v="0"/>
    <n v="0"/>
    <n v="0"/>
    <n v="1"/>
    <n v="145"/>
    <d v="2016-03-03T00:00:00"/>
  </r>
  <r>
    <n v="1305"/>
    <n v="37716"/>
    <n v="147"/>
    <n v="3.8975501113585748E-3"/>
    <x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x v="1"/>
    <x v="10"/>
    <s v="66+"/>
    <n v="2228"/>
    <n v="0"/>
    <n v="1"/>
    <n v="0"/>
    <n v="0"/>
    <n v="0"/>
    <n v="0"/>
    <n v="1"/>
    <n v="0"/>
    <n v="0"/>
    <n v="106"/>
    <d v="2016-09-08T00:00:00"/>
  </r>
  <r>
    <n v="8"/>
    <n v="33454"/>
    <n v="146"/>
    <n v="4.3642015902433193E-3"/>
    <x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x v="1"/>
    <x v="23"/>
    <s v="24-35"/>
    <n v="2576"/>
    <n v="0"/>
    <n v="1"/>
    <n v="0"/>
    <n v="0"/>
    <n v="0"/>
    <n v="0"/>
    <n v="0"/>
    <n v="0"/>
    <n v="1"/>
    <n v="123"/>
    <d v="2015-09-26T00:00:00"/>
  </r>
  <r>
    <n v="78"/>
    <n v="36138"/>
    <n v="146"/>
    <n v="4.0400686258232335E-3"/>
    <x v="1"/>
    <n v="1"/>
    <n v="48"/>
    <n v="130"/>
    <n v="0"/>
    <n v="16"/>
    <n v="0"/>
    <n v="0"/>
    <n v="5"/>
    <n v="5"/>
    <n v="3"/>
    <n v="1"/>
    <n v="4"/>
    <n v="7"/>
    <n v="0"/>
    <n v="0"/>
    <n v="0"/>
    <n v="1"/>
    <n v="0"/>
    <n v="0"/>
    <x v="1"/>
    <x v="2"/>
    <s v="36-50"/>
    <n v="2507"/>
    <n v="0"/>
    <n v="1"/>
    <n v="0"/>
    <n v="0"/>
    <n v="0"/>
    <n v="0"/>
    <n v="0"/>
    <n v="1"/>
    <n v="0"/>
    <n v="141"/>
    <d v="2015-12-04T00:00:00"/>
  </r>
  <r>
    <n v="1162"/>
    <n v="44213"/>
    <n v="145"/>
    <n v="3.2795784045416506E-3"/>
    <x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x v="1"/>
    <x v="50"/>
    <s v="66+"/>
    <n v="2371"/>
    <n v="0"/>
    <n v="0"/>
    <n v="1"/>
    <n v="0"/>
    <n v="0"/>
    <n v="0"/>
    <n v="1"/>
    <n v="0"/>
    <n v="0"/>
    <n v="138"/>
    <d v="2016-04-18T00:00:00"/>
  </r>
  <r>
    <n v="1717"/>
    <n v="50616"/>
    <n v="145"/>
    <n v="2.8647068120752333E-3"/>
    <x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x v="1"/>
    <x v="14"/>
    <s v="51-66"/>
    <n v="2231"/>
    <n v="1"/>
    <n v="0"/>
    <n v="0"/>
    <n v="0"/>
    <n v="0"/>
    <n v="0"/>
    <n v="0"/>
    <n v="0"/>
    <n v="1"/>
    <n v="141"/>
    <d v="2016-09-05T00:00:00"/>
  </r>
  <r>
    <n v="375"/>
    <n v="42373"/>
    <n v="144"/>
    <n v="3.3983904845066434E-3"/>
    <x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x v="1"/>
    <x v="35"/>
    <s v="36-50"/>
    <n v="2477"/>
    <n v="0"/>
    <n v="0"/>
    <n v="1"/>
    <n v="0"/>
    <n v="0"/>
    <n v="0"/>
    <n v="1"/>
    <n v="0"/>
    <n v="0"/>
    <n v="125"/>
    <d v="2016-01-03T00:00:00"/>
  </r>
  <r>
    <n v="1889"/>
    <n v="27803"/>
    <n v="127"/>
    <n v="4.5678523900298529E-3"/>
    <x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x v="1"/>
    <x v="30"/>
    <s v="36-50"/>
    <n v="2831"/>
    <n v="0"/>
    <n v="1"/>
    <n v="0"/>
    <n v="0"/>
    <n v="0"/>
    <n v="0"/>
    <n v="1"/>
    <n v="0"/>
    <n v="0"/>
    <n v="78"/>
    <d v="2015-01-14T00:00:00"/>
  </r>
  <r>
    <n v="1055"/>
    <n v="48526"/>
    <n v="126"/>
    <n v="2.5965461814285128E-3"/>
    <x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x v="1"/>
    <x v="19"/>
    <s v="36-50"/>
    <n v="2346"/>
    <n v="0"/>
    <n v="0"/>
    <n v="1"/>
    <n v="0"/>
    <n v="0"/>
    <n v="0"/>
    <n v="1"/>
    <n v="0"/>
    <n v="0"/>
    <n v="117"/>
    <d v="2016-05-13T00:00:00"/>
  </r>
  <r>
    <n v="725"/>
    <n v="6835"/>
    <n v="125"/>
    <n v="1.8288222384784197E-2"/>
    <x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x v="1"/>
    <x v="12"/>
    <s v="51-66"/>
    <n v="2727"/>
    <n v="0"/>
    <n v="0"/>
    <n v="0"/>
    <n v="1"/>
    <n v="0"/>
    <n v="0"/>
    <n v="0"/>
    <n v="0"/>
    <n v="1"/>
    <n v="113"/>
    <d v="2015-04-28T00:00:00"/>
  </r>
  <r>
    <n v="745"/>
    <n v="46524"/>
    <n v="125"/>
    <n v="2.6867853151061817E-3"/>
    <x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x v="1"/>
    <x v="21"/>
    <s v="51-66"/>
    <n v="2609"/>
    <n v="0"/>
    <n v="0"/>
    <n v="1"/>
    <n v="0"/>
    <n v="0"/>
    <n v="0"/>
    <n v="1"/>
    <n v="0"/>
    <n v="0"/>
    <n v="73"/>
    <d v="2015-08-24T00:00:00"/>
  </r>
  <r>
    <n v="1644"/>
    <n v="25545"/>
    <n v="125"/>
    <n v="4.8933255040125266E-3"/>
    <x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x v="0"/>
    <x v="36"/>
    <s v="24-35"/>
    <n v="2818"/>
    <n v="0"/>
    <n v="1"/>
    <n v="0"/>
    <n v="0"/>
    <n v="0"/>
    <n v="0"/>
    <n v="1"/>
    <n v="0"/>
    <n v="0"/>
    <n v="40"/>
    <d v="2015-01-27T00:00:00"/>
  </r>
  <r>
    <n v="1646"/>
    <n v="7144"/>
    <n v="125"/>
    <n v="1.7497200447928331E-2"/>
    <x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x v="1"/>
    <x v="22"/>
    <s v="51-66"/>
    <n v="2363"/>
    <n v="0"/>
    <n v="0"/>
    <n v="1"/>
    <n v="0"/>
    <n v="0"/>
    <n v="0"/>
    <n v="0"/>
    <n v="0"/>
    <n v="1"/>
    <n v="-166"/>
    <d v="2016-04-26T00:00:00"/>
  </r>
  <r>
    <n v="1647"/>
    <n v="22669"/>
    <n v="125"/>
    <n v="5.514138250474216E-3"/>
    <x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x v="0"/>
    <x v="16"/>
    <s v="36-50"/>
    <n v="2562"/>
    <n v="0"/>
    <n v="0"/>
    <n v="0"/>
    <n v="1"/>
    <n v="0"/>
    <n v="0"/>
    <n v="0"/>
    <n v="1"/>
    <n v="0"/>
    <n v="77"/>
    <d v="2015-10-10T00:00:00"/>
  </r>
  <r>
    <n v="515"/>
    <n v="47850"/>
    <n v="124"/>
    <n v="2.5914315569487982E-3"/>
    <x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x v="1"/>
    <x v="41"/>
    <s v="36-50"/>
    <n v="2367"/>
    <n v="0"/>
    <n v="1"/>
    <n v="0"/>
    <n v="0"/>
    <n v="0"/>
    <n v="0"/>
    <n v="1"/>
    <n v="0"/>
    <n v="0"/>
    <n v="114"/>
    <d v="2016-04-22T00:00:00"/>
  </r>
  <r>
    <n v="269"/>
    <n v="38361"/>
    <n v="123"/>
    <n v="3.2063814811918354E-3"/>
    <x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  <x v="3"/>
    <s v="51-66"/>
    <n v="2343"/>
    <n v="0"/>
    <n v="0"/>
    <n v="0"/>
    <n v="1"/>
    <n v="0"/>
    <n v="0"/>
    <n v="1"/>
    <n v="0"/>
    <n v="0"/>
    <n v="109"/>
    <d v="2016-05-16T00:00:00"/>
  </r>
  <r>
    <n v="753"/>
    <n v="34838"/>
    <n v="123"/>
    <n v="3.5306274757448764E-3"/>
    <x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x v="1"/>
    <x v="15"/>
    <s v="66+"/>
    <n v="2685"/>
    <n v="0"/>
    <n v="1"/>
    <n v="0"/>
    <n v="0"/>
    <n v="0"/>
    <n v="0"/>
    <n v="1"/>
    <n v="0"/>
    <n v="0"/>
    <n v="76"/>
    <d v="2015-06-09T00:00:00"/>
  </r>
  <r>
    <n v="1655"/>
    <n v="45203"/>
    <n v="123"/>
    <n v="2.7210583368360505E-3"/>
    <x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x v="0"/>
    <x v="31"/>
    <s v="36-50"/>
    <n v="2257"/>
    <n v="0"/>
    <n v="0"/>
    <n v="0"/>
    <n v="1"/>
    <n v="0"/>
    <n v="0"/>
    <n v="1"/>
    <n v="0"/>
    <n v="0"/>
    <n v="99"/>
    <d v="2016-08-10T00:00:00"/>
  </r>
  <r>
    <n v="1987"/>
    <n v="43322"/>
    <n v="123"/>
    <n v="2.8392040995337243E-3"/>
    <x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x v="1"/>
    <x v="35"/>
    <s v="36-50"/>
    <n v="2228"/>
    <n v="0"/>
    <n v="0"/>
    <n v="1"/>
    <n v="0"/>
    <n v="0"/>
    <n v="0"/>
    <n v="1"/>
    <n v="0"/>
    <n v="0"/>
    <n v="105"/>
    <d v="2016-09-08T00:00:00"/>
  </r>
  <r>
    <n v="719"/>
    <n v="46891"/>
    <n v="122"/>
    <n v="2.6017785929069543E-3"/>
    <x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  <x v="47"/>
    <s v="51-66"/>
    <n v="2460"/>
    <n v="0"/>
    <n v="1"/>
    <n v="0"/>
    <n v="0"/>
    <n v="0"/>
    <n v="1"/>
    <n v="0"/>
    <n v="0"/>
    <n v="0"/>
    <n v="61"/>
    <d v="2016-01-20T00:00:00"/>
  </r>
  <r>
    <n v="1368"/>
    <n v="39898"/>
    <n v="122"/>
    <n v="3.0577973833274849E-3"/>
    <x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  <x v="44"/>
    <s v="66+"/>
    <n v="2661"/>
    <n v="0"/>
    <n v="0"/>
    <n v="0"/>
    <n v="1"/>
    <n v="0"/>
    <n v="0"/>
    <n v="1"/>
    <n v="0"/>
    <n v="0"/>
    <n v="110"/>
    <d v="2015-07-03T00:00:00"/>
  </r>
  <r>
    <n v="1514"/>
    <n v="56551"/>
    <n v="122"/>
    <n v="2.1573446977064949E-3"/>
    <x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  <x v="51"/>
    <s v="66+"/>
    <n v="2212"/>
    <n v="0"/>
    <n v="0"/>
    <n v="0"/>
    <n v="0"/>
    <n v="1"/>
    <n v="0"/>
    <n v="0"/>
    <n v="0"/>
    <n v="1"/>
    <n v="106"/>
    <d v="2016-09-24T00:00:00"/>
  </r>
  <r>
    <n v="27"/>
    <n v="38360"/>
    <n v="121"/>
    <n v="3.1543274244004169E-3"/>
    <x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x v="1"/>
    <x v="32"/>
    <s v="24-35"/>
    <n v="2553"/>
    <n v="0"/>
    <n v="1"/>
    <n v="0"/>
    <n v="0"/>
    <n v="0"/>
    <n v="0"/>
    <n v="1"/>
    <n v="0"/>
    <n v="0"/>
    <n v="111"/>
    <d v="2015-10-19T00:00:00"/>
  </r>
  <r>
    <n v="158"/>
    <n v="50447"/>
    <n v="121"/>
    <n v="2.398556901302357E-3"/>
    <x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x v="1"/>
    <x v="2"/>
    <s v="36-50"/>
    <n v="2228"/>
    <n v="0"/>
    <n v="1"/>
    <n v="0"/>
    <n v="0"/>
    <n v="0"/>
    <n v="0"/>
    <n v="1"/>
    <n v="0"/>
    <n v="0"/>
    <n v="94"/>
    <d v="2016-09-08T00:00:00"/>
  </r>
  <r>
    <n v="316"/>
    <n v="41411"/>
    <n v="121"/>
    <n v="2.9219289560744729E-3"/>
    <x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x v="1"/>
    <x v="18"/>
    <s v="24-35"/>
    <n v="2363"/>
    <n v="1"/>
    <n v="0"/>
    <n v="0"/>
    <n v="0"/>
    <n v="0"/>
    <n v="0"/>
    <n v="1"/>
    <n v="0"/>
    <n v="0"/>
    <n v="103"/>
    <d v="2016-04-26T00:00:00"/>
  </r>
  <r>
    <n v="433"/>
    <n v="50520"/>
    <n v="121"/>
    <n v="2.3950910530482978E-3"/>
    <x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x v="1"/>
    <x v="27"/>
    <s v="51-66"/>
    <n v="2311"/>
    <n v="0"/>
    <n v="0"/>
    <n v="0"/>
    <n v="0"/>
    <n v="1"/>
    <n v="0"/>
    <n v="0"/>
    <n v="0"/>
    <n v="1"/>
    <n v="107"/>
    <d v="2016-06-17T00:00:00"/>
  </r>
  <r>
    <n v="826"/>
    <n v="17117"/>
    <n v="121"/>
    <n v="7.0689957352339777E-3"/>
    <x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x v="1"/>
    <x v="37"/>
    <s v="36-50"/>
    <n v="2687"/>
    <n v="0"/>
    <n v="0"/>
    <n v="0"/>
    <n v="1"/>
    <n v="0"/>
    <n v="1"/>
    <n v="0"/>
    <n v="0"/>
    <n v="0"/>
    <n v="114"/>
    <d v="2015-06-07T00:00:00"/>
  </r>
  <r>
    <n v="1026"/>
    <n v="39190"/>
    <n v="121"/>
    <n v="3.0875223271242666E-3"/>
    <x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x v="1"/>
    <x v="35"/>
    <s v="36-50"/>
    <n v="2223"/>
    <n v="0"/>
    <n v="0"/>
    <n v="1"/>
    <n v="0"/>
    <n v="0"/>
    <n v="0"/>
    <n v="0"/>
    <n v="0"/>
    <n v="1"/>
    <n v="109"/>
    <d v="2016-09-13T00:00:00"/>
  </r>
  <r>
    <n v="1664"/>
    <n v="36957"/>
    <n v="121"/>
    <n v="3.2740752766728903E-3"/>
    <x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x v="0"/>
    <x v="10"/>
    <s v="66+"/>
    <n v="2820"/>
    <n v="1"/>
    <n v="0"/>
    <n v="0"/>
    <n v="0"/>
    <n v="0"/>
    <n v="0"/>
    <n v="0"/>
    <n v="0"/>
    <n v="1"/>
    <n v="90"/>
    <d v="2015-01-25T00:00:00"/>
  </r>
  <r>
    <n v="1770"/>
    <n v="34529"/>
    <n v="121"/>
    <n v="3.5043007327174259E-3"/>
    <x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x v="1"/>
    <x v="7"/>
    <s v="36-50"/>
    <n v="2812"/>
    <n v="0"/>
    <n v="1"/>
    <n v="0"/>
    <n v="0"/>
    <n v="0"/>
    <n v="0"/>
    <n v="0"/>
    <n v="1"/>
    <n v="0"/>
    <n v="80"/>
    <d v="2015-02-02T00:00:00"/>
  </r>
  <r>
    <n v="521"/>
    <n v="22419"/>
    <n v="120"/>
    <n v="5.3526027030643651E-3"/>
    <x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  <x v="33"/>
    <s v="51-66"/>
    <n v="2596"/>
    <n v="0"/>
    <n v="1"/>
    <n v="0"/>
    <n v="0"/>
    <n v="0"/>
    <n v="0"/>
    <n v="1"/>
    <n v="0"/>
    <n v="0"/>
    <n v="78"/>
    <d v="2015-09-06T00:00:00"/>
  </r>
  <r>
    <n v="651"/>
    <n v="61923"/>
    <n v="120"/>
    <n v="1.937890606075287E-3"/>
    <x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x v="1"/>
    <x v="21"/>
    <s v="51-66"/>
    <n v="2497"/>
    <n v="0"/>
    <n v="1"/>
    <n v="0"/>
    <n v="0"/>
    <n v="0"/>
    <n v="0"/>
    <n v="0"/>
    <n v="1"/>
    <n v="0"/>
    <n v="114"/>
    <d v="2015-12-14T00:00:00"/>
  </r>
  <r>
    <n v="824"/>
    <n v="39922"/>
    <n v="120"/>
    <n v="3.0058614297880869E-3"/>
    <x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  <x v="20"/>
    <s v="36-50"/>
    <n v="2659"/>
    <n v="0"/>
    <n v="1"/>
    <n v="0"/>
    <n v="0"/>
    <n v="0"/>
    <n v="0"/>
    <n v="1"/>
    <n v="0"/>
    <n v="0"/>
    <n v="84"/>
    <d v="2015-07-05T00:00:00"/>
  </r>
  <r>
    <n v="1134"/>
    <n v="36317"/>
    <n v="120"/>
    <n v="3.3042376848307956E-3"/>
    <x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x v="1"/>
    <x v="47"/>
    <s v="51-66"/>
    <n v="2562"/>
    <n v="0"/>
    <n v="0"/>
    <n v="0"/>
    <n v="1"/>
    <n v="0"/>
    <n v="0"/>
    <n v="1"/>
    <n v="0"/>
    <n v="0"/>
    <n v="107"/>
    <d v="2015-10-10T00:00:00"/>
  </r>
  <r>
    <n v="1671"/>
    <n v="45576"/>
    <n v="120"/>
    <n v="2.6329647182727752E-3"/>
    <x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x v="0"/>
    <x v="49"/>
    <s v="66+"/>
    <n v="2191"/>
    <n v="0"/>
    <n v="0"/>
    <n v="1"/>
    <n v="0"/>
    <n v="0"/>
    <n v="0"/>
    <n v="0"/>
    <n v="0"/>
    <n v="1"/>
    <n v="95"/>
    <d v="2016-10-15T00:00:00"/>
  </r>
  <r>
    <n v="1666"/>
    <n v="42160"/>
    <n v="120"/>
    <n v="2.8462998102466793E-3"/>
    <x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x v="0"/>
    <x v="16"/>
    <s v="36-50"/>
    <n v="2525"/>
    <n v="0"/>
    <n v="0"/>
    <n v="1"/>
    <n v="0"/>
    <n v="0"/>
    <n v="0"/>
    <n v="1"/>
    <n v="0"/>
    <n v="0"/>
    <n v="100"/>
    <d v="2015-11-16T00:00:00"/>
  </r>
  <r>
    <n v="1788"/>
    <n v="48877"/>
    <n v="120"/>
    <n v="2.4551425005626369E-3"/>
    <x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x v="1"/>
    <x v="22"/>
    <s v="51-66"/>
    <n v="2334"/>
    <n v="1"/>
    <n v="0"/>
    <n v="0"/>
    <n v="0"/>
    <n v="0"/>
    <n v="0"/>
    <n v="1"/>
    <n v="0"/>
    <n v="0"/>
    <n v="96"/>
    <d v="2016-05-25T00:00:00"/>
  </r>
  <r>
    <n v="136"/>
    <n v="49605"/>
    <n v="119"/>
    <n v="2.3989517185767566E-3"/>
    <x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x v="1"/>
    <x v="22"/>
    <s v="51-66"/>
    <n v="2167"/>
    <n v="0"/>
    <n v="1"/>
    <n v="0"/>
    <n v="0"/>
    <n v="0"/>
    <n v="0"/>
    <n v="0"/>
    <n v="1"/>
    <n v="0"/>
    <n v="111"/>
    <d v="2016-11-08T00:00:00"/>
  </r>
  <r>
    <n v="957"/>
    <n v="20180"/>
    <n v="119"/>
    <n v="5.8969276511397425E-3"/>
    <x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  <x v="7"/>
    <s v="36-50"/>
    <n v="2653"/>
    <n v="0"/>
    <n v="0"/>
    <n v="1"/>
    <n v="0"/>
    <n v="0"/>
    <n v="0"/>
    <n v="1"/>
    <n v="0"/>
    <n v="0"/>
    <n v="101"/>
    <d v="2015-07-11T00:00:00"/>
  </r>
  <r>
    <n v="982"/>
    <n v="33168"/>
    <n v="119"/>
    <n v="3.5877954655089243E-3"/>
    <x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x v="1"/>
    <x v="47"/>
    <s v="51-66"/>
    <n v="2783"/>
    <n v="0"/>
    <n v="0"/>
    <n v="1"/>
    <n v="0"/>
    <n v="0"/>
    <n v="0"/>
    <n v="0"/>
    <n v="1"/>
    <n v="0"/>
    <n v="116"/>
    <d v="2015-03-03T00:00:00"/>
  </r>
  <r>
    <n v="1053"/>
    <n v="31605"/>
    <n v="119"/>
    <n v="3.7652270210409744E-3"/>
    <x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x v="1"/>
    <x v="19"/>
    <s v="36-50"/>
    <n v="2743"/>
    <n v="0"/>
    <n v="1"/>
    <n v="0"/>
    <n v="0"/>
    <n v="0"/>
    <n v="0"/>
    <n v="0"/>
    <n v="0"/>
    <n v="1"/>
    <n v="113"/>
    <d v="2015-04-12T00:00:00"/>
  </r>
  <r>
    <n v="1160"/>
    <n v="55249"/>
    <n v="119"/>
    <n v="2.1538851381925463E-3"/>
    <x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x v="1"/>
    <x v="5"/>
    <s v="51-66"/>
    <n v="2232"/>
    <n v="0"/>
    <n v="0"/>
    <n v="0"/>
    <n v="1"/>
    <n v="0"/>
    <n v="0"/>
    <n v="0"/>
    <n v="1"/>
    <n v="0"/>
    <n v="108"/>
    <d v="2016-09-04T00:00:00"/>
  </r>
  <r>
    <n v="1272"/>
    <n v="33316"/>
    <n v="119"/>
    <n v="3.5718573658302319E-3"/>
    <x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  <x v="28"/>
    <s v="36-50"/>
    <n v="2427"/>
    <n v="0"/>
    <n v="0"/>
    <n v="1"/>
    <n v="0"/>
    <n v="0"/>
    <n v="0"/>
    <n v="0"/>
    <n v="1"/>
    <n v="0"/>
    <n v="107"/>
    <d v="2016-02-22T00:00:00"/>
  </r>
  <r>
    <n v="1627"/>
    <n v="42473"/>
    <n v="119"/>
    <n v="2.8017799543239236E-3"/>
    <x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x v="1"/>
    <x v="7"/>
    <s v="36-50"/>
    <n v="2291"/>
    <n v="0"/>
    <n v="0"/>
    <n v="1"/>
    <n v="0"/>
    <n v="0"/>
    <n v="0"/>
    <n v="0"/>
    <n v="0"/>
    <n v="1"/>
    <n v="94"/>
    <d v="2016-07-07T00:00:00"/>
  </r>
  <r>
    <n v="97"/>
    <n v="38557"/>
    <n v="118"/>
    <n v="3.0604040770806857E-3"/>
    <x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x v="1"/>
    <x v="37"/>
    <s v="36-50"/>
    <n v="2716"/>
    <n v="0"/>
    <n v="0"/>
    <n v="1"/>
    <n v="0"/>
    <n v="0"/>
    <n v="0"/>
    <n v="1"/>
    <n v="0"/>
    <n v="0"/>
    <n v="91"/>
    <d v="2015-05-09T00:00:00"/>
  </r>
  <r>
    <n v="485"/>
    <n v="36443"/>
    <n v="118"/>
    <n v="3.2379332107674999E-3"/>
    <x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x v="1"/>
    <x v="21"/>
    <s v="51-66"/>
    <n v="2670"/>
    <n v="0"/>
    <n v="1"/>
    <n v="0"/>
    <n v="0"/>
    <n v="0"/>
    <n v="0"/>
    <n v="1"/>
    <n v="0"/>
    <n v="0"/>
    <n v="98"/>
    <d v="2015-06-24T00:00:00"/>
  </r>
  <r>
    <n v="1676"/>
    <n v="42162"/>
    <n v="118"/>
    <n v="2.7987287130591528E-3"/>
    <x v="1"/>
    <n v="0"/>
    <n v="31"/>
    <n v="46"/>
    <n v="7"/>
    <n v="59"/>
    <n v="2"/>
    <n v="4"/>
    <n v="27"/>
    <n v="2"/>
    <n v="3"/>
    <n v="1"/>
    <n v="3"/>
    <n v="6"/>
    <n v="0"/>
    <n v="0"/>
    <n v="1"/>
    <n v="0"/>
    <n v="0"/>
    <n v="0"/>
    <x v="0"/>
    <x v="43"/>
    <s v="36-50"/>
    <n v="2381"/>
    <n v="0"/>
    <n v="0"/>
    <n v="0"/>
    <n v="1"/>
    <n v="0"/>
    <n v="0"/>
    <n v="1"/>
    <n v="0"/>
    <n v="0"/>
    <n v="91"/>
    <d v="2016-04-08T00:00:00"/>
  </r>
  <r>
    <n v="1682"/>
    <n v="40887"/>
    <n v="118"/>
    <n v="2.886002886002886E-3"/>
    <x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x v="0"/>
    <x v="50"/>
    <s v="66+"/>
    <n v="2578"/>
    <n v="0"/>
    <n v="0"/>
    <n v="1"/>
    <n v="0"/>
    <n v="0"/>
    <n v="0"/>
    <n v="1"/>
    <n v="0"/>
    <n v="0"/>
    <n v="75"/>
    <d v="2015-09-24T00:00:00"/>
  </r>
  <r>
    <n v="1678"/>
    <n v="30983"/>
    <n v="118"/>
    <n v="3.808540167188458E-3"/>
    <x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x v="0"/>
    <x v="33"/>
    <s v="51-66"/>
    <n v="2756"/>
    <n v="0"/>
    <n v="0"/>
    <n v="1"/>
    <n v="0"/>
    <n v="0"/>
    <n v="0"/>
    <n v="1"/>
    <n v="0"/>
    <n v="0"/>
    <n v="69"/>
    <d v="2015-03-30T00:00:00"/>
  </r>
  <r>
    <n v="1806"/>
    <n v="58646"/>
    <n v="118"/>
    <n v="2.012072434607646E-3"/>
    <x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  <x v="46"/>
    <s v="51-66"/>
    <n v="2543"/>
    <n v="0"/>
    <n v="1"/>
    <n v="0"/>
    <n v="0"/>
    <n v="0"/>
    <n v="0"/>
    <n v="0"/>
    <n v="1"/>
    <n v="0"/>
    <n v="96"/>
    <d v="2015-10-29T00:00:00"/>
  </r>
  <r>
    <n v="1810"/>
    <n v="23477"/>
    <n v="118"/>
    <n v="5.0261958512586788E-3"/>
    <x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x v="1"/>
    <x v="18"/>
    <s v="24-35"/>
    <n v="2410"/>
    <n v="0"/>
    <n v="1"/>
    <n v="0"/>
    <n v="0"/>
    <n v="0"/>
    <n v="0"/>
    <n v="1"/>
    <n v="0"/>
    <n v="0"/>
    <n v="89"/>
    <d v="2016-03-10T00:00:00"/>
  </r>
  <r>
    <n v="1922"/>
    <n v="37509"/>
    <n v="118"/>
    <n v="3.1459116478711776E-3"/>
    <x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x v="1"/>
    <x v="7"/>
    <s v="36-50"/>
    <n v="2814"/>
    <n v="0"/>
    <n v="0"/>
    <n v="0"/>
    <n v="1"/>
    <n v="0"/>
    <n v="0"/>
    <n v="0"/>
    <n v="1"/>
    <n v="0"/>
    <n v="113"/>
    <d v="2015-01-31T00:00:00"/>
  </r>
  <r>
    <n v="31"/>
    <n v="40548"/>
    <n v="117"/>
    <n v="2.8854690736904408E-3"/>
    <x v="0"/>
    <n v="1"/>
    <n v="31"/>
    <n v="110"/>
    <n v="0"/>
    <n v="5"/>
    <n v="2"/>
    <n v="0"/>
    <n v="3"/>
    <n v="2"/>
    <n v="2"/>
    <n v="1"/>
    <n v="4"/>
    <n v="5"/>
    <n v="0"/>
    <n v="0"/>
    <n v="0"/>
    <n v="1"/>
    <n v="0"/>
    <n v="0"/>
    <x v="1"/>
    <x v="2"/>
    <s v="36-50"/>
    <n v="2786"/>
    <n v="0"/>
    <n v="0"/>
    <n v="0"/>
    <n v="1"/>
    <n v="0"/>
    <n v="0"/>
    <n v="1"/>
    <n v="0"/>
    <n v="0"/>
    <n v="114"/>
    <d v="2015-02-28T00:00:00"/>
  </r>
  <r>
    <n v="410"/>
    <n v="32011"/>
    <n v="117"/>
    <n v="3.6549935959513916E-3"/>
    <x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x v="1"/>
    <x v="28"/>
    <s v="36-50"/>
    <n v="2470"/>
    <n v="0"/>
    <n v="1"/>
    <n v="0"/>
    <n v="0"/>
    <n v="0"/>
    <n v="0"/>
    <n v="0"/>
    <n v="0"/>
    <n v="1"/>
    <n v="112"/>
    <d v="2016-01-10T00:00:00"/>
  </r>
  <r>
    <n v="477"/>
    <n v="34935"/>
    <n v="117"/>
    <n v="3.3490768570201804E-3"/>
    <x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  <x v="17"/>
    <s v="24-35"/>
    <n v="2532"/>
    <n v="0"/>
    <n v="1"/>
    <n v="0"/>
    <n v="0"/>
    <n v="0"/>
    <n v="0"/>
    <n v="1"/>
    <n v="0"/>
    <n v="0"/>
    <n v="97"/>
    <d v="2015-11-09T00:00:00"/>
  </r>
  <r>
    <n v="1028"/>
    <n v="57236"/>
    <n v="117"/>
    <n v="2.0441680061499753E-3"/>
    <x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x v="1"/>
    <x v="47"/>
    <s v="51-66"/>
    <n v="2268"/>
    <n v="0"/>
    <n v="1"/>
    <n v="0"/>
    <n v="0"/>
    <n v="0"/>
    <n v="0"/>
    <n v="0"/>
    <n v="0"/>
    <n v="1"/>
    <n v="113"/>
    <d v="2016-07-30T00:00:00"/>
  </r>
  <r>
    <n v="1308"/>
    <n v="36947"/>
    <n v="117"/>
    <n v="3.166698243429778E-3"/>
    <x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x v="1"/>
    <x v="26"/>
    <s v="51-66"/>
    <n v="2850"/>
    <n v="0"/>
    <n v="1"/>
    <n v="0"/>
    <n v="0"/>
    <n v="0"/>
    <n v="0"/>
    <n v="0"/>
    <n v="0"/>
    <n v="1"/>
    <n v="88"/>
    <d v="2014-12-26T00:00:00"/>
  </r>
  <r>
    <n v="1489"/>
    <n v="51717"/>
    <n v="117"/>
    <n v="2.2623121990834735E-3"/>
    <x v="0"/>
    <n v="1"/>
    <n v="55"/>
    <n v="98"/>
    <n v="1"/>
    <n v="17"/>
    <n v="0"/>
    <n v="1"/>
    <n v="5"/>
    <n v="1"/>
    <n v="3"/>
    <n v="0"/>
    <n v="4"/>
    <n v="7"/>
    <n v="0"/>
    <n v="0"/>
    <n v="0"/>
    <n v="1"/>
    <n v="0"/>
    <n v="0"/>
    <x v="1"/>
    <x v="47"/>
    <s v="51-66"/>
    <n v="2472"/>
    <n v="0"/>
    <n v="0"/>
    <n v="0"/>
    <n v="1"/>
    <n v="0"/>
    <n v="0"/>
    <n v="0"/>
    <n v="0"/>
    <n v="1"/>
    <n v="112"/>
    <d v="2016-01-08T00:00:00"/>
  </r>
  <r>
    <n v="149"/>
    <n v="23228"/>
    <n v="116"/>
    <n v="4.9939727914585846E-3"/>
    <x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x v="1"/>
    <x v="39"/>
    <s v="36-50"/>
    <n v="2334"/>
    <n v="0"/>
    <n v="1"/>
    <n v="0"/>
    <n v="0"/>
    <n v="0"/>
    <n v="0"/>
    <n v="1"/>
    <n v="0"/>
    <n v="0"/>
    <n v="111"/>
    <d v="2016-05-25T00:00:00"/>
  </r>
  <r>
    <n v="949"/>
    <n v="49187"/>
    <n v="116"/>
    <n v="2.3583467176286417E-3"/>
    <x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x v="1"/>
    <x v="7"/>
    <s v="36-50"/>
    <n v="2328"/>
    <n v="0"/>
    <n v="0"/>
    <n v="0"/>
    <n v="1"/>
    <n v="0"/>
    <n v="0"/>
    <n v="0"/>
    <n v="0"/>
    <n v="1"/>
    <n v="116"/>
    <d v="2016-05-31T00:00:00"/>
  </r>
  <r>
    <n v="1122"/>
    <n v="43641"/>
    <n v="116"/>
    <n v="2.6580509154235698E-3"/>
    <x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x v="1"/>
    <x v="3"/>
    <s v="51-66"/>
    <n v="2592"/>
    <n v="0"/>
    <n v="1"/>
    <n v="0"/>
    <n v="0"/>
    <n v="0"/>
    <n v="0"/>
    <n v="0"/>
    <n v="1"/>
    <n v="0"/>
    <n v="93"/>
    <d v="2015-09-10T00:00:00"/>
  </r>
  <r>
    <n v="1499"/>
    <n v="52854"/>
    <n v="116"/>
    <n v="2.1947250917622131E-3"/>
    <x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x v="1"/>
    <x v="29"/>
    <s v="51-66"/>
    <n v="2256"/>
    <n v="0"/>
    <n v="1"/>
    <n v="0"/>
    <n v="0"/>
    <n v="0"/>
    <n v="0"/>
    <n v="0"/>
    <n v="0"/>
    <n v="1"/>
    <n v="116"/>
    <d v="2016-08-11T00:00:00"/>
  </r>
  <r>
    <n v="1687"/>
    <n v="29435"/>
    <n v="116"/>
    <n v="3.9408866995073889E-3"/>
    <x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x v="0"/>
    <x v="22"/>
    <s v="51-66"/>
    <n v="2851"/>
    <n v="1"/>
    <n v="0"/>
    <n v="0"/>
    <n v="0"/>
    <n v="0"/>
    <n v="0"/>
    <n v="0"/>
    <n v="1"/>
    <n v="0"/>
    <n v="52"/>
    <d v="2014-12-25T00:00:00"/>
  </r>
  <r>
    <n v="1924"/>
    <n v="43586"/>
    <n v="116"/>
    <n v="2.6614050383150555E-3"/>
    <x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x v="1"/>
    <x v="41"/>
    <s v="36-50"/>
    <n v="2827"/>
    <n v="0"/>
    <n v="1"/>
    <n v="0"/>
    <n v="0"/>
    <n v="0"/>
    <n v="0"/>
    <n v="1"/>
    <n v="0"/>
    <n v="0"/>
    <n v="100"/>
    <d v="2015-01-18T00:00:00"/>
  </r>
  <r>
    <n v="571"/>
    <n v="49618"/>
    <n v="115"/>
    <n v="2.3177072836470637E-3"/>
    <x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x v="1"/>
    <x v="22"/>
    <s v="51-66"/>
    <n v="2678"/>
    <n v="0"/>
    <n v="0"/>
    <n v="0"/>
    <n v="1"/>
    <n v="0"/>
    <n v="0"/>
    <n v="0"/>
    <n v="1"/>
    <n v="0"/>
    <n v="101"/>
    <d v="2015-06-16T00:00:00"/>
  </r>
  <r>
    <n v="1253"/>
    <n v="35876"/>
    <n v="115"/>
    <n v="3.20548556137808E-3"/>
    <x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x v="1"/>
    <x v="20"/>
    <s v="36-50"/>
    <n v="2229"/>
    <n v="0"/>
    <n v="1"/>
    <n v="0"/>
    <n v="0"/>
    <n v="0"/>
    <n v="0"/>
    <n v="0"/>
    <n v="1"/>
    <n v="0"/>
    <n v="101"/>
    <d v="2016-09-07T00:00:00"/>
  </r>
  <r>
    <n v="1690"/>
    <n v="38097"/>
    <n v="115"/>
    <n v="3.0186103892694961E-3"/>
    <x v="1"/>
    <n v="1"/>
    <n v="70"/>
    <n v="77"/>
    <n v="2"/>
    <n v="35"/>
    <n v="0"/>
    <n v="1"/>
    <n v="69"/>
    <n v="4"/>
    <n v="3"/>
    <n v="2"/>
    <n v="2"/>
    <n v="7"/>
    <n v="0"/>
    <n v="0"/>
    <n v="1"/>
    <n v="0"/>
    <n v="0"/>
    <n v="0"/>
    <x v="0"/>
    <x v="2"/>
    <s v="36-50"/>
    <n v="2781"/>
    <n v="0"/>
    <n v="1"/>
    <n v="0"/>
    <n v="0"/>
    <n v="0"/>
    <n v="0"/>
    <n v="0"/>
    <n v="0"/>
    <n v="1"/>
    <n v="46"/>
    <d v="2015-03-05T00:00:00"/>
  </r>
  <r>
    <n v="1244"/>
    <n v="6560"/>
    <n v="111"/>
    <n v="1.6920731707317074E-2"/>
    <x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x v="1"/>
    <x v="31"/>
    <s v="36-50"/>
    <n v="2358"/>
    <n v="0"/>
    <n v="0"/>
    <n v="1"/>
    <n v="0"/>
    <n v="0"/>
    <n v="0"/>
    <n v="0"/>
    <n v="1"/>
    <n v="0"/>
    <n v="-151"/>
    <d v="2016-05-01T00:00:00"/>
  </r>
  <r>
    <n v="202"/>
    <n v="45204"/>
    <n v="96"/>
    <n v="2.123705866737457E-3"/>
    <x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x v="1"/>
    <x v="0"/>
    <s v="24-35"/>
    <n v="2238"/>
    <n v="0"/>
    <n v="0"/>
    <n v="0"/>
    <n v="1"/>
    <n v="0"/>
    <n v="1"/>
    <n v="0"/>
    <n v="0"/>
    <n v="0"/>
    <n v="78"/>
    <d v="2016-08-29T00:00:00"/>
  </r>
  <r>
    <n v="592"/>
    <n v="34487"/>
    <n v="95"/>
    <n v="2.7546611766752689E-3"/>
    <x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x v="1"/>
    <x v="13"/>
    <s v="36-50"/>
    <n v="2820"/>
    <n v="1"/>
    <n v="0"/>
    <n v="0"/>
    <n v="0"/>
    <n v="0"/>
    <n v="0"/>
    <n v="0"/>
    <n v="0"/>
    <n v="1"/>
    <n v="87"/>
    <d v="2015-01-25T00:00:00"/>
  </r>
  <r>
    <n v="19"/>
    <n v="33812"/>
    <n v="94"/>
    <n v="2.7800780787885959E-3"/>
    <x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x v="1"/>
    <x v="23"/>
    <s v="24-35"/>
    <n v="2762"/>
    <n v="0"/>
    <n v="0"/>
    <n v="1"/>
    <n v="0"/>
    <n v="0"/>
    <n v="1"/>
    <n v="0"/>
    <n v="0"/>
    <n v="0"/>
    <n v="55"/>
    <d v="2015-03-24T00:00:00"/>
  </r>
  <r>
    <n v="896"/>
    <n v="42767"/>
    <n v="93"/>
    <n v="2.174573853672224E-3"/>
    <x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x v="1"/>
    <x v="28"/>
    <s v="36-50"/>
    <n v="2573"/>
    <n v="0"/>
    <n v="0"/>
    <n v="1"/>
    <n v="0"/>
    <n v="0"/>
    <n v="0"/>
    <n v="0"/>
    <n v="0"/>
    <n v="1"/>
    <n v="55"/>
    <d v="2015-09-29T00:00:00"/>
  </r>
  <r>
    <n v="983"/>
    <n v="33585"/>
    <n v="93"/>
    <n v="2.7690933452434122E-3"/>
    <x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x v="1"/>
    <x v="22"/>
    <s v="51-66"/>
    <n v="2436"/>
    <n v="0"/>
    <n v="1"/>
    <n v="0"/>
    <n v="0"/>
    <n v="0"/>
    <n v="0"/>
    <n v="0"/>
    <n v="1"/>
    <n v="0"/>
    <n v="64"/>
    <d v="2016-02-13T00:00:00"/>
  </r>
  <r>
    <n v="1096"/>
    <n v="35322"/>
    <n v="93"/>
    <n v="2.6329199932053678E-3"/>
    <x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x v="1"/>
    <x v="14"/>
    <s v="51-66"/>
    <n v="2835"/>
    <n v="0"/>
    <n v="0"/>
    <n v="0"/>
    <n v="1"/>
    <n v="0"/>
    <n v="0"/>
    <n v="1"/>
    <n v="0"/>
    <n v="0"/>
    <n v="80"/>
    <d v="2015-01-10T00:00:00"/>
  </r>
  <r>
    <n v="1691"/>
    <n v="22979"/>
    <n v="93"/>
    <n v="4.0471735062448319E-3"/>
    <x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x v="0"/>
    <x v="2"/>
    <s v="36-50"/>
    <n v="2820"/>
    <n v="0"/>
    <n v="1"/>
    <n v="0"/>
    <n v="0"/>
    <n v="0"/>
    <n v="0"/>
    <n v="1"/>
    <n v="0"/>
    <n v="0"/>
    <n v="71"/>
    <d v="2015-01-25T00:00:00"/>
  </r>
  <r>
    <n v="1879"/>
    <n v="42192"/>
    <n v="93"/>
    <n v="2.2042093287827076E-3"/>
    <x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x v="1"/>
    <x v="40"/>
    <s v="66+"/>
    <n v="2455"/>
    <n v="0"/>
    <n v="1"/>
    <n v="0"/>
    <n v="0"/>
    <n v="0"/>
    <n v="0"/>
    <n v="1"/>
    <n v="0"/>
    <n v="0"/>
    <n v="86"/>
    <d v="2016-01-25T00:00:00"/>
  </r>
  <r>
    <n v="16"/>
    <n v="41850"/>
    <n v="92"/>
    <n v="2.1983273596176823E-3"/>
    <x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x v="1"/>
    <x v="41"/>
    <s v="36-50"/>
    <n v="2711"/>
    <n v="0"/>
    <n v="1"/>
    <n v="0"/>
    <n v="0"/>
    <n v="0"/>
    <n v="0"/>
    <n v="1"/>
    <n v="0"/>
    <n v="0"/>
    <n v="88"/>
    <d v="2015-05-14T00:00:00"/>
  </r>
  <r>
    <n v="875"/>
    <n v="46107"/>
    <n v="92"/>
    <n v="1.9953586223350034E-3"/>
    <x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x v="1"/>
    <x v="32"/>
    <s v="24-35"/>
    <n v="2298"/>
    <n v="0"/>
    <n v="0"/>
    <n v="1"/>
    <n v="0"/>
    <n v="0"/>
    <n v="0"/>
    <n v="1"/>
    <n v="0"/>
    <n v="0"/>
    <n v="59"/>
    <d v="2016-06-30T00:00:00"/>
  </r>
  <r>
    <n v="1700"/>
    <n v="27038"/>
    <n v="92"/>
    <n v="3.4026185368740292E-3"/>
    <x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x v="0"/>
    <x v="22"/>
    <s v="51-66"/>
    <n v="2808"/>
    <n v="0"/>
    <n v="0"/>
    <n v="0"/>
    <n v="0"/>
    <n v="1"/>
    <n v="0"/>
    <n v="1"/>
    <n v="0"/>
    <n v="0"/>
    <n v="77"/>
    <d v="2015-02-06T00:00:00"/>
  </r>
  <r>
    <n v="361"/>
    <n v="38823"/>
    <n v="91"/>
    <n v="2.3439713571851736E-3"/>
    <x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x v="1"/>
    <x v="4"/>
    <s v="66+"/>
    <n v="2827"/>
    <n v="0"/>
    <n v="0"/>
    <n v="0"/>
    <n v="1"/>
    <n v="0"/>
    <n v="0"/>
    <n v="1"/>
    <n v="0"/>
    <n v="0"/>
    <n v="68"/>
    <d v="2015-01-18T00:00:00"/>
  </r>
  <r>
    <n v="550"/>
    <n v="27450"/>
    <n v="91"/>
    <n v="3.3151183970856102E-3"/>
    <x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x v="1"/>
    <x v="15"/>
    <s v="66+"/>
    <n v="2599"/>
    <n v="0"/>
    <n v="1"/>
    <n v="0"/>
    <n v="0"/>
    <n v="0"/>
    <n v="0"/>
    <n v="0"/>
    <n v="1"/>
    <n v="0"/>
    <n v="39"/>
    <d v="2015-09-03T00:00:00"/>
  </r>
  <r>
    <n v="951"/>
    <n v="34053"/>
    <n v="91"/>
    <n v="2.6723049364226351E-3"/>
    <x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x v="1"/>
    <x v="14"/>
    <s v="51-66"/>
    <n v="2816"/>
    <n v="0"/>
    <n v="0"/>
    <n v="0"/>
    <n v="1"/>
    <n v="0"/>
    <n v="0"/>
    <n v="0"/>
    <n v="1"/>
    <n v="0"/>
    <n v="79"/>
    <d v="2015-01-29T00:00:00"/>
  </r>
  <r>
    <n v="1412"/>
    <n v="28087"/>
    <n v="91"/>
    <n v="3.2399330651190941E-3"/>
    <x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x v="1"/>
    <x v="27"/>
    <s v="51-66"/>
    <n v="2724"/>
    <n v="0"/>
    <n v="0"/>
    <n v="0"/>
    <n v="1"/>
    <n v="0"/>
    <n v="0"/>
    <n v="1"/>
    <n v="0"/>
    <n v="0"/>
    <n v="70"/>
    <d v="2015-05-01T00:00:00"/>
  </r>
  <r>
    <n v="1433"/>
    <n v="57530"/>
    <n v="91"/>
    <n v="1.5817834173474708E-3"/>
    <x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x v="1"/>
    <x v="15"/>
    <s v="66+"/>
    <n v="2419"/>
    <n v="1"/>
    <n v="0"/>
    <n v="0"/>
    <n v="0"/>
    <n v="0"/>
    <n v="0"/>
    <n v="0"/>
    <n v="1"/>
    <n v="0"/>
    <n v="90"/>
    <d v="2016-03-01T00:00:00"/>
  </r>
  <r>
    <n v="1701"/>
    <n v="34213"/>
    <n v="91"/>
    <n v="2.6598076754450065E-3"/>
    <x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x v="0"/>
    <x v="33"/>
    <s v="51-66"/>
    <n v="2819"/>
    <n v="0"/>
    <n v="0"/>
    <n v="0"/>
    <n v="0"/>
    <n v="1"/>
    <n v="0"/>
    <n v="1"/>
    <n v="0"/>
    <n v="0"/>
    <n v="65"/>
    <d v="2015-01-26T00:00:00"/>
  </r>
  <r>
    <n v="124"/>
    <n v="33762"/>
    <n v="90"/>
    <n v="2.665718855518038E-3"/>
    <x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x v="1"/>
    <x v="29"/>
    <s v="51-66"/>
    <n v="2516"/>
    <n v="0"/>
    <n v="1"/>
    <n v="0"/>
    <n v="0"/>
    <n v="0"/>
    <n v="0"/>
    <n v="0"/>
    <n v="0"/>
    <n v="1"/>
    <n v="74"/>
    <d v="2015-11-25T00:00:00"/>
  </r>
  <r>
    <n v="280"/>
    <n v="46377"/>
    <n v="90"/>
    <n v="1.9406171162429653E-3"/>
    <x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x v="1"/>
    <x v="37"/>
    <s v="36-50"/>
    <n v="2279"/>
    <n v="0"/>
    <n v="1"/>
    <n v="0"/>
    <n v="0"/>
    <n v="0"/>
    <n v="0"/>
    <n v="0"/>
    <n v="0"/>
    <n v="1"/>
    <n v="90"/>
    <d v="2016-07-19T00:00:00"/>
  </r>
  <r>
    <n v="901"/>
    <n v="59041"/>
    <n v="90"/>
    <n v="1.5243644247218036E-3"/>
    <x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x v="1"/>
    <x v="30"/>
    <s v="36-50"/>
    <n v="2212"/>
    <n v="0"/>
    <n v="1"/>
    <n v="0"/>
    <n v="0"/>
    <n v="0"/>
    <n v="0"/>
    <n v="1"/>
    <n v="0"/>
    <n v="0"/>
    <n v="84"/>
    <d v="2016-09-24T00:00:00"/>
  </r>
  <r>
    <n v="1283"/>
    <n v="50523"/>
    <n v="90"/>
    <n v="1.781366902202957E-3"/>
    <x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x v="1"/>
    <x v="24"/>
    <s v="51-66"/>
    <n v="2345"/>
    <n v="0"/>
    <n v="0"/>
    <n v="0"/>
    <n v="1"/>
    <n v="0"/>
    <n v="1"/>
    <n v="0"/>
    <n v="0"/>
    <n v="0"/>
    <n v="89"/>
    <d v="2016-05-14T00:00:00"/>
  </r>
  <r>
    <n v="1335"/>
    <n v="42523"/>
    <n v="90"/>
    <n v="2.1165016579262987E-3"/>
    <x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  <x v="42"/>
    <s v="51-66"/>
    <n v="2226"/>
    <n v="0"/>
    <n v="1"/>
    <n v="0"/>
    <n v="0"/>
    <n v="0"/>
    <n v="0"/>
    <n v="1"/>
    <n v="0"/>
    <n v="0"/>
    <n v="55"/>
    <d v="2016-09-10T00:00:00"/>
  </r>
  <r>
    <n v="1667"/>
    <n v="29236"/>
    <n v="90"/>
    <n v="3.078396497468874E-3"/>
    <x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x v="1"/>
    <x v="36"/>
    <s v="24-35"/>
    <n v="2423"/>
    <n v="0"/>
    <n v="0"/>
    <n v="1"/>
    <n v="0"/>
    <n v="0"/>
    <n v="0"/>
    <n v="1"/>
    <n v="0"/>
    <n v="0"/>
    <n v="81"/>
    <d v="2016-02-26T00:00:00"/>
  </r>
  <r>
    <n v="1693"/>
    <n v="58217"/>
    <n v="90"/>
    <n v="1.5459401892917875E-3"/>
    <x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x v="1"/>
    <x v="15"/>
    <s v="66+"/>
    <n v="2748"/>
    <n v="0"/>
    <n v="0"/>
    <n v="1"/>
    <n v="0"/>
    <n v="0"/>
    <n v="0"/>
    <n v="0"/>
    <n v="1"/>
    <n v="0"/>
    <n v="77"/>
    <d v="2015-04-07T00:00:00"/>
  </r>
  <r>
    <n v="1705"/>
    <n v="47570"/>
    <n v="90"/>
    <n v="1.8919487071683834E-3"/>
    <x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x v="0"/>
    <x v="4"/>
    <s v="66+"/>
    <n v="2555"/>
    <n v="0"/>
    <n v="0"/>
    <n v="0"/>
    <n v="0"/>
    <n v="1"/>
    <n v="0"/>
    <n v="0"/>
    <n v="1"/>
    <n v="0"/>
    <n v="59"/>
    <d v="2015-10-17T00:00:00"/>
  </r>
  <r>
    <n v="1712"/>
    <n v="25509"/>
    <n v="90"/>
    <n v="3.5281665294601906E-3"/>
    <x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  <x v="35"/>
    <s v="36-50"/>
    <n v="2808"/>
    <n v="1"/>
    <n v="0"/>
    <n v="0"/>
    <n v="0"/>
    <n v="0"/>
    <n v="0"/>
    <n v="0"/>
    <n v="0"/>
    <n v="1"/>
    <n v="79"/>
    <d v="2015-02-06T00:00:00"/>
  </r>
  <r>
    <n v="1756"/>
    <n v="61917"/>
    <n v="90"/>
    <n v="1.4535587964533165E-3"/>
    <x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x v="1"/>
    <x v="35"/>
    <s v="36-50"/>
    <n v="2380"/>
    <n v="0"/>
    <n v="1"/>
    <n v="0"/>
    <n v="0"/>
    <n v="0"/>
    <n v="0"/>
    <n v="0"/>
    <n v="0"/>
    <n v="1"/>
    <n v="89"/>
    <d v="2016-04-09T00:00:00"/>
  </r>
  <r>
    <n v="1874"/>
    <n v="23478"/>
    <n v="90"/>
    <n v="3.8333759263991822E-3"/>
    <x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x v="1"/>
    <x v="47"/>
    <s v="51-66"/>
    <n v="2626"/>
    <n v="0"/>
    <n v="0"/>
    <n v="1"/>
    <n v="0"/>
    <n v="0"/>
    <n v="0"/>
    <n v="1"/>
    <n v="0"/>
    <n v="0"/>
    <n v="51"/>
    <d v="2015-08-07T00:00:00"/>
  </r>
  <r>
    <n v="255"/>
    <n v="33378"/>
    <n v="89"/>
    <n v="2.6664269878362993E-3"/>
    <x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x v="1"/>
    <x v="33"/>
    <s v="51-66"/>
    <n v="2667"/>
    <n v="1"/>
    <n v="0"/>
    <n v="0"/>
    <n v="0"/>
    <n v="0"/>
    <n v="0"/>
    <n v="1"/>
    <n v="0"/>
    <n v="0"/>
    <n v="79"/>
    <d v="2015-06-27T00:00:00"/>
  </r>
  <r>
    <n v="275"/>
    <n v="42386"/>
    <n v="89"/>
    <n v="2.0997499174255649E-3"/>
    <x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  <x v="18"/>
    <s v="24-35"/>
    <n v="2691"/>
    <n v="0"/>
    <n v="0"/>
    <n v="0"/>
    <n v="1"/>
    <n v="0"/>
    <n v="0"/>
    <n v="0"/>
    <n v="1"/>
    <n v="0"/>
    <n v="78"/>
    <d v="2015-06-03T00:00:00"/>
  </r>
  <r>
    <n v="331"/>
    <n v="50737"/>
    <n v="89"/>
    <n v="1.7541439186392574E-3"/>
    <x v="0"/>
    <n v="1"/>
    <n v="61"/>
    <n v="78"/>
    <n v="0"/>
    <n v="11"/>
    <n v="0"/>
    <n v="0"/>
    <n v="10"/>
    <n v="1"/>
    <n v="2"/>
    <n v="0"/>
    <n v="4"/>
    <n v="6"/>
    <n v="0"/>
    <n v="0"/>
    <n v="0"/>
    <n v="1"/>
    <n v="0"/>
    <n v="0"/>
    <x v="1"/>
    <x v="38"/>
    <s v="51-66"/>
    <n v="2573"/>
    <n v="0"/>
    <n v="1"/>
    <n v="0"/>
    <n v="0"/>
    <n v="0"/>
    <n v="0"/>
    <n v="1"/>
    <n v="0"/>
    <n v="0"/>
    <n v="79"/>
    <d v="2015-09-29T00:00:00"/>
  </r>
  <r>
    <n v="505"/>
    <n v="44931"/>
    <n v="89"/>
    <n v="1.9808150274865906E-3"/>
    <x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x v="1"/>
    <x v="26"/>
    <s v="51-66"/>
    <n v="2321"/>
    <n v="0"/>
    <n v="0"/>
    <n v="0"/>
    <n v="1"/>
    <n v="0"/>
    <n v="0"/>
    <n v="1"/>
    <n v="0"/>
    <n v="0"/>
    <n v="82"/>
    <d v="2016-06-07T00:00:00"/>
  </r>
  <r>
    <n v="1196"/>
    <n v="40800"/>
    <n v="89"/>
    <n v="2.181372549019608E-3"/>
    <x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x v="1"/>
    <x v="42"/>
    <s v="51-66"/>
    <n v="2703"/>
    <n v="0"/>
    <n v="1"/>
    <n v="0"/>
    <n v="0"/>
    <n v="0"/>
    <n v="0"/>
    <n v="1"/>
    <n v="0"/>
    <n v="0"/>
    <n v="79"/>
    <d v="2015-05-22T00:00:00"/>
  </r>
  <r>
    <n v="1443"/>
    <n v="44322"/>
    <n v="89"/>
    <n v="2.008032128514056E-3"/>
    <x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x v="1"/>
    <x v="23"/>
    <s v="24-35"/>
    <n v="2172"/>
    <n v="0"/>
    <n v="1"/>
    <n v="0"/>
    <n v="0"/>
    <n v="0"/>
    <n v="0"/>
    <n v="1"/>
    <n v="0"/>
    <n v="0"/>
    <n v="86"/>
    <d v="2016-11-03T00:00:00"/>
  </r>
  <r>
    <n v="1541"/>
    <n v="38232"/>
    <n v="89"/>
    <n v="2.3278928646160283E-3"/>
    <x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x v="1"/>
    <x v="28"/>
    <s v="36-50"/>
    <n v="2322"/>
    <n v="0"/>
    <n v="0"/>
    <n v="0"/>
    <n v="1"/>
    <n v="0"/>
    <n v="0"/>
    <n v="1"/>
    <n v="0"/>
    <n v="0"/>
    <n v="56"/>
    <d v="2016-06-06T00:00:00"/>
  </r>
  <r>
    <n v="1624"/>
    <n v="39435"/>
    <n v="89"/>
    <n v="2.2568784075060228E-3"/>
    <x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x v="1"/>
    <x v="30"/>
    <s v="36-50"/>
    <n v="2486"/>
    <n v="0"/>
    <n v="0"/>
    <n v="0"/>
    <n v="1"/>
    <n v="0"/>
    <n v="0"/>
    <n v="0"/>
    <n v="0"/>
    <n v="1"/>
    <n v="76"/>
    <d v="2015-12-25T00:00:00"/>
  </r>
  <r>
    <n v="1633"/>
    <n v="36075"/>
    <n v="89"/>
    <n v="2.4670824670824671E-3"/>
    <x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x v="1"/>
    <x v="20"/>
    <s v="36-50"/>
    <n v="2361"/>
    <n v="0"/>
    <n v="0"/>
    <n v="0"/>
    <n v="1"/>
    <n v="0"/>
    <n v="0"/>
    <n v="1"/>
    <n v="0"/>
    <n v="0"/>
    <n v="59"/>
    <d v="2016-04-28T00:00:00"/>
  </r>
  <r>
    <n v="1672"/>
    <n v="41580"/>
    <n v="89"/>
    <n v="2.1404521404521405E-3"/>
    <x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x v="1"/>
    <x v="37"/>
    <s v="36-50"/>
    <n v="2725"/>
    <n v="0"/>
    <n v="0"/>
    <n v="0"/>
    <n v="1"/>
    <n v="0"/>
    <n v="0"/>
    <n v="1"/>
    <n v="0"/>
    <n v="0"/>
    <n v="86"/>
    <d v="2015-04-30T00:00:00"/>
  </r>
  <r>
    <n v="935"/>
    <n v="64587"/>
    <n v="88"/>
    <n v="1.3625032901357858E-3"/>
    <x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x v="1"/>
    <x v="44"/>
    <s v="66+"/>
    <n v="2166"/>
    <n v="1"/>
    <n v="0"/>
    <n v="0"/>
    <n v="0"/>
    <n v="0"/>
    <n v="0"/>
    <n v="1"/>
    <n v="0"/>
    <n v="0"/>
    <n v="68"/>
    <d v="2016-11-09T00:00:00"/>
  </r>
  <r>
    <n v="1143"/>
    <n v="34377"/>
    <n v="88"/>
    <n v="2.5598510632108677E-3"/>
    <x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x v="1"/>
    <x v="33"/>
    <s v="51-66"/>
    <n v="2685"/>
    <n v="0"/>
    <n v="0"/>
    <n v="1"/>
    <n v="0"/>
    <n v="0"/>
    <n v="0"/>
    <n v="1"/>
    <n v="0"/>
    <n v="0"/>
    <n v="62"/>
    <d v="2015-06-09T00:00:00"/>
  </r>
  <r>
    <n v="1404"/>
    <n v="37787"/>
    <n v="88"/>
    <n v="2.3288432529705982E-3"/>
    <x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x v="1"/>
    <x v="9"/>
    <s v="36-50"/>
    <n v="2441"/>
    <n v="0"/>
    <n v="1"/>
    <n v="0"/>
    <n v="0"/>
    <n v="0"/>
    <n v="0"/>
    <n v="0"/>
    <n v="1"/>
    <n v="0"/>
    <n v="70"/>
    <d v="2016-02-08T00:00:00"/>
  </r>
  <r>
    <n v="1467"/>
    <n v="52569"/>
    <n v="88"/>
    <n v="1.6739903745553464E-3"/>
    <x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x v="1"/>
    <x v="26"/>
    <s v="51-66"/>
    <n v="2244"/>
    <n v="0"/>
    <n v="0"/>
    <n v="1"/>
    <n v="0"/>
    <n v="0"/>
    <n v="0"/>
    <n v="0"/>
    <n v="0"/>
    <n v="1"/>
    <n v="81"/>
    <d v="2016-08-23T00:00:00"/>
  </r>
  <r>
    <n v="1946"/>
    <n v="42769"/>
    <n v="88"/>
    <n v="2.0575650588042743E-3"/>
    <x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x v="1"/>
    <x v="46"/>
    <s v="51-66"/>
    <n v="2419"/>
    <n v="0"/>
    <n v="1"/>
    <n v="0"/>
    <n v="0"/>
    <n v="0"/>
    <n v="0"/>
    <n v="0"/>
    <n v="0"/>
    <n v="1"/>
    <n v="88"/>
    <d v="2016-03-01T00:00:00"/>
  </r>
  <r>
    <n v="104"/>
    <n v="50785"/>
    <n v="87"/>
    <n v="1.713104263069804E-3"/>
    <x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x v="1"/>
    <x v="46"/>
    <s v="51-66"/>
    <n v="2451"/>
    <n v="0"/>
    <n v="0"/>
    <n v="1"/>
    <n v="0"/>
    <n v="0"/>
    <n v="0"/>
    <n v="1"/>
    <n v="0"/>
    <n v="0"/>
    <n v="60"/>
    <d v="2016-01-29T00:00:00"/>
  </r>
  <r>
    <n v="159"/>
    <n v="53537"/>
    <n v="87"/>
    <n v="1.6250443618432112E-3"/>
    <x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x v="1"/>
    <x v="29"/>
    <s v="51-66"/>
    <n v="2309"/>
    <n v="0"/>
    <n v="0"/>
    <n v="0"/>
    <n v="1"/>
    <n v="0"/>
    <n v="0"/>
    <n v="0"/>
    <n v="0"/>
    <n v="1"/>
    <n v="81"/>
    <d v="2016-06-19T00:00:00"/>
  </r>
  <r>
    <n v="727"/>
    <n v="40760"/>
    <n v="87"/>
    <n v="2.1344455348380766E-3"/>
    <x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x v="1"/>
    <x v="47"/>
    <s v="51-66"/>
    <n v="2462"/>
    <n v="0"/>
    <n v="0"/>
    <n v="1"/>
    <n v="0"/>
    <n v="0"/>
    <n v="0"/>
    <n v="0"/>
    <n v="0"/>
    <n v="1"/>
    <n v="81"/>
    <d v="2016-01-18T00:00:00"/>
  </r>
  <r>
    <n v="1369"/>
    <n v="59892"/>
    <n v="87"/>
    <n v="1.4526147064716491E-3"/>
    <x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x v="1"/>
    <x v="2"/>
    <s v="36-50"/>
    <n v="2398"/>
    <n v="0"/>
    <n v="1"/>
    <n v="0"/>
    <n v="0"/>
    <n v="0"/>
    <n v="0"/>
    <n v="0"/>
    <n v="0"/>
    <n v="1"/>
    <n v="87"/>
    <d v="2016-03-22T00:00:00"/>
  </r>
  <r>
    <n v="1960"/>
    <n v="31560"/>
    <n v="87"/>
    <n v="2.7566539923954371E-3"/>
    <x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x v="1"/>
    <x v="35"/>
    <s v="36-50"/>
    <n v="2529"/>
    <n v="0"/>
    <n v="0"/>
    <n v="1"/>
    <n v="0"/>
    <n v="0"/>
    <n v="0"/>
    <n v="0"/>
    <n v="0"/>
    <n v="1"/>
    <n v="80"/>
    <d v="2015-11-12T00:00:00"/>
  </r>
  <r>
    <n v="116"/>
    <n v="54348"/>
    <n v="86"/>
    <n v="1.5823949363362037E-3"/>
    <x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x v="1"/>
    <x v="10"/>
    <s v="66+"/>
    <n v="2180"/>
    <n v="0"/>
    <n v="1"/>
    <n v="0"/>
    <n v="0"/>
    <n v="0"/>
    <n v="0"/>
    <n v="0"/>
    <n v="1"/>
    <n v="0"/>
    <n v="82"/>
    <d v="2016-10-26T00:00:00"/>
  </r>
  <r>
    <n v="260"/>
    <n v="24480"/>
    <n v="85"/>
    <n v="3.472222222222222E-3"/>
    <x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x v="1"/>
    <x v="43"/>
    <s v="36-50"/>
    <n v="2662"/>
    <n v="0"/>
    <n v="1"/>
    <n v="0"/>
    <n v="0"/>
    <n v="0"/>
    <n v="0"/>
    <n v="0"/>
    <n v="0"/>
    <n v="0"/>
    <n v="68"/>
    <d v="2015-07-02T00:00:00"/>
  </r>
  <r>
    <n v="349"/>
    <n v="46098"/>
    <n v="84"/>
    <n v="1.8222048678901471E-3"/>
    <x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  <x v="16"/>
    <s v="36-50"/>
    <n v="2839"/>
    <n v="0"/>
    <n v="0"/>
    <n v="1"/>
    <n v="0"/>
    <n v="0"/>
    <n v="0"/>
    <n v="0"/>
    <n v="1"/>
    <n v="0"/>
    <n v="48"/>
    <d v="2015-01-06T00:00:00"/>
  </r>
  <r>
    <n v="974"/>
    <n v="46423"/>
    <n v="84"/>
    <n v="1.8094479029791266E-3"/>
    <x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  <x v="9"/>
    <s v="36-50"/>
    <n v="2443"/>
    <n v="0"/>
    <n v="0"/>
    <n v="1"/>
    <n v="0"/>
    <n v="0"/>
    <n v="0"/>
    <n v="0"/>
    <n v="1"/>
    <n v="0"/>
    <n v="76"/>
    <d v="2016-02-06T00:00:00"/>
  </r>
  <r>
    <n v="1148"/>
    <n v="33438"/>
    <n v="84"/>
    <n v="2.5121119684191639E-3"/>
    <x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x v="1"/>
    <x v="27"/>
    <s v="51-66"/>
    <n v="2439"/>
    <n v="0"/>
    <n v="0"/>
    <n v="0"/>
    <n v="0"/>
    <n v="1"/>
    <n v="0"/>
    <n v="0"/>
    <n v="0"/>
    <n v="1"/>
    <n v="78"/>
    <d v="2016-02-10T00:00:00"/>
  </r>
  <r>
    <n v="1716"/>
    <n v="46098"/>
    <n v="84"/>
    <n v="1.8222048678901471E-3"/>
    <x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0"/>
    <x v="16"/>
    <s v="36-50"/>
    <n v="2839"/>
    <n v="0"/>
    <n v="0"/>
    <n v="1"/>
    <n v="0"/>
    <n v="0"/>
    <n v="0"/>
    <n v="0"/>
    <n v="1"/>
    <n v="0"/>
    <n v="48"/>
    <d v="2015-01-06T00:00:00"/>
  </r>
  <r>
    <n v="434"/>
    <n v="33183"/>
    <n v="83"/>
    <n v="2.5012807763011178E-3"/>
    <x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x v="1"/>
    <x v="16"/>
    <s v="36-50"/>
    <n v="2284"/>
    <n v="0"/>
    <n v="1"/>
    <n v="0"/>
    <n v="0"/>
    <n v="0"/>
    <n v="0"/>
    <n v="1"/>
    <n v="0"/>
    <n v="0"/>
    <n v="46"/>
    <d v="2016-07-14T00:00:00"/>
  </r>
  <r>
    <n v="710"/>
    <n v="38829"/>
    <n v="83"/>
    <n v="2.1375775837647118E-3"/>
    <x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x v="1"/>
    <x v="29"/>
    <s v="51-66"/>
    <n v="2243"/>
    <n v="0"/>
    <n v="1"/>
    <n v="0"/>
    <n v="0"/>
    <n v="0"/>
    <n v="0"/>
    <n v="0"/>
    <n v="0"/>
    <n v="1"/>
    <n v="67"/>
    <d v="2016-08-24T00:00:00"/>
  </r>
  <r>
    <n v="910"/>
    <n v="33471"/>
    <n v="81"/>
    <n v="2.4200053777897286E-3"/>
    <x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x v="1"/>
    <x v="30"/>
    <s v="36-50"/>
    <n v="2784"/>
    <n v="0"/>
    <n v="1"/>
    <n v="0"/>
    <n v="0"/>
    <n v="0"/>
    <n v="0"/>
    <n v="1"/>
    <n v="0"/>
    <n v="0"/>
    <n v="69"/>
    <d v="2015-03-02T00:00:00"/>
  </r>
  <r>
    <n v="1169"/>
    <n v="7500"/>
    <n v="79"/>
    <n v="1.0533333333333334E-2"/>
    <x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x v="1"/>
    <x v="17"/>
    <s v="24-35"/>
    <n v="2732"/>
    <n v="0"/>
    <n v="0"/>
    <n v="1"/>
    <n v="0"/>
    <n v="0"/>
    <n v="0"/>
    <n v="0"/>
    <n v="0"/>
    <n v="0"/>
    <n v="39"/>
    <d v="2015-04-23T00:00:00"/>
  </r>
  <r>
    <n v="958"/>
    <n v="34961"/>
    <n v="78"/>
    <n v="2.2310574640313492E-3"/>
    <x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x v="1"/>
    <x v="30"/>
    <s v="36-50"/>
    <n v="2169"/>
    <n v="0"/>
    <n v="1"/>
    <n v="0"/>
    <n v="0"/>
    <n v="0"/>
    <n v="0"/>
    <n v="1"/>
    <n v="0"/>
    <n v="0"/>
    <n v="77"/>
    <d v="2016-11-06T00:00:00"/>
  </r>
  <r>
    <n v="1800"/>
    <n v="38236"/>
    <n v="78"/>
    <n v="2.0399623391568157E-3"/>
    <x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x v="1"/>
    <x v="14"/>
    <s v="51-66"/>
    <n v="2441"/>
    <n v="0"/>
    <n v="0"/>
    <n v="1"/>
    <n v="0"/>
    <n v="0"/>
    <n v="0"/>
    <n v="0"/>
    <n v="0"/>
    <n v="1"/>
    <n v="68"/>
    <d v="2016-02-08T00:00:00"/>
  </r>
  <r>
    <n v="914"/>
    <n v="40706"/>
    <n v="76"/>
    <n v="1.8670466270328699E-3"/>
    <x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x v="1"/>
    <x v="14"/>
    <s v="51-66"/>
    <n v="2687"/>
    <n v="0"/>
    <n v="0"/>
    <n v="0"/>
    <n v="1"/>
    <n v="0"/>
    <n v="0"/>
    <n v="0"/>
    <n v="0"/>
    <n v="1"/>
    <n v="71"/>
    <d v="2015-06-07T00:00:00"/>
  </r>
  <r>
    <n v="1408"/>
    <n v="37697"/>
    <n v="76"/>
    <n v="2.016075549778497E-3"/>
    <x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  <x v="7"/>
    <s v="36-50"/>
    <n v="2301"/>
    <n v="0"/>
    <n v="0"/>
    <n v="1"/>
    <n v="0"/>
    <n v="0"/>
    <n v="0"/>
    <n v="1"/>
    <n v="0"/>
    <n v="0"/>
    <n v="68"/>
    <d v="2016-06-27T00:00:00"/>
  </r>
  <r>
    <n v="293"/>
    <n v="40321"/>
    <n v="75"/>
    <n v="1.8600729148582624E-3"/>
    <x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  <x v="9"/>
    <s v="36-50"/>
    <n v="2494"/>
    <n v="0"/>
    <n v="1"/>
    <n v="0"/>
    <n v="0"/>
    <n v="0"/>
    <n v="0"/>
    <n v="1"/>
    <n v="0"/>
    <n v="0"/>
    <n v="48"/>
    <d v="2015-12-17T00:00:00"/>
  </r>
  <r>
    <n v="566"/>
    <n v="31089"/>
    <n v="75"/>
    <n v="2.4124288333494163E-3"/>
    <x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x v="1"/>
    <x v="43"/>
    <s v="36-50"/>
    <n v="2840"/>
    <n v="0"/>
    <n v="0"/>
    <n v="0"/>
    <n v="1"/>
    <n v="0"/>
    <n v="0"/>
    <n v="1"/>
    <n v="0"/>
    <n v="0"/>
    <n v="71"/>
    <d v="2015-01-05T00:00:00"/>
  </r>
  <r>
    <n v="1439"/>
    <n v="27215"/>
    <n v="74"/>
    <n v="2.7190887378284036E-3"/>
    <x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x v="1"/>
    <x v="21"/>
    <s v="51-66"/>
    <n v="2681"/>
    <n v="1"/>
    <n v="0"/>
    <n v="0"/>
    <n v="0"/>
    <n v="0"/>
    <n v="0"/>
    <n v="1"/>
    <n v="0"/>
    <n v="0"/>
    <n v="46"/>
    <d v="2015-06-13T00:00:00"/>
  </r>
  <r>
    <n v="693"/>
    <n v="34941"/>
    <n v="73"/>
    <n v="2.0892361409232708E-3"/>
    <x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x v="1"/>
    <x v="5"/>
    <s v="51-66"/>
    <n v="2639"/>
    <n v="0"/>
    <n v="0"/>
    <n v="0"/>
    <n v="1"/>
    <n v="0"/>
    <n v="0"/>
    <n v="0"/>
    <n v="1"/>
    <n v="0"/>
    <n v="49"/>
    <d v="2015-07-25T00:00:00"/>
  </r>
  <r>
    <n v="1068"/>
    <n v="36778"/>
    <n v="73"/>
    <n v="1.9848822665724073E-3"/>
    <x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x v="1"/>
    <x v="14"/>
    <s v="51-66"/>
    <n v="2852"/>
    <n v="0"/>
    <n v="1"/>
    <n v="0"/>
    <n v="0"/>
    <n v="0"/>
    <n v="0"/>
    <n v="0"/>
    <n v="0"/>
    <n v="1"/>
    <n v="69"/>
    <d v="2014-12-24T00:00:00"/>
  </r>
  <r>
    <n v="1535"/>
    <n v="20193"/>
    <n v="73"/>
    <n v="3.6151141484672905E-3"/>
    <x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x v="1"/>
    <x v="1"/>
    <s v="24-35"/>
    <n v="2737"/>
    <n v="0"/>
    <n v="0"/>
    <n v="0"/>
    <n v="1"/>
    <n v="0"/>
    <n v="1"/>
    <n v="0"/>
    <n v="0"/>
    <n v="0"/>
    <n v="64"/>
    <d v="2015-04-18T00:00:00"/>
  </r>
  <r>
    <n v="1106"/>
    <n v="28510"/>
    <n v="72"/>
    <n v="2.5254296737986671E-3"/>
    <x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x v="1"/>
    <x v="43"/>
    <s v="36-50"/>
    <n v="2601"/>
    <n v="1"/>
    <n v="0"/>
    <n v="0"/>
    <n v="0"/>
    <n v="0"/>
    <n v="0"/>
    <n v="1"/>
    <n v="0"/>
    <n v="0"/>
    <n v="53"/>
    <d v="2015-09-01T00:00:00"/>
  </r>
  <r>
    <n v="1722"/>
    <n v="7500"/>
    <n v="72"/>
    <n v="9.5999999999999992E-3"/>
    <x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x v="0"/>
    <x v="55"/>
    <s v="24-35"/>
    <n v="2756"/>
    <n v="0"/>
    <n v="1"/>
    <n v="0"/>
    <n v="0"/>
    <n v="0"/>
    <n v="1"/>
    <n v="0"/>
    <n v="0"/>
    <n v="0"/>
    <n v="22"/>
    <d v="2015-03-30T00:00:00"/>
  </r>
  <r>
    <n v="160"/>
    <n v="52074"/>
    <n v="71"/>
    <n v="1.363444329223797E-3"/>
    <x v="0"/>
    <n v="1"/>
    <n v="77"/>
    <n v="59"/>
    <n v="0"/>
    <n v="12"/>
    <n v="0"/>
    <n v="0"/>
    <n v="48"/>
    <n v="1"/>
    <n v="2"/>
    <n v="2"/>
    <n v="2"/>
    <n v="4"/>
    <n v="0"/>
    <n v="0"/>
    <n v="1"/>
    <n v="0"/>
    <n v="0"/>
    <n v="0"/>
    <x v="1"/>
    <x v="26"/>
    <s v="51-66"/>
    <n v="2245"/>
    <n v="0"/>
    <n v="0"/>
    <n v="1"/>
    <n v="0"/>
    <n v="0"/>
    <n v="0"/>
    <n v="1"/>
    <n v="0"/>
    <n v="0"/>
    <n v="23"/>
    <d v="2016-08-22T00:00:00"/>
  </r>
  <r>
    <n v="1071"/>
    <n v="37155"/>
    <n v="71"/>
    <n v="1.9109137397389315E-3"/>
    <x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x v="1"/>
    <x v="32"/>
    <s v="24-35"/>
    <n v="2673"/>
    <n v="0"/>
    <n v="1"/>
    <n v="0"/>
    <n v="0"/>
    <n v="0"/>
    <n v="0"/>
    <n v="1"/>
    <n v="0"/>
    <n v="0"/>
    <n v="68"/>
    <d v="2015-06-21T00:00:00"/>
  </r>
  <r>
    <n v="1774"/>
    <n v="36065"/>
    <n v="71"/>
    <n v="1.968667683349508E-3"/>
    <x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x v="1"/>
    <x v="14"/>
    <s v="51-66"/>
    <n v="2614"/>
    <n v="0"/>
    <n v="0"/>
    <n v="1"/>
    <n v="0"/>
    <n v="0"/>
    <n v="0"/>
    <n v="1"/>
    <n v="0"/>
    <n v="0"/>
    <n v="68"/>
    <d v="2015-08-19T00:00:00"/>
  </r>
  <r>
    <n v="1888"/>
    <n v="22123"/>
    <n v="71"/>
    <n v="3.2093296569181396E-3"/>
    <x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x v="1"/>
    <x v="24"/>
    <s v="51-66"/>
    <n v="2253"/>
    <n v="0"/>
    <n v="0"/>
    <n v="0"/>
    <n v="0"/>
    <n v="1"/>
    <n v="0"/>
    <n v="0"/>
    <n v="0"/>
    <n v="0"/>
    <n v="40"/>
    <d v="2016-08-14T00:00:00"/>
  </r>
  <r>
    <n v="246"/>
    <n v="38179"/>
    <n v="70"/>
    <n v="1.8334686607821052E-3"/>
    <x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x v="1"/>
    <x v="22"/>
    <s v="51-66"/>
    <n v="2631"/>
    <n v="0"/>
    <n v="1"/>
    <n v="0"/>
    <n v="0"/>
    <n v="0"/>
    <n v="0"/>
    <n v="0"/>
    <n v="1"/>
    <n v="0"/>
    <n v="50"/>
    <d v="2015-08-02T00:00:00"/>
  </r>
  <r>
    <n v="667"/>
    <n v="33249"/>
    <n v="70"/>
    <n v="2.1053264759842401E-3"/>
    <x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  <x v="16"/>
    <s v="36-50"/>
    <n v="2653"/>
    <n v="0"/>
    <n v="0"/>
    <n v="1"/>
    <n v="0"/>
    <n v="0"/>
    <n v="0"/>
    <n v="1"/>
    <n v="0"/>
    <n v="0"/>
    <n v="28"/>
    <d v="2015-07-11T00:00:00"/>
  </r>
  <r>
    <n v="1027"/>
    <n v="38578"/>
    <n v="70"/>
    <n v="1.8145056768106174E-3"/>
    <x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1"/>
    <x v="9"/>
    <s v="36-50"/>
    <n v="2531"/>
    <n v="0"/>
    <n v="0"/>
    <n v="1"/>
    <n v="0"/>
    <n v="0"/>
    <n v="0"/>
    <n v="0"/>
    <n v="0"/>
    <n v="1"/>
    <n v="67"/>
    <d v="2015-11-10T00:00:00"/>
  </r>
  <r>
    <n v="1153"/>
    <n v="38452"/>
    <n v="70"/>
    <n v="1.8204514719650474E-3"/>
    <x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  <x v="38"/>
    <s v="51-66"/>
    <n v="2250"/>
    <n v="0"/>
    <n v="1"/>
    <n v="0"/>
    <n v="0"/>
    <n v="0"/>
    <n v="0"/>
    <n v="0"/>
    <n v="1"/>
    <n v="0"/>
    <n v="68"/>
    <d v="2016-08-17T00:00:00"/>
  </r>
  <r>
    <n v="1269"/>
    <n v="38136"/>
    <n v="70"/>
    <n v="1.8355359765051395E-3"/>
    <x v="1"/>
    <n v="0"/>
    <n v="69"/>
    <n v="8"/>
    <n v="15"/>
    <n v="27"/>
    <n v="0"/>
    <n v="20"/>
    <n v="33"/>
    <n v="2"/>
    <n v="3"/>
    <n v="1"/>
    <n v="2"/>
    <n v="8"/>
    <n v="0"/>
    <n v="0"/>
    <n v="1"/>
    <n v="0"/>
    <n v="0"/>
    <n v="0"/>
    <x v="1"/>
    <x v="37"/>
    <s v="36-50"/>
    <n v="2592"/>
    <n v="0"/>
    <n v="1"/>
    <n v="0"/>
    <n v="0"/>
    <n v="0"/>
    <n v="0"/>
    <n v="1"/>
    <n v="0"/>
    <n v="0"/>
    <n v="37"/>
    <d v="2015-09-10T00:00:00"/>
  </r>
  <r>
    <n v="1744"/>
    <n v="38578"/>
    <n v="70"/>
    <n v="1.8145056768106174E-3"/>
    <x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0"/>
    <x v="9"/>
    <s v="36-50"/>
    <n v="2531"/>
    <n v="0"/>
    <n v="0"/>
    <n v="1"/>
    <n v="0"/>
    <n v="0"/>
    <n v="0"/>
    <n v="0"/>
    <n v="0"/>
    <n v="1"/>
    <n v="67"/>
    <d v="2015-11-10T00:00:00"/>
  </r>
  <r>
    <n v="1742"/>
    <n v="32557"/>
    <n v="70"/>
    <n v="2.1500752526338422E-3"/>
    <x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x v="0"/>
    <x v="26"/>
    <s v="51-66"/>
    <n v="2284"/>
    <n v="0"/>
    <n v="0"/>
    <n v="1"/>
    <n v="0"/>
    <n v="0"/>
    <n v="0"/>
    <n v="0"/>
    <n v="1"/>
    <n v="0"/>
    <n v="60"/>
    <d v="2016-07-14T00:00:00"/>
  </r>
  <r>
    <n v="1881"/>
    <n v="31761"/>
    <n v="70"/>
    <n v="2.2039608324674917E-3"/>
    <x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x v="1"/>
    <x v="39"/>
    <s v="36-50"/>
    <n v="2244"/>
    <n v="0"/>
    <n v="1"/>
    <n v="0"/>
    <n v="0"/>
    <n v="0"/>
    <n v="0"/>
    <n v="1"/>
    <n v="0"/>
    <n v="0"/>
    <n v="42"/>
    <d v="2016-08-23T00:00:00"/>
  </r>
  <r>
    <n v="49"/>
    <n v="35790"/>
    <n v="69"/>
    <n v="1.9279128248113999E-3"/>
    <x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x v="1"/>
    <x v="13"/>
    <s v="36-50"/>
    <n v="2702"/>
    <n v="0"/>
    <n v="0"/>
    <n v="1"/>
    <n v="0"/>
    <n v="0"/>
    <n v="0"/>
    <n v="1"/>
    <n v="0"/>
    <n v="0"/>
    <n v="66"/>
    <d v="2015-05-23T00:00:00"/>
  </r>
  <r>
    <n v="140"/>
    <n v="34176"/>
    <n v="69"/>
    <n v="2.0189606741573035E-3"/>
    <x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  <x v="0"/>
    <s v="24-35"/>
    <n v="2207"/>
    <n v="0"/>
    <n v="0"/>
    <n v="1"/>
    <n v="0"/>
    <n v="0"/>
    <n v="0"/>
    <n v="1"/>
    <n v="0"/>
    <n v="0"/>
    <n v="49"/>
    <d v="2016-09-29T00:00:00"/>
  </r>
  <r>
    <n v="155"/>
    <n v="26091"/>
    <n v="69"/>
    <n v="2.6445900885362769E-3"/>
    <x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  <x v="12"/>
    <s v="51-66"/>
    <n v="2283"/>
    <n v="0"/>
    <n v="0"/>
    <n v="0"/>
    <n v="1"/>
    <n v="0"/>
    <n v="0"/>
    <n v="1"/>
    <n v="0"/>
    <n v="0"/>
    <n v="49"/>
    <d v="2016-07-15T00:00:00"/>
  </r>
  <r>
    <n v="176"/>
    <n v="38872"/>
    <n v="69"/>
    <n v="1.7750565960074089E-3"/>
    <x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x v="1"/>
    <x v="0"/>
    <s v="24-35"/>
    <n v="2554"/>
    <n v="0"/>
    <n v="1"/>
    <n v="0"/>
    <n v="0"/>
    <n v="0"/>
    <n v="0"/>
    <n v="1"/>
    <n v="0"/>
    <n v="0"/>
    <n v="47"/>
    <d v="2015-10-18T00:00:00"/>
  </r>
  <r>
    <n v="695"/>
    <n v="38702"/>
    <n v="69"/>
    <n v="1.7828535992971939E-3"/>
    <x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x v="1"/>
    <x v="37"/>
    <s v="36-50"/>
    <n v="2491"/>
    <n v="0"/>
    <n v="0"/>
    <n v="0"/>
    <n v="1"/>
    <n v="0"/>
    <n v="1"/>
    <n v="0"/>
    <n v="0"/>
    <n v="0"/>
    <n v="29"/>
    <d v="2015-12-20T00:00:00"/>
  </r>
  <r>
    <n v="709"/>
    <n v="40662"/>
    <n v="69"/>
    <n v="1.6969160395455217E-3"/>
    <x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x v="1"/>
    <x v="19"/>
    <s v="36-50"/>
    <n v="2630"/>
    <n v="0"/>
    <n v="1"/>
    <n v="0"/>
    <n v="0"/>
    <n v="0"/>
    <n v="0"/>
    <n v="0"/>
    <n v="1"/>
    <n v="0"/>
    <n v="46"/>
    <d v="2015-08-03T00:00:00"/>
  </r>
  <r>
    <n v="724"/>
    <n v="33622"/>
    <n v="69"/>
    <n v="2.0522277080483016E-3"/>
    <x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x v="1"/>
    <x v="9"/>
    <s v="36-50"/>
    <n v="2601"/>
    <n v="0"/>
    <n v="1"/>
    <n v="0"/>
    <n v="0"/>
    <n v="0"/>
    <n v="0"/>
    <n v="1"/>
    <n v="0"/>
    <n v="0"/>
    <n v="57"/>
    <d v="2015-09-01T00:00:00"/>
  </r>
  <r>
    <n v="1749"/>
    <n v="39858"/>
    <n v="69"/>
    <n v="1.7311455667620051E-3"/>
    <x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x v="0"/>
    <x v="3"/>
    <s v="51-66"/>
    <n v="2680"/>
    <n v="0"/>
    <n v="0"/>
    <n v="1"/>
    <n v="0"/>
    <n v="0"/>
    <n v="0"/>
    <n v="0"/>
    <n v="1"/>
    <n v="0"/>
    <n v="43"/>
    <d v="2015-06-14T00:00:00"/>
  </r>
  <r>
    <n v="1915"/>
    <n v="43018"/>
    <n v="69"/>
    <n v="1.6039797294155934E-3"/>
    <x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x v="1"/>
    <x v="35"/>
    <s v="36-50"/>
    <n v="2399"/>
    <n v="0"/>
    <n v="0"/>
    <n v="0"/>
    <n v="1"/>
    <n v="0"/>
    <n v="0"/>
    <n v="0"/>
    <n v="1"/>
    <n v="0"/>
    <n v="5"/>
    <d v="2016-03-21T00:00:00"/>
  </r>
  <r>
    <n v="1073"/>
    <n v="33419"/>
    <n v="68"/>
    <n v="2.0347706394565966E-3"/>
    <x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x v="1"/>
    <x v="46"/>
    <s v="51-66"/>
    <n v="2475"/>
    <n v="0"/>
    <n v="0"/>
    <n v="1"/>
    <n v="0"/>
    <n v="0"/>
    <n v="0"/>
    <n v="0"/>
    <n v="0"/>
    <n v="1"/>
    <n v="50"/>
    <d v="2016-01-05T00:00:00"/>
  </r>
  <r>
    <n v="1193"/>
    <n v="23748"/>
    <n v="68"/>
    <n v="2.8633990230756273E-3"/>
    <x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x v="1"/>
    <x v="14"/>
    <s v="51-66"/>
    <n v="2744"/>
    <n v="1"/>
    <n v="0"/>
    <n v="0"/>
    <n v="0"/>
    <n v="0"/>
    <n v="0"/>
    <n v="0"/>
    <n v="1"/>
    <n v="0"/>
    <n v="60"/>
    <d v="2015-04-11T00:00:00"/>
  </r>
  <r>
    <n v="1210"/>
    <n v="43050"/>
    <n v="68"/>
    <n v="1.5795586527293844E-3"/>
    <x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x v="1"/>
    <x v="30"/>
    <s v="36-50"/>
    <n v="2262"/>
    <n v="0"/>
    <n v="1"/>
    <n v="0"/>
    <n v="0"/>
    <n v="0"/>
    <n v="1"/>
    <n v="0"/>
    <n v="0"/>
    <n v="0"/>
    <n v="60"/>
    <d v="2016-08-05T00:00:00"/>
  </r>
  <r>
    <n v="1754"/>
    <n v="28647"/>
    <n v="68"/>
    <n v="2.3737215066150035E-3"/>
    <x v="1"/>
    <n v="0"/>
    <n v="54"/>
    <n v="19"/>
    <n v="8"/>
    <n v="29"/>
    <n v="0"/>
    <n v="12"/>
    <n v="26"/>
    <n v="1"/>
    <n v="2"/>
    <n v="2"/>
    <n v="2"/>
    <n v="7"/>
    <n v="0"/>
    <n v="0"/>
    <n v="1"/>
    <n v="0"/>
    <n v="0"/>
    <n v="0"/>
    <x v="0"/>
    <x v="37"/>
    <s v="36-50"/>
    <n v="2471"/>
    <n v="0"/>
    <n v="0"/>
    <n v="1"/>
    <n v="0"/>
    <n v="0"/>
    <n v="0"/>
    <n v="1"/>
    <n v="0"/>
    <n v="0"/>
    <n v="42"/>
    <d v="2016-01-09T00:00:00"/>
  </r>
  <r>
    <n v="546"/>
    <n v="47472"/>
    <n v="67"/>
    <n v="1.4113582743511964E-3"/>
    <x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x v="1"/>
    <x v="22"/>
    <s v="51-66"/>
    <n v="2445"/>
    <n v="0"/>
    <n v="0"/>
    <n v="0"/>
    <n v="1"/>
    <n v="0"/>
    <n v="0"/>
    <n v="0"/>
    <n v="0"/>
    <n v="1"/>
    <n v="59"/>
    <d v="2016-02-04T00:00:00"/>
  </r>
  <r>
    <n v="1095"/>
    <n v="48985"/>
    <n v="67"/>
    <n v="1.3677656425436359E-3"/>
    <x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x v="1"/>
    <x v="14"/>
    <s v="51-66"/>
    <n v="2518"/>
    <n v="0"/>
    <n v="1"/>
    <n v="0"/>
    <n v="0"/>
    <n v="0"/>
    <n v="1"/>
    <n v="0"/>
    <n v="0"/>
    <n v="0"/>
    <n v="59"/>
    <d v="2015-11-23T00:00:00"/>
  </r>
  <r>
    <n v="1120"/>
    <n v="58401"/>
    <n v="67"/>
    <n v="1.1472406294412768E-3"/>
    <x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x v="1"/>
    <x v="24"/>
    <s v="51-66"/>
    <n v="2229"/>
    <n v="1"/>
    <n v="0"/>
    <n v="0"/>
    <n v="0"/>
    <n v="0"/>
    <n v="0"/>
    <n v="1"/>
    <n v="0"/>
    <n v="0"/>
    <n v="38"/>
    <d v="2016-09-07T00:00:00"/>
  </r>
  <r>
    <n v="1259"/>
    <n v="18929"/>
    <n v="67"/>
    <n v="3.5395425009245073E-3"/>
    <x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  <x v="48"/>
    <s v="24-35"/>
    <n v="2657"/>
    <n v="0"/>
    <n v="1"/>
    <n v="0"/>
    <n v="0"/>
    <n v="0"/>
    <n v="0"/>
    <n v="1"/>
    <n v="0"/>
    <n v="0"/>
    <n v="49"/>
    <d v="2015-07-07T00:00:00"/>
  </r>
  <r>
    <n v="1424"/>
    <n v="31928"/>
    <n v="67"/>
    <n v="2.0984715610122776E-3"/>
    <x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x v="1"/>
    <x v="32"/>
    <s v="24-35"/>
    <n v="2252"/>
    <n v="0"/>
    <n v="0"/>
    <n v="0"/>
    <n v="1"/>
    <n v="0"/>
    <n v="0"/>
    <n v="1"/>
    <n v="0"/>
    <n v="0"/>
    <n v="62"/>
    <d v="2016-08-15T00:00:00"/>
  </r>
  <r>
    <n v="1527"/>
    <n v="41473"/>
    <n v="67"/>
    <n v="1.6155088852988692E-3"/>
    <x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x v="1"/>
    <x v="23"/>
    <s v="24-35"/>
    <n v="2534"/>
    <n v="0"/>
    <n v="0"/>
    <n v="1"/>
    <n v="0"/>
    <n v="0"/>
    <n v="1"/>
    <n v="0"/>
    <n v="0"/>
    <n v="0"/>
    <n v="58"/>
    <d v="2015-11-07T00:00:00"/>
  </r>
  <r>
    <n v="1639"/>
    <n v="36273"/>
    <n v="67"/>
    <n v="1.8471039064869186E-3"/>
    <x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x v="1"/>
    <x v="13"/>
    <s v="36-50"/>
    <n v="2233"/>
    <n v="0"/>
    <n v="0"/>
    <n v="1"/>
    <n v="0"/>
    <n v="0"/>
    <n v="0"/>
    <n v="0"/>
    <n v="1"/>
    <n v="0"/>
    <n v="58"/>
    <d v="2016-09-03T00:00:00"/>
  </r>
  <r>
    <n v="1726"/>
    <n v="31158"/>
    <n v="67"/>
    <n v="2.1503305732075229E-3"/>
    <x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x v="1"/>
    <x v="23"/>
    <s v="24-35"/>
    <n v="2677"/>
    <n v="0"/>
    <n v="1"/>
    <n v="0"/>
    <n v="0"/>
    <n v="0"/>
    <n v="0"/>
    <n v="1"/>
    <n v="0"/>
    <n v="0"/>
    <n v="62"/>
    <d v="2015-06-17T00:00:00"/>
  </r>
  <r>
    <n v="1763"/>
    <n v="27242"/>
    <n v="67"/>
    <n v="2.4594376330665884E-3"/>
    <x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x v="0"/>
    <x v="2"/>
    <s v="36-50"/>
    <n v="2754"/>
    <n v="0"/>
    <n v="0"/>
    <n v="1"/>
    <n v="0"/>
    <n v="0"/>
    <n v="0"/>
    <n v="1"/>
    <n v="0"/>
    <n v="0"/>
    <n v="28"/>
    <d v="2015-04-01T00:00:00"/>
  </r>
  <r>
    <n v="1762"/>
    <n v="27213"/>
    <n v="67"/>
    <n v="2.462058574945798E-3"/>
    <x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x v="0"/>
    <x v="9"/>
    <s v="36-50"/>
    <n v="2827"/>
    <n v="0"/>
    <n v="0"/>
    <n v="1"/>
    <n v="0"/>
    <n v="0"/>
    <n v="0"/>
    <n v="0"/>
    <n v="0"/>
    <n v="1"/>
    <n v="64"/>
    <d v="2015-01-18T00:00:00"/>
  </r>
  <r>
    <n v="1857"/>
    <n v="38680"/>
    <n v="67"/>
    <n v="1.7321613236814892E-3"/>
    <x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x v="1"/>
    <x v="39"/>
    <s v="36-50"/>
    <n v="2617"/>
    <n v="0"/>
    <n v="1"/>
    <n v="0"/>
    <n v="0"/>
    <n v="0"/>
    <n v="0"/>
    <n v="1"/>
    <n v="0"/>
    <n v="0"/>
    <n v="55"/>
    <d v="2015-08-16T00:00:00"/>
  </r>
  <r>
    <n v="1872"/>
    <n v="36927"/>
    <n v="67"/>
    <n v="1.814390554336935E-3"/>
    <x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x v="1"/>
    <x v="38"/>
    <s v="51-66"/>
    <n v="2186"/>
    <n v="0"/>
    <n v="0"/>
    <n v="1"/>
    <n v="0"/>
    <n v="0"/>
    <n v="0"/>
    <n v="0"/>
    <n v="1"/>
    <n v="0"/>
    <n v="63"/>
    <d v="2016-10-20T00:00:00"/>
  </r>
  <r>
    <n v="1939"/>
    <n v="36997"/>
    <n v="67"/>
    <n v="1.8109576452144769E-3"/>
    <x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x v="1"/>
    <x v="14"/>
    <s v="51-66"/>
    <n v="2672"/>
    <n v="1"/>
    <n v="0"/>
    <n v="0"/>
    <n v="0"/>
    <n v="0"/>
    <n v="0"/>
    <n v="1"/>
    <n v="0"/>
    <n v="0"/>
    <n v="40"/>
    <d v="2015-06-22T00:00:00"/>
  </r>
  <r>
    <n v="528"/>
    <n v="33039"/>
    <n v="66"/>
    <n v="1.997639153727413E-3"/>
    <x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  <x v="37"/>
    <s v="36-50"/>
    <n v="2452"/>
    <n v="0"/>
    <n v="1"/>
    <n v="0"/>
    <n v="0"/>
    <n v="0"/>
    <n v="0"/>
    <n v="1"/>
    <n v="0"/>
    <n v="0"/>
    <n v="54"/>
    <d v="2016-01-28T00:00:00"/>
  </r>
  <r>
    <n v="915"/>
    <n v="15716"/>
    <n v="66"/>
    <n v="4.1995418681598368E-3"/>
    <x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x v="1"/>
    <x v="0"/>
    <s v="24-35"/>
    <n v="2753"/>
    <n v="0"/>
    <n v="1"/>
    <n v="0"/>
    <n v="0"/>
    <n v="0"/>
    <n v="1"/>
    <n v="0"/>
    <n v="0"/>
    <n v="0"/>
    <n v="40"/>
    <d v="2015-04-02T00:00:00"/>
  </r>
  <r>
    <n v="1324"/>
    <n v="28164"/>
    <n v="66"/>
    <n v="2.3434171282488282E-3"/>
    <x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x v="1"/>
    <x v="2"/>
    <s v="36-50"/>
    <n v="2580"/>
    <n v="0"/>
    <n v="1"/>
    <n v="0"/>
    <n v="0"/>
    <n v="0"/>
    <n v="0"/>
    <n v="1"/>
    <n v="0"/>
    <n v="0"/>
    <n v="54"/>
    <d v="2015-09-22T00:00:00"/>
  </r>
  <r>
    <n v="1497"/>
    <n v="36301"/>
    <n v="66"/>
    <n v="1.8181317319082119E-3"/>
    <x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x v="1"/>
    <x v="7"/>
    <s v="36-50"/>
    <n v="2406"/>
    <n v="0"/>
    <n v="0"/>
    <n v="0"/>
    <n v="1"/>
    <n v="0"/>
    <n v="1"/>
    <n v="0"/>
    <n v="0"/>
    <n v="0"/>
    <n v="54"/>
    <d v="2016-03-14T00:00:00"/>
  </r>
  <r>
    <n v="1539"/>
    <n v="33228"/>
    <n v="66"/>
    <n v="1.9862766341639583E-3"/>
    <x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x v="1"/>
    <x v="41"/>
    <s v="36-50"/>
    <n v="2316"/>
    <n v="0"/>
    <n v="1"/>
    <n v="0"/>
    <n v="0"/>
    <n v="0"/>
    <n v="0"/>
    <n v="1"/>
    <n v="0"/>
    <n v="0"/>
    <n v="61"/>
    <d v="2016-06-12T00:00:00"/>
  </r>
  <r>
    <n v="1694"/>
    <n v="21024"/>
    <n v="66"/>
    <n v="3.1392694063926939E-3"/>
    <x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x v="1"/>
    <x v="7"/>
    <s v="36-50"/>
    <n v="2519"/>
    <n v="0"/>
    <n v="0"/>
    <n v="0"/>
    <n v="1"/>
    <n v="0"/>
    <n v="0"/>
    <n v="0"/>
    <n v="1"/>
    <n v="0"/>
    <n v="48"/>
    <d v="2015-11-22T00:00:00"/>
  </r>
  <r>
    <n v="1848"/>
    <n v="7500"/>
    <n v="66"/>
    <n v="8.8000000000000005E-3"/>
    <x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x v="1"/>
    <x v="23"/>
    <s v="24-35"/>
    <n v="2856"/>
    <n v="0"/>
    <n v="0"/>
    <n v="0"/>
    <n v="1"/>
    <n v="0"/>
    <n v="1"/>
    <n v="0"/>
    <n v="0"/>
    <n v="0"/>
    <n v="32"/>
    <d v="2014-12-20T00:00:00"/>
  </r>
  <r>
    <n v="307"/>
    <n v="33996"/>
    <n v="65"/>
    <n v="1.9119896458406871E-3"/>
    <x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  <x v="32"/>
    <s v="24-35"/>
    <n v="2450"/>
    <n v="0"/>
    <n v="0"/>
    <n v="1"/>
    <n v="0"/>
    <n v="0"/>
    <n v="0"/>
    <n v="0"/>
    <n v="0"/>
    <n v="1"/>
    <n v="59"/>
    <d v="2016-01-30T00:00:00"/>
  </r>
  <r>
    <n v="1659"/>
    <n v="44635"/>
    <n v="65"/>
    <n v="1.4562563011089951E-3"/>
    <x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x v="1"/>
    <x v="28"/>
    <s v="36-50"/>
    <n v="2420"/>
    <n v="1"/>
    <n v="0"/>
    <n v="0"/>
    <n v="0"/>
    <n v="0"/>
    <n v="0"/>
    <n v="0"/>
    <n v="1"/>
    <n v="0"/>
    <n v="62"/>
    <d v="2016-02-29T00:00:00"/>
  </r>
  <r>
    <n v="1766"/>
    <n v="37126"/>
    <n v="65"/>
    <n v="1.7507945913914776E-3"/>
    <x v="1"/>
    <n v="0"/>
    <n v="9"/>
    <n v="45"/>
    <n v="3"/>
    <n v="9"/>
    <n v="4"/>
    <n v="4"/>
    <n v="7"/>
    <n v="1"/>
    <n v="1"/>
    <n v="2"/>
    <n v="2"/>
    <n v="6"/>
    <n v="0"/>
    <n v="0"/>
    <n v="1"/>
    <n v="0"/>
    <n v="0"/>
    <n v="0"/>
    <x v="0"/>
    <x v="28"/>
    <s v="36-50"/>
    <n v="2250"/>
    <n v="0"/>
    <n v="1"/>
    <n v="0"/>
    <n v="0"/>
    <n v="0"/>
    <n v="0"/>
    <n v="0"/>
    <n v="0"/>
    <n v="1"/>
    <n v="58"/>
    <d v="2016-08-17T00:00:00"/>
  </r>
  <r>
    <n v="1840"/>
    <n v="28587"/>
    <n v="65"/>
    <n v="2.2737608003638018E-3"/>
    <x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x v="1"/>
    <x v="37"/>
    <s v="36-50"/>
    <n v="2296"/>
    <n v="0"/>
    <n v="0"/>
    <n v="0"/>
    <n v="1"/>
    <n v="0"/>
    <n v="0"/>
    <n v="1"/>
    <n v="0"/>
    <n v="0"/>
    <n v="52"/>
    <d v="2016-07-02T00:00:00"/>
  </r>
  <r>
    <n v="173"/>
    <n v="45759"/>
    <n v="64"/>
    <n v="1.398631963111082E-3"/>
    <x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  <x v="42"/>
    <s v="51-66"/>
    <n v="2650"/>
    <n v="0"/>
    <n v="1"/>
    <n v="0"/>
    <n v="0"/>
    <n v="0"/>
    <n v="0"/>
    <n v="0"/>
    <n v="0"/>
    <n v="1"/>
    <n v="60"/>
    <d v="2015-07-14T00:00:00"/>
  </r>
  <r>
    <n v="920"/>
    <n v="35704"/>
    <n v="64"/>
    <n v="1.7925162446784674E-3"/>
    <x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x v="1"/>
    <x v="50"/>
    <s v="66+"/>
    <n v="2336"/>
    <n v="0"/>
    <n v="1"/>
    <n v="0"/>
    <n v="0"/>
    <n v="0"/>
    <n v="0"/>
    <n v="1"/>
    <n v="0"/>
    <n v="0"/>
    <n v="34"/>
    <d v="2016-05-23T00:00:00"/>
  </r>
  <r>
    <n v="961"/>
    <n v="33564"/>
    <n v="64"/>
    <n v="1.9068049100226434E-3"/>
    <x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x v="1"/>
    <x v="22"/>
    <s v="51-66"/>
    <n v="2164"/>
    <n v="0"/>
    <n v="0"/>
    <n v="0"/>
    <n v="1"/>
    <n v="0"/>
    <n v="0"/>
    <n v="0"/>
    <n v="1"/>
    <n v="0"/>
    <n v="57"/>
    <d v="2016-11-11T00:00:00"/>
  </r>
  <r>
    <n v="1737"/>
    <n v="33235"/>
    <n v="64"/>
    <n v="1.9256807582367986E-3"/>
    <x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x v="1"/>
    <x v="18"/>
    <s v="24-35"/>
    <n v="2303"/>
    <n v="0"/>
    <n v="0"/>
    <n v="0"/>
    <n v="1"/>
    <n v="0"/>
    <n v="0"/>
    <n v="1"/>
    <n v="0"/>
    <n v="0"/>
    <n v="58"/>
    <d v="2016-06-25T00:00:00"/>
  </r>
  <r>
    <n v="1772"/>
    <n v="39684"/>
    <n v="64"/>
    <n v="1.6127406511440379E-3"/>
    <x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x v="0"/>
    <x v="39"/>
    <s v="36-50"/>
    <n v="2784"/>
    <n v="0"/>
    <n v="0"/>
    <n v="1"/>
    <n v="0"/>
    <n v="0"/>
    <n v="0"/>
    <n v="0"/>
    <n v="0"/>
    <n v="1"/>
    <n v="47"/>
    <d v="2015-03-02T00:00:00"/>
  </r>
  <r>
    <n v="1841"/>
    <n v="43815"/>
    <n v="64"/>
    <n v="1.4606869793449733E-3"/>
    <x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x v="1"/>
    <x v="31"/>
    <s v="36-50"/>
    <n v="2609"/>
    <n v="0"/>
    <n v="1"/>
    <n v="0"/>
    <n v="0"/>
    <n v="0"/>
    <n v="0"/>
    <n v="0"/>
    <n v="1"/>
    <n v="0"/>
    <n v="49"/>
    <d v="2015-08-24T00:00:00"/>
  </r>
  <r>
    <n v="1926"/>
    <n v="50116"/>
    <n v="64"/>
    <n v="1.277037273525421E-3"/>
    <x v="1"/>
    <n v="1"/>
    <n v="68"/>
    <n v="54"/>
    <n v="0"/>
    <n v="10"/>
    <n v="0"/>
    <n v="0"/>
    <n v="2"/>
    <n v="2"/>
    <n v="1"/>
    <n v="0"/>
    <n v="4"/>
    <n v="5"/>
    <n v="0"/>
    <n v="0"/>
    <n v="0"/>
    <n v="1"/>
    <n v="0"/>
    <n v="0"/>
    <x v="1"/>
    <x v="12"/>
    <s v="51-66"/>
    <n v="2168"/>
    <n v="0"/>
    <n v="0"/>
    <n v="0"/>
    <n v="1"/>
    <n v="0"/>
    <n v="0"/>
    <n v="1"/>
    <n v="0"/>
    <n v="0"/>
    <n v="62"/>
    <d v="2016-11-07T00:00:00"/>
  </r>
  <r>
    <n v="37"/>
    <n v="42429"/>
    <n v="63"/>
    <n v="1.4848334865304391E-3"/>
    <x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  <x v="30"/>
    <s v="36-50"/>
    <n v="2297"/>
    <n v="0"/>
    <n v="0"/>
    <n v="0"/>
    <n v="0"/>
    <n v="1"/>
    <n v="0"/>
    <n v="1"/>
    <n v="0"/>
    <n v="0"/>
    <n v="59"/>
    <d v="2016-07-01T00:00:00"/>
  </r>
  <r>
    <n v="585"/>
    <n v="31632"/>
    <n v="63"/>
    <n v="1.9916540212443095E-3"/>
    <x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x v="1"/>
    <x v="28"/>
    <s v="36-50"/>
    <n v="2509"/>
    <n v="0"/>
    <n v="0"/>
    <n v="1"/>
    <n v="0"/>
    <n v="0"/>
    <n v="0"/>
    <n v="1"/>
    <n v="0"/>
    <n v="0"/>
    <n v="31"/>
    <d v="2015-12-02T00:00:00"/>
  </r>
  <r>
    <n v="621"/>
    <n v="25965"/>
    <n v="63"/>
    <n v="2.4263431542461003E-3"/>
    <x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x v="1"/>
    <x v="41"/>
    <s v="36-50"/>
    <n v="2819"/>
    <n v="0"/>
    <n v="1"/>
    <n v="0"/>
    <n v="0"/>
    <n v="0"/>
    <n v="0"/>
    <n v="0"/>
    <n v="0"/>
    <n v="0"/>
    <n v="52"/>
    <d v="2015-01-26T00:00:00"/>
  </r>
  <r>
    <n v="757"/>
    <n v="56850"/>
    <n v="63"/>
    <n v="1.1081794195250659E-3"/>
    <x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x v="1"/>
    <x v="28"/>
    <s v="36-50"/>
    <n v="2257"/>
    <n v="0"/>
    <n v="1"/>
    <n v="0"/>
    <n v="0"/>
    <n v="0"/>
    <n v="0"/>
    <n v="0"/>
    <n v="1"/>
    <n v="0"/>
    <n v="63"/>
    <d v="2016-08-10T00:00:00"/>
  </r>
  <r>
    <n v="791"/>
    <n v="19419"/>
    <n v="63"/>
    <n v="3.2442453267418508E-3"/>
    <x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x v="1"/>
    <x v="43"/>
    <s v="36-50"/>
    <n v="2755"/>
    <n v="0"/>
    <n v="1"/>
    <n v="0"/>
    <n v="0"/>
    <n v="0"/>
    <n v="0"/>
    <n v="1"/>
    <n v="0"/>
    <n v="0"/>
    <n v="56"/>
    <d v="2015-03-31T00:00:00"/>
  </r>
  <r>
    <n v="837"/>
    <n v="31814"/>
    <n v="63"/>
    <n v="1.9802602627773938E-3"/>
    <x v="1"/>
    <n v="0"/>
    <n v="73"/>
    <n v="35"/>
    <n v="3"/>
    <n v="20"/>
    <n v="4"/>
    <n v="1"/>
    <n v="20"/>
    <n v="2"/>
    <n v="2"/>
    <n v="0"/>
    <n v="3"/>
    <n v="9"/>
    <n v="0"/>
    <n v="0"/>
    <n v="1"/>
    <n v="0"/>
    <n v="0"/>
    <n v="0"/>
    <x v="1"/>
    <x v="30"/>
    <s v="36-50"/>
    <n v="2664"/>
    <n v="0"/>
    <n v="1"/>
    <n v="0"/>
    <n v="0"/>
    <n v="0"/>
    <n v="0"/>
    <n v="1"/>
    <n v="0"/>
    <n v="0"/>
    <n v="43"/>
    <d v="2015-06-30T00:00:00"/>
  </r>
  <r>
    <n v="854"/>
    <n v="47889"/>
    <n v="63"/>
    <n v="1.3155421913174216E-3"/>
    <x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x v="1"/>
    <x v="35"/>
    <s v="36-50"/>
    <n v="2335"/>
    <n v="0"/>
    <n v="0"/>
    <n v="0"/>
    <n v="1"/>
    <n v="0"/>
    <n v="0"/>
    <n v="1"/>
    <n v="0"/>
    <n v="0"/>
    <n v="59"/>
    <d v="2016-05-24T00:00:00"/>
  </r>
  <r>
    <n v="959"/>
    <n v="28440"/>
    <n v="63"/>
    <n v="2.2151898734177216E-3"/>
    <x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x v="1"/>
    <x v="35"/>
    <s v="36-50"/>
    <n v="2516"/>
    <n v="0"/>
    <n v="0"/>
    <n v="0"/>
    <n v="1"/>
    <n v="0"/>
    <n v="0"/>
    <n v="0"/>
    <n v="0"/>
    <n v="1"/>
    <n v="63"/>
    <d v="2015-11-25T00:00:00"/>
  </r>
  <r>
    <n v="1458"/>
    <n v="45903"/>
    <n v="63"/>
    <n v="1.37245931638455E-3"/>
    <x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x v="1"/>
    <x v="22"/>
    <s v="51-66"/>
    <n v="2226"/>
    <n v="0"/>
    <n v="0"/>
    <n v="0"/>
    <n v="1"/>
    <n v="0"/>
    <n v="0"/>
    <n v="0"/>
    <n v="1"/>
    <n v="0"/>
    <n v="60"/>
    <d v="2016-09-10T00:00:00"/>
  </r>
  <r>
    <n v="1518"/>
    <n v="35544"/>
    <n v="63"/>
    <n v="1.7724510465901419E-3"/>
    <x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x v="1"/>
    <x v="37"/>
    <s v="36-50"/>
    <n v="2272"/>
    <n v="0"/>
    <n v="0"/>
    <n v="1"/>
    <n v="0"/>
    <n v="0"/>
    <n v="0"/>
    <n v="0"/>
    <n v="1"/>
    <n v="0"/>
    <n v="59"/>
    <d v="2016-07-26T00:00:00"/>
  </r>
  <r>
    <n v="1778"/>
    <n v="32218"/>
    <n v="63"/>
    <n v="1.9554286423738281E-3"/>
    <x v="0"/>
    <n v="0"/>
    <n v="27"/>
    <n v="10"/>
    <n v="24"/>
    <n v="15"/>
    <n v="13"/>
    <n v="1"/>
    <n v="30"/>
    <n v="1"/>
    <n v="2"/>
    <n v="1"/>
    <n v="3"/>
    <n v="7"/>
    <n v="0"/>
    <n v="0"/>
    <n v="1"/>
    <n v="0"/>
    <n v="0"/>
    <n v="0"/>
    <x v="0"/>
    <x v="24"/>
    <s v="51-66"/>
    <n v="2293"/>
    <n v="0"/>
    <n v="0"/>
    <n v="1"/>
    <n v="0"/>
    <n v="0"/>
    <n v="1"/>
    <n v="0"/>
    <n v="0"/>
    <n v="0"/>
    <n v="33"/>
    <d v="2016-07-05T00:00:00"/>
  </r>
  <r>
    <n v="1950"/>
    <n v="32146"/>
    <n v="63"/>
    <n v="1.9598083742922916E-3"/>
    <x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x v="1"/>
    <x v="20"/>
    <s v="36-50"/>
    <n v="2207"/>
    <n v="0"/>
    <n v="1"/>
    <n v="0"/>
    <n v="0"/>
    <n v="0"/>
    <n v="1"/>
    <n v="0"/>
    <n v="0"/>
    <n v="0"/>
    <n v="60"/>
    <d v="2016-09-29T00:00:00"/>
  </r>
  <r>
    <n v="25"/>
    <n v="18589"/>
    <n v="62"/>
    <n v="3.3353058260261444E-3"/>
    <x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x v="1"/>
    <x v="3"/>
    <s v="51-66"/>
    <n v="2702"/>
    <n v="0"/>
    <n v="0"/>
    <n v="1"/>
    <n v="0"/>
    <n v="0"/>
    <n v="0"/>
    <n v="1"/>
    <n v="0"/>
    <n v="0"/>
    <n v="49"/>
    <d v="2015-05-23T00:00:00"/>
  </r>
  <r>
    <n v="34"/>
    <n v="49389"/>
    <n v="62"/>
    <n v="1.2553402579521757E-3"/>
    <x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x v="1"/>
    <x v="15"/>
    <s v="66+"/>
    <n v="2463"/>
    <n v="0"/>
    <n v="0"/>
    <n v="1"/>
    <n v="0"/>
    <n v="0"/>
    <n v="0"/>
    <n v="0"/>
    <n v="1"/>
    <n v="0"/>
    <n v="59"/>
    <d v="2016-01-17T00:00:00"/>
  </r>
  <r>
    <n v="89"/>
    <n v="47823"/>
    <n v="62"/>
    <n v="1.2964473161449512E-3"/>
    <x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x v="1"/>
    <x v="24"/>
    <s v="51-66"/>
    <n v="2500"/>
    <n v="0"/>
    <n v="0"/>
    <n v="1"/>
    <n v="0"/>
    <n v="0"/>
    <n v="1"/>
    <n v="0"/>
    <n v="0"/>
    <n v="0"/>
    <n v="52"/>
    <d v="2015-12-11T00:00:00"/>
  </r>
  <r>
    <n v="542"/>
    <n v="36959"/>
    <n v="62"/>
    <n v="1.6775345653291486E-3"/>
    <x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x v="1"/>
    <x v="43"/>
    <s v="36-50"/>
    <n v="2429"/>
    <n v="0"/>
    <n v="1"/>
    <n v="0"/>
    <n v="0"/>
    <n v="0"/>
    <n v="0"/>
    <n v="0"/>
    <n v="1"/>
    <n v="0"/>
    <n v="62"/>
    <d v="2016-02-20T00:00:00"/>
  </r>
  <r>
    <n v="1059"/>
    <n v="46931"/>
    <n v="62"/>
    <n v="1.3210884063838402E-3"/>
    <x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x v="1"/>
    <x v="13"/>
    <s v="36-50"/>
    <n v="2225"/>
    <n v="0"/>
    <n v="0"/>
    <n v="0"/>
    <n v="1"/>
    <n v="0"/>
    <n v="0"/>
    <n v="1"/>
    <n v="0"/>
    <n v="0"/>
    <n v="46"/>
    <d v="2016-09-11T00:00:00"/>
  </r>
  <r>
    <n v="1147"/>
    <n v="40211"/>
    <n v="62"/>
    <n v="1.5418666534032976E-3"/>
    <x v="1"/>
    <n v="1"/>
    <n v="30"/>
    <n v="51"/>
    <n v="1"/>
    <n v="7"/>
    <n v="2"/>
    <n v="1"/>
    <n v="25"/>
    <n v="2"/>
    <n v="2"/>
    <n v="1"/>
    <n v="2"/>
    <n v="8"/>
    <n v="0"/>
    <n v="0"/>
    <n v="1"/>
    <n v="0"/>
    <n v="0"/>
    <n v="0"/>
    <x v="1"/>
    <x v="43"/>
    <s v="36-50"/>
    <n v="2493"/>
    <n v="0"/>
    <n v="1"/>
    <n v="0"/>
    <n v="0"/>
    <n v="0"/>
    <n v="0"/>
    <n v="1"/>
    <n v="0"/>
    <n v="0"/>
    <n v="37"/>
    <d v="2015-12-18T00:00:00"/>
  </r>
  <r>
    <n v="1164"/>
    <n v="59062"/>
    <n v="62"/>
    <n v="1.0497443364599912E-3"/>
    <x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x v="1"/>
    <x v="26"/>
    <s v="51-66"/>
    <n v="2428"/>
    <n v="0"/>
    <n v="1"/>
    <n v="0"/>
    <n v="0"/>
    <n v="0"/>
    <n v="0"/>
    <n v="0"/>
    <n v="0"/>
    <n v="1"/>
    <n v="53"/>
    <d v="2016-02-21T00:00:00"/>
  </r>
  <r>
    <n v="1336"/>
    <n v="33402"/>
    <n v="62"/>
    <n v="1.8561762768696485E-3"/>
    <x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x v="1"/>
    <x v="50"/>
    <s v="66+"/>
    <n v="2505"/>
    <n v="0"/>
    <n v="0"/>
    <n v="0"/>
    <n v="1"/>
    <n v="0"/>
    <n v="0"/>
    <n v="1"/>
    <n v="0"/>
    <n v="0"/>
    <n v="54"/>
    <d v="2015-12-06T00:00:00"/>
  </r>
  <r>
    <n v="1569"/>
    <n v="41154"/>
    <n v="62"/>
    <n v="1.5065364241629003E-3"/>
    <x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x v="1"/>
    <x v="37"/>
    <s v="36-50"/>
    <n v="2605"/>
    <n v="0"/>
    <n v="0"/>
    <n v="0"/>
    <n v="1"/>
    <n v="0"/>
    <n v="0"/>
    <n v="1"/>
    <n v="0"/>
    <n v="0"/>
    <n v="55"/>
    <d v="2015-08-28T00:00:00"/>
  </r>
  <r>
    <n v="1586"/>
    <n v="46910"/>
    <n v="62"/>
    <n v="1.3216798124067364E-3"/>
    <x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x v="1"/>
    <x v="42"/>
    <s v="51-66"/>
    <n v="2257"/>
    <n v="0"/>
    <n v="0"/>
    <n v="0"/>
    <n v="1"/>
    <n v="0"/>
    <n v="0"/>
    <n v="0"/>
    <n v="0"/>
    <n v="1"/>
    <n v="56"/>
    <d v="2016-08-10T00:00:00"/>
  </r>
  <r>
    <n v="1783"/>
    <n v="16653"/>
    <n v="62"/>
    <n v="3.7230529033807722E-3"/>
    <x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x v="0"/>
    <x v="19"/>
    <s v="36-50"/>
    <n v="2231"/>
    <n v="0"/>
    <n v="0"/>
    <n v="1"/>
    <n v="0"/>
    <n v="0"/>
    <n v="0"/>
    <n v="0"/>
    <n v="1"/>
    <n v="0"/>
    <n v="55"/>
    <d v="2016-09-05T00:00:00"/>
  </r>
  <r>
    <n v="86"/>
    <n v="51813"/>
    <n v="61"/>
    <n v="1.1773107135274932E-3"/>
    <x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x v="1"/>
    <x v="9"/>
    <s v="36-50"/>
    <n v="2603"/>
    <n v="1"/>
    <n v="0"/>
    <n v="0"/>
    <n v="0"/>
    <n v="0"/>
    <n v="0"/>
    <n v="1"/>
    <n v="0"/>
    <n v="0"/>
    <n v="59"/>
    <d v="2015-08-30T00:00:00"/>
  </r>
  <r>
    <n v="190"/>
    <n v="44794"/>
    <n v="61"/>
    <n v="1.3617895253828637E-3"/>
    <x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  <x v="22"/>
    <s v="51-66"/>
    <n v="2180"/>
    <n v="0"/>
    <n v="1"/>
    <n v="0"/>
    <n v="0"/>
    <n v="0"/>
    <n v="0"/>
    <n v="1"/>
    <n v="0"/>
    <n v="0"/>
    <n v="57"/>
    <d v="2016-10-26T00:00:00"/>
  </r>
  <r>
    <n v="1040"/>
    <n v="50870"/>
    <n v="61"/>
    <n v="1.1991350501277768E-3"/>
    <x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x v="1"/>
    <x v="50"/>
    <s v="66+"/>
    <n v="2169"/>
    <n v="0"/>
    <n v="1"/>
    <n v="0"/>
    <n v="0"/>
    <n v="0"/>
    <n v="0"/>
    <n v="0"/>
    <n v="0"/>
    <n v="1"/>
    <n v="59"/>
    <d v="2016-11-06T00:00:00"/>
  </r>
  <r>
    <n v="1102"/>
    <n v="23724"/>
    <n v="61"/>
    <n v="2.5712358792783678E-3"/>
    <x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x v="1"/>
    <x v="19"/>
    <s v="36-50"/>
    <n v="2696"/>
    <n v="0"/>
    <n v="0"/>
    <n v="0"/>
    <n v="1"/>
    <n v="0"/>
    <n v="0"/>
    <n v="0"/>
    <n v="0"/>
    <n v="0"/>
    <n v="47"/>
    <d v="2015-05-29T00:00:00"/>
  </r>
  <r>
    <n v="1212"/>
    <n v="48918"/>
    <n v="61"/>
    <n v="1.2469847499897789E-3"/>
    <x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  <x v="33"/>
    <s v="51-66"/>
    <n v="2237"/>
    <n v="0"/>
    <n v="0"/>
    <n v="1"/>
    <n v="0"/>
    <n v="0"/>
    <n v="0"/>
    <n v="0"/>
    <n v="0"/>
    <n v="1"/>
    <n v="60"/>
    <d v="2016-08-30T00:00:00"/>
  </r>
  <r>
    <n v="1785"/>
    <n v="14515"/>
    <n v="61"/>
    <n v="4.2025490871512227E-3"/>
    <x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x v="0"/>
    <x v="41"/>
    <s v="36-50"/>
    <n v="2756"/>
    <n v="0"/>
    <n v="0"/>
    <n v="0"/>
    <n v="1"/>
    <n v="0"/>
    <n v="1"/>
    <n v="0"/>
    <n v="0"/>
    <n v="0"/>
    <n v="26"/>
    <d v="2015-03-30T00:00:00"/>
  </r>
  <r>
    <n v="1787"/>
    <n v="9722"/>
    <n v="61"/>
    <n v="6.2744291298086809E-3"/>
    <x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x v="0"/>
    <x v="30"/>
    <s v="36-50"/>
    <n v="2794"/>
    <n v="0"/>
    <n v="0"/>
    <n v="0"/>
    <n v="1"/>
    <n v="0"/>
    <n v="0"/>
    <n v="0"/>
    <n v="0"/>
    <n v="0"/>
    <n v="19"/>
    <d v="2015-02-20T00:00:00"/>
  </r>
  <r>
    <n v="1991"/>
    <n v="16185"/>
    <n v="61"/>
    <n v="3.7689218412109977E-3"/>
    <x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x v="1"/>
    <x v="48"/>
    <s v="24-35"/>
    <n v="2487"/>
    <n v="0"/>
    <n v="0"/>
    <n v="1"/>
    <n v="0"/>
    <n v="0"/>
    <n v="0"/>
    <n v="0"/>
    <n v="0"/>
    <n v="0"/>
    <n v="16"/>
    <d v="2015-12-24T00:00:00"/>
  </r>
  <r>
    <n v="2015"/>
    <n v="11012"/>
    <n v="61"/>
    <n v="5.5394115510352341E-3"/>
    <x v="1"/>
    <n v="0"/>
    <n v="82"/>
    <n v="24"/>
    <n v="3"/>
    <n v="26"/>
    <n v="7"/>
    <n v="1"/>
    <n v="23"/>
    <n v="3"/>
    <n v="3"/>
    <n v="1"/>
    <n v="2"/>
    <n v="9"/>
    <n v="0"/>
    <n v="0"/>
    <n v="1"/>
    <n v="0"/>
    <n v="0"/>
    <n v="0"/>
    <x v="1"/>
    <x v="39"/>
    <s v="36-50"/>
    <n v="2629"/>
    <n v="0"/>
    <n v="0"/>
    <n v="1"/>
    <n v="0"/>
    <n v="0"/>
    <n v="0"/>
    <n v="1"/>
    <n v="0"/>
    <n v="0"/>
    <n v="38"/>
    <d v="2015-08-04T00:00:00"/>
  </r>
  <r>
    <n v="151"/>
    <n v="43482"/>
    <n v="60"/>
    <n v="1.3798813302056023E-3"/>
    <x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x v="1"/>
    <x v="22"/>
    <s v="51-66"/>
    <n v="2387"/>
    <n v="0"/>
    <n v="0"/>
    <n v="0"/>
    <n v="1"/>
    <n v="0"/>
    <n v="0"/>
    <n v="1"/>
    <n v="0"/>
    <n v="0"/>
    <n v="32"/>
    <d v="2016-04-02T00:00:00"/>
  </r>
  <r>
    <n v="1384"/>
    <n v="35765"/>
    <n v="60"/>
    <n v="1.677617782748497E-3"/>
    <x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x v="1"/>
    <x v="48"/>
    <s v="24-35"/>
    <n v="2359"/>
    <n v="0"/>
    <n v="1"/>
    <n v="0"/>
    <n v="0"/>
    <n v="0"/>
    <n v="0"/>
    <n v="1"/>
    <n v="0"/>
    <n v="0"/>
    <n v="45"/>
    <d v="2016-04-30T00:00:00"/>
  </r>
  <r>
    <n v="1429"/>
    <n v="30390"/>
    <n v="60"/>
    <n v="1.9743336623889436E-3"/>
    <x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x v="1"/>
    <x v="36"/>
    <s v="24-35"/>
    <n v="2459"/>
    <n v="0"/>
    <n v="1"/>
    <n v="0"/>
    <n v="0"/>
    <n v="0"/>
    <n v="1"/>
    <n v="0"/>
    <n v="0"/>
    <n v="0"/>
    <n v="40"/>
    <d v="2016-01-21T00:00:00"/>
  </r>
  <r>
    <n v="1792"/>
    <n v="47139"/>
    <n v="60"/>
    <n v="1.2728314134792848E-3"/>
    <x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x v="0"/>
    <x v="50"/>
    <s v="66+"/>
    <n v="2274"/>
    <n v="0"/>
    <n v="0"/>
    <n v="1"/>
    <n v="0"/>
    <n v="0"/>
    <n v="0"/>
    <n v="1"/>
    <n v="0"/>
    <n v="0"/>
    <n v="37"/>
    <d v="2016-07-24T00:00:00"/>
  </r>
  <r>
    <n v="789"/>
    <n v="34026"/>
    <n v="59"/>
    <n v="1.7339681420090519E-3"/>
    <x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  <x v="51"/>
    <s v="66+"/>
    <n v="2487"/>
    <n v="0"/>
    <n v="0"/>
    <n v="0"/>
    <n v="1"/>
    <n v="0"/>
    <n v="0"/>
    <n v="1"/>
    <n v="0"/>
    <n v="0"/>
    <n v="42"/>
    <d v="2015-12-24T00:00:00"/>
  </r>
  <r>
    <n v="894"/>
    <n v="52190"/>
    <n v="59"/>
    <n v="1.1304847671967809E-3"/>
    <x v="1"/>
    <n v="1"/>
    <n v="39"/>
    <n v="42"/>
    <n v="0"/>
    <n v="17"/>
    <n v="0"/>
    <n v="0"/>
    <n v="18"/>
    <n v="3"/>
    <n v="2"/>
    <n v="1"/>
    <n v="3"/>
    <n v="5"/>
    <n v="0"/>
    <n v="0"/>
    <n v="1"/>
    <n v="0"/>
    <n v="0"/>
    <n v="0"/>
    <x v="1"/>
    <x v="7"/>
    <s v="36-50"/>
    <n v="2211"/>
    <n v="0"/>
    <n v="0"/>
    <n v="0"/>
    <n v="1"/>
    <n v="0"/>
    <n v="0"/>
    <n v="0"/>
    <n v="0"/>
    <n v="1"/>
    <n v="41"/>
    <d v="2016-09-25T00:00:00"/>
  </r>
  <r>
    <n v="1144"/>
    <n v="8940"/>
    <n v="59"/>
    <n v="6.5995525727069355E-3"/>
    <x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x v="1"/>
    <x v="18"/>
    <s v="24-35"/>
    <n v="2835"/>
    <n v="0"/>
    <n v="0"/>
    <n v="1"/>
    <n v="0"/>
    <n v="0"/>
    <n v="0"/>
    <n v="0"/>
    <n v="0"/>
    <n v="0"/>
    <n v="17"/>
    <d v="2015-01-10T00:00:00"/>
  </r>
  <r>
    <n v="1296"/>
    <n v="22682"/>
    <n v="59"/>
    <n v="2.6011815536548803E-3"/>
    <x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x v="1"/>
    <x v="30"/>
    <s v="36-50"/>
    <n v="2428"/>
    <n v="0"/>
    <n v="0"/>
    <n v="0"/>
    <n v="1"/>
    <n v="0"/>
    <n v="0"/>
    <n v="1"/>
    <n v="0"/>
    <n v="0"/>
    <n v="23"/>
    <d v="2016-02-21T00:00:00"/>
  </r>
  <r>
    <n v="614"/>
    <n v="50616"/>
    <n v="58"/>
    <n v="1.1458827248300933E-3"/>
    <x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x v="1"/>
    <x v="51"/>
    <s v="66+"/>
    <n v="2236"/>
    <n v="0"/>
    <n v="0"/>
    <n v="0"/>
    <n v="1"/>
    <n v="0"/>
    <n v="0"/>
    <n v="0"/>
    <n v="0"/>
    <n v="1"/>
    <n v="49"/>
    <d v="2016-08-31T00:00:00"/>
  </r>
  <r>
    <n v="845"/>
    <n v="21846"/>
    <n v="58"/>
    <n v="2.6549482742836217E-3"/>
    <x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x v="1"/>
    <x v="18"/>
    <s v="24-35"/>
    <n v="2409"/>
    <n v="1"/>
    <n v="0"/>
    <n v="0"/>
    <n v="0"/>
    <n v="0"/>
    <n v="0"/>
    <n v="1"/>
    <n v="0"/>
    <n v="0"/>
    <n v="32"/>
    <d v="2016-03-11T00:00:00"/>
  </r>
  <r>
    <n v="1075"/>
    <n v="21255"/>
    <n v="58"/>
    <n v="2.7287697012467653E-3"/>
    <x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x v="1"/>
    <x v="35"/>
    <s v="36-50"/>
    <n v="2318"/>
    <n v="0"/>
    <n v="0"/>
    <n v="0"/>
    <n v="1"/>
    <n v="0"/>
    <n v="0"/>
    <n v="0"/>
    <n v="1"/>
    <n v="0"/>
    <n v="55"/>
    <d v="2016-06-10T00:00:00"/>
  </r>
  <r>
    <n v="1419"/>
    <n v="23331"/>
    <n v="58"/>
    <n v="2.4859628820024858E-3"/>
    <x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x v="1"/>
    <x v="0"/>
    <s v="24-35"/>
    <n v="2822"/>
    <n v="0"/>
    <n v="1"/>
    <n v="0"/>
    <n v="0"/>
    <n v="0"/>
    <n v="1"/>
    <n v="0"/>
    <n v="0"/>
    <n v="0"/>
    <n v="13"/>
    <d v="2015-01-23T00:00:00"/>
  </r>
  <r>
    <n v="1990"/>
    <n v="37085"/>
    <n v="58"/>
    <n v="1.5639746528245922E-3"/>
    <x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x v="1"/>
    <x v="16"/>
    <s v="36-50"/>
    <n v="2162"/>
    <n v="0"/>
    <n v="1"/>
    <n v="0"/>
    <n v="0"/>
    <n v="0"/>
    <n v="0"/>
    <n v="1"/>
    <n v="0"/>
    <n v="0"/>
    <n v="55"/>
    <d v="2016-11-13T00:00:00"/>
  </r>
  <r>
    <n v="373"/>
    <n v="31395"/>
    <n v="57"/>
    <n v="1.8155757286192069E-3"/>
    <x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x v="1"/>
    <x v="5"/>
    <s v="51-66"/>
    <n v="2622"/>
    <n v="1"/>
    <n v="0"/>
    <n v="0"/>
    <n v="0"/>
    <n v="0"/>
    <n v="1"/>
    <n v="0"/>
    <n v="0"/>
    <n v="0"/>
    <n v="50"/>
    <d v="2015-08-11T00:00:00"/>
  </r>
  <r>
    <n v="816"/>
    <n v="30545"/>
    <n v="57"/>
    <n v="1.8660991979047308E-3"/>
    <x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x v="1"/>
    <x v="19"/>
    <s v="36-50"/>
    <n v="2779"/>
    <n v="0"/>
    <n v="0"/>
    <n v="0"/>
    <n v="1"/>
    <n v="0"/>
    <n v="0"/>
    <n v="1"/>
    <n v="0"/>
    <n v="0"/>
    <n v="45"/>
    <d v="2015-03-07T00:00:00"/>
  </r>
  <r>
    <n v="1302"/>
    <n v="26759"/>
    <n v="57"/>
    <n v="2.1301244441122615E-3"/>
    <x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x v="1"/>
    <x v="9"/>
    <s v="36-50"/>
    <n v="2301"/>
    <n v="1"/>
    <n v="0"/>
    <n v="0"/>
    <n v="0"/>
    <n v="0"/>
    <n v="0"/>
    <n v="1"/>
    <n v="0"/>
    <n v="0"/>
    <n v="55"/>
    <d v="2016-06-27T00:00:00"/>
  </r>
  <r>
    <n v="1490"/>
    <n v="18793"/>
    <n v="57"/>
    <n v="3.033044218592029E-3"/>
    <x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x v="1"/>
    <x v="28"/>
    <s v="36-50"/>
    <n v="2692"/>
    <n v="0"/>
    <n v="1"/>
    <n v="0"/>
    <n v="0"/>
    <n v="0"/>
    <n v="0"/>
    <n v="1"/>
    <n v="0"/>
    <n v="0"/>
    <n v="37"/>
    <d v="2015-06-02T00:00:00"/>
  </r>
  <r>
    <n v="1607"/>
    <n v="41120"/>
    <n v="57"/>
    <n v="1.3861867704280156E-3"/>
    <x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x v="1"/>
    <x v="14"/>
    <s v="51-66"/>
    <n v="2394"/>
    <n v="0"/>
    <n v="1"/>
    <n v="0"/>
    <n v="0"/>
    <n v="0"/>
    <n v="0"/>
    <n v="1"/>
    <n v="0"/>
    <n v="0"/>
    <n v="33"/>
    <d v="2016-03-26T00:00:00"/>
  </r>
  <r>
    <n v="1796"/>
    <n v="21474"/>
    <n v="57"/>
    <n v="2.6543727298127969E-3"/>
    <x v="1"/>
    <n v="0"/>
    <n v="0"/>
    <n v="6"/>
    <n v="16"/>
    <n v="24"/>
    <n v="11"/>
    <n v="0"/>
    <n v="34"/>
    <n v="2"/>
    <n v="3"/>
    <n v="1"/>
    <n v="2"/>
    <n v="7"/>
    <n v="0"/>
    <n v="0"/>
    <n v="1"/>
    <n v="0"/>
    <n v="0"/>
    <n v="0"/>
    <x v="0"/>
    <x v="32"/>
    <s v="24-35"/>
    <n v="2241"/>
    <n v="0"/>
    <n v="0"/>
    <n v="1"/>
    <n v="0"/>
    <n v="0"/>
    <n v="0"/>
    <n v="1"/>
    <n v="0"/>
    <n v="0"/>
    <n v="23"/>
    <d v="2016-08-26T00:00:00"/>
  </r>
  <r>
    <n v="68"/>
    <n v="28332"/>
    <n v="56"/>
    <n v="1.9765636029930819E-3"/>
    <x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x v="1"/>
    <x v="50"/>
    <s v="66+"/>
    <n v="2219"/>
    <n v="0"/>
    <n v="1"/>
    <n v="0"/>
    <n v="0"/>
    <n v="0"/>
    <n v="0"/>
    <n v="1"/>
    <n v="0"/>
    <n v="0"/>
    <n v="47"/>
    <d v="2016-09-17T00:00:00"/>
  </r>
  <r>
    <n v="75"/>
    <n v="23559"/>
    <n v="56"/>
    <n v="2.3770109087822063E-3"/>
    <x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x v="1"/>
    <x v="30"/>
    <s v="36-50"/>
    <n v="2520"/>
    <n v="0"/>
    <n v="1"/>
    <n v="0"/>
    <n v="0"/>
    <n v="0"/>
    <n v="1"/>
    <n v="0"/>
    <n v="0"/>
    <n v="0"/>
    <n v="33"/>
    <d v="2015-11-21T00:00:00"/>
  </r>
  <r>
    <n v="302"/>
    <n v="14849"/>
    <n v="56"/>
    <n v="3.7712977304869013E-3"/>
    <x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x v="1"/>
    <x v="7"/>
    <s v="36-50"/>
    <n v="2521"/>
    <n v="1"/>
    <n v="0"/>
    <n v="0"/>
    <n v="0"/>
    <n v="0"/>
    <n v="0"/>
    <n v="0"/>
    <n v="0"/>
    <n v="1"/>
    <n v="47"/>
    <d v="2015-11-20T00:00:00"/>
  </r>
  <r>
    <n v="423"/>
    <n v="36230"/>
    <n v="56"/>
    <n v="1.5456803753795198E-3"/>
    <x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x v="1"/>
    <x v="28"/>
    <s v="36-50"/>
    <n v="2414"/>
    <n v="0"/>
    <n v="0"/>
    <n v="1"/>
    <n v="0"/>
    <n v="0"/>
    <n v="0"/>
    <n v="0"/>
    <n v="1"/>
    <n v="0"/>
    <n v="53"/>
    <d v="2016-03-06T00:00:00"/>
  </r>
  <r>
    <n v="1801"/>
    <n v="36790"/>
    <n v="56"/>
    <n v="1.5221527589018755E-3"/>
    <x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x v="0"/>
    <x v="20"/>
    <s v="36-50"/>
    <n v="2644"/>
    <n v="0"/>
    <n v="1"/>
    <n v="0"/>
    <n v="0"/>
    <n v="0"/>
    <n v="0"/>
    <n v="1"/>
    <n v="0"/>
    <n v="0"/>
    <n v="46"/>
    <d v="2015-07-20T00:00:00"/>
  </r>
  <r>
    <n v="1931"/>
    <n v="16005"/>
    <n v="56"/>
    <n v="3.4989065916900966E-3"/>
    <x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x v="1"/>
    <x v="41"/>
    <s v="36-50"/>
    <n v="2843"/>
    <n v="0"/>
    <n v="1"/>
    <n v="0"/>
    <n v="0"/>
    <n v="0"/>
    <n v="0"/>
    <n v="0"/>
    <n v="0"/>
    <n v="0"/>
    <n v="9"/>
    <d v="2015-01-02T00:00:00"/>
  </r>
  <r>
    <n v="1940"/>
    <n v="23539"/>
    <n v="56"/>
    <n v="2.3790305450528911E-3"/>
    <x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x v="1"/>
    <x v="12"/>
    <s v="51-66"/>
    <n v="2280"/>
    <n v="0"/>
    <n v="1"/>
    <n v="0"/>
    <n v="0"/>
    <n v="0"/>
    <n v="0"/>
    <n v="1"/>
    <n v="0"/>
    <n v="0"/>
    <n v="31"/>
    <d v="2016-07-18T00:00:00"/>
  </r>
  <r>
    <n v="271"/>
    <n v="16626"/>
    <n v="55"/>
    <n v="3.308071694935643E-3"/>
    <x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x v="1"/>
    <x v="28"/>
    <s v="36-50"/>
    <n v="2324"/>
    <n v="0"/>
    <n v="0"/>
    <n v="0"/>
    <n v="1"/>
    <n v="0"/>
    <n v="0"/>
    <n v="1"/>
    <n v="0"/>
    <n v="0"/>
    <n v="42"/>
    <d v="2016-06-04T00:00:00"/>
  </r>
  <r>
    <n v="711"/>
    <n v="35523"/>
    <n v="55"/>
    <n v="1.548292655462658E-3"/>
    <x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x v="1"/>
    <x v="43"/>
    <s v="36-50"/>
    <n v="2428"/>
    <n v="0"/>
    <n v="1"/>
    <n v="0"/>
    <n v="0"/>
    <n v="0"/>
    <n v="1"/>
    <n v="0"/>
    <n v="0"/>
    <n v="0"/>
    <n v="44"/>
    <d v="2016-02-21T00:00:00"/>
  </r>
  <r>
    <n v="750"/>
    <n v="19329"/>
    <n v="55"/>
    <n v="2.8454653629261732E-3"/>
    <x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x v="1"/>
    <x v="14"/>
    <s v="51-66"/>
    <n v="2356"/>
    <n v="0"/>
    <n v="1"/>
    <n v="0"/>
    <n v="0"/>
    <n v="0"/>
    <n v="0"/>
    <n v="1"/>
    <n v="0"/>
    <n v="0"/>
    <n v="50"/>
    <d v="2016-05-03T00:00:00"/>
  </r>
  <r>
    <n v="779"/>
    <n v="55412"/>
    <n v="55"/>
    <n v="9.9256478741066925E-4"/>
    <x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x v="1"/>
    <x v="7"/>
    <s v="36-50"/>
    <n v="2378"/>
    <n v="1"/>
    <n v="0"/>
    <n v="0"/>
    <n v="0"/>
    <n v="0"/>
    <n v="0"/>
    <n v="0"/>
    <n v="0"/>
    <n v="1"/>
    <n v="47"/>
    <d v="2016-04-11T00:00:00"/>
  </r>
  <r>
    <n v="1246"/>
    <n v="27244"/>
    <n v="55"/>
    <n v="2.0187931287622965E-3"/>
    <x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x v="1"/>
    <x v="19"/>
    <s v="36-50"/>
    <n v="2273"/>
    <n v="0"/>
    <n v="1"/>
    <n v="0"/>
    <n v="0"/>
    <n v="0"/>
    <n v="0"/>
    <n v="1"/>
    <n v="0"/>
    <n v="0"/>
    <n v="9"/>
    <d v="2016-07-25T00:00:00"/>
  </r>
  <r>
    <n v="1352"/>
    <n v="26290"/>
    <n v="55"/>
    <n v="2.0920502092050207E-3"/>
    <x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x v="1"/>
    <x v="9"/>
    <s v="36-50"/>
    <n v="2692"/>
    <n v="0"/>
    <n v="0"/>
    <n v="0"/>
    <n v="1"/>
    <n v="0"/>
    <n v="0"/>
    <n v="1"/>
    <n v="0"/>
    <n v="0"/>
    <n v="33"/>
    <d v="2015-06-02T00:00:00"/>
  </r>
  <r>
    <n v="1802"/>
    <n v="26518"/>
    <n v="55"/>
    <n v="2.0740629006712422E-3"/>
    <x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x v="0"/>
    <x v="4"/>
    <s v="66+"/>
    <n v="2606"/>
    <n v="0"/>
    <n v="0"/>
    <n v="1"/>
    <n v="0"/>
    <n v="0"/>
    <n v="0"/>
    <n v="0"/>
    <n v="0"/>
    <n v="1"/>
    <n v="53"/>
    <d v="2015-08-27T00:00:00"/>
  </r>
  <r>
    <n v="167"/>
    <n v="30477"/>
    <n v="54"/>
    <n v="1.7718279358204547E-3"/>
    <x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x v="1"/>
    <x v="39"/>
    <s v="36-50"/>
    <n v="2317"/>
    <n v="0"/>
    <n v="1"/>
    <n v="0"/>
    <n v="0"/>
    <n v="0"/>
    <n v="0"/>
    <n v="0"/>
    <n v="1"/>
    <n v="0"/>
    <n v="42"/>
    <d v="2016-06-11T00:00:00"/>
  </r>
  <r>
    <n v="252"/>
    <n v="31788"/>
    <n v="54"/>
    <n v="1.6987542468856172E-3"/>
    <x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x v="1"/>
    <x v="20"/>
    <s v="36-50"/>
    <n v="2260"/>
    <n v="0"/>
    <n v="0"/>
    <n v="1"/>
    <n v="0"/>
    <n v="0"/>
    <n v="0"/>
    <n v="0"/>
    <n v="1"/>
    <n v="0"/>
    <n v="48"/>
    <d v="2016-08-07T00:00:00"/>
  </r>
  <r>
    <n v="451"/>
    <n v="37760"/>
    <n v="54"/>
    <n v="1.4300847457627119E-3"/>
    <x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x v="1"/>
    <x v="9"/>
    <s v="36-50"/>
    <n v="2481"/>
    <n v="1"/>
    <n v="0"/>
    <n v="0"/>
    <n v="0"/>
    <n v="0"/>
    <n v="0"/>
    <n v="0"/>
    <n v="1"/>
    <n v="0"/>
    <n v="54"/>
    <d v="2015-12-30T00:00:00"/>
  </r>
  <r>
    <n v="552"/>
    <n v="26850"/>
    <n v="54"/>
    <n v="2.011173184357542E-3"/>
    <x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x v="1"/>
    <x v="28"/>
    <s v="36-50"/>
    <n v="2231"/>
    <n v="0"/>
    <n v="0"/>
    <n v="0"/>
    <n v="1"/>
    <n v="0"/>
    <n v="1"/>
    <n v="0"/>
    <n v="0"/>
    <n v="0"/>
    <n v="45"/>
    <d v="2016-09-05T00:00:00"/>
  </r>
  <r>
    <n v="563"/>
    <n v="23910"/>
    <n v="54"/>
    <n v="2.2584692597239649E-3"/>
    <x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x v="1"/>
    <x v="3"/>
    <s v="51-66"/>
    <n v="2770"/>
    <n v="1"/>
    <n v="0"/>
    <n v="0"/>
    <n v="0"/>
    <n v="0"/>
    <n v="0"/>
    <n v="1"/>
    <n v="0"/>
    <n v="0"/>
    <n v="41"/>
    <d v="2015-03-16T00:00:00"/>
  </r>
  <r>
    <n v="965"/>
    <n v="15038"/>
    <n v="54"/>
    <n v="3.5909030456177681E-3"/>
    <x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x v="1"/>
    <x v="36"/>
    <s v="24-35"/>
    <n v="2675"/>
    <n v="0"/>
    <n v="0"/>
    <n v="1"/>
    <n v="0"/>
    <n v="0"/>
    <n v="0"/>
    <n v="0"/>
    <n v="0"/>
    <n v="0"/>
    <n v="28"/>
    <d v="2015-06-19T00:00:00"/>
  </r>
  <r>
    <n v="1232"/>
    <n v="27238"/>
    <n v="54"/>
    <n v="1.9825244144210294E-3"/>
    <x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x v="1"/>
    <x v="46"/>
    <s v="51-66"/>
    <n v="2594"/>
    <n v="0"/>
    <n v="0"/>
    <n v="1"/>
    <n v="0"/>
    <n v="0"/>
    <n v="0"/>
    <n v="0"/>
    <n v="0"/>
    <n v="1"/>
    <n v="51"/>
    <d v="2015-09-08T00:00:00"/>
  </r>
  <r>
    <n v="1349"/>
    <n v="40304"/>
    <n v="54"/>
    <n v="1.3398173878523224E-3"/>
    <x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x v="1"/>
    <x v="26"/>
    <s v="51-66"/>
    <n v="2431"/>
    <n v="0"/>
    <n v="0"/>
    <n v="1"/>
    <n v="0"/>
    <n v="0"/>
    <n v="0"/>
    <n v="0"/>
    <n v="0"/>
    <n v="1"/>
    <n v="51"/>
    <d v="2016-02-18T00:00:00"/>
  </r>
  <r>
    <n v="1386"/>
    <n v="32952"/>
    <n v="54"/>
    <n v="1.6387472687545521E-3"/>
    <x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x v="1"/>
    <x v="13"/>
    <s v="36-50"/>
    <n v="2369"/>
    <n v="1"/>
    <n v="0"/>
    <n v="0"/>
    <n v="0"/>
    <n v="0"/>
    <n v="0"/>
    <n v="1"/>
    <n v="0"/>
    <n v="0"/>
    <n v="53"/>
    <d v="2016-04-20T00:00:00"/>
  </r>
  <r>
    <n v="77"/>
    <n v="29440"/>
    <n v="53"/>
    <n v="1.8002717391304348E-3"/>
    <x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x v="1"/>
    <x v="24"/>
    <s v="51-66"/>
    <n v="2481"/>
    <n v="0"/>
    <n v="1"/>
    <n v="0"/>
    <n v="0"/>
    <n v="0"/>
    <n v="0"/>
    <n v="1"/>
    <n v="0"/>
    <n v="0"/>
    <n v="50"/>
    <d v="2015-12-30T00:00:00"/>
  </r>
  <r>
    <n v="551"/>
    <n v="39453"/>
    <n v="53"/>
    <n v="1.343370592857324E-3"/>
    <x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x v="1"/>
    <x v="20"/>
    <s v="36-50"/>
    <n v="2246"/>
    <n v="0"/>
    <n v="0"/>
    <n v="0"/>
    <n v="1"/>
    <n v="0"/>
    <n v="0"/>
    <n v="1"/>
    <n v="0"/>
    <n v="0"/>
    <n v="51"/>
    <d v="2016-08-21T00:00:00"/>
  </r>
  <r>
    <n v="694"/>
    <n v="48767"/>
    <n v="53"/>
    <n v="1.0868005003383436E-3"/>
    <x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x v="1"/>
    <x v="51"/>
    <s v="66+"/>
    <n v="2338"/>
    <n v="0"/>
    <n v="0"/>
    <n v="1"/>
    <n v="0"/>
    <n v="0"/>
    <n v="0"/>
    <n v="0"/>
    <n v="0"/>
    <n v="1"/>
    <n v="43"/>
    <d v="2016-05-21T00:00:00"/>
  </r>
  <r>
    <n v="1553"/>
    <n v="18222"/>
    <n v="53"/>
    <n v="2.9085720557567776E-3"/>
    <x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x v="1"/>
    <x v="48"/>
    <s v="24-35"/>
    <n v="2704"/>
    <n v="0"/>
    <n v="1"/>
    <n v="0"/>
    <n v="0"/>
    <n v="0"/>
    <n v="0"/>
    <n v="1"/>
    <n v="0"/>
    <n v="0"/>
    <n v="39"/>
    <d v="2015-05-21T00:00:00"/>
  </r>
  <r>
    <n v="1560"/>
    <n v="18358"/>
    <n v="53"/>
    <n v="2.8870247303627848E-3"/>
    <x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x v="1"/>
    <x v="32"/>
    <s v="24-35"/>
    <n v="2380"/>
    <n v="0"/>
    <n v="0"/>
    <n v="1"/>
    <n v="0"/>
    <n v="0"/>
    <n v="0"/>
    <n v="1"/>
    <n v="0"/>
    <n v="0"/>
    <n v="49"/>
    <d v="2016-04-09T00:00:00"/>
  </r>
  <r>
    <n v="1684"/>
    <n v="30093"/>
    <n v="53"/>
    <n v="1.7612069251985512E-3"/>
    <x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x v="1"/>
    <x v="48"/>
    <s v="24-35"/>
    <n v="2515"/>
    <n v="0"/>
    <n v="1"/>
    <n v="0"/>
    <n v="0"/>
    <n v="0"/>
    <n v="0"/>
    <n v="1"/>
    <n v="0"/>
    <n v="0"/>
    <n v="37"/>
    <d v="2015-11-26T00:00:00"/>
  </r>
  <r>
    <n v="1947"/>
    <n v="49572"/>
    <n v="53"/>
    <n v="1.0691519406116356E-3"/>
    <x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x v="1"/>
    <x v="27"/>
    <s v="51-66"/>
    <n v="2355"/>
    <n v="0"/>
    <n v="1"/>
    <n v="0"/>
    <n v="0"/>
    <n v="0"/>
    <n v="0"/>
    <n v="0"/>
    <n v="1"/>
    <n v="0"/>
    <n v="52"/>
    <d v="2016-05-04T00:00:00"/>
  </r>
  <r>
    <n v="278"/>
    <n v="35246"/>
    <n v="52"/>
    <n v="1.4753447199682232E-3"/>
    <x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x v="1"/>
    <x v="27"/>
    <s v="51-66"/>
    <n v="2233"/>
    <n v="1"/>
    <n v="0"/>
    <n v="0"/>
    <n v="0"/>
    <n v="0"/>
    <n v="0"/>
    <n v="1"/>
    <n v="0"/>
    <n v="0"/>
    <n v="42"/>
    <d v="2016-09-03T00:00:00"/>
  </r>
  <r>
    <n v="406"/>
    <n v="30015"/>
    <n v="52"/>
    <n v="1.7324670997834416E-3"/>
    <x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x v="1"/>
    <x v="2"/>
    <s v="36-50"/>
    <n v="2306"/>
    <n v="0"/>
    <n v="0"/>
    <n v="1"/>
    <n v="0"/>
    <n v="0"/>
    <n v="0"/>
    <n v="1"/>
    <n v="0"/>
    <n v="0"/>
    <n v="47"/>
    <d v="2016-06-22T00:00:00"/>
  </r>
  <r>
    <n v="830"/>
    <n v="51111"/>
    <n v="52"/>
    <n v="1.017393516072861E-3"/>
    <x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x v="1"/>
    <x v="43"/>
    <s v="36-50"/>
    <n v="2169"/>
    <n v="0"/>
    <n v="1"/>
    <n v="0"/>
    <n v="0"/>
    <n v="0"/>
    <n v="1"/>
    <n v="0"/>
    <n v="0"/>
    <n v="0"/>
    <n v="49"/>
    <d v="2016-11-06T00:00:00"/>
  </r>
  <r>
    <n v="1187"/>
    <n v="19656"/>
    <n v="52"/>
    <n v="2.6455026455026454E-3"/>
    <x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x v="1"/>
    <x v="2"/>
    <s v="36-50"/>
    <n v="2665"/>
    <n v="0"/>
    <n v="0"/>
    <n v="0"/>
    <n v="1"/>
    <n v="0"/>
    <n v="0"/>
    <n v="1"/>
    <n v="0"/>
    <n v="0"/>
    <n v="20"/>
    <d v="2015-06-29T00:00:00"/>
  </r>
  <r>
    <n v="1814"/>
    <n v="41021"/>
    <n v="52"/>
    <n v="1.2676434021598694E-3"/>
    <x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x v="0"/>
    <x v="3"/>
    <s v="51-66"/>
    <n v="2705"/>
    <n v="0"/>
    <n v="0"/>
    <n v="0"/>
    <n v="1"/>
    <n v="0"/>
    <n v="0"/>
    <n v="0"/>
    <n v="1"/>
    <n v="0"/>
    <n v="40"/>
    <d v="2015-05-20T00:00:00"/>
  </r>
  <r>
    <n v="1812"/>
    <n v="31626"/>
    <n v="52"/>
    <n v="1.6442167836590146E-3"/>
    <x v="1"/>
    <n v="0"/>
    <n v="12"/>
    <n v="39"/>
    <n v="1"/>
    <n v="9"/>
    <n v="2"/>
    <n v="1"/>
    <n v="34"/>
    <n v="1"/>
    <n v="2"/>
    <n v="1"/>
    <n v="2"/>
    <n v="7"/>
    <n v="0"/>
    <n v="0"/>
    <n v="1"/>
    <n v="0"/>
    <n v="0"/>
    <n v="0"/>
    <x v="0"/>
    <x v="37"/>
    <s v="36-50"/>
    <n v="2574"/>
    <n v="0"/>
    <n v="0"/>
    <n v="1"/>
    <n v="0"/>
    <n v="0"/>
    <n v="0"/>
    <n v="0"/>
    <n v="0"/>
    <n v="1"/>
    <n v="18"/>
    <d v="2015-09-28T00:00:00"/>
  </r>
  <r>
    <n v="1804"/>
    <n v="23957"/>
    <n v="52"/>
    <n v="2.170555578745252E-3"/>
    <x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x v="0"/>
    <x v="16"/>
    <s v="36-50"/>
    <n v="2768"/>
    <n v="0"/>
    <n v="1"/>
    <n v="0"/>
    <n v="0"/>
    <n v="0"/>
    <n v="0"/>
    <n v="1"/>
    <n v="0"/>
    <n v="0"/>
    <n v="36"/>
    <d v="2015-03-18T00:00:00"/>
  </r>
  <r>
    <n v="1944"/>
    <n v="41275"/>
    <n v="52"/>
    <n v="1.2598425196850393E-3"/>
    <x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x v="1"/>
    <x v="24"/>
    <s v="51-66"/>
    <n v="2256"/>
    <n v="0"/>
    <n v="0"/>
    <n v="0"/>
    <n v="1"/>
    <n v="0"/>
    <n v="0"/>
    <n v="0"/>
    <n v="1"/>
    <n v="0"/>
    <n v="43"/>
    <d v="2016-08-11T00:00:00"/>
  </r>
  <r>
    <n v="1949"/>
    <n v="17148"/>
    <n v="52"/>
    <n v="3.0324236062514577E-3"/>
    <x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x v="1"/>
    <x v="7"/>
    <s v="36-50"/>
    <n v="2311"/>
    <n v="0"/>
    <n v="1"/>
    <n v="0"/>
    <n v="0"/>
    <n v="0"/>
    <n v="0"/>
    <n v="1"/>
    <n v="0"/>
    <n v="0"/>
    <n v="36"/>
    <d v="2016-06-17T00:00:00"/>
  </r>
  <r>
    <n v="107"/>
    <n v="30753"/>
    <n v="51"/>
    <n v="1.658374792703151E-3"/>
    <x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x v="1"/>
    <x v="26"/>
    <s v="51-66"/>
    <n v="2512"/>
    <n v="0"/>
    <n v="0"/>
    <n v="0"/>
    <n v="1"/>
    <n v="0"/>
    <n v="1"/>
    <n v="0"/>
    <n v="0"/>
    <n v="0"/>
    <n v="21"/>
    <d v="2015-11-29T00:00:00"/>
  </r>
  <r>
    <n v="231"/>
    <n v="31160"/>
    <n v="51"/>
    <n v="1.6367137355584082E-3"/>
    <x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x v="1"/>
    <x v="16"/>
    <s v="36-50"/>
    <n v="2445"/>
    <n v="0"/>
    <n v="0"/>
    <n v="1"/>
    <n v="0"/>
    <n v="0"/>
    <n v="0"/>
    <n v="0"/>
    <n v="1"/>
    <n v="0"/>
    <n v="38"/>
    <d v="2016-02-04T00:00:00"/>
  </r>
  <r>
    <n v="337"/>
    <n v="28442"/>
    <n v="51"/>
    <n v="1.7931228464946206E-3"/>
    <x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x v="1"/>
    <x v="37"/>
    <s v="36-50"/>
    <n v="2284"/>
    <n v="0"/>
    <n v="1"/>
    <n v="0"/>
    <n v="0"/>
    <n v="0"/>
    <n v="0"/>
    <n v="1"/>
    <n v="0"/>
    <n v="0"/>
    <n v="45"/>
    <d v="2016-07-14T00:00:00"/>
  </r>
  <r>
    <n v="887"/>
    <n v="14906"/>
    <n v="51"/>
    <n v="3.421441030457534E-3"/>
    <x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x v="1"/>
    <x v="18"/>
    <s v="24-35"/>
    <n v="2713"/>
    <n v="0"/>
    <n v="0"/>
    <n v="1"/>
    <n v="0"/>
    <n v="0"/>
    <n v="0"/>
    <n v="0"/>
    <n v="0"/>
    <n v="0"/>
    <n v="36"/>
    <d v="2015-05-12T00:00:00"/>
  </r>
  <r>
    <n v="1156"/>
    <n v="41986"/>
    <n v="51"/>
    <n v="1.2146906111560997E-3"/>
    <x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x v="1"/>
    <x v="37"/>
    <s v="36-50"/>
    <n v="2299"/>
    <n v="1"/>
    <n v="0"/>
    <n v="0"/>
    <n v="0"/>
    <n v="0"/>
    <n v="0"/>
    <n v="1"/>
    <n v="0"/>
    <n v="0"/>
    <n v="39"/>
    <d v="2016-06-29T00:00:00"/>
  </r>
  <r>
    <n v="1242"/>
    <n v="24711"/>
    <n v="51"/>
    <n v="2.0638582008012628E-3"/>
    <x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x v="1"/>
    <x v="31"/>
    <s v="36-50"/>
    <n v="2231"/>
    <n v="0"/>
    <n v="1"/>
    <n v="0"/>
    <n v="0"/>
    <n v="0"/>
    <n v="0"/>
    <n v="1"/>
    <n v="0"/>
    <n v="0"/>
    <n v="44"/>
    <d v="2016-09-05T00:00:00"/>
  </r>
  <r>
    <n v="1997"/>
    <n v="32144"/>
    <n v="51"/>
    <n v="1.5866102538576407E-3"/>
    <x v="1"/>
    <n v="1"/>
    <n v="76"/>
    <n v="41"/>
    <n v="0"/>
    <n v="10"/>
    <n v="0"/>
    <n v="0"/>
    <n v="3"/>
    <n v="4"/>
    <n v="2"/>
    <n v="1"/>
    <n v="3"/>
    <n v="7"/>
    <n v="0"/>
    <n v="0"/>
    <n v="0"/>
    <n v="1"/>
    <n v="0"/>
    <n v="0"/>
    <x v="1"/>
    <x v="44"/>
    <s v="66+"/>
    <n v="2257"/>
    <n v="0"/>
    <n v="0"/>
    <n v="0"/>
    <n v="1"/>
    <n v="0"/>
    <n v="0"/>
    <n v="1"/>
    <n v="0"/>
    <n v="0"/>
    <n v="48"/>
    <d v="2016-08-10T00:00:00"/>
  </r>
  <r>
    <n v="90"/>
    <n v="34554"/>
    <n v="50"/>
    <n v="1.4470104763558487E-3"/>
    <x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x v="1"/>
    <x v="29"/>
    <s v="51-66"/>
    <n v="2250"/>
    <n v="0"/>
    <n v="0"/>
    <n v="1"/>
    <n v="0"/>
    <n v="0"/>
    <n v="0"/>
    <n v="0"/>
    <n v="0"/>
    <n v="1"/>
    <n v="45"/>
    <d v="2016-08-17T00:00:00"/>
  </r>
  <r>
    <n v="263"/>
    <n v="30631"/>
    <n v="50"/>
    <n v="1.6323332571577813E-3"/>
    <x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x v="1"/>
    <x v="35"/>
    <s v="36-50"/>
    <n v="2511"/>
    <n v="0"/>
    <n v="1"/>
    <n v="0"/>
    <n v="0"/>
    <n v="0"/>
    <n v="0"/>
    <n v="1"/>
    <n v="0"/>
    <n v="0"/>
    <n v="30"/>
    <d v="2015-11-30T00:00:00"/>
  </r>
  <r>
    <n v="389"/>
    <n v="19789"/>
    <n v="50"/>
    <n v="2.5266562231542776E-3"/>
    <x v="1"/>
    <n v="0"/>
    <n v="24"/>
    <n v="2"/>
    <n v="5"/>
    <n v="9"/>
    <n v="28"/>
    <n v="6"/>
    <n v="28"/>
    <n v="3"/>
    <n v="2"/>
    <n v="1"/>
    <n v="3"/>
    <n v="5"/>
    <n v="0"/>
    <n v="0"/>
    <n v="1"/>
    <n v="0"/>
    <n v="0"/>
    <n v="0"/>
    <x v="1"/>
    <x v="16"/>
    <s v="36-50"/>
    <n v="2380"/>
    <n v="0"/>
    <n v="0"/>
    <n v="0"/>
    <n v="1"/>
    <n v="0"/>
    <n v="1"/>
    <n v="0"/>
    <n v="0"/>
    <n v="0"/>
    <n v="22"/>
    <d v="2016-04-09T00:00:00"/>
  </r>
  <r>
    <n v="508"/>
    <n v="22944"/>
    <n v="50"/>
    <n v="2.1792189679218968E-3"/>
    <x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x v="1"/>
    <x v="43"/>
    <s v="36-50"/>
    <n v="2347"/>
    <n v="0"/>
    <n v="0"/>
    <n v="1"/>
    <n v="0"/>
    <n v="0"/>
    <n v="0"/>
    <n v="0"/>
    <n v="1"/>
    <n v="0"/>
    <n v="24"/>
    <d v="2016-05-12T00:00:00"/>
  </r>
  <r>
    <n v="834"/>
    <n v="42243"/>
    <n v="50"/>
    <n v="1.1836280567194565E-3"/>
    <x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x v="1"/>
    <x v="29"/>
    <s v="51-66"/>
    <n v="2359"/>
    <n v="0"/>
    <n v="1"/>
    <n v="0"/>
    <n v="0"/>
    <n v="0"/>
    <n v="0"/>
    <n v="1"/>
    <n v="0"/>
    <n v="0"/>
    <n v="45"/>
    <d v="2016-04-30T00:00:00"/>
  </r>
  <r>
    <n v="868"/>
    <n v="34469"/>
    <n v="50"/>
    <n v="1.4505787809335924E-3"/>
    <x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x v="1"/>
    <x v="40"/>
    <s v="66+"/>
    <n v="2215"/>
    <n v="0"/>
    <n v="1"/>
    <n v="0"/>
    <n v="0"/>
    <n v="0"/>
    <n v="0"/>
    <n v="0"/>
    <n v="0"/>
    <n v="1"/>
    <n v="38"/>
    <d v="2016-09-21T00:00:00"/>
  </r>
  <r>
    <n v="1050"/>
    <n v="22634"/>
    <n v="50"/>
    <n v="2.2090660068922858E-3"/>
    <x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  <x v="22"/>
    <s v="51-66"/>
    <n v="2688"/>
    <n v="0"/>
    <n v="0"/>
    <n v="0"/>
    <n v="1"/>
    <n v="0"/>
    <n v="0"/>
    <n v="0"/>
    <n v="0"/>
    <n v="0"/>
    <n v="4"/>
    <d v="2015-06-06T00:00:00"/>
  </r>
  <r>
    <n v="1114"/>
    <n v="44393"/>
    <n v="50"/>
    <n v="1.126303696528732E-3"/>
    <x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x v="1"/>
    <x v="47"/>
    <s v="51-66"/>
    <n v="2470"/>
    <n v="0"/>
    <n v="1"/>
    <n v="0"/>
    <n v="0"/>
    <n v="0"/>
    <n v="0"/>
    <n v="1"/>
    <n v="0"/>
    <n v="0"/>
    <n v="40"/>
    <d v="2016-01-10T00:00:00"/>
  </r>
  <r>
    <n v="1817"/>
    <n v="36781"/>
    <n v="50"/>
    <n v="1.3593975150213424E-3"/>
    <x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x v="0"/>
    <x v="19"/>
    <s v="36-50"/>
    <n v="2239"/>
    <n v="0"/>
    <n v="1"/>
    <n v="0"/>
    <n v="0"/>
    <n v="0"/>
    <n v="0"/>
    <n v="1"/>
    <n v="0"/>
    <n v="0"/>
    <n v="37"/>
    <d v="2016-08-28T00:00:00"/>
  </r>
  <r>
    <n v="1826"/>
    <n v="30368"/>
    <n v="50"/>
    <n v="1.6464699683877767E-3"/>
    <x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x v="1"/>
    <x v="13"/>
    <s v="36-50"/>
    <n v="2393"/>
    <n v="0"/>
    <n v="1"/>
    <n v="0"/>
    <n v="0"/>
    <n v="0"/>
    <n v="0"/>
    <n v="1"/>
    <n v="0"/>
    <n v="0"/>
    <n v="48"/>
    <d v="2016-03-27T00:00:00"/>
  </r>
  <r>
    <n v="898"/>
    <n v="16927"/>
    <n v="49"/>
    <n v="2.8947834820109881E-3"/>
    <x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x v="1"/>
    <x v="7"/>
    <s v="36-50"/>
    <n v="2663"/>
    <n v="0"/>
    <n v="1"/>
    <n v="0"/>
    <n v="0"/>
    <n v="0"/>
    <n v="0"/>
    <n v="0"/>
    <n v="0"/>
    <n v="1"/>
    <n v="45"/>
    <d v="2015-07-01T00:00:00"/>
  </r>
  <r>
    <n v="978"/>
    <n v="38998"/>
    <n v="49"/>
    <n v="1.2564746910097954E-3"/>
    <x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  <x v="44"/>
    <s v="66+"/>
    <n v="2762"/>
    <n v="0"/>
    <n v="1"/>
    <n v="0"/>
    <n v="0"/>
    <n v="0"/>
    <n v="0"/>
    <n v="1"/>
    <n v="0"/>
    <n v="0"/>
    <n v="44"/>
    <d v="2015-03-24T00:00:00"/>
  </r>
  <r>
    <n v="1526"/>
    <n v="43602"/>
    <n v="49"/>
    <n v="1.1238016604742901E-3"/>
    <x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x v="1"/>
    <x v="22"/>
    <s v="51-66"/>
    <n v="2329"/>
    <n v="0"/>
    <n v="0"/>
    <n v="1"/>
    <n v="0"/>
    <n v="0"/>
    <n v="0"/>
    <n v="1"/>
    <n v="0"/>
    <n v="0"/>
    <n v="30"/>
    <d v="2016-05-30T00:00:00"/>
  </r>
  <r>
    <n v="4"/>
    <n v="26646"/>
    <n v="48"/>
    <n v="1.8013960819635217E-3"/>
    <x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x v="1"/>
    <x v="39"/>
    <s v="36-50"/>
    <n v="2298"/>
    <n v="0"/>
    <n v="0"/>
    <n v="0"/>
    <n v="1"/>
    <n v="0"/>
    <n v="0"/>
    <n v="1"/>
    <n v="0"/>
    <n v="0"/>
    <n v="43"/>
    <d v="2016-06-30T00:00:00"/>
  </r>
  <r>
    <n v="165"/>
    <n v="16248"/>
    <n v="48"/>
    <n v="2.9542097488921715E-3"/>
    <x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x v="1"/>
    <x v="0"/>
    <s v="24-35"/>
    <n v="2209"/>
    <n v="0"/>
    <n v="1"/>
    <n v="0"/>
    <n v="0"/>
    <n v="0"/>
    <n v="1"/>
    <n v="0"/>
    <n v="0"/>
    <n v="0"/>
    <n v="39"/>
    <d v="2016-09-27T00:00:00"/>
  </r>
  <r>
    <n v="217"/>
    <n v="22212"/>
    <n v="48"/>
    <n v="2.1609940572663426E-3"/>
    <x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x v="1"/>
    <x v="16"/>
    <s v="36-50"/>
    <n v="2361"/>
    <n v="0"/>
    <n v="1"/>
    <n v="0"/>
    <n v="0"/>
    <n v="0"/>
    <n v="1"/>
    <n v="0"/>
    <n v="0"/>
    <n v="0"/>
    <n v="27"/>
    <d v="2016-04-28T00:00:00"/>
  </r>
  <r>
    <n v="565"/>
    <n v="26224"/>
    <n v="48"/>
    <n v="1.8303843807199512E-3"/>
    <x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x v="1"/>
    <x v="37"/>
    <s v="36-50"/>
    <n v="2549"/>
    <n v="0"/>
    <n v="1"/>
    <n v="0"/>
    <n v="0"/>
    <n v="0"/>
    <n v="1"/>
    <n v="0"/>
    <n v="0"/>
    <n v="0"/>
    <n v="33"/>
    <d v="2015-10-23T00:00:00"/>
  </r>
  <r>
    <n v="1111"/>
    <n v="15056"/>
    <n v="48"/>
    <n v="3.188097768331562E-3"/>
    <x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x v="1"/>
    <x v="27"/>
    <s v="51-66"/>
    <n v="2581"/>
    <n v="0"/>
    <n v="0"/>
    <n v="1"/>
    <n v="0"/>
    <n v="0"/>
    <n v="0"/>
    <n v="0"/>
    <n v="0"/>
    <n v="0"/>
    <n v="8"/>
    <d v="2015-09-21T00:00:00"/>
  </r>
  <r>
    <n v="1327"/>
    <n v="38741"/>
    <n v="48"/>
    <n v="1.2389974445677705E-3"/>
    <x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x v="1"/>
    <x v="27"/>
    <s v="51-66"/>
    <n v="2250"/>
    <n v="0"/>
    <n v="0"/>
    <n v="1"/>
    <n v="0"/>
    <n v="0"/>
    <n v="1"/>
    <n v="0"/>
    <n v="0"/>
    <n v="0"/>
    <n v="35"/>
    <d v="2016-08-17T00:00:00"/>
  </r>
  <r>
    <n v="1908"/>
    <n v="14188"/>
    <n v="48"/>
    <n v="3.3831406822667043E-3"/>
    <x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x v="1"/>
    <x v="9"/>
    <s v="36-50"/>
    <n v="2645"/>
    <n v="0"/>
    <n v="1"/>
    <n v="0"/>
    <n v="0"/>
    <n v="0"/>
    <n v="0"/>
    <n v="0"/>
    <n v="0"/>
    <n v="0"/>
    <n v="21"/>
    <d v="2015-07-19T00:00:00"/>
  </r>
  <r>
    <n v="2010"/>
    <n v="33562"/>
    <n v="48"/>
    <n v="1.4301889041177522E-3"/>
    <x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x v="1"/>
    <x v="33"/>
    <s v="51-66"/>
    <n v="2163"/>
    <n v="0"/>
    <n v="1"/>
    <n v="0"/>
    <n v="0"/>
    <n v="0"/>
    <n v="0"/>
    <n v="0"/>
    <n v="1"/>
    <n v="0"/>
    <n v="45"/>
    <d v="2016-11-12T00:00:00"/>
  </r>
  <r>
    <n v="526"/>
    <n v="15315"/>
    <n v="47"/>
    <n v="3.0688867123734899E-3"/>
    <x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  <x v="2"/>
    <s v="36-50"/>
    <n v="2489"/>
    <n v="0"/>
    <n v="1"/>
    <n v="0"/>
    <n v="0"/>
    <n v="0"/>
    <n v="1"/>
    <n v="0"/>
    <n v="0"/>
    <n v="0"/>
    <n v="30"/>
    <d v="2015-12-22T00:00:00"/>
  </r>
  <r>
    <n v="828"/>
    <n v="35797"/>
    <n v="47"/>
    <n v="1.3129591865240105E-3"/>
    <x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x v="1"/>
    <x v="16"/>
    <s v="36-50"/>
    <n v="2780"/>
    <n v="0"/>
    <n v="1"/>
    <n v="0"/>
    <n v="0"/>
    <n v="0"/>
    <n v="0"/>
    <n v="1"/>
    <n v="0"/>
    <n v="0"/>
    <n v="26"/>
    <d v="2015-03-06T00:00:00"/>
  </r>
  <r>
    <n v="973"/>
    <n v="37334"/>
    <n v="47"/>
    <n v="1.2589060909626614E-3"/>
    <x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x v="1"/>
    <x v="27"/>
    <s v="51-66"/>
    <n v="2282"/>
    <n v="0"/>
    <n v="0"/>
    <n v="0"/>
    <n v="1"/>
    <n v="0"/>
    <n v="0"/>
    <n v="0"/>
    <n v="0"/>
    <n v="1"/>
    <n v="32"/>
    <d v="2016-07-16T00:00:00"/>
  </r>
  <r>
    <n v="1702"/>
    <n v="32889"/>
    <n v="47"/>
    <n v="1.4290492261850468E-3"/>
    <x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x v="1"/>
    <x v="14"/>
    <s v="51-66"/>
    <n v="2455"/>
    <n v="0"/>
    <n v="0"/>
    <n v="0"/>
    <n v="1"/>
    <n v="0"/>
    <n v="0"/>
    <n v="0"/>
    <n v="1"/>
    <n v="0"/>
    <n v="39"/>
    <d v="2016-01-25T00:00:00"/>
  </r>
  <r>
    <n v="1747"/>
    <n v="31878"/>
    <n v="47"/>
    <n v="1.474371039588431E-3"/>
    <x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x v="1"/>
    <x v="13"/>
    <s v="36-50"/>
    <n v="2166"/>
    <n v="0"/>
    <n v="0"/>
    <n v="1"/>
    <n v="0"/>
    <n v="0"/>
    <n v="1"/>
    <n v="0"/>
    <n v="0"/>
    <n v="0"/>
    <n v="24"/>
    <d v="2016-11-09T00:00:00"/>
  </r>
  <r>
    <n v="1818"/>
    <n v="23616"/>
    <n v="47"/>
    <n v="1.9901761517615176E-3"/>
    <x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x v="0"/>
    <x v="31"/>
    <s v="36-50"/>
    <n v="2748"/>
    <n v="0"/>
    <n v="0"/>
    <n v="1"/>
    <n v="0"/>
    <n v="0"/>
    <n v="1"/>
    <n v="0"/>
    <n v="0"/>
    <n v="0"/>
    <n v="15"/>
    <d v="2015-04-07T00:00:00"/>
  </r>
  <r>
    <n v="1862"/>
    <n v="45057"/>
    <n v="47"/>
    <n v="1.0431231551146325E-3"/>
    <x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x v="1"/>
    <x v="19"/>
    <s v="36-50"/>
    <n v="2369"/>
    <n v="0"/>
    <n v="1"/>
    <n v="0"/>
    <n v="0"/>
    <n v="0"/>
    <n v="0"/>
    <n v="0"/>
    <n v="1"/>
    <n v="0"/>
    <n v="44"/>
    <d v="2016-04-20T00:00:00"/>
  </r>
  <r>
    <n v="40"/>
    <n v="20559"/>
    <n v="46"/>
    <n v="2.237462911620215E-3"/>
    <x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x v="1"/>
    <x v="23"/>
    <s v="24-35"/>
    <n v="2633"/>
    <n v="0"/>
    <n v="1"/>
    <n v="0"/>
    <n v="0"/>
    <n v="0"/>
    <n v="0"/>
    <n v="0"/>
    <n v="1"/>
    <n v="0"/>
    <n v="39"/>
    <d v="2015-07-31T00:00:00"/>
  </r>
  <r>
    <n v="250"/>
    <n v="22070"/>
    <n v="46"/>
    <n v="2.0842772995015857E-3"/>
    <x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x v="1"/>
    <x v="2"/>
    <s v="36-50"/>
    <n v="2427"/>
    <n v="0"/>
    <n v="0"/>
    <n v="0"/>
    <n v="1"/>
    <n v="0"/>
    <n v="0"/>
    <n v="1"/>
    <n v="0"/>
    <n v="0"/>
    <n v="25"/>
    <d v="2016-02-22T00:00:00"/>
  </r>
  <r>
    <n v="450"/>
    <n v="38961"/>
    <n v="46"/>
    <n v="1.180667847334514E-3"/>
    <x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x v="1"/>
    <x v="30"/>
    <s v="36-50"/>
    <n v="2340"/>
    <n v="0"/>
    <n v="1"/>
    <n v="0"/>
    <n v="0"/>
    <n v="0"/>
    <n v="0"/>
    <n v="0"/>
    <n v="1"/>
    <n v="0"/>
    <n v="22"/>
    <d v="2016-05-19T00:00:00"/>
  </r>
  <r>
    <n v="962"/>
    <n v="17345"/>
    <n v="46"/>
    <n v="2.6520611127125973E-3"/>
    <x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x v="1"/>
    <x v="37"/>
    <s v="36-50"/>
    <n v="2762"/>
    <n v="0"/>
    <n v="1"/>
    <n v="0"/>
    <n v="0"/>
    <n v="0"/>
    <n v="0"/>
    <n v="1"/>
    <n v="0"/>
    <n v="0"/>
    <n v="34"/>
    <d v="2015-03-24T00:00:00"/>
  </r>
  <r>
    <n v="1085"/>
    <n v="23091"/>
    <n v="46"/>
    <n v="1.9921181412671605E-3"/>
    <x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x v="1"/>
    <x v="33"/>
    <s v="51-66"/>
    <n v="2191"/>
    <n v="0"/>
    <n v="0"/>
    <n v="1"/>
    <n v="0"/>
    <n v="0"/>
    <n v="0"/>
    <n v="0"/>
    <n v="0"/>
    <n v="1"/>
    <n v="44"/>
    <d v="2016-10-15T00:00:00"/>
  </r>
  <r>
    <n v="1157"/>
    <n v="28427"/>
    <n v="46"/>
    <n v="1.6181798993914237E-3"/>
    <x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  <x v="20"/>
    <s v="36-50"/>
    <n v="2624"/>
    <n v="0"/>
    <n v="0"/>
    <n v="0"/>
    <n v="1"/>
    <n v="0"/>
    <n v="0"/>
    <n v="1"/>
    <n v="0"/>
    <n v="0"/>
    <n v="40"/>
    <d v="2015-08-09T00:00:00"/>
  </r>
  <r>
    <n v="1240"/>
    <n v="18393"/>
    <n v="46"/>
    <n v="2.500951448920785E-3"/>
    <x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x v="1"/>
    <x v="35"/>
    <s v="36-50"/>
    <n v="2251"/>
    <n v="0"/>
    <n v="1"/>
    <n v="0"/>
    <n v="0"/>
    <n v="0"/>
    <n v="0"/>
    <n v="0"/>
    <n v="0"/>
    <n v="0"/>
    <n v="42"/>
    <d v="2016-08-16T00:00:00"/>
  </r>
  <r>
    <n v="1824"/>
    <n v="24762"/>
    <n v="46"/>
    <n v="1.8576851627493741E-3"/>
    <x v="1"/>
    <n v="0"/>
    <n v="16"/>
    <n v="6"/>
    <n v="10"/>
    <n v="12"/>
    <n v="3"/>
    <n v="15"/>
    <n v="40"/>
    <n v="3"/>
    <n v="3"/>
    <n v="1"/>
    <n v="2"/>
    <n v="8"/>
    <n v="0"/>
    <n v="0"/>
    <n v="1"/>
    <n v="0"/>
    <n v="0"/>
    <n v="0"/>
    <x v="0"/>
    <x v="9"/>
    <s v="36-50"/>
    <n v="2298"/>
    <n v="0"/>
    <n v="0"/>
    <n v="1"/>
    <n v="0"/>
    <n v="0"/>
    <n v="0"/>
    <n v="1"/>
    <n v="0"/>
    <n v="0"/>
    <n v="6"/>
    <d v="2016-06-30T00:00:00"/>
  </r>
  <r>
    <n v="1833"/>
    <n v="21645"/>
    <n v="46"/>
    <n v="2.1252021252021252E-3"/>
    <x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x v="0"/>
    <x v="19"/>
    <s v="36-50"/>
    <n v="2823"/>
    <n v="0"/>
    <n v="0"/>
    <n v="0"/>
    <n v="1"/>
    <n v="0"/>
    <n v="0"/>
    <n v="1"/>
    <n v="0"/>
    <n v="0"/>
    <n v="27"/>
    <d v="2015-01-22T00:00:00"/>
  </r>
  <r>
    <n v="1975"/>
    <n v="26487"/>
    <n v="46"/>
    <n v="1.7367010231434288E-3"/>
    <x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x v="1"/>
    <x v="37"/>
    <s v="36-50"/>
    <n v="2564"/>
    <n v="0"/>
    <n v="0"/>
    <n v="1"/>
    <n v="0"/>
    <n v="0"/>
    <n v="0"/>
    <n v="0"/>
    <n v="0"/>
    <n v="0"/>
    <n v="23"/>
    <d v="2015-10-08T00:00:00"/>
  </r>
  <r>
    <n v="11"/>
    <n v="7500"/>
    <n v="45"/>
    <n v="6.0000000000000001E-3"/>
    <x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x v="1"/>
    <x v="7"/>
    <s v="36-50"/>
    <n v="2752"/>
    <n v="0"/>
    <n v="1"/>
    <n v="0"/>
    <n v="0"/>
    <n v="0"/>
    <n v="0"/>
    <n v="0"/>
    <n v="0"/>
    <n v="0"/>
    <n v="29"/>
    <d v="2015-04-03T00:00:00"/>
  </r>
  <r>
    <n v="36"/>
    <n v="23718"/>
    <n v="45"/>
    <n v="1.8972931950417406E-3"/>
    <x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x v="1"/>
    <x v="7"/>
    <s v="36-50"/>
    <n v="2459"/>
    <n v="0"/>
    <n v="1"/>
    <n v="0"/>
    <n v="0"/>
    <n v="0"/>
    <n v="1"/>
    <n v="0"/>
    <n v="0"/>
    <n v="0"/>
    <n v="9"/>
    <d v="2016-01-21T00:00:00"/>
  </r>
  <r>
    <n v="393"/>
    <n v="37401"/>
    <n v="45"/>
    <n v="1.2031763856581374E-3"/>
    <x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  <x v="30"/>
    <s v="36-50"/>
    <n v="2213"/>
    <n v="0"/>
    <n v="1"/>
    <n v="0"/>
    <n v="0"/>
    <n v="0"/>
    <n v="0"/>
    <n v="0"/>
    <n v="0"/>
    <n v="1"/>
    <n v="42"/>
    <d v="2016-09-23T00:00:00"/>
  </r>
  <r>
    <n v="1759"/>
    <n v="29543"/>
    <n v="45"/>
    <n v="1.5232034661341097E-3"/>
    <x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x v="1"/>
    <x v="14"/>
    <s v="51-66"/>
    <n v="2248"/>
    <n v="0"/>
    <n v="1"/>
    <n v="0"/>
    <n v="0"/>
    <n v="0"/>
    <n v="0"/>
    <n v="0"/>
    <n v="1"/>
    <n v="0"/>
    <n v="27"/>
    <d v="2016-08-19T00:00:00"/>
  </r>
  <r>
    <n v="2002"/>
    <n v="38054"/>
    <n v="45"/>
    <n v="1.182530088821149E-3"/>
    <x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x v="1"/>
    <x v="51"/>
    <s v="66+"/>
    <n v="2218"/>
    <n v="1"/>
    <n v="0"/>
    <n v="0"/>
    <n v="0"/>
    <n v="0"/>
    <n v="0"/>
    <n v="0"/>
    <n v="1"/>
    <n v="0"/>
    <n v="45"/>
    <d v="2016-09-18T00:00:00"/>
  </r>
  <r>
    <n v="174"/>
    <n v="24882"/>
    <n v="44"/>
    <n v="1.7683465959328027E-3"/>
    <x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x v="1"/>
    <x v="37"/>
    <s v="36-50"/>
    <n v="2817"/>
    <n v="0"/>
    <n v="0"/>
    <n v="0"/>
    <n v="1"/>
    <n v="0"/>
    <n v="0"/>
    <n v="0"/>
    <n v="0"/>
    <n v="0"/>
    <n v="8"/>
    <d v="2015-01-28T00:00:00"/>
  </r>
  <r>
    <n v="254"/>
    <n v="29315"/>
    <n v="44"/>
    <n v="1.50093808630394E-3"/>
    <x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x v="1"/>
    <x v="24"/>
    <s v="51-66"/>
    <n v="2243"/>
    <n v="0"/>
    <n v="1"/>
    <n v="0"/>
    <n v="0"/>
    <n v="0"/>
    <n v="0"/>
    <n v="1"/>
    <n v="0"/>
    <n v="0"/>
    <n v="40"/>
    <d v="2016-08-24T00:00:00"/>
  </r>
  <r>
    <n v="381"/>
    <n v="30351"/>
    <n v="44"/>
    <n v="1.4497051168001055E-3"/>
    <x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1"/>
    <x v="35"/>
    <s v="36-50"/>
    <n v="2547"/>
    <n v="0"/>
    <n v="0"/>
    <n v="0"/>
    <n v="1"/>
    <n v="0"/>
    <n v="0"/>
    <n v="0"/>
    <n v="0"/>
    <n v="1"/>
    <n v="42"/>
    <d v="2015-10-25T00:00:00"/>
  </r>
  <r>
    <n v="625"/>
    <n v="21063"/>
    <n v="44"/>
    <n v="2.0889711816930163E-3"/>
    <x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x v="1"/>
    <x v="36"/>
    <s v="24-35"/>
    <n v="2436"/>
    <n v="0"/>
    <n v="0"/>
    <n v="1"/>
    <n v="0"/>
    <n v="0"/>
    <n v="0"/>
    <n v="0"/>
    <n v="0"/>
    <n v="0"/>
    <n v="29"/>
    <d v="2016-02-13T00:00:00"/>
  </r>
  <r>
    <n v="772"/>
    <n v="22063"/>
    <n v="44"/>
    <n v="1.99428908126728E-3"/>
    <x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x v="1"/>
    <x v="9"/>
    <s v="36-50"/>
    <n v="2484"/>
    <n v="0"/>
    <n v="1"/>
    <n v="0"/>
    <n v="0"/>
    <n v="0"/>
    <n v="0"/>
    <n v="1"/>
    <n v="0"/>
    <n v="0"/>
    <n v="33"/>
    <d v="2015-12-27T00:00:00"/>
  </r>
  <r>
    <n v="878"/>
    <n v="32892"/>
    <n v="44"/>
    <n v="1.3377112975799586E-3"/>
    <x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  <x v="28"/>
    <s v="36-50"/>
    <n v="2194"/>
    <n v="0"/>
    <n v="0"/>
    <n v="0"/>
    <n v="1"/>
    <n v="0"/>
    <n v="0"/>
    <n v="0"/>
    <n v="0"/>
    <n v="1"/>
    <n v="42"/>
    <d v="2016-10-12T00:00:00"/>
  </r>
  <r>
    <n v="1046"/>
    <n v="16269"/>
    <n v="44"/>
    <n v="2.7045300878972278E-3"/>
    <x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x v="1"/>
    <x v="39"/>
    <s v="36-50"/>
    <n v="2462"/>
    <n v="0"/>
    <n v="0"/>
    <n v="1"/>
    <n v="0"/>
    <n v="0"/>
    <n v="0"/>
    <n v="0"/>
    <n v="0"/>
    <n v="1"/>
    <n v="44"/>
    <d v="2016-01-18T00:00:00"/>
  </r>
  <r>
    <n v="1206"/>
    <n v="46831"/>
    <n v="44"/>
    <n v="9.3954858960944678E-4"/>
    <x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x v="1"/>
    <x v="3"/>
    <s v="51-66"/>
    <n v="2545"/>
    <n v="0"/>
    <n v="1"/>
    <n v="0"/>
    <n v="0"/>
    <n v="0"/>
    <n v="1"/>
    <n v="0"/>
    <n v="0"/>
    <n v="0"/>
    <n v="10"/>
    <d v="2015-10-27T00:00:00"/>
  </r>
  <r>
    <n v="1319"/>
    <n v="36026"/>
    <n v="44"/>
    <n v="1.2213401432298895E-3"/>
    <x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x v="1"/>
    <x v="9"/>
    <s v="36-50"/>
    <n v="2264"/>
    <n v="0"/>
    <n v="1"/>
    <n v="0"/>
    <n v="0"/>
    <n v="0"/>
    <n v="0"/>
    <n v="1"/>
    <n v="0"/>
    <n v="0"/>
    <n v="27"/>
    <d v="2016-08-03T00:00:00"/>
  </r>
  <r>
    <n v="1481"/>
    <n v="12393"/>
    <n v="44"/>
    <n v="3.55039134995562E-3"/>
    <x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x v="1"/>
    <x v="37"/>
    <s v="36-50"/>
    <n v="2731"/>
    <n v="0"/>
    <n v="1"/>
    <n v="0"/>
    <n v="0"/>
    <n v="0"/>
    <n v="1"/>
    <n v="0"/>
    <n v="0"/>
    <n v="0"/>
    <n v="31"/>
    <d v="2015-04-24T00:00:00"/>
  </r>
  <r>
    <n v="1571"/>
    <n v="18746"/>
    <n v="44"/>
    <n v="2.3471673957110848E-3"/>
    <x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x v="1"/>
    <x v="17"/>
    <s v="24-35"/>
    <n v="2190"/>
    <n v="0"/>
    <n v="0"/>
    <n v="1"/>
    <n v="0"/>
    <n v="0"/>
    <n v="0"/>
    <n v="0"/>
    <n v="0"/>
    <n v="0"/>
    <n v="24"/>
    <d v="2016-10-16T00:00:00"/>
  </r>
  <r>
    <n v="1615"/>
    <n v="21955"/>
    <n v="44"/>
    <n v="2.0040992940104758E-3"/>
    <x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x v="1"/>
    <x v="18"/>
    <s v="24-35"/>
    <n v="2454"/>
    <n v="0"/>
    <n v="1"/>
    <n v="0"/>
    <n v="0"/>
    <n v="0"/>
    <n v="1"/>
    <n v="0"/>
    <n v="0"/>
    <n v="0"/>
    <n v="33"/>
    <d v="2016-01-26T00:00:00"/>
  </r>
  <r>
    <n v="1786"/>
    <n v="44359"/>
    <n v="44"/>
    <n v="9.9190694109425361E-4"/>
    <x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x v="1"/>
    <x v="37"/>
    <s v="36-50"/>
    <n v="2171"/>
    <n v="0"/>
    <n v="1"/>
    <n v="0"/>
    <n v="0"/>
    <n v="0"/>
    <n v="0"/>
    <n v="1"/>
    <n v="0"/>
    <n v="0"/>
    <n v="43"/>
    <d v="2016-11-04T00:00:00"/>
  </r>
  <r>
    <n v="1835"/>
    <n v="30351"/>
    <n v="44"/>
    <n v="1.4497051168001055E-3"/>
    <x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0"/>
    <x v="35"/>
    <s v="36-50"/>
    <n v="2547"/>
    <n v="0"/>
    <n v="0"/>
    <n v="0"/>
    <n v="1"/>
    <n v="0"/>
    <n v="0"/>
    <n v="0"/>
    <n v="0"/>
    <n v="1"/>
    <n v="42"/>
    <d v="2015-10-25T00:00:00"/>
  </r>
  <r>
    <n v="1836"/>
    <n v="19444"/>
    <n v="44"/>
    <n v="2.2629088664883768E-3"/>
    <x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x v="0"/>
    <x v="31"/>
    <s v="36-50"/>
    <n v="2286"/>
    <n v="0"/>
    <n v="0"/>
    <n v="0"/>
    <n v="1"/>
    <n v="0"/>
    <n v="0"/>
    <n v="1"/>
    <n v="0"/>
    <n v="0"/>
    <n v="34"/>
    <d v="2016-07-12T00:00:00"/>
  </r>
  <r>
    <n v="1851"/>
    <n v="17649"/>
    <n v="44"/>
    <n v="2.4930590968326818E-3"/>
    <x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x v="1"/>
    <x v="7"/>
    <s v="36-50"/>
    <n v="2388"/>
    <n v="0"/>
    <n v="1"/>
    <n v="0"/>
    <n v="0"/>
    <n v="0"/>
    <n v="0"/>
    <n v="1"/>
    <n v="0"/>
    <n v="0"/>
    <n v="43"/>
    <d v="2016-04-01T00:00:00"/>
  </r>
  <r>
    <n v="1893"/>
    <n v="30828"/>
    <n v="44"/>
    <n v="1.4272739068379395E-3"/>
    <x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x v="1"/>
    <x v="41"/>
    <s v="36-50"/>
    <n v="2427"/>
    <n v="0"/>
    <n v="0"/>
    <n v="1"/>
    <n v="0"/>
    <n v="0"/>
    <n v="0"/>
    <n v="1"/>
    <n v="0"/>
    <n v="0"/>
    <n v="32"/>
    <d v="2016-02-22T00:00:00"/>
  </r>
  <r>
    <n v="1973"/>
    <n v="26067"/>
    <n v="44"/>
    <n v="1.6879579545018605E-3"/>
    <x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x v="1"/>
    <x v="35"/>
    <s v="36-50"/>
    <n v="2396"/>
    <n v="0"/>
    <n v="1"/>
    <n v="0"/>
    <n v="0"/>
    <n v="0"/>
    <n v="0"/>
    <n v="1"/>
    <n v="0"/>
    <n v="0"/>
    <n v="32"/>
    <d v="2016-03-24T00:00:00"/>
  </r>
  <r>
    <n v="83"/>
    <n v="23626"/>
    <n v="43"/>
    <n v="1.8200287818505036E-3"/>
    <x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x v="1"/>
    <x v="2"/>
    <s v="36-50"/>
    <n v="2195"/>
    <n v="0"/>
    <n v="1"/>
    <n v="0"/>
    <n v="0"/>
    <n v="0"/>
    <n v="0"/>
    <n v="0"/>
    <n v="0"/>
    <n v="1"/>
    <n v="43"/>
    <d v="2016-10-11T00:00:00"/>
  </r>
  <r>
    <n v="162"/>
    <n v="38853"/>
    <n v="43"/>
    <n v="1.1067356446091679E-3"/>
    <x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x v="1"/>
    <x v="2"/>
    <s v="36-50"/>
    <n v="2196"/>
    <n v="0"/>
    <n v="1"/>
    <n v="0"/>
    <n v="0"/>
    <n v="0"/>
    <n v="0"/>
    <n v="0"/>
    <n v="0"/>
    <n v="1"/>
    <n v="41"/>
    <d v="2016-10-10T00:00:00"/>
  </r>
  <r>
    <n v="169"/>
    <n v="25271"/>
    <n v="43"/>
    <n v="1.7015551422579242E-3"/>
    <x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x v="1"/>
    <x v="20"/>
    <s v="36-50"/>
    <n v="2730"/>
    <n v="0"/>
    <n v="1"/>
    <n v="0"/>
    <n v="0"/>
    <n v="0"/>
    <n v="0"/>
    <n v="1"/>
    <n v="0"/>
    <n v="0"/>
    <n v="36"/>
    <d v="2015-04-25T00:00:00"/>
  </r>
  <r>
    <n v="419"/>
    <n v="24027"/>
    <n v="43"/>
    <n v="1.7896533066966329E-3"/>
    <x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x v="1"/>
    <x v="7"/>
    <s v="36-50"/>
    <n v="2544"/>
    <n v="0"/>
    <n v="1"/>
    <n v="0"/>
    <n v="0"/>
    <n v="0"/>
    <n v="0"/>
    <n v="1"/>
    <n v="0"/>
    <n v="0"/>
    <n v="38"/>
    <d v="2015-10-28T00:00:00"/>
  </r>
  <r>
    <n v="671"/>
    <n v="25851"/>
    <n v="43"/>
    <n v="1.6633785927043442E-3"/>
    <x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x v="1"/>
    <x v="37"/>
    <s v="36-50"/>
    <n v="2662"/>
    <n v="0"/>
    <n v="0"/>
    <n v="0"/>
    <n v="1"/>
    <n v="0"/>
    <n v="0"/>
    <n v="1"/>
    <n v="0"/>
    <n v="0"/>
    <n v="38"/>
    <d v="2015-07-02T00:00:00"/>
  </r>
  <r>
    <n v="770"/>
    <n v="25804"/>
    <n v="43"/>
    <n v="1.6664083087893349E-3"/>
    <x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x v="1"/>
    <x v="37"/>
    <s v="36-50"/>
    <n v="2460"/>
    <n v="0"/>
    <n v="1"/>
    <n v="0"/>
    <n v="0"/>
    <n v="0"/>
    <n v="1"/>
    <n v="0"/>
    <n v="0"/>
    <n v="0"/>
    <n v="31"/>
    <d v="2016-01-20T00:00:00"/>
  </r>
  <r>
    <n v="924"/>
    <n v="33462"/>
    <n v="43"/>
    <n v="1.2850397465782081E-3"/>
    <x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x v="1"/>
    <x v="19"/>
    <s v="36-50"/>
    <n v="2485"/>
    <n v="1"/>
    <n v="0"/>
    <n v="0"/>
    <n v="0"/>
    <n v="0"/>
    <n v="0"/>
    <n v="0"/>
    <n v="1"/>
    <n v="0"/>
    <n v="32"/>
    <d v="2015-12-26T00:00:00"/>
  </r>
  <r>
    <n v="942"/>
    <n v="22434"/>
    <n v="43"/>
    <n v="1.9167335294642061E-3"/>
    <x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x v="1"/>
    <x v="36"/>
    <s v="24-35"/>
    <n v="2660"/>
    <n v="0"/>
    <n v="0"/>
    <n v="0"/>
    <n v="1"/>
    <n v="0"/>
    <n v="0"/>
    <n v="1"/>
    <n v="0"/>
    <n v="0"/>
    <n v="28"/>
    <d v="2015-07-04T00:00:00"/>
  </r>
  <r>
    <n v="1298"/>
    <n v="41658"/>
    <n v="43"/>
    <n v="1.0322147006577367E-3"/>
    <x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x v="1"/>
    <x v="16"/>
    <s v="36-50"/>
    <n v="2756"/>
    <n v="0"/>
    <n v="0"/>
    <n v="1"/>
    <n v="0"/>
    <n v="0"/>
    <n v="1"/>
    <n v="0"/>
    <n v="0"/>
    <n v="0"/>
    <n v="14"/>
    <d v="2015-03-30T00:00:00"/>
  </r>
  <r>
    <n v="1320"/>
    <n v="24639"/>
    <n v="43"/>
    <n v="1.7452006980802793E-3"/>
    <x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x v="1"/>
    <x v="30"/>
    <s v="36-50"/>
    <n v="2311"/>
    <n v="0"/>
    <n v="1"/>
    <n v="0"/>
    <n v="0"/>
    <n v="0"/>
    <n v="0"/>
    <n v="1"/>
    <n v="0"/>
    <n v="0"/>
    <n v="42"/>
    <d v="2016-06-17T00:00:00"/>
  </r>
  <r>
    <n v="1363"/>
    <n v="23162"/>
    <n v="43"/>
    <n v="1.8564890769363614E-3"/>
    <x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x v="1"/>
    <x v="2"/>
    <s v="36-50"/>
    <n v="2349"/>
    <n v="0"/>
    <n v="1"/>
    <n v="0"/>
    <n v="0"/>
    <n v="0"/>
    <n v="1"/>
    <n v="0"/>
    <n v="0"/>
    <n v="0"/>
    <n v="21"/>
    <d v="2016-05-10T00:00:00"/>
  </r>
  <r>
    <n v="1845"/>
    <n v="32765"/>
    <n v="43"/>
    <n v="1.312376010987334E-3"/>
    <x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x v="1"/>
    <x v="19"/>
    <s v="36-50"/>
    <n v="2285"/>
    <n v="0"/>
    <n v="1"/>
    <n v="0"/>
    <n v="0"/>
    <n v="0"/>
    <n v="0"/>
    <n v="0"/>
    <n v="1"/>
    <n v="0"/>
    <n v="40"/>
    <d v="2016-07-13T00:00:00"/>
  </r>
  <r>
    <n v="1847"/>
    <n v="20981"/>
    <n v="43"/>
    <n v="2.0494733330155856E-3"/>
    <x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x v="0"/>
    <x v="13"/>
    <s v="36-50"/>
    <n v="2584"/>
    <n v="0"/>
    <n v="0"/>
    <n v="0"/>
    <n v="1"/>
    <n v="0"/>
    <n v="1"/>
    <n v="0"/>
    <n v="0"/>
    <n v="0"/>
    <n v="13"/>
    <d v="2015-09-18T00:00:00"/>
  </r>
  <r>
    <n v="45"/>
    <n v="41728"/>
    <n v="42"/>
    <n v="1.0065184049079755E-3"/>
    <x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x v="1"/>
    <x v="14"/>
    <s v="51-66"/>
    <n v="2560"/>
    <n v="0"/>
    <n v="0"/>
    <n v="0"/>
    <n v="1"/>
    <n v="0"/>
    <n v="0"/>
    <n v="1"/>
    <n v="0"/>
    <n v="0"/>
    <n v="29"/>
    <d v="2015-10-12T00:00:00"/>
  </r>
  <r>
    <n v="341"/>
    <n v="31615"/>
    <n v="42"/>
    <n v="1.3284833148821762E-3"/>
    <x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x v="1"/>
    <x v="7"/>
    <s v="36-50"/>
    <n v="2629"/>
    <n v="1"/>
    <n v="0"/>
    <n v="0"/>
    <n v="0"/>
    <n v="0"/>
    <n v="0"/>
    <n v="1"/>
    <n v="0"/>
    <n v="0"/>
    <n v="33"/>
    <d v="2015-08-04T00:00:00"/>
  </r>
  <r>
    <n v="489"/>
    <n v="30630"/>
    <n v="42"/>
    <n v="1.3712047012732615E-3"/>
    <x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x v="1"/>
    <x v="47"/>
    <s v="51-66"/>
    <n v="2312"/>
    <n v="1"/>
    <n v="0"/>
    <n v="0"/>
    <n v="0"/>
    <n v="0"/>
    <n v="0"/>
    <n v="1"/>
    <n v="0"/>
    <n v="0"/>
    <n v="32"/>
    <d v="2016-06-16T00:00:00"/>
  </r>
  <r>
    <n v="545"/>
    <n v="13260"/>
    <n v="42"/>
    <n v="3.167420814479638E-3"/>
    <x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x v="1"/>
    <x v="2"/>
    <s v="36-50"/>
    <n v="2469"/>
    <n v="0"/>
    <n v="1"/>
    <n v="0"/>
    <n v="0"/>
    <n v="0"/>
    <n v="0"/>
    <n v="1"/>
    <n v="0"/>
    <n v="0"/>
    <n v="35"/>
    <d v="2016-01-11T00:00:00"/>
  </r>
  <r>
    <n v="612"/>
    <n v="29103"/>
    <n v="42"/>
    <n v="1.4431501907019894E-3"/>
    <x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x v="1"/>
    <x v="23"/>
    <s v="24-35"/>
    <n v="2830"/>
    <n v="0"/>
    <n v="0"/>
    <n v="0"/>
    <n v="1"/>
    <n v="0"/>
    <n v="0"/>
    <n v="1"/>
    <n v="0"/>
    <n v="0"/>
    <n v="36"/>
    <d v="2015-01-15T00:00:00"/>
  </r>
  <r>
    <n v="1358"/>
    <n v="28072"/>
    <n v="42"/>
    <n v="1.4961527500712453E-3"/>
    <x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x v="1"/>
    <x v="18"/>
    <s v="24-35"/>
    <n v="2515"/>
    <n v="0"/>
    <n v="1"/>
    <n v="0"/>
    <n v="0"/>
    <n v="0"/>
    <n v="0"/>
    <n v="0"/>
    <n v="1"/>
    <n v="0"/>
    <n v="37"/>
    <d v="2015-11-26T00:00:00"/>
  </r>
  <r>
    <n v="1849"/>
    <n v="22585"/>
    <n v="42"/>
    <n v="1.8596413548815586E-3"/>
    <x v="0"/>
    <n v="0"/>
    <n v="23"/>
    <n v="3"/>
    <n v="9"/>
    <n v="15"/>
    <n v="13"/>
    <n v="2"/>
    <n v="39"/>
    <n v="1"/>
    <n v="1"/>
    <n v="1"/>
    <n v="2"/>
    <n v="9"/>
    <n v="0"/>
    <n v="0"/>
    <n v="1"/>
    <n v="0"/>
    <n v="0"/>
    <n v="0"/>
    <x v="0"/>
    <x v="2"/>
    <s v="36-50"/>
    <n v="2627"/>
    <n v="0"/>
    <n v="0"/>
    <n v="1"/>
    <n v="0"/>
    <n v="0"/>
    <n v="0"/>
    <n v="1"/>
    <n v="0"/>
    <n v="0"/>
    <n v="3"/>
    <d v="2015-08-06T00:00:00"/>
  </r>
  <r>
    <n v="1861"/>
    <n v="29009"/>
    <n v="42"/>
    <n v="1.4478265365920921E-3"/>
    <x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x v="1"/>
    <x v="43"/>
    <s v="36-50"/>
    <n v="2371"/>
    <n v="0"/>
    <n v="1"/>
    <n v="0"/>
    <n v="0"/>
    <n v="0"/>
    <n v="0"/>
    <n v="1"/>
    <n v="0"/>
    <n v="0"/>
    <n v="40"/>
    <d v="2016-04-18T00:00:00"/>
  </r>
  <r>
    <n v="14"/>
    <n v="17323"/>
    <n v="41"/>
    <n v="2.366795589678462E-3"/>
    <x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x v="1"/>
    <x v="36"/>
    <s v="24-35"/>
    <n v="2786"/>
    <n v="0"/>
    <n v="1"/>
    <n v="0"/>
    <n v="0"/>
    <n v="0"/>
    <n v="0"/>
    <n v="1"/>
    <n v="0"/>
    <n v="0"/>
    <n v="36"/>
    <d v="2015-02-28T00:00:00"/>
  </r>
  <r>
    <n v="112"/>
    <n v="30992"/>
    <n v="41"/>
    <n v="1.3229220443985545E-3"/>
    <x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  <x v="7"/>
    <s v="36-50"/>
    <n v="2592"/>
    <n v="1"/>
    <n v="0"/>
    <n v="0"/>
    <n v="0"/>
    <n v="0"/>
    <n v="0"/>
    <n v="1"/>
    <n v="0"/>
    <n v="0"/>
    <n v="39"/>
    <d v="2015-09-10T00:00:00"/>
  </r>
  <r>
    <n v="157"/>
    <n v="28718"/>
    <n v="41"/>
    <n v="1.4276760220071035E-3"/>
    <x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x v="1"/>
    <x v="31"/>
    <s v="36-50"/>
    <n v="2510"/>
    <n v="0"/>
    <n v="1"/>
    <n v="0"/>
    <n v="0"/>
    <n v="0"/>
    <n v="0"/>
    <n v="1"/>
    <n v="0"/>
    <n v="0"/>
    <n v="25"/>
    <d v="2015-12-01T00:00:00"/>
  </r>
  <r>
    <n v="282"/>
    <n v="23976"/>
    <n v="41"/>
    <n v="1.7100433767100434E-3"/>
    <x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x v="1"/>
    <x v="39"/>
    <s v="36-50"/>
    <n v="2343"/>
    <n v="0"/>
    <n v="0"/>
    <n v="0"/>
    <n v="1"/>
    <n v="0"/>
    <n v="0"/>
    <n v="1"/>
    <n v="0"/>
    <n v="0"/>
    <n v="16"/>
    <d v="2016-05-16T00:00:00"/>
  </r>
  <r>
    <n v="313"/>
    <n v="30675"/>
    <n v="41"/>
    <n v="1.3365933170334148E-3"/>
    <x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x v="1"/>
    <x v="9"/>
    <s v="36-50"/>
    <n v="2753"/>
    <n v="0"/>
    <n v="1"/>
    <n v="0"/>
    <n v="0"/>
    <n v="0"/>
    <n v="0"/>
    <n v="1"/>
    <n v="0"/>
    <n v="0"/>
    <n v="20"/>
    <d v="2015-04-02T00:00:00"/>
  </r>
  <r>
    <n v="466"/>
    <n v="55563"/>
    <n v="41"/>
    <n v="7.3790112124975254E-4"/>
    <x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x v="1"/>
    <x v="37"/>
    <s v="36-50"/>
    <n v="2244"/>
    <n v="1"/>
    <n v="0"/>
    <n v="0"/>
    <n v="0"/>
    <n v="0"/>
    <n v="0"/>
    <n v="1"/>
    <n v="0"/>
    <n v="0"/>
    <n v="39"/>
    <d v="2016-08-23T00:00:00"/>
  </r>
  <r>
    <n v="623"/>
    <n v="18690"/>
    <n v="41"/>
    <n v="2.1936864633493847E-3"/>
    <x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  <x v="29"/>
    <s v="51-66"/>
    <n v="2707"/>
    <n v="0"/>
    <n v="1"/>
    <n v="0"/>
    <n v="0"/>
    <n v="0"/>
    <n v="0"/>
    <n v="1"/>
    <n v="0"/>
    <n v="0"/>
    <n v="22"/>
    <d v="2015-05-18T00:00:00"/>
  </r>
  <r>
    <n v="737"/>
    <n v="17144"/>
    <n v="41"/>
    <n v="2.3915072328511431E-3"/>
    <x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  <x v="24"/>
    <s v="51-66"/>
    <n v="2293"/>
    <n v="0"/>
    <n v="0"/>
    <n v="0"/>
    <n v="1"/>
    <n v="0"/>
    <n v="0"/>
    <n v="0"/>
    <n v="1"/>
    <n v="0"/>
    <n v="35"/>
    <d v="2016-07-05T00:00:00"/>
  </r>
  <r>
    <n v="803"/>
    <n v="38576"/>
    <n v="41"/>
    <n v="1.0628369970966404E-3"/>
    <x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x v="1"/>
    <x v="30"/>
    <s v="36-50"/>
    <n v="2276"/>
    <n v="0"/>
    <n v="1"/>
    <n v="0"/>
    <n v="0"/>
    <n v="0"/>
    <n v="0"/>
    <n v="0"/>
    <n v="1"/>
    <n v="0"/>
    <n v="41"/>
    <d v="2016-07-22T00:00:00"/>
  </r>
  <r>
    <n v="819"/>
    <n v="21675"/>
    <n v="41"/>
    <n v="1.8915801614763552E-3"/>
    <x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x v="1"/>
    <x v="7"/>
    <s v="36-50"/>
    <n v="2177"/>
    <n v="0"/>
    <n v="0"/>
    <n v="0"/>
    <n v="1"/>
    <n v="0"/>
    <n v="0"/>
    <n v="1"/>
    <n v="0"/>
    <n v="0"/>
    <n v="37"/>
    <d v="2016-10-29T00:00:00"/>
  </r>
  <r>
    <n v="946"/>
    <n v="19514"/>
    <n v="41"/>
    <n v="2.1010556523521572E-3"/>
    <x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x v="1"/>
    <x v="14"/>
    <s v="51-66"/>
    <n v="2313"/>
    <n v="0"/>
    <n v="1"/>
    <n v="0"/>
    <n v="0"/>
    <n v="0"/>
    <n v="0"/>
    <n v="1"/>
    <n v="0"/>
    <n v="0"/>
    <n v="13"/>
    <d v="2016-06-15T00:00:00"/>
  </r>
  <r>
    <n v="952"/>
    <n v="38196"/>
    <n v="41"/>
    <n v="1.0734108283589905E-3"/>
    <x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x v="1"/>
    <x v="28"/>
    <s v="36-50"/>
    <n v="2231"/>
    <n v="0"/>
    <n v="1"/>
    <n v="0"/>
    <n v="0"/>
    <n v="0"/>
    <n v="0"/>
    <n v="0"/>
    <n v="1"/>
    <n v="0"/>
    <n v="38"/>
    <d v="2016-09-05T00:00:00"/>
  </r>
  <r>
    <n v="1064"/>
    <n v="42693"/>
    <n v="41"/>
    <n v="9.6034478720164894E-4"/>
    <x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x v="1"/>
    <x v="37"/>
    <s v="36-50"/>
    <n v="2181"/>
    <n v="0"/>
    <n v="1"/>
    <n v="0"/>
    <n v="0"/>
    <n v="0"/>
    <n v="0"/>
    <n v="1"/>
    <n v="0"/>
    <n v="0"/>
    <n v="25"/>
    <d v="2016-10-25T00:00:00"/>
  </r>
  <r>
    <n v="1235"/>
    <n v="37235"/>
    <n v="41"/>
    <n v="1.1011145427689002E-3"/>
    <x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x v="1"/>
    <x v="39"/>
    <s v="36-50"/>
    <n v="2307"/>
    <n v="0"/>
    <n v="0"/>
    <n v="0"/>
    <n v="1"/>
    <n v="0"/>
    <n v="0"/>
    <n v="1"/>
    <n v="0"/>
    <n v="0"/>
    <n v="21"/>
    <d v="2016-06-21T00:00:00"/>
  </r>
  <r>
    <n v="1292"/>
    <n v="20895"/>
    <n v="41"/>
    <n v="1.9621919119406557E-3"/>
    <x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x v="1"/>
    <x v="30"/>
    <s v="36-50"/>
    <n v="2790"/>
    <n v="0"/>
    <n v="1"/>
    <n v="0"/>
    <n v="0"/>
    <n v="0"/>
    <n v="0"/>
    <n v="1"/>
    <n v="0"/>
    <n v="0"/>
    <n v="37"/>
    <d v="2015-02-24T00:00:00"/>
  </r>
  <r>
    <n v="1450"/>
    <n v="27161"/>
    <n v="41"/>
    <n v="1.5095173226317147E-3"/>
    <x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x v="1"/>
    <x v="18"/>
    <s v="24-35"/>
    <n v="2403"/>
    <n v="0"/>
    <n v="1"/>
    <n v="0"/>
    <n v="0"/>
    <n v="0"/>
    <n v="0"/>
    <n v="0"/>
    <n v="1"/>
    <n v="0"/>
    <n v="30"/>
    <d v="2016-03-17T00:00:00"/>
  </r>
  <r>
    <n v="1738"/>
    <n v="35701"/>
    <n v="41"/>
    <n v="1.1484272149239517E-3"/>
    <x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x v="1"/>
    <x v="29"/>
    <s v="51-66"/>
    <n v="2626"/>
    <n v="0"/>
    <n v="1"/>
    <n v="0"/>
    <n v="0"/>
    <n v="0"/>
    <n v="0"/>
    <n v="1"/>
    <n v="0"/>
    <n v="0"/>
    <n v="36"/>
    <d v="2015-08-07T00:00:00"/>
  </r>
  <r>
    <n v="1867"/>
    <n v="35178"/>
    <n v="41"/>
    <n v="1.1655011655011655E-3"/>
    <x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x v="0"/>
    <x v="28"/>
    <s v="36-50"/>
    <n v="2694"/>
    <n v="0"/>
    <n v="1"/>
    <n v="0"/>
    <n v="0"/>
    <n v="0"/>
    <n v="0"/>
    <n v="0"/>
    <n v="1"/>
    <n v="0"/>
    <n v="23"/>
    <d v="2015-05-31T00:00:00"/>
  </r>
  <r>
    <n v="1877"/>
    <n v="42554"/>
    <n v="41"/>
    <n v="9.6348169384781685E-4"/>
    <x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x v="1"/>
    <x v="37"/>
    <s v="36-50"/>
    <n v="2692"/>
    <n v="0"/>
    <n v="0"/>
    <n v="0"/>
    <n v="1"/>
    <n v="0"/>
    <n v="0"/>
    <n v="1"/>
    <n v="0"/>
    <n v="0"/>
    <n v="41"/>
    <d v="2015-06-02T00:00:00"/>
  </r>
  <r>
    <n v="1885"/>
    <n v="19514"/>
    <n v="41"/>
    <n v="2.1010556523521572E-3"/>
    <x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x v="0"/>
    <x v="14"/>
    <s v="51-66"/>
    <n v="2313"/>
    <n v="0"/>
    <n v="1"/>
    <n v="0"/>
    <n v="0"/>
    <n v="0"/>
    <n v="0"/>
    <n v="1"/>
    <n v="0"/>
    <n v="0"/>
    <n v="13"/>
    <d v="2016-06-15T00:00:00"/>
  </r>
  <r>
    <n v="268"/>
    <n v="32414"/>
    <n v="40"/>
    <n v="1.2340346763744061E-3"/>
    <x v="0"/>
    <n v="0"/>
    <n v="11"/>
    <n v="20"/>
    <n v="6"/>
    <n v="5"/>
    <n v="0"/>
    <n v="9"/>
    <n v="12"/>
    <n v="1"/>
    <n v="1"/>
    <n v="0"/>
    <n v="3"/>
    <n v="7"/>
    <n v="0"/>
    <n v="0"/>
    <n v="1"/>
    <n v="0"/>
    <n v="0"/>
    <n v="0"/>
    <x v="1"/>
    <x v="39"/>
    <s v="36-50"/>
    <n v="2519"/>
    <n v="0"/>
    <n v="0"/>
    <n v="0"/>
    <n v="1"/>
    <n v="0"/>
    <n v="1"/>
    <n v="0"/>
    <n v="0"/>
    <n v="0"/>
    <n v="28"/>
    <d v="2015-11-22T00:00:00"/>
  </r>
  <r>
    <n v="407"/>
    <n v="50943"/>
    <n v="40"/>
    <n v="7.8519129222856922E-4"/>
    <x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  <x v="5"/>
    <s v="51-66"/>
    <n v="2532"/>
    <n v="0"/>
    <n v="0"/>
    <n v="0"/>
    <n v="1"/>
    <n v="0"/>
    <n v="0"/>
    <n v="0"/>
    <n v="1"/>
    <n v="0"/>
    <n v="34"/>
    <d v="2015-11-09T00:00:00"/>
  </r>
  <r>
    <n v="443"/>
    <n v="38415"/>
    <n v="40"/>
    <n v="1.0412599245086555E-3"/>
    <x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x v="1"/>
    <x v="37"/>
    <s v="36-50"/>
    <n v="2702"/>
    <n v="0"/>
    <n v="1"/>
    <n v="0"/>
    <n v="0"/>
    <n v="0"/>
    <n v="0"/>
    <n v="1"/>
    <n v="0"/>
    <n v="0"/>
    <n v="36"/>
    <d v="2015-05-23T00:00:00"/>
  </r>
  <r>
    <n v="470"/>
    <n v="27203"/>
    <n v="40"/>
    <n v="1.4704260559497114E-3"/>
    <x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x v="1"/>
    <x v="51"/>
    <s v="66+"/>
    <n v="2851"/>
    <n v="0"/>
    <n v="0"/>
    <n v="0"/>
    <n v="1"/>
    <n v="0"/>
    <n v="0"/>
    <n v="1"/>
    <n v="0"/>
    <n v="0"/>
    <n v="16"/>
    <d v="2014-12-25T00:00:00"/>
  </r>
  <r>
    <n v="494"/>
    <n v="32880"/>
    <n v="40"/>
    <n v="1.2165450121654502E-3"/>
    <x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x v="1"/>
    <x v="18"/>
    <s v="24-35"/>
    <n v="2731"/>
    <n v="0"/>
    <n v="1"/>
    <n v="0"/>
    <n v="0"/>
    <n v="0"/>
    <n v="0"/>
    <n v="1"/>
    <n v="0"/>
    <n v="0"/>
    <n v="38"/>
    <d v="2015-04-24T00:00:00"/>
  </r>
  <r>
    <n v="503"/>
    <n v="28567"/>
    <n v="40"/>
    <n v="1.4002170336402141E-3"/>
    <x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x v="1"/>
    <x v="31"/>
    <s v="36-50"/>
    <n v="2536"/>
    <n v="0"/>
    <n v="0"/>
    <n v="1"/>
    <n v="0"/>
    <n v="0"/>
    <n v="0"/>
    <n v="1"/>
    <n v="0"/>
    <n v="0"/>
    <n v="34"/>
    <d v="2015-11-05T00:00:00"/>
  </r>
  <r>
    <n v="736"/>
    <n v="20425"/>
    <n v="40"/>
    <n v="1.9583843329253367E-3"/>
    <x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  <x v="18"/>
    <s v="24-35"/>
    <n v="2767"/>
    <n v="0"/>
    <n v="1"/>
    <n v="0"/>
    <n v="0"/>
    <n v="0"/>
    <n v="0"/>
    <n v="0"/>
    <n v="0"/>
    <n v="0"/>
    <n v="23"/>
    <d v="2015-03-19T00:00:00"/>
  </r>
  <r>
    <n v="761"/>
    <n v="26872"/>
    <n v="40"/>
    <n v="1.4885382554331646E-3"/>
    <x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x v="1"/>
    <x v="43"/>
    <s v="36-50"/>
    <n v="2415"/>
    <n v="0"/>
    <n v="1"/>
    <n v="0"/>
    <n v="0"/>
    <n v="0"/>
    <n v="0"/>
    <n v="1"/>
    <n v="0"/>
    <n v="0"/>
    <n v="8"/>
    <d v="2016-03-05T00:00:00"/>
  </r>
  <r>
    <n v="807"/>
    <n v="23228"/>
    <n v="40"/>
    <n v="1.7220595832615809E-3"/>
    <x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x v="1"/>
    <x v="3"/>
    <s v="51-66"/>
    <n v="2313"/>
    <n v="0"/>
    <n v="0"/>
    <n v="0"/>
    <n v="1"/>
    <n v="0"/>
    <n v="0"/>
    <n v="1"/>
    <n v="0"/>
    <n v="0"/>
    <n v="40"/>
    <d v="2016-06-15T00:00:00"/>
  </r>
  <r>
    <n v="865"/>
    <n v="46015"/>
    <n v="40"/>
    <n v="8.6928175594914699E-4"/>
    <x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x v="1"/>
    <x v="38"/>
    <s v="51-66"/>
    <n v="2236"/>
    <n v="0"/>
    <n v="0"/>
    <n v="0"/>
    <n v="1"/>
    <n v="0"/>
    <n v="0"/>
    <n v="0"/>
    <n v="0"/>
    <n v="1"/>
    <n v="34"/>
    <d v="2016-08-31T00:00:00"/>
  </r>
  <r>
    <n v="897"/>
    <n v="46106"/>
    <n v="40"/>
    <n v="8.6756604346505876E-4"/>
    <x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x v="1"/>
    <x v="7"/>
    <s v="36-50"/>
    <n v="2208"/>
    <n v="0"/>
    <n v="0"/>
    <n v="0"/>
    <n v="1"/>
    <n v="0"/>
    <n v="0"/>
    <n v="0"/>
    <n v="1"/>
    <n v="0"/>
    <n v="26"/>
    <d v="2016-09-28T00:00:00"/>
  </r>
  <r>
    <n v="930"/>
    <n v="35340"/>
    <n v="40"/>
    <n v="1.1318619128466328E-3"/>
    <x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x v="1"/>
    <x v="5"/>
    <s v="51-66"/>
    <n v="2159"/>
    <n v="0"/>
    <n v="0"/>
    <n v="0"/>
    <n v="0"/>
    <n v="1"/>
    <n v="0"/>
    <n v="0"/>
    <n v="0"/>
    <n v="1"/>
    <n v="35"/>
    <d v="2016-11-16T00:00:00"/>
  </r>
  <r>
    <n v="1038"/>
    <n v="30023"/>
    <n v="40"/>
    <n v="1.3323118942144357E-3"/>
    <x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x v="1"/>
    <x v="9"/>
    <s v="36-50"/>
    <n v="2256"/>
    <n v="0"/>
    <n v="1"/>
    <n v="0"/>
    <n v="0"/>
    <n v="0"/>
    <n v="0"/>
    <n v="1"/>
    <n v="0"/>
    <n v="0"/>
    <n v="19"/>
    <d v="2016-08-11T00:00:00"/>
  </r>
  <r>
    <n v="1274"/>
    <n v="17256"/>
    <n v="40"/>
    <n v="2.3180343069077423E-3"/>
    <x v="1"/>
    <n v="0"/>
    <n v="10"/>
    <n v="6"/>
    <n v="4"/>
    <n v="14"/>
    <n v="8"/>
    <n v="8"/>
    <n v="22"/>
    <n v="2"/>
    <n v="2"/>
    <n v="1"/>
    <n v="2"/>
    <n v="8"/>
    <n v="0"/>
    <n v="0"/>
    <n v="1"/>
    <n v="0"/>
    <n v="0"/>
    <n v="0"/>
    <x v="1"/>
    <x v="17"/>
    <s v="24-35"/>
    <n v="2377"/>
    <n v="0"/>
    <n v="1"/>
    <n v="0"/>
    <n v="0"/>
    <n v="0"/>
    <n v="0"/>
    <n v="0"/>
    <n v="0"/>
    <n v="0"/>
    <n v="18"/>
    <d v="2016-04-12T00:00:00"/>
  </r>
  <r>
    <n v="1529"/>
    <n v="36732"/>
    <n v="40"/>
    <n v="1.0889687465969727E-3"/>
    <x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x v="1"/>
    <x v="29"/>
    <s v="51-66"/>
    <n v="2341"/>
    <n v="0"/>
    <n v="1"/>
    <n v="0"/>
    <n v="0"/>
    <n v="0"/>
    <n v="0"/>
    <n v="0"/>
    <n v="0"/>
    <n v="1"/>
    <n v="33"/>
    <d v="2016-05-18T00:00:00"/>
  </r>
  <r>
    <n v="1609"/>
    <n v="38725"/>
    <n v="40"/>
    <n v="1.0329244673983216E-3"/>
    <x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x v="1"/>
    <x v="38"/>
    <s v="51-66"/>
    <n v="2209"/>
    <n v="0"/>
    <n v="1"/>
    <n v="0"/>
    <n v="0"/>
    <n v="0"/>
    <n v="0"/>
    <n v="0"/>
    <n v="0"/>
    <n v="1"/>
    <n v="35"/>
    <d v="2016-09-27T00:00:00"/>
  </r>
  <r>
    <n v="1708"/>
    <n v="44503"/>
    <n v="40"/>
    <n v="8.9881581017010089E-4"/>
    <x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x v="1"/>
    <x v="9"/>
    <s v="36-50"/>
    <n v="2233"/>
    <n v="0"/>
    <n v="0"/>
    <n v="1"/>
    <n v="0"/>
    <n v="0"/>
    <n v="0"/>
    <n v="1"/>
    <n v="0"/>
    <n v="0"/>
    <n v="32"/>
    <d v="2016-09-03T00:00:00"/>
  </r>
  <r>
    <n v="1745"/>
    <n v="36038"/>
    <n v="40"/>
    <n v="1.1099395082967978E-3"/>
    <x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x v="1"/>
    <x v="43"/>
    <s v="36-50"/>
    <n v="2553"/>
    <n v="0"/>
    <n v="0"/>
    <n v="1"/>
    <n v="0"/>
    <n v="0"/>
    <n v="0"/>
    <n v="0"/>
    <n v="0"/>
    <n v="1"/>
    <n v="33"/>
    <d v="2015-10-19T00:00:00"/>
  </r>
  <r>
    <n v="1918"/>
    <n v="27733"/>
    <n v="40"/>
    <n v="1.4423250279450475E-3"/>
    <x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x v="1"/>
    <x v="43"/>
    <s v="36-50"/>
    <n v="2466"/>
    <n v="0"/>
    <n v="1"/>
    <n v="0"/>
    <n v="0"/>
    <n v="0"/>
    <n v="1"/>
    <n v="0"/>
    <n v="0"/>
    <n v="0"/>
    <n v="23"/>
    <d v="2016-01-14T00:00:00"/>
  </r>
  <r>
    <n v="1938"/>
    <n v="35788"/>
    <n v="40"/>
    <n v="1.1176930814798256E-3"/>
    <x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x v="1"/>
    <x v="28"/>
    <s v="36-50"/>
    <n v="2316"/>
    <n v="0"/>
    <n v="1"/>
    <n v="0"/>
    <n v="0"/>
    <n v="0"/>
    <n v="0"/>
    <n v="1"/>
    <n v="0"/>
    <n v="0"/>
    <n v="36"/>
    <d v="2016-06-12T00:00:00"/>
  </r>
  <r>
    <n v="1976"/>
    <n v="53233"/>
    <n v="40"/>
    <n v="7.5141359682903458E-4"/>
    <x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x v="1"/>
    <x v="12"/>
    <s v="51-66"/>
    <n v="2262"/>
    <n v="0"/>
    <n v="1"/>
    <n v="0"/>
    <n v="0"/>
    <n v="0"/>
    <n v="1"/>
    <n v="0"/>
    <n v="0"/>
    <n v="0"/>
    <n v="40"/>
    <d v="2016-08-05T00:00:00"/>
  </r>
  <r>
    <n v="188"/>
    <n v="29604"/>
    <n v="39"/>
    <n v="1.31738954195379E-3"/>
    <x v="1"/>
    <n v="0"/>
    <n v="88"/>
    <n v="7"/>
    <n v="6"/>
    <n v="13"/>
    <n v="7"/>
    <n v="6"/>
    <n v="14"/>
    <n v="1"/>
    <n v="1"/>
    <n v="0"/>
    <n v="3"/>
    <n v="9"/>
    <n v="0"/>
    <n v="0"/>
    <n v="1"/>
    <n v="0"/>
    <n v="0"/>
    <n v="0"/>
    <x v="1"/>
    <x v="0"/>
    <s v="24-35"/>
    <n v="2362"/>
    <n v="0"/>
    <n v="0"/>
    <n v="0"/>
    <n v="1"/>
    <n v="0"/>
    <n v="0"/>
    <n v="1"/>
    <n v="0"/>
    <n v="0"/>
    <n v="25"/>
    <d v="2016-04-27T00:00:00"/>
  </r>
  <r>
    <n v="321"/>
    <n v="44300"/>
    <n v="39"/>
    <n v="8.8036117381489842E-4"/>
    <x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x v="1"/>
    <x v="47"/>
    <s v="51-66"/>
    <n v="2530"/>
    <n v="0"/>
    <n v="1"/>
    <n v="0"/>
    <n v="0"/>
    <n v="0"/>
    <n v="0"/>
    <n v="1"/>
    <n v="0"/>
    <n v="0"/>
    <n v="36"/>
    <d v="2015-11-11T00:00:00"/>
  </r>
  <r>
    <n v="330"/>
    <n v="38643"/>
    <n v="39"/>
    <n v="1.0092384131666797E-3"/>
    <x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x v="1"/>
    <x v="37"/>
    <s v="36-50"/>
    <n v="2371"/>
    <n v="0"/>
    <n v="0"/>
    <n v="1"/>
    <n v="0"/>
    <n v="0"/>
    <n v="0"/>
    <n v="1"/>
    <n v="0"/>
    <n v="0"/>
    <n v="29"/>
    <d v="2016-04-18T00:00:00"/>
  </r>
  <r>
    <n v="353"/>
    <n v="30822"/>
    <n v="39"/>
    <n v="1.265329959120109E-3"/>
    <x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x v="1"/>
    <x v="3"/>
    <s v="51-66"/>
    <n v="2539"/>
    <n v="0"/>
    <n v="0"/>
    <n v="1"/>
    <n v="0"/>
    <n v="0"/>
    <n v="0"/>
    <n v="1"/>
    <n v="0"/>
    <n v="0"/>
    <n v="27"/>
    <d v="2015-11-02T00:00:00"/>
  </r>
  <r>
    <n v="378"/>
    <n v="48006"/>
    <n v="39"/>
    <n v="8.1239845019372581E-4"/>
    <x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x v="1"/>
    <x v="47"/>
    <s v="51-66"/>
    <n v="2179"/>
    <n v="0"/>
    <n v="1"/>
    <n v="0"/>
    <n v="0"/>
    <n v="0"/>
    <n v="0"/>
    <n v="1"/>
    <n v="0"/>
    <n v="0"/>
    <n v="37"/>
    <d v="2016-10-27T00:00:00"/>
  </r>
  <r>
    <n v="661"/>
    <n v="35682"/>
    <n v="39"/>
    <n v="1.0929880612073313E-3"/>
    <x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x v="1"/>
    <x v="2"/>
    <s v="36-50"/>
    <n v="2161"/>
    <n v="1"/>
    <n v="0"/>
    <n v="0"/>
    <n v="0"/>
    <n v="0"/>
    <n v="0"/>
    <n v="0"/>
    <n v="0"/>
    <n v="1"/>
    <n v="21"/>
    <d v="2016-11-14T00:00:00"/>
  </r>
  <r>
    <n v="729"/>
    <n v="51124"/>
    <n v="39"/>
    <n v="7.6285110711211957E-4"/>
    <x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x v="1"/>
    <x v="38"/>
    <s v="51-66"/>
    <n v="2352"/>
    <n v="0"/>
    <n v="0"/>
    <n v="1"/>
    <n v="0"/>
    <n v="0"/>
    <n v="0"/>
    <n v="0"/>
    <n v="1"/>
    <n v="0"/>
    <n v="35"/>
    <d v="2016-05-07T00:00:00"/>
  </r>
  <r>
    <n v="805"/>
    <n v="37758"/>
    <n v="39"/>
    <n v="1.0328936914031463E-3"/>
    <x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  <x v="22"/>
    <s v="51-66"/>
    <n v="2792"/>
    <n v="0"/>
    <n v="0"/>
    <n v="0"/>
    <n v="1"/>
    <n v="0"/>
    <n v="0"/>
    <n v="1"/>
    <n v="0"/>
    <n v="0"/>
    <n v="38"/>
    <d v="2015-02-22T00:00:00"/>
  </r>
  <r>
    <n v="971"/>
    <n v="31056"/>
    <n v="39"/>
    <n v="1.2557959814528594E-3"/>
    <x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x v="1"/>
    <x v="13"/>
    <s v="36-50"/>
    <n v="2682"/>
    <n v="0"/>
    <n v="1"/>
    <n v="0"/>
    <n v="0"/>
    <n v="0"/>
    <n v="1"/>
    <n v="0"/>
    <n v="0"/>
    <n v="0"/>
    <n v="23"/>
    <d v="2015-06-12T00:00:00"/>
  </r>
  <r>
    <n v="1008"/>
    <n v="39722"/>
    <n v="39"/>
    <n v="9.818236745380393E-4"/>
    <x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x v="1"/>
    <x v="10"/>
    <s v="66+"/>
    <n v="2284"/>
    <n v="0"/>
    <n v="1"/>
    <n v="0"/>
    <n v="0"/>
    <n v="0"/>
    <n v="0"/>
    <n v="1"/>
    <n v="0"/>
    <n v="0"/>
    <n v="31"/>
    <d v="2016-07-14T00:00:00"/>
  </r>
  <r>
    <n v="1133"/>
    <n v="40451"/>
    <n v="39"/>
    <n v="9.6412944055771182E-4"/>
    <x v="0"/>
    <n v="2"/>
    <n v="54"/>
    <n v="35"/>
    <n v="0"/>
    <n v="4"/>
    <n v="0"/>
    <n v="0"/>
    <n v="10"/>
    <n v="1"/>
    <n v="1"/>
    <n v="1"/>
    <n v="2"/>
    <n v="5"/>
    <n v="0"/>
    <n v="0"/>
    <n v="1"/>
    <n v="0"/>
    <n v="0"/>
    <n v="0"/>
    <x v="1"/>
    <x v="12"/>
    <s v="51-66"/>
    <n v="2292"/>
    <n v="0"/>
    <n v="0"/>
    <n v="0"/>
    <n v="1"/>
    <n v="0"/>
    <n v="0"/>
    <n v="0"/>
    <n v="0"/>
    <n v="1"/>
    <n v="29"/>
    <d v="2016-07-06T00:00:00"/>
  </r>
  <r>
    <n v="1183"/>
    <n v="31454"/>
    <n v="39"/>
    <n v="1.2399058943218669E-3"/>
    <x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x v="1"/>
    <x v="24"/>
    <s v="51-66"/>
    <n v="2517"/>
    <n v="0"/>
    <n v="1"/>
    <n v="0"/>
    <n v="0"/>
    <n v="0"/>
    <n v="0"/>
    <n v="1"/>
    <n v="0"/>
    <n v="0"/>
    <n v="30"/>
    <d v="2015-11-24T00:00:00"/>
  </r>
  <r>
    <n v="1204"/>
    <n v="33986"/>
    <n v="39"/>
    <n v="1.1475313364326487E-3"/>
    <x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x v="1"/>
    <x v="2"/>
    <s v="36-50"/>
    <n v="2631"/>
    <n v="1"/>
    <n v="0"/>
    <n v="0"/>
    <n v="0"/>
    <n v="0"/>
    <n v="0"/>
    <n v="1"/>
    <n v="0"/>
    <n v="0"/>
    <n v="34"/>
    <d v="2015-08-02T00:00:00"/>
  </r>
  <r>
    <n v="1214"/>
    <n v="34043"/>
    <n v="39"/>
    <n v="1.1456099638692241E-3"/>
    <x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x v="1"/>
    <x v="37"/>
    <s v="36-50"/>
    <n v="2406"/>
    <n v="0"/>
    <n v="0"/>
    <n v="0"/>
    <n v="1"/>
    <n v="0"/>
    <n v="0"/>
    <n v="0"/>
    <n v="0"/>
    <n v="1"/>
    <n v="29"/>
    <d v="2016-03-14T00:00:00"/>
  </r>
  <r>
    <n v="1234"/>
    <n v="46094"/>
    <n v="39"/>
    <n v="8.4609710591400183E-4"/>
    <x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x v="1"/>
    <x v="30"/>
    <s v="36-50"/>
    <n v="2178"/>
    <n v="0"/>
    <n v="1"/>
    <n v="0"/>
    <n v="0"/>
    <n v="0"/>
    <n v="1"/>
    <n v="0"/>
    <n v="0"/>
    <n v="0"/>
    <n v="34"/>
    <d v="2016-10-28T00:00:00"/>
  </r>
  <r>
    <n v="1294"/>
    <n v="44964"/>
    <n v="39"/>
    <n v="8.6736055511075529E-4"/>
    <x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x v="1"/>
    <x v="41"/>
    <s v="36-50"/>
    <n v="2719"/>
    <n v="0"/>
    <n v="0"/>
    <n v="0"/>
    <n v="1"/>
    <n v="0"/>
    <n v="0"/>
    <n v="1"/>
    <n v="0"/>
    <n v="0"/>
    <n v="37"/>
    <d v="2015-05-06T00:00:00"/>
  </r>
  <r>
    <n v="1297"/>
    <n v="38887"/>
    <n v="39"/>
    <n v="1.0029058554272636E-3"/>
    <x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x v="1"/>
    <x v="9"/>
    <s v="36-50"/>
    <n v="2278"/>
    <n v="0"/>
    <n v="0"/>
    <n v="0"/>
    <n v="1"/>
    <n v="0"/>
    <n v="0"/>
    <n v="0"/>
    <n v="0"/>
    <n v="1"/>
    <n v="36"/>
    <d v="2016-07-20T00:00:00"/>
  </r>
  <r>
    <n v="1323"/>
    <n v="54132"/>
    <n v="39"/>
    <n v="7.2046109510086451E-4"/>
    <x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x v="1"/>
    <x v="3"/>
    <s v="51-66"/>
    <n v="2292"/>
    <n v="0"/>
    <n v="0"/>
    <n v="0"/>
    <n v="1"/>
    <n v="0"/>
    <n v="0"/>
    <n v="0"/>
    <n v="0"/>
    <n v="1"/>
    <n v="36"/>
    <d v="2016-07-06T00:00:00"/>
  </r>
  <r>
    <n v="1477"/>
    <n v="54072"/>
    <n v="39"/>
    <n v="7.2126054150022188E-4"/>
    <x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x v="1"/>
    <x v="33"/>
    <s v="51-66"/>
    <n v="2496"/>
    <n v="0"/>
    <n v="1"/>
    <n v="0"/>
    <n v="0"/>
    <n v="0"/>
    <n v="0"/>
    <n v="0"/>
    <n v="0"/>
    <n v="1"/>
    <n v="39"/>
    <d v="2015-12-15T00:00:00"/>
  </r>
  <r>
    <n v="1593"/>
    <n v="42403"/>
    <n v="39"/>
    <n v="9.197462443695021E-4"/>
    <x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x v="1"/>
    <x v="28"/>
    <s v="36-50"/>
    <n v="2359"/>
    <n v="0"/>
    <n v="1"/>
    <n v="0"/>
    <n v="0"/>
    <n v="0"/>
    <n v="0"/>
    <n v="0"/>
    <n v="0"/>
    <n v="1"/>
    <n v="36"/>
    <d v="2016-04-30T00:00:00"/>
  </r>
  <r>
    <n v="1710"/>
    <n v="49638"/>
    <n v="39"/>
    <n v="7.8568838389943187E-4"/>
    <x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x v="1"/>
    <x v="50"/>
    <s v="66+"/>
    <n v="2230"/>
    <n v="1"/>
    <n v="0"/>
    <n v="0"/>
    <n v="0"/>
    <n v="0"/>
    <n v="0"/>
    <n v="1"/>
    <n v="0"/>
    <n v="0"/>
    <n v="39"/>
    <d v="2016-09-06T00:00:00"/>
  </r>
  <r>
    <n v="1767"/>
    <n v="28320"/>
    <n v="39"/>
    <n v="1.3771186440677966E-3"/>
    <x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x v="1"/>
    <x v="51"/>
    <s v="66+"/>
    <n v="2690"/>
    <n v="0"/>
    <n v="0"/>
    <n v="0"/>
    <n v="1"/>
    <n v="0"/>
    <n v="0"/>
    <n v="1"/>
    <n v="0"/>
    <n v="0"/>
    <n v="35"/>
    <d v="2015-06-04T00:00:00"/>
  </r>
  <r>
    <n v="1873"/>
    <n v="48794"/>
    <n v="39"/>
    <n v="7.9927859982784771E-4"/>
    <x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x v="1"/>
    <x v="10"/>
    <s v="66+"/>
    <n v="2162"/>
    <n v="0"/>
    <n v="0"/>
    <n v="0"/>
    <n v="1"/>
    <n v="0"/>
    <n v="0"/>
    <n v="1"/>
    <n v="0"/>
    <n v="0"/>
    <n v="24"/>
    <d v="2016-11-13T00:00:00"/>
  </r>
  <r>
    <n v="1899"/>
    <n v="33569"/>
    <n v="39"/>
    <n v="1.1617861717656171E-3"/>
    <x v="1"/>
    <n v="0"/>
    <n v="10"/>
    <n v="16"/>
    <n v="2"/>
    <n v="18"/>
    <n v="3"/>
    <n v="0"/>
    <n v="24"/>
    <n v="1"/>
    <n v="1"/>
    <n v="1"/>
    <n v="2"/>
    <n v="8"/>
    <n v="0"/>
    <n v="0"/>
    <n v="1"/>
    <n v="0"/>
    <n v="0"/>
    <n v="0"/>
    <x v="0"/>
    <x v="20"/>
    <s v="36-50"/>
    <n v="2415"/>
    <n v="0"/>
    <n v="1"/>
    <n v="0"/>
    <n v="0"/>
    <n v="0"/>
    <n v="0"/>
    <n v="0"/>
    <n v="0"/>
    <n v="1"/>
    <n v="15"/>
    <d v="2016-03-05T00:00:00"/>
  </r>
  <r>
    <n v="1895"/>
    <n v="17459"/>
    <n v="39"/>
    <n v="2.2338049143708115E-3"/>
    <x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x v="0"/>
    <x v="16"/>
    <s v="36-50"/>
    <n v="2442"/>
    <n v="0"/>
    <n v="0"/>
    <n v="0"/>
    <n v="1"/>
    <n v="0"/>
    <n v="0"/>
    <n v="0"/>
    <n v="1"/>
    <n v="0"/>
    <n v="9"/>
    <d v="2016-02-07T00:00:00"/>
  </r>
  <r>
    <n v="1898"/>
    <n v="7500"/>
    <n v="39"/>
    <n v="5.1999999999999998E-3"/>
    <x v="1"/>
    <n v="0"/>
    <n v="19"/>
    <n v="7"/>
    <n v="0"/>
    <n v="12"/>
    <n v="13"/>
    <n v="7"/>
    <n v="32"/>
    <n v="5"/>
    <n v="4"/>
    <n v="1"/>
    <n v="2"/>
    <n v="9"/>
    <n v="0"/>
    <n v="0"/>
    <n v="1"/>
    <n v="0"/>
    <n v="0"/>
    <n v="0"/>
    <x v="0"/>
    <x v="7"/>
    <s v="36-50"/>
    <n v="2856"/>
    <n v="0"/>
    <n v="1"/>
    <n v="0"/>
    <n v="0"/>
    <n v="0"/>
    <n v="0"/>
    <n v="1"/>
    <n v="0"/>
    <n v="0"/>
    <n v="7"/>
    <d v="2014-12-20T00:00:00"/>
  </r>
  <r>
    <n v="1900"/>
    <n v="48699"/>
    <n v="39"/>
    <n v="8.0083779954413846E-4"/>
    <x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x v="1"/>
    <x v="51"/>
    <s v="66+"/>
    <n v="2563"/>
    <n v="0"/>
    <n v="1"/>
    <n v="0"/>
    <n v="0"/>
    <n v="0"/>
    <n v="0"/>
    <n v="0"/>
    <n v="0"/>
    <n v="1"/>
    <n v="38"/>
    <d v="2015-10-09T00:00:00"/>
  </r>
  <r>
    <n v="1905"/>
    <n v="53204"/>
    <n v="39"/>
    <n v="7.3302759191038271E-4"/>
    <x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x v="1"/>
    <x v="7"/>
    <s v="36-50"/>
    <n v="2260"/>
    <n v="0"/>
    <n v="1"/>
    <n v="0"/>
    <n v="0"/>
    <n v="0"/>
    <n v="0"/>
    <n v="0"/>
    <n v="1"/>
    <n v="0"/>
    <n v="33"/>
    <d v="2016-08-07T00:00:00"/>
  </r>
  <r>
    <n v="1963"/>
    <n v="41967"/>
    <n v="39"/>
    <n v="9.2930159410965763E-4"/>
    <x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x v="1"/>
    <x v="43"/>
    <s v="36-50"/>
    <n v="2377"/>
    <n v="0"/>
    <n v="0"/>
    <n v="1"/>
    <n v="0"/>
    <n v="0"/>
    <n v="0"/>
    <n v="1"/>
    <n v="0"/>
    <n v="0"/>
    <n v="24"/>
    <d v="2016-04-12T00:00:00"/>
  </r>
  <r>
    <n v="304"/>
    <n v="54432"/>
    <n v="38"/>
    <n v="6.9811875367430923E-4"/>
    <x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x v="1"/>
    <x v="51"/>
    <s v="66+"/>
    <n v="2575"/>
    <n v="0"/>
    <n v="1"/>
    <n v="0"/>
    <n v="0"/>
    <n v="0"/>
    <n v="0"/>
    <n v="0"/>
    <n v="0"/>
    <n v="1"/>
    <n v="38"/>
    <d v="2015-09-27T00:00:00"/>
  </r>
  <r>
    <n v="567"/>
    <n v="30081"/>
    <n v="38"/>
    <n v="1.2632558758020013E-3"/>
    <x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x v="1"/>
    <x v="21"/>
    <s v="51-66"/>
    <n v="2652"/>
    <n v="0"/>
    <n v="0"/>
    <n v="1"/>
    <n v="0"/>
    <n v="0"/>
    <n v="0"/>
    <n v="1"/>
    <n v="0"/>
    <n v="0"/>
    <n v="34"/>
    <d v="2015-07-12T00:00:00"/>
  </r>
  <r>
    <n v="783"/>
    <n v="35441"/>
    <n v="38"/>
    <n v="1.072204508902119E-3"/>
    <x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x v="1"/>
    <x v="26"/>
    <s v="51-66"/>
    <n v="2659"/>
    <n v="0"/>
    <n v="1"/>
    <n v="0"/>
    <n v="0"/>
    <n v="0"/>
    <n v="0"/>
    <n v="1"/>
    <n v="0"/>
    <n v="0"/>
    <n v="37"/>
    <d v="2015-07-05T00:00:00"/>
  </r>
  <r>
    <n v="787"/>
    <n v="45889"/>
    <n v="38"/>
    <n v="8.2808516202139944E-4"/>
    <x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x v="1"/>
    <x v="41"/>
    <s v="36-50"/>
    <n v="2521"/>
    <n v="0"/>
    <n v="0"/>
    <n v="1"/>
    <n v="0"/>
    <n v="0"/>
    <n v="1"/>
    <n v="0"/>
    <n v="0"/>
    <n v="0"/>
    <n v="30"/>
    <d v="2015-11-20T00:00:00"/>
  </r>
  <r>
    <n v="1117"/>
    <n v="45894"/>
    <n v="38"/>
    <n v="8.2799494487296814E-4"/>
    <x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x v="1"/>
    <x v="35"/>
    <s v="36-50"/>
    <n v="2281"/>
    <n v="0"/>
    <n v="1"/>
    <n v="0"/>
    <n v="0"/>
    <n v="0"/>
    <n v="1"/>
    <n v="0"/>
    <n v="0"/>
    <n v="0"/>
    <n v="25"/>
    <d v="2016-07-17T00:00:00"/>
  </r>
  <r>
    <n v="1476"/>
    <n v="27116"/>
    <n v="38"/>
    <n v="1.4013866351969316E-3"/>
    <x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x v="1"/>
    <x v="21"/>
    <s v="51-66"/>
    <n v="2278"/>
    <n v="0"/>
    <n v="1"/>
    <n v="0"/>
    <n v="0"/>
    <n v="0"/>
    <n v="0"/>
    <n v="1"/>
    <n v="0"/>
    <n v="0"/>
    <n v="35"/>
    <d v="2016-07-20T00:00:00"/>
  </r>
  <r>
    <n v="1732"/>
    <n v="22148"/>
    <n v="38"/>
    <n v="1.7157305400036121E-3"/>
    <x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x v="1"/>
    <x v="20"/>
    <s v="36-50"/>
    <n v="2236"/>
    <n v="0"/>
    <n v="0"/>
    <n v="1"/>
    <n v="0"/>
    <n v="0"/>
    <n v="0"/>
    <n v="1"/>
    <n v="0"/>
    <n v="0"/>
    <n v="27"/>
    <d v="2016-08-31T00:00:00"/>
  </r>
  <r>
    <n v="1798"/>
    <n v="4428"/>
    <n v="38"/>
    <n v="8.5817524841915079E-3"/>
    <x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x v="1"/>
    <x v="3"/>
    <s v="51-66"/>
    <n v="2426"/>
    <n v="0"/>
    <n v="1"/>
    <n v="0"/>
    <n v="0"/>
    <n v="0"/>
    <n v="0"/>
    <n v="1"/>
    <n v="0"/>
    <n v="0"/>
    <n v="-283"/>
    <d v="2016-02-23T00:00:00"/>
  </r>
  <r>
    <n v="1869"/>
    <n v="32871"/>
    <n v="38"/>
    <n v="1.1560341942745886E-3"/>
    <x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x v="1"/>
    <x v="15"/>
    <s v="66+"/>
    <n v="2636"/>
    <n v="0"/>
    <n v="1"/>
    <n v="0"/>
    <n v="0"/>
    <n v="0"/>
    <n v="0"/>
    <n v="1"/>
    <n v="0"/>
    <n v="0"/>
    <n v="33"/>
    <d v="2015-07-28T00:00:00"/>
  </r>
  <r>
    <n v="1903"/>
    <n v="21359"/>
    <n v="38"/>
    <n v="1.7791095088721383E-3"/>
    <x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x v="0"/>
    <x v="9"/>
    <s v="36-50"/>
    <n v="2594"/>
    <n v="0"/>
    <n v="0"/>
    <n v="1"/>
    <n v="0"/>
    <n v="0"/>
    <n v="0"/>
    <n v="1"/>
    <n v="0"/>
    <n v="0"/>
    <n v="28"/>
    <d v="2015-09-08T00:00:00"/>
  </r>
  <r>
    <n v="1981"/>
    <n v="25224"/>
    <n v="38"/>
    <n v="1.5065017443704409E-3"/>
    <x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x v="1"/>
    <x v="9"/>
    <s v="36-50"/>
    <n v="2264"/>
    <n v="0"/>
    <n v="1"/>
    <n v="0"/>
    <n v="0"/>
    <n v="0"/>
    <n v="0"/>
    <n v="0"/>
    <n v="0"/>
    <n v="0"/>
    <n v="30"/>
    <d v="2016-08-03T00:00:00"/>
  </r>
  <r>
    <n v="1999"/>
    <n v="45146"/>
    <n v="38"/>
    <n v="8.4171355158818052E-4"/>
    <x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x v="1"/>
    <x v="33"/>
    <s v="51-66"/>
    <n v="2508"/>
    <n v="1"/>
    <n v="0"/>
    <n v="0"/>
    <n v="0"/>
    <n v="0"/>
    <n v="0"/>
    <n v="1"/>
    <n v="0"/>
    <n v="0"/>
    <n v="23"/>
    <d v="2015-12-03T00:00:00"/>
  </r>
  <r>
    <n v="170"/>
    <n v="32303"/>
    <n v="37"/>
    <n v="1.1454044515989228E-3"/>
    <x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x v="1"/>
    <x v="2"/>
    <s v="36-50"/>
    <n v="2272"/>
    <n v="0"/>
    <n v="0"/>
    <n v="1"/>
    <n v="0"/>
    <n v="0"/>
    <n v="0"/>
    <n v="0"/>
    <n v="0"/>
    <n v="1"/>
    <n v="35"/>
    <d v="2016-07-26T00:00:00"/>
  </r>
  <r>
    <n v="220"/>
    <n v="7500"/>
    <n v="37"/>
    <n v="4.933333333333333E-3"/>
    <x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x v="1"/>
    <x v="30"/>
    <s v="36-50"/>
    <n v="2344"/>
    <n v="0"/>
    <n v="0"/>
    <n v="1"/>
    <n v="0"/>
    <n v="0"/>
    <n v="0"/>
    <n v="1"/>
    <n v="0"/>
    <n v="0"/>
    <n v="17"/>
    <d v="2016-05-15T00:00:00"/>
  </r>
  <r>
    <n v="323"/>
    <n v="30372"/>
    <n v="37"/>
    <n v="1.2182273146318979E-3"/>
    <x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  <x v="28"/>
    <s v="36-50"/>
    <n v="2710"/>
    <n v="0"/>
    <n v="0"/>
    <n v="0"/>
    <n v="0"/>
    <n v="1"/>
    <n v="0"/>
    <n v="1"/>
    <n v="0"/>
    <n v="0"/>
    <n v="30"/>
    <d v="2015-05-15T00:00:00"/>
  </r>
  <r>
    <n v="539"/>
    <n v="38443"/>
    <n v="37"/>
    <n v="9.6246390760346492E-4"/>
    <x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x v="1"/>
    <x v="14"/>
    <s v="51-66"/>
    <n v="2312"/>
    <n v="0"/>
    <n v="1"/>
    <n v="0"/>
    <n v="0"/>
    <n v="0"/>
    <n v="0"/>
    <n v="0"/>
    <n v="0"/>
    <n v="1"/>
    <n v="36"/>
    <d v="2016-06-16T00:00:00"/>
  </r>
  <r>
    <n v="549"/>
    <n v="47821"/>
    <n v="37"/>
    <n v="7.7371865916647494E-4"/>
    <x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x v="1"/>
    <x v="26"/>
    <s v="51-66"/>
    <n v="2411"/>
    <n v="0"/>
    <n v="0"/>
    <n v="0"/>
    <n v="1"/>
    <n v="0"/>
    <n v="1"/>
    <n v="0"/>
    <n v="0"/>
    <n v="0"/>
    <n v="27"/>
    <d v="2016-03-09T00:00:00"/>
  </r>
  <r>
    <n v="743"/>
    <n v="16813"/>
    <n v="37"/>
    <n v="2.2006780467495389E-3"/>
    <x v="0"/>
    <n v="0"/>
    <n v="49"/>
    <n v="4"/>
    <n v="8"/>
    <n v="11"/>
    <n v="12"/>
    <n v="2"/>
    <n v="13"/>
    <n v="1"/>
    <n v="2"/>
    <n v="0"/>
    <n v="3"/>
    <n v="7"/>
    <n v="0"/>
    <n v="0"/>
    <n v="1"/>
    <n v="0"/>
    <n v="0"/>
    <n v="0"/>
    <x v="1"/>
    <x v="51"/>
    <s v="66+"/>
    <n v="2504"/>
    <n v="0"/>
    <n v="0"/>
    <n v="1"/>
    <n v="0"/>
    <n v="0"/>
    <n v="0"/>
    <n v="1"/>
    <n v="0"/>
    <n v="0"/>
    <n v="24"/>
    <d v="2015-12-07T00:00:00"/>
  </r>
  <r>
    <n v="1155"/>
    <n v="38197"/>
    <n v="37"/>
    <n v="9.686624604026494E-4"/>
    <x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x v="1"/>
    <x v="18"/>
    <s v="24-35"/>
    <n v="2524"/>
    <n v="0"/>
    <n v="0"/>
    <n v="0"/>
    <n v="1"/>
    <n v="0"/>
    <n v="0"/>
    <n v="0"/>
    <n v="0"/>
    <n v="1"/>
    <n v="34"/>
    <d v="2015-11-17T00:00:00"/>
  </r>
  <r>
    <n v="1201"/>
    <n v="37633"/>
    <n v="37"/>
    <n v="9.8317965615284456E-4"/>
    <x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x v="1"/>
    <x v="12"/>
    <s v="51-66"/>
    <n v="2806"/>
    <n v="0"/>
    <n v="1"/>
    <n v="0"/>
    <n v="0"/>
    <n v="0"/>
    <n v="0"/>
    <n v="0"/>
    <n v="0"/>
    <n v="1"/>
    <n v="36"/>
    <d v="2015-02-08T00:00:00"/>
  </r>
  <r>
    <n v="1504"/>
    <n v="44078"/>
    <n v="37"/>
    <n v="8.3942102636235764E-4"/>
    <x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x v="1"/>
    <x v="3"/>
    <s v="51-66"/>
    <n v="2169"/>
    <n v="0"/>
    <n v="1"/>
    <n v="0"/>
    <n v="0"/>
    <n v="0"/>
    <n v="0"/>
    <n v="1"/>
    <n v="0"/>
    <n v="0"/>
    <n v="33"/>
    <d v="2016-11-06T00:00:00"/>
  </r>
  <r>
    <n v="1515"/>
    <n v="22448"/>
    <n v="37"/>
    <n v="1.6482537419814684E-3"/>
    <x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x v="1"/>
    <x v="31"/>
    <s v="36-50"/>
    <n v="2282"/>
    <n v="0"/>
    <n v="1"/>
    <n v="0"/>
    <n v="0"/>
    <n v="0"/>
    <n v="0"/>
    <n v="1"/>
    <n v="0"/>
    <n v="0"/>
    <n v="19"/>
    <d v="2016-07-16T00:00:00"/>
  </r>
  <r>
    <n v="1542"/>
    <n v="22554"/>
    <n v="37"/>
    <n v="1.6405072270994059E-3"/>
    <x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x v="1"/>
    <x v="38"/>
    <s v="51-66"/>
    <n v="2762"/>
    <n v="0"/>
    <n v="1"/>
    <n v="0"/>
    <n v="0"/>
    <n v="0"/>
    <n v="0"/>
    <n v="0"/>
    <n v="0"/>
    <n v="1"/>
    <n v="33"/>
    <d v="2015-03-24T00:00:00"/>
  </r>
  <r>
    <n v="1604"/>
    <n v="31859"/>
    <n v="37"/>
    <n v="1.1613672745535014E-3"/>
    <x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x v="1"/>
    <x v="41"/>
    <s v="36-50"/>
    <n v="2281"/>
    <n v="0"/>
    <n v="0"/>
    <n v="1"/>
    <n v="0"/>
    <n v="0"/>
    <n v="1"/>
    <n v="0"/>
    <n v="0"/>
    <n v="0"/>
    <n v="26"/>
    <d v="2016-07-17T00:00:00"/>
  </r>
  <r>
    <n v="1734"/>
    <n v="29819"/>
    <n v="37"/>
    <n v="1.2408196116569972E-3"/>
    <x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x v="1"/>
    <x v="28"/>
    <s v="36-50"/>
    <n v="2407"/>
    <n v="1"/>
    <n v="0"/>
    <n v="0"/>
    <n v="0"/>
    <n v="0"/>
    <n v="0"/>
    <n v="1"/>
    <n v="0"/>
    <n v="0"/>
    <n v="35"/>
    <d v="2016-03-13T00:00:00"/>
  </r>
  <r>
    <n v="1882"/>
    <n v="34350"/>
    <n v="37"/>
    <n v="1.0771470160116448E-3"/>
    <x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x v="1"/>
    <x v="19"/>
    <s v="36-50"/>
    <n v="2412"/>
    <n v="0"/>
    <n v="0"/>
    <n v="0"/>
    <n v="1"/>
    <n v="0"/>
    <n v="0"/>
    <n v="1"/>
    <n v="0"/>
    <n v="0"/>
    <n v="26"/>
    <d v="2016-03-08T00:00:00"/>
  </r>
  <r>
    <n v="1906"/>
    <n v="21355"/>
    <n v="37"/>
    <n v="1.7326153125731679E-3"/>
    <x v="1"/>
    <n v="0"/>
    <n v="5"/>
    <n v="5"/>
    <n v="13"/>
    <n v="14"/>
    <n v="0"/>
    <n v="5"/>
    <n v="31"/>
    <n v="2"/>
    <n v="2"/>
    <n v="1"/>
    <n v="2"/>
    <n v="6"/>
    <n v="0"/>
    <n v="0"/>
    <n v="1"/>
    <n v="0"/>
    <n v="0"/>
    <n v="0"/>
    <x v="0"/>
    <x v="23"/>
    <s v="24-35"/>
    <n v="2472"/>
    <n v="0"/>
    <n v="1"/>
    <n v="0"/>
    <n v="0"/>
    <n v="0"/>
    <n v="0"/>
    <n v="1"/>
    <n v="0"/>
    <n v="0"/>
    <n v="6"/>
    <d v="2016-01-08T00:00:00"/>
  </r>
  <r>
    <n v="10"/>
    <n v="5648"/>
    <n v="36"/>
    <n v="6.3739376770538241E-3"/>
    <x v="1"/>
    <n v="1"/>
    <n v="68"/>
    <n v="28"/>
    <n v="0"/>
    <n v="6"/>
    <n v="1"/>
    <n v="1"/>
    <n v="13"/>
    <n v="1"/>
    <n v="1"/>
    <n v="0"/>
    <n v="0"/>
    <n v="20"/>
    <n v="0"/>
    <n v="0"/>
    <n v="1"/>
    <n v="0"/>
    <n v="0"/>
    <n v="0"/>
    <x v="1"/>
    <x v="51"/>
    <s v="66+"/>
    <n v="2267"/>
    <n v="0"/>
    <n v="0"/>
    <n v="0"/>
    <n v="1"/>
    <n v="0"/>
    <n v="0"/>
    <n v="0"/>
    <n v="0"/>
    <n v="1"/>
    <n v="23"/>
    <d v="2016-07-31T00:00:00"/>
  </r>
  <r>
    <n v="84"/>
    <n v="30096"/>
    <n v="36"/>
    <n v="1.1961722488038277E-3"/>
    <x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  <x v="20"/>
    <s v="36-50"/>
    <n v="2197"/>
    <n v="0"/>
    <n v="1"/>
    <n v="0"/>
    <n v="0"/>
    <n v="0"/>
    <n v="0"/>
    <n v="1"/>
    <n v="0"/>
    <n v="0"/>
    <n v="27"/>
    <d v="2016-10-09T00:00:00"/>
  </r>
  <r>
    <n v="288"/>
    <n v="12571"/>
    <n v="36"/>
    <n v="2.863733990931509E-3"/>
    <x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x v="1"/>
    <x v="7"/>
    <s v="36-50"/>
    <n v="2321"/>
    <n v="1"/>
    <n v="0"/>
    <n v="0"/>
    <n v="0"/>
    <n v="0"/>
    <n v="0"/>
    <n v="1"/>
    <n v="0"/>
    <n v="0"/>
    <n v="19"/>
    <d v="2016-06-07T00:00:00"/>
  </r>
  <r>
    <n v="351"/>
    <n v="30279"/>
    <n v="36"/>
    <n v="1.1889428316655107E-3"/>
    <x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  <x v="32"/>
    <s v="24-35"/>
    <n v="2705"/>
    <n v="0"/>
    <n v="0"/>
    <n v="1"/>
    <n v="0"/>
    <n v="0"/>
    <n v="0"/>
    <n v="1"/>
    <n v="0"/>
    <n v="0"/>
    <n v="35"/>
    <d v="2015-05-20T00:00:00"/>
  </r>
  <r>
    <n v="518"/>
    <n v="39548"/>
    <n v="36"/>
    <n v="9.1028623444927678E-4"/>
    <x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x v="1"/>
    <x v="33"/>
    <s v="51-66"/>
    <n v="2249"/>
    <n v="0"/>
    <n v="0"/>
    <n v="1"/>
    <n v="0"/>
    <n v="0"/>
    <n v="1"/>
    <n v="0"/>
    <n v="0"/>
    <n v="0"/>
    <n v="18"/>
    <d v="2016-08-18T00:00:00"/>
  </r>
  <r>
    <n v="891"/>
    <n v="39771"/>
    <n v="36"/>
    <n v="9.0518216791129211E-4"/>
    <x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x v="1"/>
    <x v="13"/>
    <s v="36-50"/>
    <n v="2364"/>
    <n v="0"/>
    <n v="0"/>
    <n v="0"/>
    <n v="1"/>
    <n v="0"/>
    <n v="0"/>
    <n v="1"/>
    <n v="0"/>
    <n v="0"/>
    <n v="22"/>
    <d v="2016-04-25T00:00:00"/>
  </r>
  <r>
    <n v="1132"/>
    <n v="18351"/>
    <n v="36"/>
    <n v="1.9617459538989702E-3"/>
    <x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x v="1"/>
    <x v="48"/>
    <s v="24-35"/>
    <n v="2402"/>
    <n v="0"/>
    <n v="1"/>
    <n v="0"/>
    <n v="0"/>
    <n v="0"/>
    <n v="0"/>
    <n v="1"/>
    <n v="0"/>
    <n v="0"/>
    <n v="29"/>
    <d v="2016-03-18T00:00:00"/>
  </r>
  <r>
    <n v="1758"/>
    <n v="21059"/>
    <n v="36"/>
    <n v="1.709482881428368E-3"/>
    <x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x v="1"/>
    <x v="31"/>
    <s v="36-50"/>
    <n v="2332"/>
    <n v="0"/>
    <n v="1"/>
    <n v="0"/>
    <n v="0"/>
    <n v="0"/>
    <n v="0"/>
    <n v="0"/>
    <n v="1"/>
    <n v="0"/>
    <n v="28"/>
    <d v="2016-05-27T00:00:00"/>
  </r>
  <r>
    <n v="1768"/>
    <n v="23763"/>
    <n v="36"/>
    <n v="1.5149602322939023E-3"/>
    <x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x v="1"/>
    <x v="13"/>
    <s v="36-50"/>
    <n v="2850"/>
    <n v="0"/>
    <n v="0"/>
    <n v="1"/>
    <n v="0"/>
    <n v="0"/>
    <n v="0"/>
    <n v="1"/>
    <n v="0"/>
    <n v="0"/>
    <n v="30"/>
    <d v="2014-12-26T00:00:00"/>
  </r>
  <r>
    <n v="187"/>
    <n v="40637"/>
    <n v="35"/>
    <n v="8.6128405148017811E-4"/>
    <x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x v="1"/>
    <x v="47"/>
    <s v="51-66"/>
    <n v="2506"/>
    <n v="0"/>
    <n v="0"/>
    <n v="1"/>
    <n v="0"/>
    <n v="0"/>
    <n v="0"/>
    <n v="0"/>
    <n v="0"/>
    <n v="1"/>
    <n v="32"/>
    <d v="2015-12-05T00:00:00"/>
  </r>
  <r>
    <n v="289"/>
    <n v="22574"/>
    <n v="35"/>
    <n v="1.5504562771329849E-3"/>
    <x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  <x v="26"/>
    <s v="51-66"/>
    <n v="2403"/>
    <n v="0"/>
    <n v="1"/>
    <n v="0"/>
    <n v="0"/>
    <n v="0"/>
    <n v="0"/>
    <n v="1"/>
    <n v="0"/>
    <n v="0"/>
    <n v="33"/>
    <d v="2016-03-17T00:00:00"/>
  </r>
  <r>
    <n v="303"/>
    <n v="27255"/>
    <n v="35"/>
    <n v="1.2841680425609979E-3"/>
    <x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x v="1"/>
    <x v="39"/>
    <s v="36-50"/>
    <n v="2393"/>
    <n v="0"/>
    <n v="1"/>
    <n v="0"/>
    <n v="0"/>
    <n v="0"/>
    <n v="0"/>
    <n v="1"/>
    <n v="0"/>
    <n v="0"/>
    <n v="33"/>
    <d v="2016-03-27T00:00:00"/>
  </r>
  <r>
    <n v="514"/>
    <n v="24683"/>
    <n v="35"/>
    <n v="1.4179799862253373E-3"/>
    <x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x v="1"/>
    <x v="48"/>
    <s v="24-35"/>
    <n v="2272"/>
    <n v="0"/>
    <n v="1"/>
    <n v="0"/>
    <n v="0"/>
    <n v="0"/>
    <n v="1"/>
    <n v="0"/>
    <n v="0"/>
    <n v="0"/>
    <n v="29"/>
    <d v="2016-07-26T00:00:00"/>
  </r>
  <r>
    <n v="735"/>
    <n v="31590"/>
    <n v="35"/>
    <n v="1.1079455523899967E-3"/>
    <x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x v="1"/>
    <x v="9"/>
    <s v="36-50"/>
    <n v="2535"/>
    <n v="0"/>
    <n v="0"/>
    <n v="0"/>
    <n v="1"/>
    <n v="0"/>
    <n v="0"/>
    <n v="1"/>
    <n v="0"/>
    <n v="0"/>
    <n v="32"/>
    <d v="2015-11-06T00:00:00"/>
  </r>
  <r>
    <n v="797"/>
    <n v="15072"/>
    <n v="35"/>
    <n v="2.3221868365180466E-3"/>
    <x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x v="1"/>
    <x v="41"/>
    <s v="36-50"/>
    <n v="2574"/>
    <n v="0"/>
    <n v="1"/>
    <n v="0"/>
    <n v="0"/>
    <n v="0"/>
    <n v="0"/>
    <n v="1"/>
    <n v="0"/>
    <n v="0"/>
    <n v="17"/>
    <d v="2015-09-28T00:00:00"/>
  </r>
  <r>
    <n v="1365"/>
    <n v="34704"/>
    <n v="35"/>
    <n v="1.008529276164131E-3"/>
    <x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x v="1"/>
    <x v="22"/>
    <s v="51-66"/>
    <n v="2587"/>
    <n v="0"/>
    <n v="0"/>
    <n v="1"/>
    <n v="0"/>
    <n v="0"/>
    <n v="0"/>
    <n v="1"/>
    <n v="0"/>
    <n v="0"/>
    <n v="30"/>
    <d v="2015-09-15T00:00:00"/>
  </r>
  <r>
    <n v="1414"/>
    <n v="19740"/>
    <n v="35"/>
    <n v="1.7730496453900709E-3"/>
    <x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x v="1"/>
    <x v="24"/>
    <s v="51-66"/>
    <n v="2621"/>
    <n v="0"/>
    <n v="0"/>
    <n v="0"/>
    <n v="1"/>
    <n v="0"/>
    <n v="0"/>
    <n v="1"/>
    <n v="0"/>
    <n v="0"/>
    <n v="15"/>
    <d v="2015-08-12T00:00:00"/>
  </r>
  <r>
    <n v="1761"/>
    <n v="34984"/>
    <n v="35"/>
    <n v="1.000457351932312E-3"/>
    <x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x v="1"/>
    <x v="16"/>
    <s v="36-50"/>
    <n v="2820"/>
    <n v="0"/>
    <n v="0"/>
    <n v="0"/>
    <n v="1"/>
    <n v="0"/>
    <n v="1"/>
    <n v="0"/>
    <n v="0"/>
    <n v="0"/>
    <n v="32"/>
    <d v="2015-01-25T00:00:00"/>
  </r>
  <r>
    <n v="1909"/>
    <n v="14796"/>
    <n v="35"/>
    <n v="2.3655041903217085E-3"/>
    <x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x v="0"/>
    <x v="39"/>
    <s v="36-50"/>
    <n v="2809"/>
    <n v="0"/>
    <n v="1"/>
    <n v="0"/>
    <n v="0"/>
    <n v="0"/>
    <n v="1"/>
    <n v="0"/>
    <n v="0"/>
    <n v="0"/>
    <n v="19"/>
    <d v="2015-02-05T00:00:00"/>
  </r>
  <r>
    <n v="1983"/>
    <n v="40851"/>
    <n v="35"/>
    <n v="8.5677217203985209E-4"/>
    <x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x v="1"/>
    <x v="28"/>
    <s v="36-50"/>
    <n v="2652"/>
    <n v="1"/>
    <n v="0"/>
    <n v="0"/>
    <n v="0"/>
    <n v="0"/>
    <n v="0"/>
    <n v="1"/>
    <n v="0"/>
    <n v="0"/>
    <n v="11"/>
    <d v="2015-07-12T00:00:00"/>
  </r>
  <r>
    <n v="126"/>
    <n v="36921"/>
    <n v="34"/>
    <n v="9.208851331220715E-4"/>
    <x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x v="1"/>
    <x v="47"/>
    <s v="51-66"/>
    <n v="2495"/>
    <n v="1"/>
    <n v="0"/>
    <n v="0"/>
    <n v="0"/>
    <n v="0"/>
    <n v="0"/>
    <n v="0"/>
    <n v="0"/>
    <n v="1"/>
    <n v="30"/>
    <d v="2015-12-16T00:00:00"/>
  </r>
  <r>
    <n v="239"/>
    <n v="18701"/>
    <n v="34"/>
    <n v="1.8180845944067163E-3"/>
    <x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  <x v="42"/>
    <s v="51-66"/>
    <n v="2549"/>
    <n v="0"/>
    <n v="0"/>
    <n v="1"/>
    <n v="0"/>
    <n v="0"/>
    <n v="0"/>
    <n v="1"/>
    <n v="0"/>
    <n v="0"/>
    <n v="24"/>
    <d v="2015-10-23T00:00:00"/>
  </r>
  <r>
    <n v="262"/>
    <n v="44319"/>
    <n v="34"/>
    <n v="7.6716532412734941E-4"/>
    <x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x v="1"/>
    <x v="16"/>
    <s v="36-50"/>
    <n v="2232"/>
    <n v="0"/>
    <n v="1"/>
    <n v="0"/>
    <n v="0"/>
    <n v="0"/>
    <n v="0"/>
    <n v="0"/>
    <n v="1"/>
    <n v="0"/>
    <n v="31"/>
    <d v="2016-09-04T00:00:00"/>
  </r>
  <r>
    <n v="574"/>
    <n v="30801"/>
    <n v="34"/>
    <n v="1.1038602642771339E-3"/>
    <x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x v="1"/>
    <x v="16"/>
    <s v="36-50"/>
    <n v="2770"/>
    <n v="0"/>
    <n v="1"/>
    <n v="0"/>
    <n v="0"/>
    <n v="0"/>
    <n v="0"/>
    <n v="0"/>
    <n v="0"/>
    <n v="0"/>
    <n v="23"/>
    <d v="2015-03-16T00:00:00"/>
  </r>
  <r>
    <n v="776"/>
    <n v="37859"/>
    <n v="34"/>
    <n v="8.9806915132465196E-4"/>
    <x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x v="1"/>
    <x v="46"/>
    <s v="51-66"/>
    <n v="2692"/>
    <n v="1"/>
    <n v="0"/>
    <n v="0"/>
    <n v="0"/>
    <n v="0"/>
    <n v="0"/>
    <n v="1"/>
    <n v="0"/>
    <n v="0"/>
    <n v="32"/>
    <d v="2015-06-02T00:00:00"/>
  </r>
  <r>
    <n v="1584"/>
    <n v="23529"/>
    <n v="34"/>
    <n v="1.4450252879425389E-3"/>
    <x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x v="1"/>
    <x v="47"/>
    <s v="51-66"/>
    <n v="2697"/>
    <n v="0"/>
    <n v="0"/>
    <n v="1"/>
    <n v="0"/>
    <n v="0"/>
    <n v="0"/>
    <n v="0"/>
    <n v="0"/>
    <n v="0"/>
    <n v="14"/>
    <d v="2015-05-28T00:00:00"/>
  </r>
  <r>
    <n v="1706"/>
    <n v="26642"/>
    <n v="34"/>
    <n v="1.276180466931912E-3"/>
    <x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x v="1"/>
    <x v="26"/>
    <s v="51-66"/>
    <n v="2279"/>
    <n v="1"/>
    <n v="0"/>
    <n v="0"/>
    <n v="0"/>
    <n v="0"/>
    <n v="0"/>
    <n v="0"/>
    <n v="0"/>
    <n v="1"/>
    <n v="26"/>
    <d v="2016-07-19T00:00:00"/>
  </r>
  <r>
    <n v="1765"/>
    <n v="25410"/>
    <n v="34"/>
    <n v="1.338055883510429E-3"/>
    <x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x v="1"/>
    <x v="30"/>
    <s v="36-50"/>
    <n v="2461"/>
    <n v="0"/>
    <n v="1"/>
    <n v="0"/>
    <n v="0"/>
    <n v="0"/>
    <n v="0"/>
    <n v="1"/>
    <n v="0"/>
    <n v="0"/>
    <n v="30"/>
    <d v="2016-01-19T00:00:00"/>
  </r>
  <r>
    <n v="1837"/>
    <n v="27943"/>
    <n v="34"/>
    <n v="1.2167626954872419E-3"/>
    <x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x v="1"/>
    <x v="26"/>
    <s v="51-66"/>
    <n v="2599"/>
    <n v="0"/>
    <n v="0"/>
    <n v="0"/>
    <n v="1"/>
    <n v="0"/>
    <n v="0"/>
    <n v="1"/>
    <n v="0"/>
    <n v="0"/>
    <n v="31"/>
    <d v="2015-09-03T00:00:00"/>
  </r>
  <r>
    <n v="1846"/>
    <n v="23272"/>
    <n v="34"/>
    <n v="1.4609831557236164E-3"/>
    <x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x v="1"/>
    <x v="10"/>
    <s v="66+"/>
    <n v="2414"/>
    <n v="1"/>
    <n v="0"/>
    <n v="0"/>
    <n v="0"/>
    <n v="0"/>
    <n v="0"/>
    <n v="1"/>
    <n v="0"/>
    <n v="0"/>
    <n v="22"/>
    <d v="2016-03-06T00:00:00"/>
  </r>
  <r>
    <n v="1911"/>
    <n v="22518"/>
    <n v="34"/>
    <n v="1.5099031885602628E-3"/>
    <x v="1"/>
    <n v="0"/>
    <n v="36"/>
    <n v="11"/>
    <n v="7"/>
    <n v="12"/>
    <n v="2"/>
    <n v="2"/>
    <n v="27"/>
    <n v="2"/>
    <n v="2"/>
    <n v="1"/>
    <n v="2"/>
    <n v="5"/>
    <n v="0"/>
    <n v="0"/>
    <n v="1"/>
    <n v="0"/>
    <n v="0"/>
    <n v="0"/>
    <x v="0"/>
    <x v="18"/>
    <s v="24-35"/>
    <n v="2774"/>
    <n v="0"/>
    <n v="1"/>
    <n v="0"/>
    <n v="0"/>
    <n v="0"/>
    <n v="0"/>
    <n v="1"/>
    <n v="0"/>
    <n v="0"/>
    <n v="7"/>
    <d v="2015-03-12T00:00:00"/>
  </r>
  <r>
    <n v="1943"/>
    <n v="29732"/>
    <n v="34"/>
    <n v="1.1435490380734563E-3"/>
    <x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x v="1"/>
    <x v="28"/>
    <s v="36-50"/>
    <n v="2255"/>
    <n v="0"/>
    <n v="0"/>
    <n v="0"/>
    <n v="1"/>
    <n v="0"/>
    <n v="0"/>
    <n v="0"/>
    <n v="0"/>
    <n v="1"/>
    <n v="30"/>
    <d v="2016-08-12T00:00:00"/>
  </r>
  <r>
    <n v="168"/>
    <n v="28249"/>
    <n v="33"/>
    <n v="1.1681829445290099E-3"/>
    <x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  <x v="21"/>
    <s v="51-66"/>
    <n v="2173"/>
    <n v="0"/>
    <n v="1"/>
    <n v="0"/>
    <n v="0"/>
    <n v="0"/>
    <n v="0"/>
    <n v="0"/>
    <n v="0"/>
    <n v="0"/>
    <n v="23"/>
    <d v="2016-11-02T00:00:00"/>
  </r>
  <r>
    <n v="556"/>
    <n v="24221"/>
    <n v="33"/>
    <n v="1.3624540687832871E-3"/>
    <x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x v="1"/>
    <x v="29"/>
    <s v="51-66"/>
    <n v="2472"/>
    <n v="0"/>
    <n v="0"/>
    <n v="0"/>
    <n v="1"/>
    <n v="0"/>
    <n v="0"/>
    <n v="1"/>
    <n v="0"/>
    <n v="0"/>
    <n v="11"/>
    <d v="2016-01-08T00:00:00"/>
  </r>
  <r>
    <n v="560"/>
    <n v="33178"/>
    <n v="33"/>
    <n v="9.9463499909578645E-4"/>
    <x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x v="1"/>
    <x v="13"/>
    <s v="36-50"/>
    <n v="2309"/>
    <n v="0"/>
    <n v="0"/>
    <n v="0"/>
    <n v="1"/>
    <n v="0"/>
    <n v="0"/>
    <n v="1"/>
    <n v="0"/>
    <n v="0"/>
    <n v="17"/>
    <d v="2016-06-19T00:00:00"/>
  </r>
  <r>
    <n v="752"/>
    <n v="46984"/>
    <n v="33"/>
    <n v="7.0236676315341389E-4"/>
    <x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x v="1"/>
    <x v="5"/>
    <s v="51-66"/>
    <n v="2619"/>
    <n v="0"/>
    <n v="0"/>
    <n v="0"/>
    <n v="0"/>
    <n v="1"/>
    <n v="0"/>
    <n v="1"/>
    <n v="0"/>
    <n v="0"/>
    <n v="25"/>
    <d v="2015-08-14T00:00:00"/>
  </r>
  <r>
    <n v="956"/>
    <n v="32300"/>
    <n v="33"/>
    <n v="1.0216718266253871E-3"/>
    <x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x v="1"/>
    <x v="30"/>
    <s v="36-50"/>
    <n v="2701"/>
    <n v="0"/>
    <n v="1"/>
    <n v="0"/>
    <n v="0"/>
    <n v="0"/>
    <n v="0"/>
    <n v="1"/>
    <n v="0"/>
    <n v="0"/>
    <n v="27"/>
    <d v="2015-05-24T00:00:00"/>
  </r>
  <r>
    <n v="1357"/>
    <n v="16531"/>
    <n v="33"/>
    <n v="1.9962494706914284E-3"/>
    <x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x v="1"/>
    <x v="37"/>
    <s v="36-50"/>
    <n v="2170"/>
    <n v="0"/>
    <n v="0"/>
    <n v="0"/>
    <n v="1"/>
    <n v="0"/>
    <n v="0"/>
    <n v="1"/>
    <n v="0"/>
    <n v="0"/>
    <n v="22"/>
    <d v="2016-11-05T00:00:00"/>
  </r>
  <r>
    <n v="1545"/>
    <n v="42231"/>
    <n v="33"/>
    <n v="7.8141649499183067E-4"/>
    <x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x v="1"/>
    <x v="3"/>
    <s v="51-66"/>
    <n v="2255"/>
    <n v="0"/>
    <n v="1"/>
    <n v="0"/>
    <n v="0"/>
    <n v="0"/>
    <n v="0"/>
    <n v="1"/>
    <n v="0"/>
    <n v="0"/>
    <n v="29"/>
    <d v="2016-08-12T00:00:00"/>
  </r>
  <r>
    <n v="2014"/>
    <n v="24434"/>
    <n v="33"/>
    <n v="1.350577064745846E-3"/>
    <x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x v="1"/>
    <x v="9"/>
    <s v="36-50"/>
    <n v="2201"/>
    <n v="0"/>
    <n v="1"/>
    <n v="0"/>
    <n v="0"/>
    <n v="0"/>
    <n v="0"/>
    <n v="1"/>
    <n v="0"/>
    <n v="0"/>
    <n v="16"/>
    <d v="2016-10-05T00:00:00"/>
  </r>
  <r>
    <n v="236"/>
    <n v="30899"/>
    <n v="32"/>
    <n v="1.0356322211074792E-3"/>
    <x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x v="1"/>
    <x v="35"/>
    <s v="36-50"/>
    <n v="2783"/>
    <n v="0"/>
    <n v="0"/>
    <n v="1"/>
    <n v="0"/>
    <n v="0"/>
    <n v="0"/>
    <n v="0"/>
    <n v="0"/>
    <n v="1"/>
    <n v="31"/>
    <d v="2015-03-03T00:00:00"/>
  </r>
  <r>
    <n v="471"/>
    <n v="48330"/>
    <n v="32"/>
    <n v="6.6211462859507551E-4"/>
    <x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x v="1"/>
    <x v="21"/>
    <s v="51-66"/>
    <n v="2385"/>
    <n v="0"/>
    <n v="0"/>
    <n v="0"/>
    <n v="1"/>
    <n v="0"/>
    <n v="0"/>
    <n v="0"/>
    <n v="1"/>
    <n v="0"/>
    <n v="32"/>
    <d v="2016-04-04T00:00:00"/>
  </r>
  <r>
    <n v="509"/>
    <n v="25315"/>
    <n v="32"/>
    <n v="1.2640726841793403E-3"/>
    <x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x v="1"/>
    <x v="13"/>
    <s v="36-50"/>
    <n v="2393"/>
    <n v="0"/>
    <n v="0"/>
    <n v="0"/>
    <n v="1"/>
    <n v="0"/>
    <n v="1"/>
    <n v="0"/>
    <n v="0"/>
    <n v="0"/>
    <n v="10"/>
    <d v="2016-03-27T00:00:00"/>
  </r>
  <r>
    <n v="581"/>
    <n v="35791"/>
    <n v="32"/>
    <n v="8.9407951719706067E-4"/>
    <x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  <x v="47"/>
    <s v="51-66"/>
    <n v="2578"/>
    <n v="0"/>
    <n v="0"/>
    <n v="1"/>
    <n v="0"/>
    <n v="0"/>
    <n v="0"/>
    <n v="0"/>
    <n v="1"/>
    <n v="0"/>
    <n v="29"/>
    <d v="2015-09-24T00:00:00"/>
  </r>
  <r>
    <n v="582"/>
    <n v="54162"/>
    <n v="32"/>
    <n v="5.9082013219600462E-4"/>
    <x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x v="1"/>
    <x v="37"/>
    <s v="36-50"/>
    <n v="2627"/>
    <n v="0"/>
    <n v="0"/>
    <n v="0"/>
    <n v="0"/>
    <n v="1"/>
    <n v="0"/>
    <n v="1"/>
    <n v="0"/>
    <n v="0"/>
    <n v="22"/>
    <d v="2015-08-06T00:00:00"/>
  </r>
  <r>
    <n v="626"/>
    <n v="29187"/>
    <n v="32"/>
    <n v="1.0963785246856476E-3"/>
    <x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x v="1"/>
    <x v="14"/>
    <s v="51-66"/>
    <n v="2575"/>
    <n v="0"/>
    <n v="1"/>
    <n v="0"/>
    <n v="0"/>
    <n v="0"/>
    <n v="0"/>
    <n v="0"/>
    <n v="0"/>
    <n v="1"/>
    <n v="30"/>
    <d v="2015-09-27T00:00:00"/>
  </r>
  <r>
    <n v="782"/>
    <n v="25130"/>
    <n v="32"/>
    <n v="1.2733784321528054E-3"/>
    <x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x v="1"/>
    <x v="41"/>
    <s v="36-50"/>
    <n v="2429"/>
    <n v="0"/>
    <n v="0"/>
    <n v="0"/>
    <n v="1"/>
    <n v="0"/>
    <n v="1"/>
    <n v="0"/>
    <n v="0"/>
    <n v="0"/>
    <n v="14"/>
    <d v="2016-02-20T00:00:00"/>
  </r>
  <r>
    <n v="1217"/>
    <n v="7500"/>
    <n v="32"/>
    <n v="4.2666666666666669E-3"/>
    <x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x v="1"/>
    <x v="37"/>
    <s v="36-50"/>
    <n v="2708"/>
    <n v="0"/>
    <n v="0"/>
    <n v="1"/>
    <n v="0"/>
    <n v="0"/>
    <n v="0"/>
    <n v="1"/>
    <n v="0"/>
    <n v="0"/>
    <n v="7"/>
    <d v="2015-05-17T00:00:00"/>
  </r>
  <r>
    <n v="1331"/>
    <n v="34853"/>
    <n v="32"/>
    <n v="9.1814191030901212E-4"/>
    <x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x v="1"/>
    <x v="30"/>
    <s v="36-50"/>
    <n v="2347"/>
    <n v="0"/>
    <n v="0"/>
    <n v="1"/>
    <n v="0"/>
    <n v="0"/>
    <n v="0"/>
    <n v="1"/>
    <n v="0"/>
    <n v="0"/>
    <n v="30"/>
    <d v="2016-05-12T00:00:00"/>
  </r>
  <r>
    <n v="1333"/>
    <n v="31086"/>
    <n v="32"/>
    <n v="1.0294023032876537E-3"/>
    <x v="1"/>
    <n v="1"/>
    <n v="79"/>
    <n v="16"/>
    <n v="2"/>
    <n v="11"/>
    <n v="3"/>
    <n v="0"/>
    <n v="16"/>
    <n v="2"/>
    <n v="1"/>
    <n v="1"/>
    <n v="2"/>
    <n v="8"/>
    <n v="0"/>
    <n v="0"/>
    <n v="1"/>
    <n v="0"/>
    <n v="0"/>
    <n v="0"/>
    <x v="1"/>
    <x v="19"/>
    <s v="36-50"/>
    <n v="2580"/>
    <n v="0"/>
    <n v="1"/>
    <n v="0"/>
    <n v="0"/>
    <n v="0"/>
    <n v="1"/>
    <n v="0"/>
    <n v="0"/>
    <n v="0"/>
    <n v="16"/>
    <d v="2015-09-22T00:00:00"/>
  </r>
  <r>
    <n v="1626"/>
    <n v="20194"/>
    <n v="32"/>
    <n v="1.5846290977518075E-3"/>
    <x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x v="1"/>
    <x v="19"/>
    <s v="36-50"/>
    <n v="2718"/>
    <n v="0"/>
    <n v="0"/>
    <n v="1"/>
    <n v="0"/>
    <n v="0"/>
    <n v="0"/>
    <n v="0"/>
    <n v="0"/>
    <n v="0"/>
    <n v="17"/>
    <d v="2015-05-07T00:00:00"/>
  </r>
  <r>
    <n v="1679"/>
    <n v="27071"/>
    <n v="32"/>
    <n v="1.1820767611096746E-3"/>
    <x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x v="1"/>
    <x v="14"/>
    <s v="51-66"/>
    <n v="2226"/>
    <n v="1"/>
    <n v="0"/>
    <n v="0"/>
    <n v="0"/>
    <n v="0"/>
    <n v="0"/>
    <n v="0"/>
    <n v="1"/>
    <n v="0"/>
    <n v="29"/>
    <d v="2016-09-10T00:00:00"/>
  </r>
  <r>
    <n v="1721"/>
    <n v="44155"/>
    <n v="32"/>
    <n v="7.247197372890952E-4"/>
    <x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x v="1"/>
    <x v="12"/>
    <s v="51-66"/>
    <n v="2320"/>
    <n v="0"/>
    <n v="1"/>
    <n v="0"/>
    <n v="0"/>
    <n v="0"/>
    <n v="0"/>
    <n v="0"/>
    <n v="0"/>
    <n v="1"/>
    <n v="18"/>
    <d v="2016-06-08T00:00:00"/>
  </r>
  <r>
    <n v="1739"/>
    <n v="31535"/>
    <n v="32"/>
    <n v="1.0147455208498494E-3"/>
    <x v="1"/>
    <n v="0"/>
    <n v="95"/>
    <n v="15"/>
    <n v="4"/>
    <n v="13"/>
    <n v="0"/>
    <n v="0"/>
    <n v="19"/>
    <n v="1"/>
    <n v="1"/>
    <n v="1"/>
    <n v="2"/>
    <n v="7"/>
    <n v="0"/>
    <n v="0"/>
    <n v="1"/>
    <n v="0"/>
    <n v="0"/>
    <n v="0"/>
    <x v="1"/>
    <x v="41"/>
    <s v="36-50"/>
    <n v="2435"/>
    <n v="0"/>
    <n v="1"/>
    <n v="0"/>
    <n v="0"/>
    <n v="0"/>
    <n v="0"/>
    <n v="0"/>
    <n v="1"/>
    <n v="0"/>
    <n v="13"/>
    <d v="2016-02-14T00:00:00"/>
  </r>
  <r>
    <n v="1795"/>
    <n v="39062"/>
    <n v="32"/>
    <n v="8.192104858942194E-4"/>
    <x v="1"/>
    <n v="0"/>
    <n v="28"/>
    <n v="23"/>
    <n v="0"/>
    <n v="9"/>
    <n v="0"/>
    <n v="0"/>
    <n v="12"/>
    <n v="1"/>
    <n v="1"/>
    <n v="0"/>
    <n v="3"/>
    <n v="4"/>
    <n v="0"/>
    <n v="0"/>
    <n v="1"/>
    <n v="0"/>
    <n v="0"/>
    <n v="0"/>
    <x v="1"/>
    <x v="20"/>
    <s v="36-50"/>
    <n v="2255"/>
    <n v="0"/>
    <n v="0"/>
    <n v="1"/>
    <n v="0"/>
    <n v="0"/>
    <n v="0"/>
    <n v="1"/>
    <n v="0"/>
    <n v="0"/>
    <n v="20"/>
    <d v="2016-08-12T00:00:00"/>
  </r>
  <r>
    <n v="2009"/>
    <n v="7500"/>
    <n v="32"/>
    <n v="4.2666666666666669E-3"/>
    <x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x v="1"/>
    <x v="19"/>
    <s v="36-50"/>
    <n v="2577"/>
    <n v="0"/>
    <n v="0"/>
    <n v="0"/>
    <n v="1"/>
    <n v="0"/>
    <n v="1"/>
    <n v="0"/>
    <n v="0"/>
    <n v="0"/>
    <n v="11"/>
    <d v="2015-09-25T00:00:00"/>
  </r>
  <r>
    <n v="292"/>
    <n v="28839"/>
    <n v="31"/>
    <n v="1.0749332501126946E-3"/>
    <x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x v="1"/>
    <x v="5"/>
    <s v="51-66"/>
    <n v="2269"/>
    <n v="0"/>
    <n v="0"/>
    <n v="0"/>
    <n v="1"/>
    <n v="0"/>
    <n v="0"/>
    <n v="0"/>
    <n v="1"/>
    <n v="0"/>
    <n v="30"/>
    <d v="2016-07-29T00:00:00"/>
  </r>
  <r>
    <n v="400"/>
    <n v="10404"/>
    <n v="31"/>
    <n v="2.9796232218377546E-3"/>
    <x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x v="1"/>
    <x v="32"/>
    <s v="24-35"/>
    <n v="2215"/>
    <n v="0"/>
    <n v="0"/>
    <n v="0"/>
    <n v="1"/>
    <n v="0"/>
    <n v="1"/>
    <n v="0"/>
    <n v="0"/>
    <n v="0"/>
    <n v="19"/>
    <d v="2016-09-21T00:00:00"/>
  </r>
  <r>
    <n v="486"/>
    <n v="26095"/>
    <n v="31"/>
    <n v="1.1879670434949223E-3"/>
    <x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x v="1"/>
    <x v="48"/>
    <s v="24-35"/>
    <n v="2523"/>
    <n v="0"/>
    <n v="0"/>
    <n v="1"/>
    <n v="0"/>
    <n v="0"/>
    <n v="0"/>
    <n v="1"/>
    <n v="0"/>
    <n v="0"/>
    <n v="20"/>
    <d v="2015-11-18T00:00:00"/>
  </r>
  <r>
    <n v="587"/>
    <n v="36975"/>
    <n v="31"/>
    <n v="8.3840432724814065E-4"/>
    <x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x v="1"/>
    <x v="37"/>
    <s v="36-50"/>
    <n v="2342"/>
    <n v="0"/>
    <n v="0"/>
    <n v="1"/>
    <n v="0"/>
    <n v="0"/>
    <n v="1"/>
    <n v="0"/>
    <n v="0"/>
    <n v="0"/>
    <n v="29"/>
    <d v="2016-05-17T00:00:00"/>
  </r>
  <r>
    <n v="698"/>
    <n v="17003"/>
    <n v="31"/>
    <n v="1.8232076692348408E-3"/>
    <x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x v="1"/>
    <x v="16"/>
    <s v="36-50"/>
    <n v="2361"/>
    <n v="0"/>
    <n v="1"/>
    <n v="0"/>
    <n v="0"/>
    <n v="0"/>
    <n v="1"/>
    <n v="0"/>
    <n v="0"/>
    <n v="0"/>
    <n v="24"/>
    <d v="2016-04-28T00:00:00"/>
  </r>
  <r>
    <n v="1466"/>
    <n v="13724"/>
    <n v="31"/>
    <n v="2.2588166715243369E-3"/>
    <x v="1"/>
    <n v="0"/>
    <n v="43"/>
    <n v="2"/>
    <n v="7"/>
    <n v="5"/>
    <n v="2"/>
    <n v="15"/>
    <n v="27"/>
    <n v="1"/>
    <n v="2"/>
    <n v="0"/>
    <n v="2"/>
    <n v="9"/>
    <n v="0"/>
    <n v="0"/>
    <n v="1"/>
    <n v="0"/>
    <n v="0"/>
    <n v="0"/>
    <x v="1"/>
    <x v="0"/>
    <s v="24-35"/>
    <n v="2826"/>
    <n v="0"/>
    <n v="0"/>
    <n v="0"/>
    <n v="1"/>
    <n v="0"/>
    <n v="0"/>
    <n v="0"/>
    <n v="0"/>
    <n v="0"/>
    <n v="4"/>
    <d v="2015-01-19T00:00:00"/>
  </r>
  <r>
    <n v="1557"/>
    <n v="41437"/>
    <n v="31"/>
    <n v="7.4812365760069499E-4"/>
    <x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x v="1"/>
    <x v="12"/>
    <s v="51-66"/>
    <n v="2804"/>
    <n v="1"/>
    <n v="0"/>
    <n v="0"/>
    <n v="0"/>
    <n v="0"/>
    <n v="0"/>
    <n v="0"/>
    <n v="0"/>
    <n v="1"/>
    <n v="30"/>
    <d v="2015-02-10T00:00:00"/>
  </r>
  <r>
    <n v="1606"/>
    <n v="16014"/>
    <n v="31"/>
    <n v="1.9358061696015986E-3"/>
    <x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x v="1"/>
    <x v="19"/>
    <s v="36-50"/>
    <n v="2628"/>
    <n v="0"/>
    <n v="0"/>
    <n v="1"/>
    <n v="0"/>
    <n v="0"/>
    <n v="0"/>
    <n v="0"/>
    <n v="0"/>
    <n v="0"/>
    <n v="24"/>
    <d v="2015-08-05T00:00:00"/>
  </r>
  <r>
    <n v="1612"/>
    <n v="13533"/>
    <n v="31"/>
    <n v="2.2906968151924926E-3"/>
    <x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x v="1"/>
    <x v="19"/>
    <s v="36-50"/>
    <n v="2635"/>
    <n v="1"/>
    <n v="0"/>
    <n v="0"/>
    <n v="0"/>
    <n v="0"/>
    <n v="1"/>
    <n v="0"/>
    <n v="0"/>
    <n v="0"/>
    <n v="14"/>
    <d v="2015-07-29T00:00:00"/>
  </r>
  <r>
    <n v="1986"/>
    <n v="8820"/>
    <n v="31"/>
    <n v="3.5147392290249433E-3"/>
    <x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x v="1"/>
    <x v="50"/>
    <s v="66+"/>
    <n v="2623"/>
    <n v="0"/>
    <n v="0"/>
    <n v="1"/>
    <n v="0"/>
    <n v="0"/>
    <n v="0"/>
    <n v="0"/>
    <n v="1"/>
    <n v="0"/>
    <n v="27"/>
    <d v="2015-08-10T00:00:00"/>
  </r>
  <r>
    <n v="108"/>
    <n v="21918"/>
    <n v="30"/>
    <n v="1.368738023542294E-3"/>
    <x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x v="1"/>
    <x v="3"/>
    <s v="51-66"/>
    <n v="2386"/>
    <n v="0"/>
    <n v="0"/>
    <n v="0"/>
    <n v="1"/>
    <n v="0"/>
    <n v="0"/>
    <n v="1"/>
    <n v="0"/>
    <n v="0"/>
    <n v="27"/>
    <d v="2016-04-03T00:00:00"/>
  </r>
  <r>
    <n v="412"/>
    <n v="28691"/>
    <n v="30"/>
    <n v="1.04562406329511E-3"/>
    <x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  <x v="32"/>
    <s v="24-35"/>
    <n v="2519"/>
    <n v="0"/>
    <n v="1"/>
    <n v="0"/>
    <n v="0"/>
    <n v="0"/>
    <n v="0"/>
    <n v="1"/>
    <n v="0"/>
    <n v="0"/>
    <n v="26"/>
    <d v="2015-11-22T00:00:00"/>
  </r>
  <r>
    <n v="589"/>
    <n v="13624"/>
    <n v="30"/>
    <n v="2.201996476805637E-3"/>
    <x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x v="1"/>
    <x v="7"/>
    <s v="36-50"/>
    <n v="2684"/>
    <n v="0"/>
    <n v="1"/>
    <n v="0"/>
    <n v="0"/>
    <n v="0"/>
    <n v="0"/>
    <n v="1"/>
    <n v="0"/>
    <n v="0"/>
    <n v="24"/>
    <d v="2015-06-10T00:00:00"/>
  </r>
  <r>
    <n v="893"/>
    <n v="27922"/>
    <n v="30"/>
    <n v="1.0744216030370317E-3"/>
    <x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x v="1"/>
    <x v="19"/>
    <s v="36-50"/>
    <n v="2209"/>
    <n v="0"/>
    <n v="0"/>
    <n v="0"/>
    <n v="1"/>
    <n v="0"/>
    <n v="0"/>
    <n v="0"/>
    <n v="0"/>
    <n v="1"/>
    <n v="19"/>
    <d v="2016-09-27T00:00:00"/>
  </r>
  <r>
    <n v="1373"/>
    <n v="19107"/>
    <n v="30"/>
    <n v="1.5701051970482022E-3"/>
    <x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x v="1"/>
    <x v="41"/>
    <s v="36-50"/>
    <n v="2470"/>
    <n v="0"/>
    <n v="1"/>
    <n v="0"/>
    <n v="0"/>
    <n v="0"/>
    <n v="0"/>
    <n v="1"/>
    <n v="0"/>
    <n v="0"/>
    <n v="14"/>
    <d v="2016-01-10T00:00:00"/>
  </r>
  <r>
    <n v="1471"/>
    <n v="36663"/>
    <n v="30"/>
    <n v="8.1826364454627286E-4"/>
    <x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x v="1"/>
    <x v="16"/>
    <s v="36-50"/>
    <n v="2224"/>
    <n v="0"/>
    <n v="1"/>
    <n v="0"/>
    <n v="0"/>
    <n v="0"/>
    <n v="0"/>
    <n v="0"/>
    <n v="0"/>
    <n v="1"/>
    <n v="25"/>
    <d v="2016-09-12T00:00:00"/>
  </r>
  <r>
    <n v="1475"/>
    <n v="44512"/>
    <n v="30"/>
    <n v="6.7397555715312729E-4"/>
    <x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x v="1"/>
    <x v="24"/>
    <s v="51-66"/>
    <n v="2462"/>
    <n v="0"/>
    <n v="0"/>
    <n v="0"/>
    <n v="1"/>
    <n v="0"/>
    <n v="0"/>
    <n v="1"/>
    <n v="0"/>
    <n v="0"/>
    <n v="28"/>
    <d v="2016-01-18T00:00:00"/>
  </r>
  <r>
    <n v="1587"/>
    <n v="37244"/>
    <n v="30"/>
    <n v="8.0549887230157882E-4"/>
    <x v="1"/>
    <n v="1"/>
    <n v="90"/>
    <n v="18"/>
    <n v="2"/>
    <n v="10"/>
    <n v="0"/>
    <n v="0"/>
    <n v="25"/>
    <n v="1"/>
    <n v="1"/>
    <n v="1"/>
    <n v="2"/>
    <n v="7"/>
    <n v="0"/>
    <n v="0"/>
    <n v="1"/>
    <n v="0"/>
    <n v="0"/>
    <n v="0"/>
    <x v="1"/>
    <x v="38"/>
    <s v="51-66"/>
    <n v="2587"/>
    <n v="1"/>
    <n v="0"/>
    <n v="0"/>
    <n v="0"/>
    <n v="0"/>
    <n v="0"/>
    <n v="1"/>
    <n v="0"/>
    <n v="0"/>
    <n v="5"/>
    <d v="2015-09-15T00:00:00"/>
  </r>
  <r>
    <n v="1927"/>
    <n v="34728"/>
    <n v="30"/>
    <n v="8.6385625431928132E-4"/>
    <x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x v="0"/>
    <x v="18"/>
    <s v="24-35"/>
    <n v="2493"/>
    <n v="0"/>
    <n v="0"/>
    <n v="0"/>
    <n v="1"/>
    <n v="0"/>
    <n v="0"/>
    <n v="1"/>
    <n v="0"/>
    <n v="0"/>
    <n v="24"/>
    <d v="2015-12-18T00:00:00"/>
  </r>
  <r>
    <n v="1928"/>
    <n v="25959"/>
    <n v="30"/>
    <n v="1.1556685542586387E-3"/>
    <x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x v="0"/>
    <x v="2"/>
    <s v="36-50"/>
    <n v="2659"/>
    <n v="1"/>
    <n v="0"/>
    <n v="0"/>
    <n v="0"/>
    <n v="0"/>
    <n v="1"/>
    <n v="0"/>
    <n v="0"/>
    <n v="0"/>
    <n v="4"/>
    <d v="2015-07-05T00:00:00"/>
  </r>
  <r>
    <n v="156"/>
    <n v="33456"/>
    <n v="29"/>
    <n v="8.6681013868962215E-4"/>
    <x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x v="1"/>
    <x v="47"/>
    <s v="51-66"/>
    <n v="2228"/>
    <n v="0"/>
    <n v="0"/>
    <n v="0"/>
    <n v="1"/>
    <n v="0"/>
    <n v="0"/>
    <n v="1"/>
    <n v="0"/>
    <n v="0"/>
    <n v="22"/>
    <d v="2016-09-08T00:00:00"/>
  </r>
  <r>
    <n v="446"/>
    <n v="41644"/>
    <n v="29"/>
    <n v="6.9637883008356546E-4"/>
    <x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x v="1"/>
    <x v="9"/>
    <s v="36-50"/>
    <n v="2210"/>
    <n v="0"/>
    <n v="0"/>
    <n v="1"/>
    <n v="0"/>
    <n v="0"/>
    <n v="0"/>
    <n v="0"/>
    <n v="0"/>
    <n v="1"/>
    <n v="27"/>
    <d v="2016-09-26T00:00:00"/>
  </r>
  <r>
    <n v="999"/>
    <n v="35860"/>
    <n v="29"/>
    <n v="8.0870050195203569E-4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x v="1"/>
    <x v="30"/>
    <s v="36-50"/>
    <n v="2200"/>
    <n v="1"/>
    <n v="0"/>
    <n v="0"/>
    <n v="0"/>
    <n v="0"/>
    <n v="0"/>
    <n v="0"/>
    <n v="0"/>
    <n v="1"/>
    <n v="9"/>
    <d v="2016-10-06T00:00:00"/>
  </r>
  <r>
    <n v="1254"/>
    <n v="40049"/>
    <n v="29"/>
    <n v="7.2411296162201298E-4"/>
    <x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x v="1"/>
    <x v="50"/>
    <s v="66+"/>
    <n v="2415"/>
    <n v="0"/>
    <n v="0"/>
    <n v="0"/>
    <n v="0"/>
    <n v="1"/>
    <n v="0"/>
    <n v="1"/>
    <n v="0"/>
    <n v="0"/>
    <n v="26"/>
    <d v="2016-03-05T00:00:00"/>
  </r>
  <r>
    <n v="1930"/>
    <n v="35860"/>
    <n v="29"/>
    <n v="8.0870050195203569E-4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x v="0"/>
    <x v="30"/>
    <s v="36-50"/>
    <n v="2200"/>
    <n v="0"/>
    <n v="0"/>
    <n v="1"/>
    <n v="0"/>
    <n v="0"/>
    <n v="0"/>
    <n v="0"/>
    <n v="0"/>
    <n v="1"/>
    <n v="9"/>
    <d v="2016-10-06T00:00:00"/>
  </r>
  <r>
    <n v="1936"/>
    <n v="35860"/>
    <n v="29"/>
    <n v="8.0870050195203569E-4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x v="0"/>
    <x v="30"/>
    <s v="36-50"/>
    <n v="2200"/>
    <n v="1"/>
    <n v="0"/>
    <n v="0"/>
    <n v="0"/>
    <n v="0"/>
    <n v="0"/>
    <n v="0"/>
    <n v="0"/>
    <n v="1"/>
    <n v="9"/>
    <d v="2016-10-06T00:00:00"/>
  </r>
  <r>
    <n v="82"/>
    <n v="42394"/>
    <n v="28"/>
    <n v="6.6047082134264279E-4"/>
    <x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x v="1"/>
    <x v="9"/>
    <s v="36-50"/>
    <n v="2257"/>
    <n v="0"/>
    <n v="0"/>
    <n v="1"/>
    <n v="0"/>
    <n v="0"/>
    <n v="0"/>
    <n v="0"/>
    <n v="1"/>
    <n v="0"/>
    <n v="24"/>
    <d v="2016-08-10T00:00:00"/>
  </r>
  <r>
    <n v="358"/>
    <n v="10245"/>
    <n v="28"/>
    <n v="2.7330405075646656E-3"/>
    <x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x v="1"/>
    <x v="28"/>
    <s v="36-50"/>
    <n v="2569"/>
    <n v="0"/>
    <n v="0"/>
    <n v="1"/>
    <n v="0"/>
    <n v="0"/>
    <n v="0"/>
    <n v="1"/>
    <n v="0"/>
    <n v="0"/>
    <n v="15"/>
    <d v="2015-10-03T00:00:00"/>
  </r>
  <r>
    <n v="564"/>
    <n v="42169"/>
    <n v="28"/>
    <n v="6.639948777538002E-4"/>
    <x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x v="1"/>
    <x v="3"/>
    <s v="51-66"/>
    <n v="2412"/>
    <n v="0"/>
    <n v="1"/>
    <n v="0"/>
    <n v="0"/>
    <n v="0"/>
    <n v="0"/>
    <n v="0"/>
    <n v="1"/>
    <n v="0"/>
    <n v="26"/>
    <d v="2016-03-08T00:00:00"/>
  </r>
  <r>
    <n v="1158"/>
    <n v="37395"/>
    <n v="28"/>
    <n v="7.4876320363684984E-4"/>
    <x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x v="1"/>
    <x v="7"/>
    <s v="36-50"/>
    <n v="2217"/>
    <n v="0"/>
    <n v="0"/>
    <n v="0"/>
    <n v="1"/>
    <n v="0"/>
    <n v="0"/>
    <n v="0"/>
    <n v="0"/>
    <n v="1"/>
    <n v="17"/>
    <d v="2016-09-19T00:00:00"/>
  </r>
  <r>
    <n v="1329"/>
    <n v="31163"/>
    <n v="28"/>
    <n v="8.9850142797548373E-4"/>
    <x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  <x v="30"/>
    <s v="36-50"/>
    <n v="2295"/>
    <n v="1"/>
    <n v="0"/>
    <n v="0"/>
    <n v="0"/>
    <n v="0"/>
    <n v="1"/>
    <n v="0"/>
    <n v="0"/>
    <n v="0"/>
    <n v="18"/>
    <d v="2016-07-03T00:00:00"/>
  </r>
  <r>
    <n v="1662"/>
    <n v="25293"/>
    <n v="28"/>
    <n v="1.1070256592733167E-3"/>
    <x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  <x v="3"/>
    <s v="51-66"/>
    <n v="2446"/>
    <n v="0"/>
    <n v="1"/>
    <n v="0"/>
    <n v="0"/>
    <n v="0"/>
    <n v="0"/>
    <n v="1"/>
    <n v="0"/>
    <n v="0"/>
    <n v="19"/>
    <d v="2016-02-03T00:00:00"/>
  </r>
  <r>
    <n v="1719"/>
    <n v="30298"/>
    <n v="28"/>
    <n v="9.2415340946597137E-4"/>
    <x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x v="1"/>
    <x v="23"/>
    <s v="24-35"/>
    <n v="2200"/>
    <n v="0"/>
    <n v="0"/>
    <n v="1"/>
    <n v="0"/>
    <n v="0"/>
    <n v="0"/>
    <n v="0"/>
    <n v="0"/>
    <n v="1"/>
    <n v="28"/>
    <d v="2016-10-06T00:00:00"/>
  </r>
  <r>
    <n v="1942"/>
    <n v="15345"/>
    <n v="28"/>
    <n v="1.8246985988921473E-3"/>
    <x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x v="0"/>
    <x v="39"/>
    <s v="36-50"/>
    <n v="2826"/>
    <n v="0"/>
    <n v="0"/>
    <n v="0"/>
    <n v="1"/>
    <n v="0"/>
    <n v="0"/>
    <n v="1"/>
    <n v="0"/>
    <n v="0"/>
    <n v="9"/>
    <d v="2015-01-19T00:00:00"/>
  </r>
  <r>
    <n v="1998"/>
    <n v="14918"/>
    <n v="28"/>
    <n v="1.8769272020378066E-3"/>
    <x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x v="1"/>
    <x v="33"/>
    <s v="51-66"/>
    <n v="2728"/>
    <n v="0"/>
    <n v="0"/>
    <n v="0"/>
    <n v="1"/>
    <n v="0"/>
    <n v="0"/>
    <n v="0"/>
    <n v="0"/>
    <n v="0"/>
    <n v="13"/>
    <d v="2015-04-27T00:00:00"/>
  </r>
  <r>
    <n v="344"/>
    <n v="35684"/>
    <n v="27"/>
    <n v="7.5664163210402424E-4"/>
    <x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x v="1"/>
    <x v="39"/>
    <s v="36-50"/>
    <n v="2227"/>
    <n v="0"/>
    <n v="1"/>
    <n v="0"/>
    <n v="0"/>
    <n v="0"/>
    <n v="1"/>
    <n v="0"/>
    <n v="0"/>
    <n v="0"/>
    <n v="24"/>
    <d v="2016-09-09T00:00:00"/>
  </r>
  <r>
    <n v="411"/>
    <n v="7500"/>
    <n v="27"/>
    <n v="3.5999999999999999E-3"/>
    <x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x v="1"/>
    <x v="18"/>
    <s v="24-35"/>
    <n v="2666"/>
    <n v="0"/>
    <n v="1"/>
    <n v="0"/>
    <n v="0"/>
    <n v="0"/>
    <n v="1"/>
    <n v="0"/>
    <n v="0"/>
    <n v="0"/>
    <n v="18"/>
    <d v="2015-06-28T00:00:00"/>
  </r>
  <r>
    <n v="573"/>
    <n v="26150"/>
    <n v="27"/>
    <n v="1.0325047801147227E-3"/>
    <x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x v="1"/>
    <x v="5"/>
    <s v="51-66"/>
    <n v="2634"/>
    <n v="1"/>
    <n v="0"/>
    <n v="0"/>
    <n v="0"/>
    <n v="0"/>
    <n v="0"/>
    <n v="1"/>
    <n v="0"/>
    <n v="0"/>
    <n v="26"/>
    <d v="2015-07-30T00:00:00"/>
  </r>
  <r>
    <n v="990"/>
    <n v="27100"/>
    <n v="27"/>
    <n v="9.9630996309963099E-4"/>
    <x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  <x v="20"/>
    <s v="36-50"/>
    <n v="2609"/>
    <n v="0"/>
    <n v="1"/>
    <n v="0"/>
    <n v="0"/>
    <n v="0"/>
    <n v="0"/>
    <n v="0"/>
    <n v="1"/>
    <n v="0"/>
    <n v="17"/>
    <d v="2015-08-24T00:00:00"/>
  </r>
  <r>
    <n v="1219"/>
    <n v="23148"/>
    <n v="27"/>
    <n v="1.1664074650077762E-3"/>
    <x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x v="1"/>
    <x v="23"/>
    <s v="24-35"/>
    <n v="2290"/>
    <n v="0"/>
    <n v="1"/>
    <n v="0"/>
    <n v="0"/>
    <n v="0"/>
    <n v="1"/>
    <n v="0"/>
    <n v="0"/>
    <n v="0"/>
    <n v="17"/>
    <d v="2016-07-08T00:00:00"/>
  </r>
  <r>
    <n v="1506"/>
    <n v="35924"/>
    <n v="27"/>
    <n v="7.5158668299743904E-4"/>
    <x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x v="1"/>
    <x v="3"/>
    <s v="51-66"/>
    <n v="2257"/>
    <n v="0"/>
    <n v="0"/>
    <n v="0"/>
    <n v="1"/>
    <n v="0"/>
    <n v="0"/>
    <n v="0"/>
    <n v="1"/>
    <n v="0"/>
    <n v="20"/>
    <d v="2016-08-10T00:00:00"/>
  </r>
  <r>
    <n v="1711"/>
    <n v="23830"/>
    <n v="27"/>
    <n v="1.1330255979857323E-3"/>
    <x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x v="1"/>
    <x v="36"/>
    <s v="24-35"/>
    <n v="2301"/>
    <n v="0"/>
    <n v="0"/>
    <n v="1"/>
    <n v="0"/>
    <n v="0"/>
    <n v="1"/>
    <n v="0"/>
    <n v="0"/>
    <n v="0"/>
    <n v="11"/>
    <d v="2016-06-27T00:00:00"/>
  </r>
  <r>
    <n v="2004"/>
    <n v="5305"/>
    <n v="27"/>
    <n v="5.0895381715362863E-3"/>
    <x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x v="1"/>
    <x v="7"/>
    <s v="36-50"/>
    <n v="2493"/>
    <n v="0"/>
    <n v="1"/>
    <n v="0"/>
    <n v="0"/>
    <n v="0"/>
    <n v="0"/>
    <n v="1"/>
    <n v="0"/>
    <n v="0"/>
    <n v="22"/>
    <d v="2015-12-18T00:00:00"/>
  </r>
  <r>
    <n v="29"/>
    <n v="10979"/>
    <n v="26"/>
    <n v="2.3681573913835502E-3"/>
    <x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  <x v="32"/>
    <s v="24-35"/>
    <n v="2197"/>
    <n v="1"/>
    <n v="0"/>
    <n v="0"/>
    <n v="0"/>
    <n v="0"/>
    <n v="0"/>
    <n v="0"/>
    <n v="1"/>
    <n v="0"/>
    <n v="22"/>
    <d v="2016-10-09T00:00:00"/>
  </r>
  <r>
    <n v="800"/>
    <n v="30843"/>
    <n v="26"/>
    <n v="8.4297895794831895E-4"/>
    <x v="1"/>
    <n v="1"/>
    <n v="43"/>
    <n v="24"/>
    <n v="0"/>
    <n v="2"/>
    <n v="0"/>
    <n v="0"/>
    <n v="9"/>
    <n v="2"/>
    <n v="1"/>
    <n v="1"/>
    <n v="2"/>
    <n v="5"/>
    <n v="0"/>
    <n v="0"/>
    <n v="1"/>
    <n v="0"/>
    <n v="0"/>
    <n v="0"/>
    <x v="1"/>
    <x v="22"/>
    <s v="51-66"/>
    <n v="2193"/>
    <n v="0"/>
    <n v="0"/>
    <n v="0"/>
    <n v="1"/>
    <n v="0"/>
    <n v="0"/>
    <n v="0"/>
    <n v="0"/>
    <n v="1"/>
    <n v="17"/>
    <d v="2016-10-13T00:00:00"/>
  </r>
  <r>
    <n v="1072"/>
    <n v="21282"/>
    <n v="26"/>
    <n v="1.2216896908185321E-3"/>
    <x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x v="1"/>
    <x v="37"/>
    <s v="36-50"/>
    <n v="2208"/>
    <n v="1"/>
    <n v="0"/>
    <n v="0"/>
    <n v="0"/>
    <n v="0"/>
    <n v="1"/>
    <n v="0"/>
    <n v="0"/>
    <n v="0"/>
    <n v="6"/>
    <d v="2016-09-28T00:00:00"/>
  </r>
  <r>
    <n v="1537"/>
    <n v="15862"/>
    <n v="26"/>
    <n v="1.6391375614676585E-3"/>
    <x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x v="1"/>
    <x v="19"/>
    <s v="36-50"/>
    <n v="2526"/>
    <n v="0"/>
    <n v="0"/>
    <n v="1"/>
    <n v="0"/>
    <n v="0"/>
    <n v="0"/>
    <n v="0"/>
    <n v="0"/>
    <n v="0"/>
    <n v="16"/>
    <d v="2015-11-15T00:00:00"/>
  </r>
  <r>
    <n v="1653"/>
    <n v="21840"/>
    <n v="26"/>
    <n v="1.1904761904761906E-3"/>
    <x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x v="1"/>
    <x v="20"/>
    <s v="36-50"/>
    <n v="2502"/>
    <n v="0"/>
    <n v="0"/>
    <n v="0"/>
    <n v="1"/>
    <n v="0"/>
    <n v="0"/>
    <n v="0"/>
    <n v="0"/>
    <n v="1"/>
    <n v="25"/>
    <d v="2015-12-09T00:00:00"/>
  </r>
  <r>
    <n v="1952"/>
    <n v="34176"/>
    <n v="26"/>
    <n v="7.607677902621723E-4"/>
    <x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x v="1"/>
    <x v="16"/>
    <s v="36-50"/>
    <n v="2317"/>
    <n v="0"/>
    <n v="0"/>
    <n v="0"/>
    <n v="1"/>
    <n v="0"/>
    <n v="0"/>
    <n v="0"/>
    <n v="1"/>
    <n v="0"/>
    <n v="24"/>
    <d v="2016-06-11T00:00:00"/>
  </r>
  <r>
    <n v="223"/>
    <n v="22804"/>
    <n v="25"/>
    <n v="1.0962988949307138E-3"/>
    <x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  <x v="28"/>
    <s v="36-50"/>
    <n v="2492"/>
    <n v="0"/>
    <n v="0"/>
    <n v="1"/>
    <n v="0"/>
    <n v="0"/>
    <n v="0"/>
    <n v="1"/>
    <n v="0"/>
    <n v="0"/>
    <n v="24"/>
    <d v="2015-12-19T00:00:00"/>
  </r>
  <r>
    <n v="310"/>
    <n v="22010"/>
    <n v="25"/>
    <n v="1.1358473421172195E-3"/>
    <x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x v="1"/>
    <x v="20"/>
    <s v="36-50"/>
    <n v="2523"/>
    <n v="0"/>
    <n v="0"/>
    <n v="0"/>
    <n v="1"/>
    <n v="0"/>
    <n v="0"/>
    <n v="1"/>
    <n v="0"/>
    <n v="0"/>
    <n v="17"/>
    <d v="2015-11-18T00:00:00"/>
  </r>
  <r>
    <n v="877"/>
    <n v="25443"/>
    <n v="25"/>
    <n v="9.8258853122666352E-4"/>
    <x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x v="1"/>
    <x v="32"/>
    <s v="24-35"/>
    <n v="2713"/>
    <n v="0"/>
    <n v="1"/>
    <n v="0"/>
    <n v="0"/>
    <n v="0"/>
    <n v="0"/>
    <n v="0"/>
    <n v="0"/>
    <n v="0"/>
    <n v="18"/>
    <d v="2015-05-12T00:00:00"/>
  </r>
  <r>
    <n v="1372"/>
    <n v="19414"/>
    <n v="25"/>
    <n v="1.2877305037601731E-3"/>
    <x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x v="1"/>
    <x v="43"/>
    <s v="36-50"/>
    <n v="2415"/>
    <n v="0"/>
    <n v="0"/>
    <n v="0"/>
    <n v="1"/>
    <n v="0"/>
    <n v="1"/>
    <n v="0"/>
    <n v="0"/>
    <n v="0"/>
    <n v="18"/>
    <d v="2016-03-05T00:00:00"/>
  </r>
  <r>
    <n v="1574"/>
    <n v="22108"/>
    <n v="25"/>
    <n v="1.1308123756106386E-3"/>
    <x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x v="1"/>
    <x v="13"/>
    <s v="36-50"/>
    <n v="2211"/>
    <n v="0"/>
    <n v="1"/>
    <n v="0"/>
    <n v="0"/>
    <n v="0"/>
    <n v="0"/>
    <n v="1"/>
    <n v="0"/>
    <n v="0"/>
    <n v="19"/>
    <d v="2016-09-25T00:00:00"/>
  </r>
  <r>
    <n v="1686"/>
    <n v="25008"/>
    <n v="25"/>
    <n v="9.9968010236724247E-4"/>
    <x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x v="1"/>
    <x v="0"/>
    <s v="24-35"/>
    <n v="2306"/>
    <n v="0"/>
    <n v="0"/>
    <n v="1"/>
    <n v="0"/>
    <n v="0"/>
    <n v="0"/>
    <n v="1"/>
    <n v="0"/>
    <n v="0"/>
    <n v="16"/>
    <d v="2016-06-22T00:00:00"/>
  </r>
  <r>
    <n v="53"/>
    <n v="27938"/>
    <n v="24"/>
    <n v="8.5904502827689885E-4"/>
    <x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x v="1"/>
    <x v="0"/>
    <s v="24-35"/>
    <n v="2221"/>
    <n v="0"/>
    <n v="0"/>
    <n v="1"/>
    <n v="0"/>
    <n v="0"/>
    <n v="0"/>
    <n v="1"/>
    <n v="0"/>
    <n v="0"/>
    <n v="19"/>
    <d v="2016-09-15T00:00:00"/>
  </r>
  <r>
    <n v="178"/>
    <n v="31353"/>
    <n v="24"/>
    <n v="7.6547698784805278E-4"/>
    <x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1"/>
    <x v="13"/>
    <s v="36-50"/>
    <n v="2341"/>
    <n v="0"/>
    <n v="1"/>
    <n v="0"/>
    <n v="0"/>
    <n v="0"/>
    <n v="0"/>
    <n v="1"/>
    <n v="0"/>
    <n v="0"/>
    <n v="17"/>
    <d v="2016-05-18T00:00:00"/>
  </r>
  <r>
    <n v="274"/>
    <n v="35388"/>
    <n v="24"/>
    <n v="6.7819599864360806E-4"/>
    <x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x v="1"/>
    <x v="0"/>
    <s v="24-35"/>
    <n v="2638"/>
    <n v="1"/>
    <n v="0"/>
    <n v="0"/>
    <n v="0"/>
    <n v="0"/>
    <n v="1"/>
    <n v="0"/>
    <n v="0"/>
    <n v="0"/>
    <n v="16"/>
    <d v="2015-07-26T00:00:00"/>
  </r>
  <r>
    <n v="622"/>
    <n v="14661"/>
    <n v="24"/>
    <n v="1.6369961121342337E-3"/>
    <x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x v="1"/>
    <x v="5"/>
    <s v="51-66"/>
    <n v="2703"/>
    <n v="0"/>
    <n v="0"/>
    <n v="0"/>
    <n v="1"/>
    <n v="0"/>
    <n v="0"/>
    <n v="0"/>
    <n v="1"/>
    <n v="0"/>
    <n v="22"/>
    <d v="2015-05-22T00:00:00"/>
  </r>
  <r>
    <n v="732"/>
    <n v="36283"/>
    <n v="24"/>
    <n v="6.614668026348428E-4"/>
    <x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x v="1"/>
    <x v="7"/>
    <s v="36-50"/>
    <n v="2235"/>
    <n v="0"/>
    <n v="0"/>
    <n v="0"/>
    <n v="1"/>
    <n v="0"/>
    <n v="0"/>
    <n v="1"/>
    <n v="0"/>
    <n v="0"/>
    <n v="19"/>
    <d v="2016-09-01T00:00:00"/>
  </r>
  <r>
    <n v="1001"/>
    <n v="16860"/>
    <n v="24"/>
    <n v="1.4234875444839859E-3"/>
    <x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x v="1"/>
    <x v="21"/>
    <s v="51-66"/>
    <n v="2814"/>
    <n v="0"/>
    <n v="1"/>
    <n v="0"/>
    <n v="0"/>
    <n v="0"/>
    <n v="0"/>
    <n v="1"/>
    <n v="0"/>
    <n v="0"/>
    <n v="10"/>
    <d v="2015-01-31T00:00:00"/>
  </r>
  <r>
    <n v="1261"/>
    <n v="26887"/>
    <n v="24"/>
    <n v="8.9262468851117641E-4"/>
    <x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x v="1"/>
    <x v="29"/>
    <s v="51-66"/>
    <n v="2663"/>
    <n v="0"/>
    <n v="1"/>
    <n v="0"/>
    <n v="0"/>
    <n v="0"/>
    <n v="1"/>
    <n v="0"/>
    <n v="0"/>
    <n v="0"/>
    <n v="18"/>
    <d v="2015-07-01T00:00:00"/>
  </r>
  <r>
    <n v="1505"/>
    <n v="30560"/>
    <n v="24"/>
    <n v="7.8534031413612568E-4"/>
    <x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  <x v="7"/>
    <s v="36-50"/>
    <n v="2526"/>
    <n v="0"/>
    <n v="0"/>
    <n v="0"/>
    <n v="1"/>
    <n v="0"/>
    <n v="0"/>
    <n v="0"/>
    <n v="1"/>
    <n v="0"/>
    <n v="17"/>
    <d v="2015-11-15T00:00:00"/>
  </r>
  <r>
    <n v="1517"/>
    <n v="25358"/>
    <n v="24"/>
    <n v="9.4644688066882247E-4"/>
    <x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x v="1"/>
    <x v="6"/>
    <s v="66+"/>
    <n v="2501"/>
    <n v="0"/>
    <n v="0"/>
    <n v="0"/>
    <n v="0"/>
    <n v="1"/>
    <n v="0"/>
    <n v="0"/>
    <n v="0"/>
    <n v="1"/>
    <n v="16"/>
    <d v="2015-12-10T00:00:00"/>
  </r>
  <r>
    <n v="1621"/>
    <n v="42664"/>
    <n v="24"/>
    <n v="5.6253515844740295E-4"/>
    <x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x v="1"/>
    <x v="26"/>
    <s v="51-66"/>
    <n v="2262"/>
    <n v="0"/>
    <n v="1"/>
    <n v="0"/>
    <n v="0"/>
    <n v="0"/>
    <n v="0"/>
    <n v="1"/>
    <n v="0"/>
    <n v="0"/>
    <n v="24"/>
    <d v="2016-08-05T00:00:00"/>
  </r>
  <r>
    <n v="1955"/>
    <n v="31353"/>
    <n v="24"/>
    <n v="7.6547698784805278E-4"/>
    <x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0"/>
    <x v="13"/>
    <s v="36-50"/>
    <n v="2341"/>
    <n v="0"/>
    <n v="1"/>
    <n v="0"/>
    <n v="0"/>
    <n v="0"/>
    <n v="0"/>
    <n v="1"/>
    <n v="0"/>
    <n v="0"/>
    <n v="17"/>
    <d v="2016-05-18T00:00:00"/>
  </r>
  <r>
    <n v="111"/>
    <n v="19510"/>
    <n v="23"/>
    <n v="1.1788826242952332E-3"/>
    <x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x v="1"/>
    <x v="23"/>
    <s v="24-35"/>
    <n v="2457"/>
    <n v="0"/>
    <n v="1"/>
    <n v="0"/>
    <n v="0"/>
    <n v="0"/>
    <n v="0"/>
    <n v="0"/>
    <n v="1"/>
    <n v="0"/>
    <n v="16"/>
    <d v="2016-01-23T00:00:00"/>
  </r>
  <r>
    <n v="1280"/>
    <n v="37971"/>
    <n v="23"/>
    <n v="6.0572542203260384E-4"/>
    <x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x v="1"/>
    <x v="30"/>
    <s v="36-50"/>
    <n v="2375"/>
    <n v="0"/>
    <n v="1"/>
    <n v="0"/>
    <n v="0"/>
    <n v="0"/>
    <n v="0"/>
    <n v="1"/>
    <n v="0"/>
    <n v="0"/>
    <n v="16"/>
    <d v="2016-04-14T00:00:00"/>
  </r>
  <r>
    <n v="1637"/>
    <n v="28520"/>
    <n v="23"/>
    <n v="8.0645161290322581E-4"/>
    <x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x v="1"/>
    <x v="24"/>
    <s v="51-66"/>
    <n v="2539"/>
    <n v="0"/>
    <n v="1"/>
    <n v="0"/>
    <n v="0"/>
    <n v="0"/>
    <n v="0"/>
    <n v="0"/>
    <n v="1"/>
    <n v="0"/>
    <n v="3"/>
    <d v="2015-11-02T00:00:00"/>
  </r>
  <r>
    <n v="1645"/>
    <n v="44689"/>
    <n v="23"/>
    <n v="5.1466803911477102E-4"/>
    <x v="1"/>
    <n v="1"/>
    <n v="82"/>
    <n v="18"/>
    <n v="0"/>
    <n v="5"/>
    <n v="0"/>
    <n v="0"/>
    <n v="11"/>
    <n v="2"/>
    <n v="1"/>
    <n v="1"/>
    <n v="2"/>
    <n v="7"/>
    <n v="0"/>
    <n v="0"/>
    <n v="1"/>
    <n v="0"/>
    <n v="0"/>
    <n v="0"/>
    <x v="1"/>
    <x v="15"/>
    <s v="66+"/>
    <n v="2329"/>
    <n v="0"/>
    <n v="1"/>
    <n v="0"/>
    <n v="0"/>
    <n v="0"/>
    <n v="0"/>
    <n v="1"/>
    <n v="0"/>
    <n v="0"/>
    <n v="12"/>
    <d v="2016-05-30T00:00:00"/>
  </r>
  <r>
    <n v="218"/>
    <n v="23661"/>
    <n v="22"/>
    <n v="9.2980009298000927E-4"/>
    <x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x v="1"/>
    <x v="31"/>
    <s v="36-50"/>
    <n v="2366"/>
    <n v="0"/>
    <n v="0"/>
    <n v="0"/>
    <n v="1"/>
    <n v="0"/>
    <n v="0"/>
    <n v="0"/>
    <n v="1"/>
    <n v="0"/>
    <n v="21"/>
    <d v="2016-04-23T00:00:00"/>
  </r>
  <r>
    <n v="295"/>
    <n v="30833"/>
    <n v="22"/>
    <n v="7.1352122725651087E-4"/>
    <x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x v="1"/>
    <x v="15"/>
    <s v="66+"/>
    <n v="2507"/>
    <n v="0"/>
    <n v="1"/>
    <n v="0"/>
    <n v="0"/>
    <n v="0"/>
    <n v="0"/>
    <n v="1"/>
    <n v="0"/>
    <n v="0"/>
    <n v="16"/>
    <d v="2015-12-04T00:00:00"/>
  </r>
  <r>
    <n v="371"/>
    <n v="23442"/>
    <n v="22"/>
    <n v="9.3848647726303214E-4"/>
    <x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x v="1"/>
    <x v="36"/>
    <s v="24-35"/>
    <n v="2711"/>
    <n v="0"/>
    <n v="0"/>
    <n v="1"/>
    <n v="0"/>
    <n v="0"/>
    <n v="0"/>
    <n v="1"/>
    <n v="0"/>
    <n v="0"/>
    <n v="17"/>
    <d v="2015-05-14T00:00:00"/>
  </r>
  <r>
    <n v="415"/>
    <n v="20130"/>
    <n v="22"/>
    <n v="1.092896174863388E-3"/>
    <x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  <x v="35"/>
    <s v="36-50"/>
    <n v="2263"/>
    <n v="0"/>
    <n v="1"/>
    <n v="0"/>
    <n v="0"/>
    <n v="0"/>
    <n v="1"/>
    <n v="0"/>
    <n v="0"/>
    <n v="0"/>
    <n v="10"/>
    <d v="2016-08-04T00:00:00"/>
  </r>
  <r>
    <n v="578"/>
    <n v="18978"/>
    <n v="22"/>
    <n v="1.1592370112762146E-3"/>
    <x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x v="1"/>
    <x v="30"/>
    <s v="36-50"/>
    <n v="2724"/>
    <n v="0"/>
    <n v="1"/>
    <n v="0"/>
    <n v="0"/>
    <n v="0"/>
    <n v="0"/>
    <n v="0"/>
    <n v="0"/>
    <n v="0"/>
    <n v="7"/>
    <d v="2015-05-01T00:00:00"/>
  </r>
  <r>
    <n v="1822"/>
    <n v="24206"/>
    <n v="22"/>
    <n v="9.0886557051970583E-4"/>
    <x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x v="1"/>
    <x v="2"/>
    <s v="36-50"/>
    <n v="2637"/>
    <n v="0"/>
    <n v="0"/>
    <n v="1"/>
    <n v="0"/>
    <n v="0"/>
    <n v="0"/>
    <n v="1"/>
    <n v="0"/>
    <n v="0"/>
    <n v="19"/>
    <d v="2015-07-27T00:00:00"/>
  </r>
  <r>
    <n v="1961"/>
    <n v="30396"/>
    <n v="22"/>
    <n v="7.2377944466377154E-4"/>
    <x v="1"/>
    <n v="0"/>
    <n v="22"/>
    <n v="15"/>
    <n v="0"/>
    <n v="6"/>
    <n v="0"/>
    <n v="1"/>
    <n v="12"/>
    <n v="2"/>
    <n v="1"/>
    <n v="1"/>
    <n v="2"/>
    <n v="7"/>
    <n v="0"/>
    <n v="0"/>
    <n v="1"/>
    <n v="0"/>
    <n v="0"/>
    <n v="0"/>
    <x v="0"/>
    <x v="3"/>
    <s v="51-66"/>
    <n v="2219"/>
    <n v="0"/>
    <n v="1"/>
    <n v="0"/>
    <n v="0"/>
    <n v="0"/>
    <n v="0"/>
    <n v="0"/>
    <n v="0"/>
    <n v="1"/>
    <n v="10"/>
    <d v="2016-09-17T00:00:00"/>
  </r>
  <r>
    <n v="2"/>
    <n v="46344"/>
    <n v="21"/>
    <n v="4.5313309166235109E-4"/>
    <x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x v="1"/>
    <x v="44"/>
    <s v="66+"/>
    <n v="2272"/>
    <n v="0"/>
    <n v="0"/>
    <n v="1"/>
    <n v="0"/>
    <n v="0"/>
    <n v="0"/>
    <n v="1"/>
    <n v="0"/>
    <n v="0"/>
    <n v="15"/>
    <d v="2016-07-26T00:00:00"/>
  </r>
  <r>
    <n v="297"/>
    <n v="34421"/>
    <n v="21"/>
    <n v="6.1009267598268499E-4"/>
    <x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  <x v="35"/>
    <s v="36-50"/>
    <n v="2522"/>
    <n v="0"/>
    <n v="1"/>
    <n v="0"/>
    <n v="0"/>
    <n v="0"/>
    <n v="0"/>
    <n v="1"/>
    <n v="0"/>
    <n v="0"/>
    <n v="12"/>
    <d v="2015-11-19T00:00:00"/>
  </r>
  <r>
    <n v="778"/>
    <n v="16529"/>
    <n v="21"/>
    <n v="1.2704942827757276E-3"/>
    <x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x v="1"/>
    <x v="39"/>
    <s v="36-50"/>
    <n v="2279"/>
    <n v="0"/>
    <n v="0"/>
    <n v="0"/>
    <n v="1"/>
    <n v="0"/>
    <n v="0"/>
    <n v="1"/>
    <n v="0"/>
    <n v="0"/>
    <n v="20"/>
    <d v="2016-07-19T00:00:00"/>
  </r>
  <r>
    <n v="853"/>
    <n v="45684"/>
    <n v="21"/>
    <n v="4.5967953769372207E-4"/>
    <x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x v="1"/>
    <x v="28"/>
    <s v="36-50"/>
    <n v="2368"/>
    <n v="0"/>
    <n v="0"/>
    <n v="0"/>
    <n v="0"/>
    <n v="1"/>
    <n v="0"/>
    <n v="1"/>
    <n v="0"/>
    <n v="0"/>
    <n v="14"/>
    <d v="2016-04-21T00:00:00"/>
  </r>
  <r>
    <n v="1896"/>
    <n v="22390"/>
    <n v="21"/>
    <n v="9.3791871371147831E-4"/>
    <x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x v="1"/>
    <x v="3"/>
    <s v="51-66"/>
    <n v="2410"/>
    <n v="0"/>
    <n v="0"/>
    <n v="0"/>
    <n v="1"/>
    <n v="0"/>
    <n v="0"/>
    <n v="0"/>
    <n v="0"/>
    <n v="0"/>
    <n v="16"/>
    <d v="2016-03-10T00:00:00"/>
  </r>
  <r>
    <n v="94"/>
    <n v="24594"/>
    <n v="20"/>
    <n v="8.1320647312352605E-4"/>
    <x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  <x v="19"/>
    <s v="36-50"/>
    <n v="2360"/>
    <n v="0"/>
    <n v="0"/>
    <n v="0"/>
    <n v="1"/>
    <n v="0"/>
    <n v="0"/>
    <n v="0"/>
    <n v="0"/>
    <n v="0"/>
    <n v="11"/>
    <d v="2016-04-29T00:00:00"/>
  </r>
  <r>
    <n v="123"/>
    <n v="9548"/>
    <n v="20"/>
    <n v="2.0946795140343527E-3"/>
    <x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x v="1"/>
    <x v="7"/>
    <s v="36-50"/>
    <n v="2849"/>
    <n v="1"/>
    <n v="0"/>
    <n v="0"/>
    <n v="0"/>
    <n v="0"/>
    <n v="0"/>
    <n v="0"/>
    <n v="0"/>
    <n v="0"/>
    <n v="11"/>
    <d v="2014-12-27T00:00:00"/>
  </r>
  <r>
    <n v="244"/>
    <n v="37717"/>
    <n v="20"/>
    <n v="5.3026486730121697E-4"/>
    <x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  <x v="37"/>
    <s v="36-50"/>
    <n v="2742"/>
    <n v="0"/>
    <n v="1"/>
    <n v="0"/>
    <n v="0"/>
    <n v="0"/>
    <n v="0"/>
    <n v="0"/>
    <n v="0"/>
    <n v="1"/>
    <n v="15"/>
    <d v="2015-04-13T00:00:00"/>
  </r>
  <r>
    <n v="517"/>
    <n v="27159"/>
    <n v="20"/>
    <n v="7.3640413859125888E-4"/>
    <x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x v="1"/>
    <x v="30"/>
    <s v="36-50"/>
    <n v="2251"/>
    <n v="0"/>
    <n v="1"/>
    <n v="0"/>
    <n v="0"/>
    <n v="0"/>
    <n v="0"/>
    <n v="0"/>
    <n v="1"/>
    <n v="0"/>
    <n v="19"/>
    <d v="2016-08-16T00:00:00"/>
  </r>
  <r>
    <n v="966"/>
    <n v="32173"/>
    <n v="20"/>
    <n v="6.2163926273583439E-4"/>
    <x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x v="1"/>
    <x v="27"/>
    <s v="51-66"/>
    <n v="2491"/>
    <n v="1"/>
    <n v="0"/>
    <n v="0"/>
    <n v="0"/>
    <n v="0"/>
    <n v="0"/>
    <n v="0"/>
    <n v="0"/>
    <n v="1"/>
    <n v="18"/>
    <d v="2015-12-20T00:00:00"/>
  </r>
  <r>
    <n v="1012"/>
    <n v="26907"/>
    <n v="20"/>
    <n v="7.4330099973984464E-4"/>
    <x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  <x v="7"/>
    <s v="36-50"/>
    <n v="2472"/>
    <n v="0"/>
    <n v="0"/>
    <n v="0"/>
    <n v="1"/>
    <n v="0"/>
    <n v="1"/>
    <n v="0"/>
    <n v="0"/>
    <n v="0"/>
    <n v="18"/>
    <d v="2016-01-08T00:00:00"/>
  </r>
  <r>
    <n v="1023"/>
    <n v="43776"/>
    <n v="20"/>
    <n v="4.5687134502923974E-4"/>
    <x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x v="1"/>
    <x v="20"/>
    <s v="36-50"/>
    <n v="2216"/>
    <n v="0"/>
    <n v="0"/>
    <n v="0"/>
    <n v="1"/>
    <n v="0"/>
    <n v="0"/>
    <n v="1"/>
    <n v="0"/>
    <n v="0"/>
    <n v="17"/>
    <d v="2016-09-20T00:00:00"/>
  </r>
  <r>
    <n v="1195"/>
    <n v="37368"/>
    <n v="20"/>
    <n v="5.3521729822307855E-4"/>
    <x v="1"/>
    <n v="0"/>
    <n v="4"/>
    <n v="3"/>
    <n v="2"/>
    <n v="11"/>
    <n v="2"/>
    <n v="2"/>
    <n v="10"/>
    <n v="1"/>
    <n v="1"/>
    <n v="0"/>
    <n v="2"/>
    <n v="6"/>
    <n v="0"/>
    <n v="0"/>
    <n v="1"/>
    <n v="0"/>
    <n v="0"/>
    <n v="0"/>
    <x v="1"/>
    <x v="16"/>
    <s v="36-50"/>
    <n v="2354"/>
    <n v="0"/>
    <n v="1"/>
    <n v="0"/>
    <n v="0"/>
    <n v="0"/>
    <n v="0"/>
    <n v="0"/>
    <n v="1"/>
    <n v="0"/>
    <n v="10"/>
    <d v="2016-05-05T00:00:00"/>
  </r>
  <r>
    <n v="1299"/>
    <n v="29791"/>
    <n v="20"/>
    <n v="6.7134369440435035E-4"/>
    <x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x v="1"/>
    <x v="9"/>
    <s v="36-50"/>
    <n v="2204"/>
    <n v="0"/>
    <n v="1"/>
    <n v="0"/>
    <n v="0"/>
    <n v="0"/>
    <n v="0"/>
    <n v="0"/>
    <n v="0"/>
    <n v="1"/>
    <n v="20"/>
    <d v="2016-10-02T00:00:00"/>
  </r>
  <r>
    <n v="1334"/>
    <n v="20491"/>
    <n v="20"/>
    <n v="9.7603826069981941E-4"/>
    <x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x v="1"/>
    <x v="18"/>
    <s v="24-35"/>
    <n v="2679"/>
    <n v="0"/>
    <n v="0"/>
    <n v="0"/>
    <n v="1"/>
    <n v="0"/>
    <n v="1"/>
    <n v="0"/>
    <n v="0"/>
    <n v="0"/>
    <n v="10"/>
    <d v="2015-06-15T00:00:00"/>
  </r>
  <r>
    <n v="1436"/>
    <n v="37054"/>
    <n v="20"/>
    <n v="5.3975279322070495E-4"/>
    <x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x v="1"/>
    <x v="26"/>
    <s v="51-66"/>
    <n v="2446"/>
    <n v="0"/>
    <n v="1"/>
    <n v="0"/>
    <n v="0"/>
    <n v="0"/>
    <n v="0"/>
    <n v="0"/>
    <n v="1"/>
    <n v="0"/>
    <n v="15"/>
    <d v="2016-02-03T00:00:00"/>
  </r>
  <r>
    <n v="1600"/>
    <n v="28389"/>
    <n v="20"/>
    <n v="7.0449822114199156E-4"/>
    <x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x v="1"/>
    <x v="6"/>
    <s v="66+"/>
    <n v="2745"/>
    <n v="0"/>
    <n v="0"/>
    <n v="0"/>
    <n v="1"/>
    <n v="0"/>
    <n v="0"/>
    <n v="0"/>
    <n v="0"/>
    <n v="0"/>
    <n v="12"/>
    <d v="2015-04-10T00:00:00"/>
  </r>
  <r>
    <n v="1816"/>
    <n v="13672"/>
    <n v="20"/>
    <n v="1.4628437682855471E-3"/>
    <x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x v="1"/>
    <x v="24"/>
    <s v="51-66"/>
    <n v="2597"/>
    <n v="0"/>
    <n v="0"/>
    <n v="0"/>
    <n v="1"/>
    <n v="0"/>
    <n v="0"/>
    <n v="1"/>
    <n v="0"/>
    <n v="0"/>
    <n v="15"/>
    <d v="2015-09-05T00:00:00"/>
  </r>
  <r>
    <n v="1914"/>
    <n v="34587"/>
    <n v="20"/>
    <n v="5.7825194437216294E-4"/>
    <x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x v="1"/>
    <x v="10"/>
    <s v="66+"/>
    <n v="2203"/>
    <n v="0"/>
    <n v="0"/>
    <n v="0"/>
    <n v="1"/>
    <n v="0"/>
    <n v="0"/>
    <n v="1"/>
    <n v="0"/>
    <n v="0"/>
    <n v="18"/>
    <d v="2016-10-03T00:00:00"/>
  </r>
  <r>
    <n v="1937"/>
    <n v="19346"/>
    <n v="20"/>
    <n v="1.0338054378166029E-3"/>
    <x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x v="1"/>
    <x v="35"/>
    <s v="36-50"/>
    <n v="2309"/>
    <n v="1"/>
    <n v="0"/>
    <n v="0"/>
    <n v="0"/>
    <n v="0"/>
    <n v="0"/>
    <n v="1"/>
    <n v="0"/>
    <n v="0"/>
    <n v="18"/>
    <d v="2016-06-19T00:00:00"/>
  </r>
  <r>
    <n v="1965"/>
    <n v="18890"/>
    <n v="20"/>
    <n v="1.0587612493382743E-3"/>
    <x v="0"/>
    <n v="0"/>
    <n v="5"/>
    <n v="6"/>
    <n v="4"/>
    <n v="1"/>
    <n v="7"/>
    <n v="2"/>
    <n v="15"/>
    <n v="1"/>
    <n v="0"/>
    <n v="1"/>
    <n v="2"/>
    <n v="6"/>
    <n v="0"/>
    <n v="0"/>
    <n v="1"/>
    <n v="0"/>
    <n v="0"/>
    <n v="0"/>
    <x v="0"/>
    <x v="39"/>
    <s v="36-50"/>
    <n v="2755"/>
    <n v="0"/>
    <n v="0"/>
    <n v="1"/>
    <n v="0"/>
    <n v="0"/>
    <n v="0"/>
    <n v="0"/>
    <n v="1"/>
    <n v="0"/>
    <n v="5"/>
    <d v="2015-03-31T00:00:00"/>
  </r>
  <r>
    <n v="41"/>
    <n v="21994"/>
    <n v="19"/>
    <n v="8.6387196508138579E-4"/>
    <x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  <x v="12"/>
    <s v="51-66"/>
    <n v="2711"/>
    <n v="0"/>
    <n v="0"/>
    <n v="0"/>
    <n v="1"/>
    <n v="0"/>
    <n v="0"/>
    <n v="1"/>
    <n v="0"/>
    <n v="0"/>
    <n v="16"/>
    <d v="2015-05-14T00:00:00"/>
  </r>
  <r>
    <n v="42"/>
    <n v="7500"/>
    <n v="19"/>
    <n v="2.5333333333333332E-3"/>
    <x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x v="1"/>
    <x v="16"/>
    <s v="36-50"/>
    <n v="2429"/>
    <n v="0"/>
    <n v="1"/>
    <n v="0"/>
    <n v="0"/>
    <n v="0"/>
    <n v="0"/>
    <n v="0"/>
    <n v="1"/>
    <n v="0"/>
    <n v="7"/>
    <d v="2016-02-20T00:00:00"/>
  </r>
  <r>
    <n v="214"/>
    <n v="38590"/>
    <n v="19"/>
    <n v="4.9235553252137865E-4"/>
    <x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x v="1"/>
    <x v="28"/>
    <s v="36-50"/>
    <n v="2569"/>
    <n v="0"/>
    <n v="0"/>
    <n v="0"/>
    <n v="1"/>
    <n v="0"/>
    <n v="0"/>
    <n v="1"/>
    <n v="0"/>
    <n v="0"/>
    <n v="16"/>
    <d v="2015-10-03T00:00:00"/>
  </r>
  <r>
    <n v="298"/>
    <n v="47025"/>
    <n v="19"/>
    <n v="4.0404040404040404E-4"/>
    <x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x v="1"/>
    <x v="47"/>
    <s v="51-66"/>
    <n v="2299"/>
    <n v="1"/>
    <n v="0"/>
    <n v="0"/>
    <n v="0"/>
    <n v="0"/>
    <n v="0"/>
    <n v="0"/>
    <n v="0"/>
    <n v="1"/>
    <n v="18"/>
    <d v="2016-06-29T00:00:00"/>
  </r>
  <r>
    <n v="306"/>
    <n v="24072"/>
    <n v="19"/>
    <n v="7.8929877035559986E-4"/>
    <x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x v="1"/>
    <x v="20"/>
    <s v="36-50"/>
    <n v="2598"/>
    <n v="0"/>
    <n v="0"/>
    <n v="1"/>
    <n v="0"/>
    <n v="0"/>
    <n v="0"/>
    <n v="1"/>
    <n v="0"/>
    <n v="0"/>
    <n v="15"/>
    <d v="2015-09-04T00:00:00"/>
  </r>
  <r>
    <n v="397"/>
    <n v="48686"/>
    <n v="19"/>
    <n v="3.9025592572813542E-4"/>
    <x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x v="1"/>
    <x v="10"/>
    <s v="66+"/>
    <n v="2366"/>
    <n v="0"/>
    <n v="1"/>
    <n v="0"/>
    <n v="0"/>
    <n v="0"/>
    <n v="0"/>
    <n v="1"/>
    <n v="0"/>
    <n v="0"/>
    <n v="18"/>
    <d v="2016-04-23T00:00:00"/>
  </r>
  <r>
    <n v="458"/>
    <n v="14045"/>
    <n v="19"/>
    <n v="1.3527945888216447E-3"/>
    <x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x v="1"/>
    <x v="3"/>
    <s v="51-66"/>
    <n v="2313"/>
    <n v="0"/>
    <n v="1"/>
    <n v="0"/>
    <n v="0"/>
    <n v="0"/>
    <n v="0"/>
    <n v="1"/>
    <n v="0"/>
    <n v="0"/>
    <n v="18"/>
    <d v="2016-06-15T00:00:00"/>
  </r>
  <r>
    <n v="649"/>
    <n v="13084"/>
    <n v="19"/>
    <n v="1.4521553041883216E-3"/>
    <x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x v="1"/>
    <x v="50"/>
    <s v="66+"/>
    <n v="2398"/>
    <n v="0"/>
    <n v="0"/>
    <n v="0"/>
    <n v="1"/>
    <n v="0"/>
    <n v="0"/>
    <n v="0"/>
    <n v="0"/>
    <n v="0"/>
    <n v="9"/>
    <d v="2016-03-22T00:00:00"/>
  </r>
  <r>
    <n v="652"/>
    <n v="34824"/>
    <n v="19"/>
    <n v="5.4560073512520098E-4"/>
    <x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  <x v="52"/>
    <s v="24-35"/>
    <n v="2254"/>
    <n v="0"/>
    <n v="0"/>
    <n v="1"/>
    <n v="0"/>
    <n v="0"/>
    <n v="0"/>
    <n v="1"/>
    <n v="0"/>
    <n v="0"/>
    <n v="15"/>
    <d v="2016-08-13T00:00:00"/>
  </r>
  <r>
    <n v="734"/>
    <n v="30467"/>
    <n v="19"/>
    <n v="6.2362556208356583E-4"/>
    <x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x v="1"/>
    <x v="9"/>
    <s v="36-50"/>
    <n v="2261"/>
    <n v="0"/>
    <n v="1"/>
    <n v="0"/>
    <n v="0"/>
    <n v="0"/>
    <n v="0"/>
    <n v="1"/>
    <n v="0"/>
    <n v="0"/>
    <n v="14"/>
    <d v="2016-08-06T00:00:00"/>
  </r>
  <r>
    <n v="1113"/>
    <n v="22327"/>
    <n v="19"/>
    <n v="8.5098759349666326E-4"/>
    <x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x v="1"/>
    <x v="23"/>
    <s v="24-35"/>
    <n v="2490"/>
    <n v="0"/>
    <n v="0"/>
    <n v="1"/>
    <n v="0"/>
    <n v="0"/>
    <n v="0"/>
    <n v="1"/>
    <n v="0"/>
    <n v="0"/>
    <n v="14"/>
    <d v="2015-12-21T00:00:00"/>
  </r>
  <r>
    <n v="1260"/>
    <n v="24367"/>
    <n v="19"/>
    <n v="7.7974309516969673E-4"/>
    <x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x v="1"/>
    <x v="31"/>
    <s v="36-50"/>
    <n v="2625"/>
    <n v="0"/>
    <n v="0"/>
    <n v="1"/>
    <n v="0"/>
    <n v="0"/>
    <n v="0"/>
    <n v="0"/>
    <n v="0"/>
    <n v="0"/>
    <n v="14"/>
    <d v="2015-08-08T00:00:00"/>
  </r>
  <r>
    <n v="1337"/>
    <n v="36408"/>
    <n v="19"/>
    <n v="5.2186332674137551E-4"/>
    <x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x v="1"/>
    <x v="4"/>
    <s v="66+"/>
    <n v="2440"/>
    <n v="0"/>
    <n v="1"/>
    <n v="0"/>
    <n v="0"/>
    <n v="0"/>
    <n v="0"/>
    <n v="0"/>
    <n v="1"/>
    <n v="0"/>
    <n v="16"/>
    <d v="2016-02-09T00:00:00"/>
  </r>
  <r>
    <n v="1552"/>
    <n v="24336"/>
    <n v="19"/>
    <n v="7.8073635765943459E-4"/>
    <x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x v="1"/>
    <x v="43"/>
    <s v="36-50"/>
    <n v="2830"/>
    <n v="0"/>
    <n v="0"/>
    <n v="1"/>
    <n v="0"/>
    <n v="0"/>
    <n v="1"/>
    <n v="0"/>
    <n v="0"/>
    <n v="0"/>
    <n v="7"/>
    <d v="2015-01-15T00:00:00"/>
  </r>
  <r>
    <n v="1617"/>
    <n v="36802"/>
    <n v="19"/>
    <n v="5.1627628933210155E-4"/>
    <x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x v="1"/>
    <x v="41"/>
    <s v="36-50"/>
    <n v="2172"/>
    <n v="0"/>
    <n v="0"/>
    <n v="1"/>
    <n v="0"/>
    <n v="0"/>
    <n v="0"/>
    <n v="0"/>
    <n v="0"/>
    <n v="1"/>
    <n v="18"/>
    <d v="2016-11-03T00:00:00"/>
  </r>
  <r>
    <n v="1746"/>
    <n v="34230"/>
    <n v="19"/>
    <n v="5.5506865322816246E-4"/>
    <x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x v="1"/>
    <x v="47"/>
    <s v="51-66"/>
    <n v="2709"/>
    <n v="0"/>
    <n v="0"/>
    <n v="0"/>
    <n v="1"/>
    <n v="0"/>
    <n v="0"/>
    <n v="0"/>
    <n v="0"/>
    <n v="1"/>
    <n v="17"/>
    <d v="2015-05-16T00:00:00"/>
  </r>
  <r>
    <n v="1752"/>
    <n v="22701"/>
    <n v="19"/>
    <n v="8.3696753446984716E-4"/>
    <x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x v="1"/>
    <x v="13"/>
    <s v="36-50"/>
    <n v="2456"/>
    <n v="0"/>
    <n v="1"/>
    <n v="0"/>
    <n v="0"/>
    <n v="0"/>
    <n v="0"/>
    <n v="0"/>
    <n v="1"/>
    <n v="0"/>
    <n v="14"/>
    <d v="2016-01-24T00:00:00"/>
  </r>
  <r>
    <n v="1781"/>
    <n v="29478"/>
    <n v="19"/>
    <n v="6.4454847683017842E-4"/>
    <x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x v="1"/>
    <x v="7"/>
    <s v="36-50"/>
    <n v="2322"/>
    <n v="0"/>
    <n v="0"/>
    <n v="0"/>
    <n v="1"/>
    <n v="0"/>
    <n v="0"/>
    <n v="1"/>
    <n v="0"/>
    <n v="0"/>
    <n v="18"/>
    <d v="2016-06-06T00:00:00"/>
  </r>
  <r>
    <n v="1838"/>
    <n v="22263"/>
    <n v="19"/>
    <n v="8.5343394870412796E-4"/>
    <x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x v="1"/>
    <x v="15"/>
    <s v="66+"/>
    <n v="2250"/>
    <n v="1"/>
    <n v="0"/>
    <n v="0"/>
    <n v="0"/>
    <n v="0"/>
    <n v="0"/>
    <n v="1"/>
    <n v="0"/>
    <n v="0"/>
    <n v="17"/>
    <d v="2016-08-17T00:00:00"/>
  </r>
  <r>
    <n v="1921"/>
    <n v="25818"/>
    <n v="19"/>
    <n v="7.3592067549771477E-4"/>
    <x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x v="1"/>
    <x v="28"/>
    <s v="36-50"/>
    <n v="2778"/>
    <n v="1"/>
    <n v="0"/>
    <n v="0"/>
    <n v="0"/>
    <n v="0"/>
    <n v="0"/>
    <n v="1"/>
    <n v="0"/>
    <n v="0"/>
    <n v="10"/>
    <d v="2015-03-08T00:00:00"/>
  </r>
  <r>
    <n v="1969"/>
    <n v="25721"/>
    <n v="19"/>
    <n v="7.3869600715368764E-4"/>
    <x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x v="0"/>
    <x v="28"/>
    <s v="36-50"/>
    <n v="2563"/>
    <n v="0"/>
    <n v="1"/>
    <n v="0"/>
    <n v="0"/>
    <n v="0"/>
    <n v="0"/>
    <n v="1"/>
    <n v="0"/>
    <n v="0"/>
    <n v="4"/>
    <d v="2015-10-09T00:00:00"/>
  </r>
  <r>
    <n v="2017"/>
    <n v="26816"/>
    <n v="19"/>
    <n v="7.0853221957040569E-4"/>
    <x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x v="1"/>
    <x v="18"/>
    <s v="24-35"/>
    <n v="2840"/>
    <n v="0"/>
    <n v="0"/>
    <n v="1"/>
    <n v="0"/>
    <n v="0"/>
    <n v="0"/>
    <n v="1"/>
    <n v="0"/>
    <n v="0"/>
    <n v="16"/>
    <d v="2015-01-05T00:00:00"/>
  </r>
  <r>
    <n v="134"/>
    <n v="38547"/>
    <n v="18"/>
    <n v="4.6696240952603317E-4"/>
    <x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x v="1"/>
    <x v="43"/>
    <s v="36-50"/>
    <n v="2464"/>
    <n v="0"/>
    <n v="0"/>
    <n v="0"/>
    <n v="1"/>
    <n v="0"/>
    <n v="0"/>
    <n v="1"/>
    <n v="0"/>
    <n v="0"/>
    <n v="14"/>
    <d v="2016-01-16T00:00:00"/>
  </r>
  <r>
    <n v="144"/>
    <n v="60199"/>
    <n v="18"/>
    <n v="2.9900828917423877E-4"/>
    <x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x v="1"/>
    <x v="37"/>
    <s v="36-50"/>
    <n v="2449"/>
    <n v="0"/>
    <n v="0"/>
    <n v="1"/>
    <n v="0"/>
    <n v="0"/>
    <n v="0"/>
    <n v="1"/>
    <n v="0"/>
    <n v="0"/>
    <n v="18"/>
    <d v="2016-01-31T00:00:00"/>
  </r>
  <r>
    <n v="346"/>
    <n v="29548"/>
    <n v="18"/>
    <n v="6.0917828617842161E-4"/>
    <x v="1"/>
    <n v="0"/>
    <n v="52"/>
    <n v="7"/>
    <n v="1"/>
    <n v="6"/>
    <n v="3"/>
    <n v="1"/>
    <n v="11"/>
    <n v="1"/>
    <n v="1"/>
    <n v="1"/>
    <n v="2"/>
    <n v="4"/>
    <n v="0"/>
    <n v="0"/>
    <n v="1"/>
    <n v="0"/>
    <n v="0"/>
    <n v="0"/>
    <x v="1"/>
    <x v="2"/>
    <s v="36-50"/>
    <n v="2463"/>
    <n v="0"/>
    <n v="0"/>
    <n v="1"/>
    <n v="0"/>
    <n v="0"/>
    <n v="0"/>
    <n v="0"/>
    <n v="1"/>
    <n v="0"/>
    <n v="7"/>
    <d v="2016-01-17T00:00:00"/>
  </r>
  <r>
    <n v="673"/>
    <n v="45160"/>
    <n v="18"/>
    <n v="3.9858281665190433E-4"/>
    <x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x v="1"/>
    <x v="27"/>
    <s v="51-66"/>
    <n v="2251"/>
    <n v="0"/>
    <n v="0"/>
    <n v="1"/>
    <n v="0"/>
    <n v="0"/>
    <n v="0"/>
    <n v="1"/>
    <n v="0"/>
    <n v="0"/>
    <n v="15"/>
    <d v="2016-08-16T00:00:00"/>
  </r>
  <r>
    <n v="1163"/>
    <n v="25707"/>
    <n v="18"/>
    <n v="7.0019838954370401E-4"/>
    <x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x v="1"/>
    <x v="39"/>
    <s v="36-50"/>
    <n v="2321"/>
    <n v="0"/>
    <n v="0"/>
    <n v="1"/>
    <n v="0"/>
    <n v="0"/>
    <n v="0"/>
    <n v="0"/>
    <n v="0"/>
    <n v="0"/>
    <n v="15"/>
    <d v="2016-06-07T00:00:00"/>
  </r>
  <r>
    <n v="1326"/>
    <n v="43269"/>
    <n v="18"/>
    <n v="4.1600221867849963E-4"/>
    <x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x v="1"/>
    <x v="9"/>
    <s v="36-50"/>
    <n v="2445"/>
    <n v="0"/>
    <n v="1"/>
    <n v="0"/>
    <n v="0"/>
    <n v="0"/>
    <n v="0"/>
    <n v="0"/>
    <n v="0"/>
    <n v="1"/>
    <n v="17"/>
    <d v="2016-02-04T00:00:00"/>
  </r>
  <r>
    <n v="1421"/>
    <n v="9255"/>
    <n v="18"/>
    <n v="1.9448946515397082E-3"/>
    <x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x v="1"/>
    <x v="32"/>
    <s v="24-35"/>
    <n v="2350"/>
    <n v="0"/>
    <n v="0"/>
    <n v="1"/>
    <n v="0"/>
    <n v="0"/>
    <n v="0"/>
    <n v="1"/>
    <n v="0"/>
    <n v="0"/>
    <n v="14"/>
    <d v="2016-05-09T00:00:00"/>
  </r>
  <r>
    <n v="1555"/>
    <n v="42033"/>
    <n v="18"/>
    <n v="4.2823495824709159E-4"/>
    <x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x v="1"/>
    <x v="28"/>
    <s v="36-50"/>
    <n v="2807"/>
    <n v="0"/>
    <n v="0"/>
    <n v="0"/>
    <n v="1"/>
    <n v="0"/>
    <n v="1"/>
    <n v="0"/>
    <n v="0"/>
    <n v="0"/>
    <n v="11"/>
    <d v="2015-02-07T00:00:00"/>
  </r>
  <r>
    <n v="1703"/>
    <n v="34738"/>
    <n v="18"/>
    <n v="5.1816454603028381E-4"/>
    <x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x v="1"/>
    <x v="39"/>
    <s v="36-50"/>
    <n v="2208"/>
    <n v="0"/>
    <n v="0"/>
    <n v="1"/>
    <n v="0"/>
    <n v="0"/>
    <n v="0"/>
    <n v="1"/>
    <n v="0"/>
    <n v="0"/>
    <n v="16"/>
    <d v="2016-09-28T00:00:00"/>
  </r>
  <r>
    <n v="1887"/>
    <n v="27889"/>
    <n v="18"/>
    <n v="6.4541575531571588E-4"/>
    <x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x v="1"/>
    <x v="13"/>
    <s v="36-50"/>
    <n v="2518"/>
    <n v="0"/>
    <n v="1"/>
    <n v="0"/>
    <n v="0"/>
    <n v="0"/>
    <n v="0"/>
    <n v="0"/>
    <n v="1"/>
    <n v="0"/>
    <n v="10"/>
    <d v="2015-11-23T00:00:00"/>
  </r>
  <r>
    <n v="1894"/>
    <n v="34109"/>
    <n v="18"/>
    <n v="5.2771995660969245E-4"/>
    <x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x v="1"/>
    <x v="28"/>
    <s v="36-50"/>
    <n v="2394"/>
    <n v="0"/>
    <n v="1"/>
    <n v="0"/>
    <n v="0"/>
    <n v="0"/>
    <n v="0"/>
    <n v="0"/>
    <n v="1"/>
    <n v="0"/>
    <n v="14"/>
    <d v="2016-03-26T00:00:00"/>
  </r>
  <r>
    <n v="1989"/>
    <n v="31385"/>
    <n v="18"/>
    <n v="5.7352238330412621E-4"/>
    <x v="1"/>
    <n v="0"/>
    <n v="56"/>
    <n v="3"/>
    <n v="2"/>
    <n v="12"/>
    <n v="0"/>
    <n v="1"/>
    <n v="9"/>
    <n v="1"/>
    <n v="1"/>
    <n v="0"/>
    <n v="2"/>
    <n v="8"/>
    <n v="0"/>
    <n v="0"/>
    <n v="1"/>
    <n v="0"/>
    <n v="0"/>
    <n v="0"/>
    <x v="0"/>
    <x v="39"/>
    <s v="36-50"/>
    <n v="2730"/>
    <n v="0"/>
    <n v="0"/>
    <n v="1"/>
    <n v="0"/>
    <n v="0"/>
    <n v="0"/>
    <n v="0"/>
    <n v="1"/>
    <n v="0"/>
    <n v="9"/>
    <d v="2015-04-25T00:00:00"/>
  </r>
  <r>
    <n v="1985"/>
    <n v="26576"/>
    <n v="18"/>
    <n v="6.7730282962071041E-4"/>
    <x v="1"/>
    <n v="0"/>
    <n v="40"/>
    <n v="10"/>
    <n v="0"/>
    <n v="8"/>
    <n v="0"/>
    <n v="0"/>
    <n v="9"/>
    <n v="1"/>
    <n v="1"/>
    <n v="0"/>
    <n v="2"/>
    <n v="9"/>
    <n v="0"/>
    <n v="0"/>
    <n v="1"/>
    <n v="0"/>
    <n v="0"/>
    <n v="0"/>
    <x v="0"/>
    <x v="18"/>
    <s v="24-35"/>
    <n v="2783"/>
    <n v="0"/>
    <n v="0"/>
    <n v="1"/>
    <n v="0"/>
    <n v="0"/>
    <n v="0"/>
    <n v="1"/>
    <n v="0"/>
    <n v="0"/>
    <n v="9"/>
    <d v="2015-03-03T00:00:00"/>
  </r>
  <r>
    <n v="1982"/>
    <n v="15287"/>
    <n v="18"/>
    <n v="1.1774710538365932E-3"/>
    <x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x v="0"/>
    <x v="19"/>
    <s v="36-50"/>
    <n v="2786"/>
    <n v="1"/>
    <n v="0"/>
    <n v="0"/>
    <n v="0"/>
    <n v="0"/>
    <n v="0"/>
    <n v="1"/>
    <n v="0"/>
    <n v="0"/>
    <n v="5"/>
    <d v="2015-02-28T00:00:00"/>
  </r>
  <r>
    <n v="211"/>
    <n v="34320"/>
    <n v="17"/>
    <n v="4.9533799533799539E-4"/>
    <x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x v="1"/>
    <x v="18"/>
    <s v="24-35"/>
    <n v="2292"/>
    <n v="0"/>
    <n v="0"/>
    <n v="0"/>
    <n v="1"/>
    <n v="0"/>
    <n v="0"/>
    <n v="0"/>
    <n v="0"/>
    <n v="1"/>
    <n v="17"/>
    <d v="2016-07-06T00:00:00"/>
  </r>
  <r>
    <n v="272"/>
    <n v="29672"/>
    <n v="17"/>
    <n v="5.7293070908600696E-4"/>
    <x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  <x v="47"/>
    <s v="51-66"/>
    <n v="2633"/>
    <n v="0"/>
    <n v="0"/>
    <n v="0"/>
    <n v="1"/>
    <n v="0"/>
    <n v="0"/>
    <n v="1"/>
    <n v="0"/>
    <n v="0"/>
    <n v="9"/>
    <d v="2015-07-31T00:00:00"/>
  </r>
  <r>
    <n v="536"/>
    <n v="47691"/>
    <n v="17"/>
    <n v="3.5646138684447797E-4"/>
    <x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x v="1"/>
    <x v="19"/>
    <s v="36-50"/>
    <n v="2518"/>
    <n v="0"/>
    <n v="0"/>
    <n v="1"/>
    <n v="0"/>
    <n v="0"/>
    <n v="0"/>
    <n v="1"/>
    <n v="0"/>
    <n v="0"/>
    <n v="13"/>
    <d v="2015-11-23T00:00:00"/>
  </r>
  <r>
    <n v="624"/>
    <n v="45068"/>
    <n v="17"/>
    <n v="3.7720777491790183E-4"/>
    <x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x v="1"/>
    <x v="35"/>
    <s v="36-50"/>
    <n v="2568"/>
    <n v="0"/>
    <n v="0"/>
    <n v="0"/>
    <n v="1"/>
    <n v="0"/>
    <n v="0"/>
    <n v="0"/>
    <n v="0"/>
    <n v="1"/>
    <n v="14"/>
    <d v="2015-10-04T00:00:00"/>
  </r>
  <r>
    <n v="700"/>
    <n v="33697"/>
    <n v="17"/>
    <n v="5.0449594919429032E-4"/>
    <x v="1"/>
    <n v="0"/>
    <n v="34"/>
    <n v="4"/>
    <n v="3"/>
    <n v="7"/>
    <n v="0"/>
    <n v="3"/>
    <n v="11"/>
    <n v="1"/>
    <n v="1"/>
    <n v="0"/>
    <n v="2"/>
    <n v="7"/>
    <n v="0"/>
    <n v="0"/>
    <n v="1"/>
    <n v="0"/>
    <n v="0"/>
    <n v="0"/>
    <x v="1"/>
    <x v="2"/>
    <s v="36-50"/>
    <n v="2446"/>
    <n v="0"/>
    <n v="0"/>
    <n v="1"/>
    <n v="0"/>
    <n v="0"/>
    <n v="0"/>
    <n v="1"/>
    <n v="0"/>
    <n v="0"/>
    <n v="6"/>
    <d v="2016-02-03T00:00:00"/>
  </r>
  <r>
    <n v="1014"/>
    <n v="41014"/>
    <n v="17"/>
    <n v="4.1449261227873409E-4"/>
    <x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x v="1"/>
    <x v="37"/>
    <s v="36-50"/>
    <n v="2592"/>
    <n v="0"/>
    <n v="1"/>
    <n v="0"/>
    <n v="0"/>
    <n v="0"/>
    <n v="0"/>
    <n v="0"/>
    <n v="0"/>
    <n v="1"/>
    <n v="14"/>
    <d v="2015-09-10T00:00:00"/>
  </r>
  <r>
    <n v="1170"/>
    <n v="40521"/>
    <n v="17"/>
    <n v="4.1953554946817697E-4"/>
    <x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x v="1"/>
    <x v="14"/>
    <s v="51-66"/>
    <n v="2609"/>
    <n v="0"/>
    <n v="0"/>
    <n v="0"/>
    <n v="1"/>
    <n v="0"/>
    <n v="0"/>
    <n v="1"/>
    <n v="0"/>
    <n v="0"/>
    <n v="13"/>
    <d v="2015-08-24T00:00:00"/>
  </r>
  <r>
    <n v="1180"/>
    <n v="39356"/>
    <n v="17"/>
    <n v="4.3195446691736964E-4"/>
    <x v="1"/>
    <n v="1"/>
    <n v="21"/>
    <n v="15"/>
    <n v="0"/>
    <n v="2"/>
    <n v="0"/>
    <n v="0"/>
    <n v="6"/>
    <n v="1"/>
    <n v="1"/>
    <n v="0"/>
    <n v="2"/>
    <n v="6"/>
    <n v="0"/>
    <n v="0"/>
    <n v="1"/>
    <n v="0"/>
    <n v="0"/>
    <n v="0"/>
    <x v="1"/>
    <x v="7"/>
    <s v="36-50"/>
    <n v="2261"/>
    <n v="0"/>
    <n v="1"/>
    <n v="0"/>
    <n v="0"/>
    <n v="0"/>
    <n v="0"/>
    <n v="1"/>
    <n v="0"/>
    <n v="0"/>
    <n v="11"/>
    <d v="2016-08-06T00:00:00"/>
  </r>
  <r>
    <n v="1266"/>
    <n v="18227"/>
    <n v="17"/>
    <n v="9.3268228452296042E-4"/>
    <x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x v="1"/>
    <x v="36"/>
    <s v="24-35"/>
    <n v="2757"/>
    <n v="0"/>
    <n v="0"/>
    <n v="0"/>
    <n v="1"/>
    <n v="0"/>
    <n v="0"/>
    <n v="1"/>
    <n v="0"/>
    <n v="0"/>
    <n v="6"/>
    <d v="2015-03-29T00:00:00"/>
  </r>
  <r>
    <n v="1427"/>
    <n v="51411"/>
    <n v="17"/>
    <n v="3.3066853397132907E-4"/>
    <x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x v="1"/>
    <x v="10"/>
    <s v="66+"/>
    <n v="2558"/>
    <n v="0"/>
    <n v="0"/>
    <n v="1"/>
    <n v="0"/>
    <n v="0"/>
    <n v="0"/>
    <n v="0"/>
    <n v="0"/>
    <n v="1"/>
    <n v="16"/>
    <d v="2015-10-14T00:00:00"/>
  </r>
  <r>
    <n v="1432"/>
    <n v="37284"/>
    <n v="17"/>
    <n v="4.559596609805815E-4"/>
    <x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  <x v="16"/>
    <s v="36-50"/>
    <n v="2616"/>
    <n v="0"/>
    <n v="1"/>
    <n v="0"/>
    <n v="0"/>
    <n v="0"/>
    <n v="1"/>
    <n v="0"/>
    <n v="0"/>
    <n v="0"/>
    <n v="11"/>
    <d v="2015-08-17T00:00:00"/>
  </r>
  <r>
    <n v="1441"/>
    <n v="24645"/>
    <n v="17"/>
    <n v="6.8979509028200441E-4"/>
    <x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x v="1"/>
    <x v="0"/>
    <s v="24-35"/>
    <n v="2764"/>
    <n v="0"/>
    <n v="1"/>
    <n v="0"/>
    <n v="0"/>
    <n v="0"/>
    <n v="0"/>
    <n v="1"/>
    <n v="0"/>
    <n v="0"/>
    <n v="17"/>
    <d v="2015-03-22T00:00:00"/>
  </r>
  <r>
    <n v="1510"/>
    <n v="39228"/>
    <n v="17"/>
    <n v="4.3336392372794941E-4"/>
    <x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x v="1"/>
    <x v="24"/>
    <s v="51-66"/>
    <n v="2574"/>
    <n v="1"/>
    <n v="0"/>
    <n v="0"/>
    <n v="0"/>
    <n v="0"/>
    <n v="0"/>
    <n v="0"/>
    <n v="1"/>
    <n v="0"/>
    <n v="14"/>
    <d v="2015-09-28T00:00:00"/>
  </r>
  <r>
    <n v="1984"/>
    <n v="27469"/>
    <n v="17"/>
    <n v="6.1887946412319346E-4"/>
    <x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x v="1"/>
    <x v="6"/>
    <s v="66+"/>
    <n v="2855"/>
    <n v="0"/>
    <n v="1"/>
    <n v="0"/>
    <n v="0"/>
    <n v="0"/>
    <n v="0"/>
    <n v="1"/>
    <n v="0"/>
    <n v="0"/>
    <n v="17"/>
    <d v="2014-12-21T00:00:00"/>
  </r>
  <r>
    <n v="198"/>
    <n v="52195"/>
    <n v="16"/>
    <n v="3.0654277229619697E-4"/>
    <x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x v="1"/>
    <x v="37"/>
    <s v="36-50"/>
    <n v="2207"/>
    <n v="0"/>
    <n v="0"/>
    <n v="1"/>
    <n v="0"/>
    <n v="0"/>
    <n v="1"/>
    <n v="0"/>
    <n v="0"/>
    <n v="0"/>
    <n v="15"/>
    <d v="2016-09-29T00:00:00"/>
  </r>
  <r>
    <n v="226"/>
    <n v="31686"/>
    <n v="16"/>
    <n v="5.0495486965852429E-4"/>
    <x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x v="1"/>
    <x v="42"/>
    <s v="51-66"/>
    <n v="2183"/>
    <n v="0"/>
    <n v="1"/>
    <n v="0"/>
    <n v="0"/>
    <n v="0"/>
    <n v="0"/>
    <n v="0"/>
    <n v="0"/>
    <n v="1"/>
    <n v="15"/>
    <d v="2016-10-23T00:00:00"/>
  </r>
  <r>
    <n v="354"/>
    <n v="33581"/>
    <n v="16"/>
    <n v="4.7645990292129479E-4"/>
    <x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x v="1"/>
    <x v="3"/>
    <s v="51-66"/>
    <n v="2696"/>
    <n v="0"/>
    <n v="1"/>
    <n v="0"/>
    <n v="0"/>
    <n v="0"/>
    <n v="0"/>
    <n v="0"/>
    <n v="0"/>
    <n v="1"/>
    <n v="15"/>
    <d v="2015-05-29T00:00:00"/>
  </r>
  <r>
    <n v="355"/>
    <n v="19986"/>
    <n v="16"/>
    <n v="8.0056039227459222E-4"/>
    <x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  <x v="23"/>
    <s v="24-35"/>
    <n v="2386"/>
    <n v="0"/>
    <n v="1"/>
    <n v="0"/>
    <n v="0"/>
    <n v="0"/>
    <n v="0"/>
    <n v="1"/>
    <n v="0"/>
    <n v="0"/>
    <n v="10"/>
    <d v="2016-04-03T00:00:00"/>
  </r>
  <r>
    <n v="444"/>
    <n v="20518"/>
    <n v="16"/>
    <n v="7.7980309971732134E-4"/>
    <x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x v="1"/>
    <x v="0"/>
    <s v="24-35"/>
    <n v="2201"/>
    <n v="0"/>
    <n v="0"/>
    <n v="1"/>
    <n v="0"/>
    <n v="0"/>
    <n v="0"/>
    <n v="1"/>
    <n v="0"/>
    <n v="0"/>
    <n v="7"/>
    <d v="2016-10-05T00:00:00"/>
  </r>
  <r>
    <n v="537"/>
    <n v="38200"/>
    <n v="16"/>
    <n v="4.18848167539267E-4"/>
    <x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x v="1"/>
    <x v="2"/>
    <s v="36-50"/>
    <n v="2728"/>
    <n v="0"/>
    <n v="0"/>
    <n v="0"/>
    <n v="1"/>
    <n v="0"/>
    <n v="0"/>
    <n v="1"/>
    <n v="0"/>
    <n v="0"/>
    <n v="15"/>
    <d v="2015-04-27T00:00:00"/>
  </r>
  <r>
    <n v="726"/>
    <n v="41452"/>
    <n v="16"/>
    <n v="3.8598861333590662E-4"/>
    <x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x v="1"/>
    <x v="10"/>
    <s v="66+"/>
    <n v="2639"/>
    <n v="0"/>
    <n v="0"/>
    <n v="0"/>
    <n v="1"/>
    <n v="0"/>
    <n v="0"/>
    <n v="1"/>
    <n v="0"/>
    <n v="0"/>
    <n v="16"/>
    <d v="2015-07-25T00:00:00"/>
  </r>
  <r>
    <n v="733"/>
    <n v="20587"/>
    <n v="16"/>
    <n v="7.7718948851216785E-4"/>
    <x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  <x v="2"/>
    <s v="36-50"/>
    <n v="2208"/>
    <n v="0"/>
    <n v="0"/>
    <n v="1"/>
    <n v="0"/>
    <n v="0"/>
    <n v="0"/>
    <n v="1"/>
    <n v="0"/>
    <n v="0"/>
    <n v="7"/>
    <d v="2016-09-28T00:00:00"/>
  </r>
  <r>
    <n v="767"/>
    <n v="30772"/>
    <n v="16"/>
    <n v="5.19953204211621E-4"/>
    <x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x v="1"/>
    <x v="7"/>
    <s v="36-50"/>
    <n v="2268"/>
    <n v="0"/>
    <n v="1"/>
    <n v="0"/>
    <n v="0"/>
    <n v="0"/>
    <n v="0"/>
    <n v="1"/>
    <n v="0"/>
    <n v="0"/>
    <n v="12"/>
    <d v="2016-07-30T00:00:00"/>
  </r>
  <r>
    <n v="922"/>
    <n v="46779"/>
    <n v="16"/>
    <n v="3.4203381859381344E-4"/>
    <x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x v="1"/>
    <x v="24"/>
    <s v="51-66"/>
    <n v="2511"/>
    <n v="0"/>
    <n v="0"/>
    <n v="0"/>
    <n v="0"/>
    <n v="1"/>
    <n v="1"/>
    <n v="0"/>
    <n v="0"/>
    <n v="0"/>
    <n v="9"/>
    <d v="2015-11-30T00:00:00"/>
  </r>
  <r>
    <n v="932"/>
    <n v="24884"/>
    <n v="16"/>
    <n v="6.4298344317633826E-4"/>
    <x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x v="1"/>
    <x v="9"/>
    <s v="36-50"/>
    <n v="2736"/>
    <n v="0"/>
    <n v="1"/>
    <n v="0"/>
    <n v="0"/>
    <n v="0"/>
    <n v="1"/>
    <n v="0"/>
    <n v="0"/>
    <n v="0"/>
    <n v="13"/>
    <d v="2015-04-19T00:00:00"/>
  </r>
  <r>
    <n v="1004"/>
    <n v="22304"/>
    <n v="16"/>
    <n v="7.173601147776184E-4"/>
    <x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x v="1"/>
    <x v="5"/>
    <s v="51-66"/>
    <n v="2853"/>
    <n v="1"/>
    <n v="0"/>
    <n v="0"/>
    <n v="0"/>
    <n v="0"/>
    <n v="0"/>
    <n v="1"/>
    <n v="0"/>
    <n v="0"/>
    <n v="14"/>
    <d v="2014-12-23T00:00:00"/>
  </r>
  <r>
    <n v="1045"/>
    <n v="54466"/>
    <n v="16"/>
    <n v="2.9376124554768111E-4"/>
    <x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x v="1"/>
    <x v="30"/>
    <s v="36-50"/>
    <n v="2299"/>
    <n v="0"/>
    <n v="0"/>
    <n v="1"/>
    <n v="0"/>
    <n v="0"/>
    <n v="0"/>
    <n v="0"/>
    <n v="0"/>
    <n v="1"/>
    <n v="16"/>
    <d v="2016-06-29T00:00:00"/>
  </r>
  <r>
    <n v="1104"/>
    <n v="33444"/>
    <n v="16"/>
    <n v="4.7841167324482717E-4"/>
    <x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x v="1"/>
    <x v="50"/>
    <s v="66+"/>
    <n v="2762"/>
    <n v="0"/>
    <n v="1"/>
    <n v="0"/>
    <n v="0"/>
    <n v="0"/>
    <n v="0"/>
    <n v="0"/>
    <n v="1"/>
    <n v="0"/>
    <n v="14"/>
    <d v="2015-03-24T00:00:00"/>
  </r>
  <r>
    <n v="1112"/>
    <n v="26954"/>
    <n v="16"/>
    <n v="5.9360391778585735E-4"/>
    <x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x v="1"/>
    <x v="28"/>
    <s v="36-50"/>
    <n v="2211"/>
    <n v="0"/>
    <n v="0"/>
    <n v="1"/>
    <n v="0"/>
    <n v="0"/>
    <n v="0"/>
    <n v="1"/>
    <n v="0"/>
    <n v="0"/>
    <n v="15"/>
    <d v="2016-09-25T00:00:00"/>
  </r>
  <r>
    <n v="1145"/>
    <n v="26228"/>
    <n v="16"/>
    <n v="6.1003507701692852E-4"/>
    <x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x v="1"/>
    <x v="30"/>
    <s v="36-50"/>
    <n v="2439"/>
    <n v="0"/>
    <n v="1"/>
    <n v="0"/>
    <n v="0"/>
    <n v="0"/>
    <n v="0"/>
    <n v="1"/>
    <n v="0"/>
    <n v="0"/>
    <n v="7"/>
    <d v="2016-02-10T00:00:00"/>
  </r>
  <r>
    <n v="1314"/>
    <n v="43142"/>
    <n v="16"/>
    <n v="3.7086829539659727E-4"/>
    <x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x v="1"/>
    <x v="3"/>
    <s v="51-66"/>
    <n v="2290"/>
    <n v="0"/>
    <n v="1"/>
    <n v="0"/>
    <n v="0"/>
    <n v="0"/>
    <n v="0"/>
    <n v="0"/>
    <n v="1"/>
    <n v="0"/>
    <n v="12"/>
    <d v="2016-07-08T00:00:00"/>
  </r>
  <r>
    <n v="1325"/>
    <n v="34596"/>
    <n v="16"/>
    <n v="4.6248121170077463E-4"/>
    <x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1"/>
    <x v="35"/>
    <s v="36-50"/>
    <n v="2601"/>
    <n v="0"/>
    <n v="1"/>
    <n v="0"/>
    <n v="0"/>
    <n v="0"/>
    <n v="0"/>
    <n v="0"/>
    <n v="0"/>
    <n v="1"/>
    <n v="9"/>
    <d v="2015-09-01T00:00:00"/>
  </r>
  <r>
    <n v="1825"/>
    <n v="33279"/>
    <n v="16"/>
    <n v="4.8078367739415247E-4"/>
    <x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x v="1"/>
    <x v="22"/>
    <s v="51-66"/>
    <n v="2176"/>
    <n v="0"/>
    <n v="0"/>
    <n v="1"/>
    <n v="0"/>
    <n v="0"/>
    <n v="0"/>
    <n v="1"/>
    <n v="0"/>
    <n v="0"/>
    <n v="16"/>
    <d v="2016-10-30T00:00:00"/>
  </r>
  <r>
    <n v="1839"/>
    <n v="30261"/>
    <n v="16"/>
    <n v="5.2873335316083411E-4"/>
    <x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x v="1"/>
    <x v="9"/>
    <s v="36-50"/>
    <n v="2801"/>
    <n v="0"/>
    <n v="0"/>
    <n v="0"/>
    <n v="1"/>
    <n v="0"/>
    <n v="0"/>
    <n v="1"/>
    <n v="0"/>
    <n v="0"/>
    <n v="10"/>
    <d v="2015-02-13T00:00:00"/>
  </r>
  <r>
    <n v="1959"/>
    <n v="15253"/>
    <n v="16"/>
    <n v="1.0489739723333114E-3"/>
    <x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x v="1"/>
    <x v="17"/>
    <s v="24-35"/>
    <n v="2403"/>
    <n v="0"/>
    <n v="0"/>
    <n v="1"/>
    <n v="0"/>
    <n v="0"/>
    <n v="0"/>
    <n v="0"/>
    <n v="0"/>
    <n v="0"/>
    <n v="3"/>
    <d v="2016-03-17T00:00:00"/>
  </r>
  <r>
    <n v="1993"/>
    <n v="34596"/>
    <n v="16"/>
    <n v="4.6248121170077463E-4"/>
    <x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0"/>
    <x v="35"/>
    <s v="36-50"/>
    <n v="2601"/>
    <n v="0"/>
    <n v="1"/>
    <n v="0"/>
    <n v="0"/>
    <n v="0"/>
    <n v="0"/>
    <n v="0"/>
    <n v="0"/>
    <n v="1"/>
    <n v="9"/>
    <d v="2015-09-01T00:00:00"/>
  </r>
  <r>
    <n v="215"/>
    <n v="15033"/>
    <n v="15"/>
    <n v="9.9780482937537407E-4"/>
    <x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x v="1"/>
    <x v="15"/>
    <s v="66+"/>
    <n v="2233"/>
    <n v="0"/>
    <n v="0"/>
    <n v="1"/>
    <n v="0"/>
    <n v="0"/>
    <n v="0"/>
    <n v="1"/>
    <n v="0"/>
    <n v="0"/>
    <n v="11"/>
    <d v="2016-09-03T00:00:00"/>
  </r>
  <r>
    <n v="232"/>
    <n v="29938"/>
    <n v="15"/>
    <n v="5.0103547331151047E-4"/>
    <x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x v="1"/>
    <x v="23"/>
    <s v="24-35"/>
    <n v="2404"/>
    <n v="0"/>
    <n v="0"/>
    <n v="1"/>
    <n v="0"/>
    <n v="0"/>
    <n v="0"/>
    <n v="1"/>
    <n v="0"/>
    <n v="0"/>
    <n v="4"/>
    <d v="2016-03-16T00:00:00"/>
  </r>
  <r>
    <n v="240"/>
    <n v="40737"/>
    <n v="15"/>
    <n v="3.6821562707121291E-4"/>
    <x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x v="1"/>
    <x v="12"/>
    <s v="51-66"/>
    <n v="2362"/>
    <n v="0"/>
    <n v="0"/>
    <n v="1"/>
    <n v="0"/>
    <n v="0"/>
    <n v="0"/>
    <n v="0"/>
    <n v="0"/>
    <n v="1"/>
    <n v="13"/>
    <d v="2016-04-27T00:00:00"/>
  </r>
  <r>
    <n v="416"/>
    <n v="23295"/>
    <n v="15"/>
    <n v="6.43915003219575E-4"/>
    <x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x v="1"/>
    <x v="29"/>
    <s v="51-66"/>
    <n v="2510"/>
    <n v="1"/>
    <n v="0"/>
    <n v="0"/>
    <n v="0"/>
    <n v="0"/>
    <n v="0"/>
    <n v="1"/>
    <n v="0"/>
    <n v="0"/>
    <n v="10"/>
    <d v="2015-12-01T00:00:00"/>
  </r>
  <r>
    <n v="598"/>
    <n v="46102"/>
    <n v="15"/>
    <n v="3.2536549390481975E-4"/>
    <x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x v="1"/>
    <x v="46"/>
    <s v="51-66"/>
    <n v="2270"/>
    <n v="1"/>
    <n v="0"/>
    <n v="0"/>
    <n v="0"/>
    <n v="0"/>
    <n v="0"/>
    <n v="1"/>
    <n v="0"/>
    <n v="0"/>
    <n v="14"/>
    <d v="2016-07-28T00:00:00"/>
  </r>
  <r>
    <n v="676"/>
    <n v="18988"/>
    <n v="15"/>
    <n v="7.8997261428270489E-4"/>
    <x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x v="1"/>
    <x v="39"/>
    <s v="36-50"/>
    <n v="2196"/>
    <n v="0"/>
    <n v="1"/>
    <n v="0"/>
    <n v="0"/>
    <n v="0"/>
    <n v="0"/>
    <n v="0"/>
    <n v="0"/>
    <n v="1"/>
    <n v="14"/>
    <d v="2016-10-10T00:00:00"/>
  </r>
  <r>
    <n v="829"/>
    <n v="36627"/>
    <n v="15"/>
    <n v="4.095339503644852E-4"/>
    <x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x v="1"/>
    <x v="16"/>
    <s v="36-50"/>
    <n v="2500"/>
    <n v="1"/>
    <n v="0"/>
    <n v="0"/>
    <n v="0"/>
    <n v="0"/>
    <n v="0"/>
    <n v="1"/>
    <n v="0"/>
    <n v="0"/>
    <n v="14"/>
    <d v="2015-12-11T00:00:00"/>
  </r>
  <r>
    <n v="1018"/>
    <n v="40479"/>
    <n v="15"/>
    <n v="3.7056251389609425E-4"/>
    <x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x v="1"/>
    <x v="31"/>
    <s v="36-50"/>
    <n v="2475"/>
    <n v="0"/>
    <n v="0"/>
    <n v="0"/>
    <n v="1"/>
    <n v="0"/>
    <n v="0"/>
    <n v="1"/>
    <n v="0"/>
    <n v="0"/>
    <n v="15"/>
    <d v="2016-01-05T00:00:00"/>
  </r>
  <r>
    <n v="1021"/>
    <n v="24163"/>
    <n v="15"/>
    <n v="6.2078384306584443E-4"/>
    <x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x v="1"/>
    <x v="2"/>
    <s v="36-50"/>
    <n v="2419"/>
    <n v="0"/>
    <n v="0"/>
    <n v="1"/>
    <n v="0"/>
    <n v="0"/>
    <n v="0"/>
    <n v="1"/>
    <n v="0"/>
    <n v="0"/>
    <n v="13"/>
    <d v="2016-03-01T00:00:00"/>
  </r>
  <r>
    <n v="1438"/>
    <n v="31859"/>
    <n v="15"/>
    <n v="4.7082457076493299E-4"/>
    <x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x v="1"/>
    <x v="7"/>
    <s v="36-50"/>
    <n v="2539"/>
    <n v="1"/>
    <n v="0"/>
    <n v="0"/>
    <n v="0"/>
    <n v="0"/>
    <n v="0"/>
    <n v="1"/>
    <n v="0"/>
    <n v="0"/>
    <n v="10"/>
    <d v="2015-11-02T00:00:00"/>
  </r>
  <r>
    <n v="2008"/>
    <n v="27190"/>
    <n v="15"/>
    <n v="5.5167340934166975E-4"/>
    <x v="1"/>
    <n v="0"/>
    <n v="13"/>
    <n v="1"/>
    <n v="6"/>
    <n v="7"/>
    <n v="0"/>
    <n v="1"/>
    <n v="3"/>
    <n v="1"/>
    <n v="1"/>
    <n v="0"/>
    <n v="2"/>
    <n v="8"/>
    <n v="0"/>
    <n v="0"/>
    <n v="1"/>
    <n v="0"/>
    <n v="0"/>
    <n v="0"/>
    <x v="0"/>
    <x v="30"/>
    <s v="36-50"/>
    <n v="2477"/>
    <n v="0"/>
    <n v="0"/>
    <n v="0"/>
    <n v="1"/>
    <n v="0"/>
    <n v="0"/>
    <n v="0"/>
    <n v="0"/>
    <n v="0"/>
    <n v="12"/>
    <d v="2016-01-03T00:00:00"/>
  </r>
  <r>
    <n v="1209"/>
    <n v="15759"/>
    <n v="14"/>
    <n v="8.883812424646234E-4"/>
    <x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x v="1"/>
    <x v="5"/>
    <s v="51-66"/>
    <n v="2456"/>
    <n v="0"/>
    <n v="1"/>
    <n v="0"/>
    <n v="0"/>
    <n v="0"/>
    <n v="0"/>
    <n v="1"/>
    <n v="0"/>
    <n v="0"/>
    <n v="11"/>
    <d v="2016-01-24T00:00:00"/>
  </r>
  <r>
    <n v="1301"/>
    <n v="39996"/>
    <n v="14"/>
    <n v="3.5003500350035003E-4"/>
    <x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x v="1"/>
    <x v="35"/>
    <s v="36-50"/>
    <n v="2197"/>
    <n v="1"/>
    <n v="0"/>
    <n v="0"/>
    <n v="0"/>
    <n v="0"/>
    <n v="0"/>
    <n v="1"/>
    <n v="0"/>
    <n v="0"/>
    <n v="13"/>
    <d v="2016-10-09T00:00:00"/>
  </r>
  <r>
    <n v="1455"/>
    <n v="34633"/>
    <n v="14"/>
    <n v="4.042387318453498E-4"/>
    <x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x v="1"/>
    <x v="5"/>
    <s v="51-66"/>
    <n v="2316"/>
    <n v="0"/>
    <n v="0"/>
    <n v="0"/>
    <n v="1"/>
    <n v="0"/>
    <n v="0"/>
    <n v="1"/>
    <n v="0"/>
    <n v="0"/>
    <n v="13"/>
    <d v="2016-06-12T00:00:00"/>
  </r>
  <r>
    <n v="1486"/>
    <n v="28359"/>
    <n v="14"/>
    <n v="4.9367043971931313E-4"/>
    <x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x v="1"/>
    <x v="20"/>
    <s v="36-50"/>
    <n v="2404"/>
    <n v="0"/>
    <n v="0"/>
    <n v="0"/>
    <n v="1"/>
    <n v="0"/>
    <n v="0"/>
    <n v="1"/>
    <n v="0"/>
    <n v="0"/>
    <n v="12"/>
    <d v="2016-03-16T00:00:00"/>
  </r>
  <r>
    <n v="1500"/>
    <n v="22775"/>
    <n v="14"/>
    <n v="6.1470911086717889E-4"/>
    <x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  <x v="37"/>
    <s v="36-50"/>
    <n v="2534"/>
    <n v="0"/>
    <n v="0"/>
    <n v="0"/>
    <n v="1"/>
    <n v="0"/>
    <n v="0"/>
    <n v="1"/>
    <n v="0"/>
    <n v="0"/>
    <n v="13"/>
    <d v="2015-11-07T00:00:00"/>
  </r>
  <r>
    <n v="1551"/>
    <n v="18169"/>
    <n v="14"/>
    <n v="7.7054323297925042E-4"/>
    <x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x v="1"/>
    <x v="23"/>
    <s v="24-35"/>
    <n v="2654"/>
    <n v="0"/>
    <n v="1"/>
    <n v="0"/>
    <n v="0"/>
    <n v="0"/>
    <n v="0"/>
    <n v="0"/>
    <n v="0"/>
    <n v="1"/>
    <n v="7"/>
    <d v="2015-07-10T00:00:00"/>
  </r>
  <r>
    <n v="1764"/>
    <n v="34242"/>
    <n v="14"/>
    <n v="4.0885462297762982E-4"/>
    <x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x v="1"/>
    <x v="29"/>
    <s v="51-66"/>
    <n v="2257"/>
    <n v="0"/>
    <n v="1"/>
    <n v="0"/>
    <n v="0"/>
    <n v="0"/>
    <n v="0"/>
    <n v="0"/>
    <n v="1"/>
    <n v="0"/>
    <n v="13"/>
    <d v="2016-08-10T00:00:00"/>
  </r>
  <r>
    <n v="2021"/>
    <n v="37406"/>
    <n v="14"/>
    <n v="3.7427150724482706E-4"/>
    <x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x v="0"/>
    <x v="41"/>
    <s v="36-50"/>
    <n v="2421"/>
    <n v="0"/>
    <n v="1"/>
    <n v="0"/>
    <n v="0"/>
    <n v="0"/>
    <n v="0"/>
    <n v="1"/>
    <n v="0"/>
    <n v="0"/>
    <n v="11"/>
    <d v="2016-02-28T00:00:00"/>
  </r>
  <r>
    <n v="357"/>
    <n v="36143"/>
    <n v="13"/>
    <n v="3.5968237279694544E-4"/>
    <x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x v="1"/>
    <x v="43"/>
    <s v="36-50"/>
    <n v="2250"/>
    <n v="0"/>
    <n v="0"/>
    <n v="1"/>
    <n v="0"/>
    <n v="0"/>
    <n v="0"/>
    <n v="0"/>
    <n v="1"/>
    <n v="0"/>
    <n v="7"/>
    <d v="2016-08-17T00:00:00"/>
  </r>
  <r>
    <n v="414"/>
    <n v="18100"/>
    <n v="13"/>
    <n v="7.1823204419889505E-4"/>
    <x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x v="1"/>
    <x v="8"/>
    <s v="66+"/>
    <n v="2486"/>
    <n v="0"/>
    <n v="1"/>
    <n v="0"/>
    <n v="0"/>
    <n v="0"/>
    <n v="0"/>
    <n v="1"/>
    <n v="0"/>
    <n v="0"/>
    <n v="12"/>
    <d v="2015-12-25T00:00:00"/>
  </r>
  <r>
    <n v="947"/>
    <n v="36736"/>
    <n v="13"/>
    <n v="3.5387630662020908E-4"/>
    <x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x v="1"/>
    <x v="33"/>
    <s v="51-66"/>
    <n v="2574"/>
    <n v="0"/>
    <n v="0"/>
    <n v="1"/>
    <n v="0"/>
    <n v="0"/>
    <n v="0"/>
    <n v="0"/>
    <n v="0"/>
    <n v="1"/>
    <n v="9"/>
    <d v="2015-09-28T00:00:00"/>
  </r>
  <r>
    <n v="1060"/>
    <n v="16581"/>
    <n v="13"/>
    <n v="7.8402991375670951E-4"/>
    <x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x v="1"/>
    <x v="23"/>
    <s v="24-35"/>
    <n v="2692"/>
    <n v="0"/>
    <n v="0"/>
    <n v="1"/>
    <n v="0"/>
    <n v="0"/>
    <n v="0"/>
    <n v="0"/>
    <n v="0"/>
    <n v="0"/>
    <n v="2"/>
    <d v="2015-06-02T00:00:00"/>
  </r>
  <r>
    <n v="1082"/>
    <n v="7500"/>
    <n v="13"/>
    <n v="1.7333333333333333E-3"/>
    <x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x v="1"/>
    <x v="19"/>
    <s v="36-50"/>
    <n v="2828"/>
    <n v="0"/>
    <n v="1"/>
    <n v="0"/>
    <n v="0"/>
    <n v="0"/>
    <n v="0"/>
    <n v="1"/>
    <n v="0"/>
    <n v="0"/>
    <n v="8"/>
    <d v="2015-01-17T00:00:00"/>
  </r>
  <r>
    <n v="1823"/>
    <n v="28420"/>
    <n v="13"/>
    <n v="4.5742434904996482E-4"/>
    <x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x v="1"/>
    <x v="26"/>
    <s v="51-66"/>
    <n v="2346"/>
    <n v="1"/>
    <n v="0"/>
    <n v="0"/>
    <n v="0"/>
    <n v="0"/>
    <n v="0"/>
    <n v="0"/>
    <n v="0"/>
    <n v="1"/>
    <n v="13"/>
    <d v="2016-05-13T00:00:00"/>
  </r>
  <r>
    <n v="69"/>
    <n v="40246"/>
    <n v="12"/>
    <n v="2.9816627739402674E-4"/>
    <x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x v="1"/>
    <x v="13"/>
    <s v="36-50"/>
    <n v="2716"/>
    <n v="1"/>
    <n v="0"/>
    <n v="0"/>
    <n v="0"/>
    <n v="0"/>
    <n v="0"/>
    <n v="1"/>
    <n v="0"/>
    <n v="0"/>
    <n v="11"/>
    <d v="2015-05-09T00:00:00"/>
  </r>
  <r>
    <n v="74"/>
    <n v="26304"/>
    <n v="12"/>
    <n v="4.5620437956204378E-4"/>
    <x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x v="1"/>
    <x v="3"/>
    <s v="51-66"/>
    <n v="2530"/>
    <n v="0"/>
    <n v="1"/>
    <n v="0"/>
    <n v="0"/>
    <n v="0"/>
    <n v="0"/>
    <n v="1"/>
    <n v="0"/>
    <n v="0"/>
    <n v="8"/>
    <d v="2015-11-11T00:00:00"/>
  </r>
  <r>
    <n v="324"/>
    <n v="33181"/>
    <n v="12"/>
    <n v="3.6165275308158284E-4"/>
    <x v="1"/>
    <n v="0"/>
    <n v="90"/>
    <n v="9"/>
    <n v="0"/>
    <n v="3"/>
    <n v="0"/>
    <n v="0"/>
    <n v="4"/>
    <n v="1"/>
    <n v="1"/>
    <n v="0"/>
    <n v="2"/>
    <n v="6"/>
    <n v="0"/>
    <n v="0"/>
    <n v="1"/>
    <n v="0"/>
    <n v="0"/>
    <n v="0"/>
    <x v="1"/>
    <x v="7"/>
    <s v="36-50"/>
    <n v="2336"/>
    <n v="0"/>
    <n v="1"/>
    <n v="0"/>
    <n v="0"/>
    <n v="0"/>
    <n v="0"/>
    <n v="0"/>
    <n v="1"/>
    <n v="0"/>
    <n v="8"/>
    <d v="2016-05-23T00:00:00"/>
  </r>
  <r>
    <n v="437"/>
    <n v="31880"/>
    <n v="12"/>
    <n v="3.764115432873275E-4"/>
    <x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x v="1"/>
    <x v="2"/>
    <s v="36-50"/>
    <n v="2765"/>
    <n v="0"/>
    <n v="0"/>
    <n v="0"/>
    <n v="0"/>
    <n v="1"/>
    <n v="0"/>
    <n v="1"/>
    <n v="0"/>
    <n v="0"/>
    <n v="9"/>
    <d v="2015-03-21T00:00:00"/>
  </r>
  <r>
    <n v="665"/>
    <n v="25252"/>
    <n v="12"/>
    <n v="4.7520988436559479E-4"/>
    <x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x v="1"/>
    <x v="18"/>
    <s v="24-35"/>
    <n v="2511"/>
    <n v="0"/>
    <n v="1"/>
    <n v="0"/>
    <n v="0"/>
    <n v="0"/>
    <n v="0"/>
    <n v="1"/>
    <n v="0"/>
    <n v="0"/>
    <n v="6"/>
    <d v="2015-11-30T00:00:00"/>
  </r>
  <r>
    <n v="690"/>
    <n v="17487"/>
    <n v="12"/>
    <n v="6.8622405215302792E-4"/>
    <x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x v="1"/>
    <x v="32"/>
    <s v="24-35"/>
    <n v="2627"/>
    <n v="0"/>
    <n v="1"/>
    <n v="0"/>
    <n v="0"/>
    <n v="0"/>
    <n v="0"/>
    <n v="0"/>
    <n v="0"/>
    <n v="0"/>
    <n v="6"/>
    <d v="2015-08-06T00:00:00"/>
  </r>
  <r>
    <n v="840"/>
    <n v="26868"/>
    <n v="12"/>
    <n v="4.4662795891022776E-4"/>
    <x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x v="1"/>
    <x v="1"/>
    <s v="24-35"/>
    <n v="2219"/>
    <n v="0"/>
    <n v="0"/>
    <n v="1"/>
    <n v="0"/>
    <n v="0"/>
    <n v="0"/>
    <n v="0"/>
    <n v="0"/>
    <n v="0"/>
    <n v="10"/>
    <d v="2016-09-17T00:00:00"/>
  </r>
  <r>
    <n v="1361"/>
    <n v="41145"/>
    <n v="12"/>
    <n v="2.916514764855997E-4"/>
    <x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x v="1"/>
    <x v="51"/>
    <s v="66+"/>
    <n v="2300"/>
    <n v="0"/>
    <n v="1"/>
    <n v="0"/>
    <n v="0"/>
    <n v="0"/>
    <n v="0"/>
    <n v="0"/>
    <n v="0"/>
    <n v="1"/>
    <n v="11"/>
    <d v="2016-06-28T00:00:00"/>
  </r>
  <r>
    <n v="61"/>
    <n v="32474"/>
    <n v="11"/>
    <n v="3.3873252448112336E-4"/>
    <x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x v="1"/>
    <x v="26"/>
    <s v="51-66"/>
    <n v="2208"/>
    <n v="0"/>
    <n v="0"/>
    <n v="0"/>
    <n v="1"/>
    <n v="0"/>
    <n v="0"/>
    <n v="1"/>
    <n v="0"/>
    <n v="0"/>
    <n v="11"/>
    <d v="2016-09-28T00:00:00"/>
  </r>
  <r>
    <n v="683"/>
    <n v="35946"/>
    <n v="11"/>
    <n v="3.0601457742168806E-4"/>
    <x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x v="1"/>
    <x v="4"/>
    <s v="66+"/>
    <n v="2434"/>
    <n v="1"/>
    <n v="0"/>
    <n v="0"/>
    <n v="0"/>
    <n v="0"/>
    <n v="0"/>
    <n v="0"/>
    <n v="0"/>
    <n v="1"/>
    <n v="11"/>
    <d v="2016-02-15T00:00:00"/>
  </r>
  <r>
    <n v="987"/>
    <n v="28764"/>
    <n v="11"/>
    <n v="3.8242247253511335E-4"/>
    <x v="1"/>
    <n v="1"/>
    <n v="16"/>
    <n v="8"/>
    <n v="0"/>
    <n v="3"/>
    <n v="0"/>
    <n v="0"/>
    <n v="1"/>
    <n v="1"/>
    <n v="1"/>
    <n v="0"/>
    <n v="2"/>
    <n v="8"/>
    <n v="0"/>
    <n v="0"/>
    <n v="1"/>
    <n v="0"/>
    <n v="0"/>
    <n v="0"/>
    <x v="1"/>
    <x v="22"/>
    <s v="51-66"/>
    <n v="2183"/>
    <n v="0"/>
    <n v="0"/>
    <n v="0"/>
    <n v="1"/>
    <n v="0"/>
    <n v="0"/>
    <n v="0"/>
    <n v="0"/>
    <n v="1"/>
    <n v="10"/>
    <d v="2016-10-23T00:00:00"/>
  </r>
  <r>
    <n v="1032"/>
    <n v="27590"/>
    <n v="11"/>
    <n v="3.9869517941283075E-4"/>
    <x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x v="1"/>
    <x v="31"/>
    <s v="36-50"/>
    <n v="2591"/>
    <n v="0"/>
    <n v="0"/>
    <n v="0"/>
    <n v="1"/>
    <n v="0"/>
    <n v="0"/>
    <n v="0"/>
    <n v="1"/>
    <n v="0"/>
    <n v="10"/>
    <d v="2015-09-11T00:00:00"/>
  </r>
  <r>
    <n v="1063"/>
    <n v="25930"/>
    <n v="11"/>
    <n v="4.2421905129193986E-4"/>
    <x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x v="1"/>
    <x v="26"/>
    <s v="51-66"/>
    <n v="2421"/>
    <n v="0"/>
    <n v="0"/>
    <n v="1"/>
    <n v="0"/>
    <n v="0"/>
    <n v="0"/>
    <n v="1"/>
    <n v="0"/>
    <n v="0"/>
    <n v="7"/>
    <d v="2016-02-28T00:00:00"/>
  </r>
  <r>
    <n v="1688"/>
    <n v="22280"/>
    <n v="11"/>
    <n v="4.9371633752244169E-4"/>
    <x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x v="1"/>
    <x v="16"/>
    <s v="36-50"/>
    <n v="2565"/>
    <n v="0"/>
    <n v="0"/>
    <n v="0"/>
    <n v="1"/>
    <n v="0"/>
    <n v="0"/>
    <n v="1"/>
    <n v="0"/>
    <n v="0"/>
    <n v="9"/>
    <d v="2015-10-07T00:00:00"/>
  </r>
  <r>
    <n v="2005"/>
    <n v="36807"/>
    <n v="11"/>
    <n v="2.9885619583231452E-4"/>
    <x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x v="1"/>
    <x v="44"/>
    <s v="66+"/>
    <n v="2715"/>
    <n v="0"/>
    <n v="0"/>
    <n v="0"/>
    <n v="1"/>
    <n v="0"/>
    <n v="0"/>
    <n v="1"/>
    <n v="0"/>
    <n v="0"/>
    <n v="6"/>
    <d v="2015-05-10T00:00:00"/>
  </r>
  <r>
    <n v="535"/>
    <n v="29298"/>
    <n v="10"/>
    <n v="3.4132022663663046E-4"/>
    <x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x v="1"/>
    <x v="15"/>
    <s v="66+"/>
    <n v="2454"/>
    <n v="0"/>
    <n v="0"/>
    <n v="0"/>
    <n v="1"/>
    <n v="0"/>
    <n v="0"/>
    <n v="0"/>
    <n v="1"/>
    <n v="0"/>
    <n v="9"/>
    <d v="2016-01-26T00:00:00"/>
  </r>
  <r>
    <n v="632"/>
    <n v="26751"/>
    <n v="10"/>
    <n v="3.7381780120369332E-4"/>
    <x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x v="1"/>
    <x v="35"/>
    <s v="36-50"/>
    <n v="2197"/>
    <n v="0"/>
    <n v="1"/>
    <n v="0"/>
    <n v="0"/>
    <n v="0"/>
    <n v="0"/>
    <n v="1"/>
    <n v="0"/>
    <n v="0"/>
    <n v="9"/>
    <d v="2016-10-09T00:00:00"/>
  </r>
  <r>
    <n v="809"/>
    <n v="7500"/>
    <n v="10"/>
    <n v="1.3333333333333333E-3"/>
    <x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x v="1"/>
    <x v="36"/>
    <s v="24-35"/>
    <n v="2695"/>
    <n v="0"/>
    <n v="1"/>
    <n v="0"/>
    <n v="0"/>
    <n v="0"/>
    <n v="0"/>
    <n v="1"/>
    <n v="0"/>
    <n v="0"/>
    <n v="5"/>
    <d v="2015-05-30T00:00:00"/>
  </r>
  <r>
    <n v="814"/>
    <n v="19485"/>
    <n v="10"/>
    <n v="5.1321529381575571E-4"/>
    <x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x v="1"/>
    <x v="18"/>
    <s v="24-35"/>
    <n v="2437"/>
    <n v="0"/>
    <n v="0"/>
    <n v="1"/>
    <n v="0"/>
    <n v="0"/>
    <n v="0"/>
    <n v="0"/>
    <n v="1"/>
    <n v="0"/>
    <n v="10"/>
    <d v="2016-02-12T00:00:00"/>
  </r>
  <r>
    <n v="1211"/>
    <n v="42997"/>
    <n v="10"/>
    <n v="2.3257436565341769E-4"/>
    <x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x v="1"/>
    <x v="13"/>
    <s v="36-50"/>
    <n v="2363"/>
    <n v="0"/>
    <n v="0"/>
    <n v="1"/>
    <n v="0"/>
    <n v="0"/>
    <n v="0"/>
    <n v="0"/>
    <n v="0"/>
    <n v="1"/>
    <n v="5"/>
    <d v="2016-04-26T00:00:00"/>
  </r>
  <r>
    <n v="71"/>
    <n v="26326"/>
    <n v="9"/>
    <n v="3.4186735546607914E-4"/>
    <x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x v="1"/>
    <x v="7"/>
    <s v="36-50"/>
    <n v="2457"/>
    <n v="0"/>
    <n v="0"/>
    <n v="0"/>
    <n v="1"/>
    <n v="0"/>
    <n v="1"/>
    <n v="0"/>
    <n v="0"/>
    <n v="0"/>
    <n v="0"/>
    <d v="2016-01-23T00:00:00"/>
  </r>
  <r>
    <n v="163"/>
    <n v="38285"/>
    <n v="9"/>
    <n v="2.350790126681468E-4"/>
    <x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x v="1"/>
    <x v="29"/>
    <s v="51-66"/>
    <n v="2164"/>
    <n v="0"/>
    <n v="0"/>
    <n v="0"/>
    <n v="1"/>
    <n v="0"/>
    <n v="0"/>
    <n v="1"/>
    <n v="0"/>
    <n v="0"/>
    <n v="8"/>
    <d v="2016-11-11T00:00:00"/>
  </r>
  <r>
    <n v="394"/>
    <n v="18492"/>
    <n v="9"/>
    <n v="4.8669695003244649E-4"/>
    <x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x v="1"/>
    <x v="31"/>
    <s v="36-50"/>
    <n v="2183"/>
    <n v="0"/>
    <n v="0"/>
    <n v="0"/>
    <n v="1"/>
    <n v="0"/>
    <n v="0"/>
    <n v="0"/>
    <n v="1"/>
    <n v="0"/>
    <n v="8"/>
    <d v="2016-10-23T00:00:00"/>
  </r>
  <r>
    <n v="1171"/>
    <n v="20427"/>
    <n v="9"/>
    <n v="4.4059333235423704E-4"/>
    <x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x v="1"/>
    <x v="30"/>
    <s v="36-50"/>
    <n v="2256"/>
    <n v="0"/>
    <n v="0"/>
    <n v="0"/>
    <n v="1"/>
    <n v="0"/>
    <n v="0"/>
    <n v="0"/>
    <n v="0"/>
    <n v="1"/>
    <n v="8"/>
    <d v="2016-08-11T00:00:00"/>
  </r>
  <r>
    <n v="1543"/>
    <n v="23536"/>
    <n v="9"/>
    <n v="3.823929299796057E-4"/>
    <x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x v="1"/>
    <x v="20"/>
    <s v="36-50"/>
    <n v="2184"/>
    <n v="0"/>
    <n v="1"/>
    <n v="0"/>
    <n v="0"/>
    <n v="0"/>
    <n v="0"/>
    <n v="0"/>
    <n v="0"/>
    <n v="1"/>
    <n v="8"/>
    <d v="2016-10-22T00:00:00"/>
  </r>
  <r>
    <n v="1577"/>
    <n v="17688"/>
    <n v="9"/>
    <n v="5.088195386702849E-4"/>
    <x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x v="1"/>
    <x v="19"/>
    <s v="36-50"/>
    <n v="2691"/>
    <n v="0"/>
    <n v="1"/>
    <n v="0"/>
    <n v="0"/>
    <n v="0"/>
    <n v="0"/>
    <n v="1"/>
    <n v="0"/>
    <n v="0"/>
    <n v="7"/>
    <d v="2015-06-03T00:00:00"/>
  </r>
  <r>
    <n v="147"/>
    <n v="30523"/>
    <n v="8"/>
    <n v="2.6209743472135769E-4"/>
    <x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x v="1"/>
    <x v="27"/>
    <s v="51-66"/>
    <n v="2522"/>
    <n v="0"/>
    <n v="0"/>
    <n v="1"/>
    <n v="0"/>
    <n v="0"/>
    <n v="0"/>
    <n v="0"/>
    <n v="1"/>
    <n v="0"/>
    <n v="3"/>
    <d v="2015-11-19T00:00:00"/>
  </r>
  <r>
    <n v="1099"/>
    <n v="14421"/>
    <n v="8"/>
    <n v="5.5474655016989115E-4"/>
    <x v="0"/>
    <n v="0"/>
    <n v="81"/>
    <n v="0"/>
    <n v="0"/>
    <n v="2"/>
    <n v="3"/>
    <n v="3"/>
    <n v="8"/>
    <n v="1"/>
    <n v="1"/>
    <n v="0"/>
    <n v="2"/>
    <n v="5"/>
    <n v="0"/>
    <n v="0"/>
    <n v="1"/>
    <n v="0"/>
    <n v="0"/>
    <n v="0"/>
    <x v="1"/>
    <x v="55"/>
    <s v="24-35"/>
    <n v="2291"/>
    <n v="0"/>
    <n v="1"/>
    <n v="0"/>
    <n v="0"/>
    <n v="0"/>
    <n v="0"/>
    <n v="0"/>
    <n v="0"/>
    <n v="0"/>
    <n v="0"/>
    <d v="2016-07-07T00:00:00"/>
  </r>
  <r>
    <n v="1321"/>
    <n v="34578"/>
    <n v="8"/>
    <n v="2.3136098097055932E-4"/>
    <x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x v="1"/>
    <x v="9"/>
    <s v="36-50"/>
    <n v="2238"/>
    <n v="0"/>
    <n v="0"/>
    <n v="0"/>
    <n v="1"/>
    <n v="0"/>
    <n v="0"/>
    <n v="0"/>
    <n v="0"/>
    <n v="1"/>
    <n v="8"/>
    <d v="2016-08-29T00:00:00"/>
  </r>
  <r>
    <n v="1657"/>
    <n v="32583"/>
    <n v="8"/>
    <n v="2.4552680845839857E-4"/>
    <x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x v="1"/>
    <x v="21"/>
    <s v="51-66"/>
    <n v="2173"/>
    <n v="0"/>
    <n v="0"/>
    <n v="0"/>
    <n v="1"/>
    <n v="0"/>
    <n v="0"/>
    <n v="0"/>
    <n v="0"/>
    <n v="1"/>
    <n v="7"/>
    <d v="2016-11-02T00:00:00"/>
  </r>
  <r>
    <n v="1683"/>
    <n v="4023"/>
    <n v="8"/>
    <n v="1.9885657469550086E-3"/>
    <x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x v="1"/>
    <x v="33"/>
    <s v="51-66"/>
    <n v="2165"/>
    <n v="0"/>
    <n v="1"/>
    <n v="0"/>
    <n v="0"/>
    <n v="0"/>
    <n v="0"/>
    <n v="0"/>
    <n v="0"/>
    <n v="1"/>
    <n v="7"/>
    <d v="2016-11-10T00:00:00"/>
  </r>
  <r>
    <n v="1698"/>
    <n v="11448"/>
    <n v="8"/>
    <n v="6.9881201956673651E-4"/>
    <x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x v="1"/>
    <x v="16"/>
    <s v="36-50"/>
    <n v="2355"/>
    <n v="1"/>
    <n v="0"/>
    <n v="0"/>
    <n v="0"/>
    <n v="0"/>
    <n v="1"/>
    <n v="0"/>
    <n v="0"/>
    <n v="0"/>
    <n v="2"/>
    <d v="2016-05-04T00:00:00"/>
  </r>
  <r>
    <n v="1923"/>
    <n v="25176"/>
    <n v="8"/>
    <n v="3.1776294884016526E-4"/>
    <x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x v="1"/>
    <x v="7"/>
    <s v="36-50"/>
    <n v="2482"/>
    <n v="0"/>
    <n v="0"/>
    <n v="0"/>
    <n v="1"/>
    <n v="0"/>
    <n v="1"/>
    <n v="0"/>
    <n v="0"/>
    <n v="0"/>
    <n v="3"/>
    <d v="2015-12-29T00:00:00"/>
  </r>
  <r>
    <n v="1168"/>
    <n v="1730"/>
    <n v="7"/>
    <n v="4.0462427745664737E-3"/>
    <x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x v="1"/>
    <x v="28"/>
    <s v="36-50"/>
    <n v="2201"/>
    <n v="1"/>
    <n v="0"/>
    <n v="0"/>
    <n v="0"/>
    <n v="0"/>
    <n v="0"/>
    <n v="1"/>
    <n v="0"/>
    <n v="0"/>
    <n v="6"/>
    <d v="2016-10-05T00:00:00"/>
  </r>
  <r>
    <n v="1929"/>
    <n v="33590"/>
    <n v="6"/>
    <n v="1.7862459065197975E-4"/>
    <x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x v="1"/>
    <x v="35"/>
    <s v="36-50"/>
    <n v="2397"/>
    <n v="0"/>
    <n v="0"/>
    <n v="0"/>
    <n v="1"/>
    <n v="0"/>
    <n v="0"/>
    <n v="1"/>
    <n v="0"/>
    <n v="0"/>
    <n v="4"/>
    <d v="2016-03-23T00:00:00"/>
  </r>
  <r>
    <n v="923"/>
    <n v="4861"/>
    <n v="5"/>
    <n v="1.0285949393128986E-3"/>
    <x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x v="1"/>
    <x v="47"/>
    <s v="51-66"/>
    <n v="2166"/>
    <n v="1"/>
    <n v="0"/>
    <n v="0"/>
    <n v="0"/>
    <n v="0"/>
    <n v="0"/>
    <n v="1"/>
    <n v="0"/>
    <n v="0"/>
    <n v="4"/>
    <d v="2016-11-09T00:00:00"/>
  </r>
  <r>
    <n v="1409"/>
    <n v="3502"/>
    <n v="4"/>
    <n v="1.1422044545973729E-3"/>
    <x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x v="1"/>
    <x v="30"/>
    <s v="36-50"/>
    <n v="2601"/>
    <n v="0"/>
    <n v="0"/>
    <n v="1"/>
    <n v="0"/>
    <n v="0"/>
    <n v="0"/>
    <n v="1"/>
    <n v="0"/>
    <n v="0"/>
    <n v="3"/>
    <d v="2015-09-01T00:00:00"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DBE97-A4C6-1D49-A894-07915F59C7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Kids at Home">
  <location ref="A3:D7" firstHeaderRow="0" firstDataRow="1" firstDataCol="1" rowPageCount="1" colPageCount="1"/>
  <pivotFields count="39"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58">
        <item x="55"/>
        <item x="52"/>
        <item x="25"/>
        <item x="53"/>
        <item x="17"/>
        <item x="1"/>
        <item x="48"/>
        <item x="32"/>
        <item x="0"/>
        <item x="36"/>
        <item x="18"/>
        <item x="23"/>
        <item x="39"/>
        <item x="20"/>
        <item x="31"/>
        <item x="43"/>
        <item x="41"/>
        <item x="19"/>
        <item x="37"/>
        <item x="13"/>
        <item x="7"/>
        <item x="16"/>
        <item x="35"/>
        <item x="30"/>
        <item x="9"/>
        <item x="28"/>
        <item x="2"/>
        <item x="3"/>
        <item x="14"/>
        <item x="26"/>
        <item x="22"/>
        <item x="47"/>
        <item x="42"/>
        <item x="33"/>
        <item x="46"/>
        <item x="21"/>
        <item x="24"/>
        <item x="29"/>
        <item x="27"/>
        <item x="12"/>
        <item x="5"/>
        <item x="38"/>
        <item x="44"/>
        <item x="10"/>
        <item x="50"/>
        <item x="15"/>
        <item x="51"/>
        <item x="4"/>
        <item x="40"/>
        <item x="6"/>
        <item x="8"/>
        <item x="49"/>
        <item x="34"/>
        <item x="45"/>
        <item x="11"/>
        <item x="54"/>
        <item x="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4" hier="-1"/>
  </pageFields>
  <dataFields count="3">
    <dataField name="Count of MntTotal" fld="2" subtotal="count" baseField="0" baseItem="0"/>
    <dataField name="Sum of MntTotal" fld="2" baseField="0" baseItem="0"/>
    <dataField name="Average Spent" fld="2" subtotal="average" baseField="0" baseItem="0"/>
  </dataField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7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7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7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8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N2205"/>
  <sheetViews>
    <sheetView topLeftCell="P1" zoomScale="120" zoomScaleNormal="120" workbookViewId="0">
      <selection activeCell="AF44" sqref="AF44"/>
    </sheetView>
  </sheetViews>
  <sheetFormatPr baseColWidth="10" defaultColWidth="12.5" defaultRowHeight="13.5" customHeight="1" x14ac:dyDescent="0.15"/>
  <cols>
    <col min="2" max="2" width="9.5" bestFit="1" customWidth="1"/>
    <col min="3" max="3" width="35.5" customWidth="1"/>
    <col min="4" max="4" width="35.5" style="5" customWidth="1"/>
    <col min="5" max="5" width="8.33203125" bestFit="1" customWidth="1"/>
    <col min="6" max="6" width="9.5" bestFit="1" customWidth="1"/>
    <col min="7" max="7" width="8.33203125" bestFit="1" customWidth="1"/>
    <col min="8" max="8" width="9.5" bestFit="1" customWidth="1"/>
    <col min="9" max="9" width="8.83203125" bestFit="1" customWidth="1"/>
    <col min="10" max="10" width="15.83203125" bestFit="1" customWidth="1"/>
    <col min="11" max="11" width="15.33203125" bestFit="1" customWidth="1"/>
    <col min="12" max="12" width="16.83203125" bestFit="1" customWidth="1"/>
    <col min="13" max="13" width="12.83203125" bestFit="1" customWidth="1"/>
    <col min="14" max="14" width="18.6640625" bestFit="1" customWidth="1"/>
    <col min="15" max="15" width="17.83203125" bestFit="1" customWidth="1"/>
    <col min="16" max="16" width="20.33203125" bestFit="1" customWidth="1"/>
    <col min="17" max="17" width="18.5" bestFit="1" customWidth="1"/>
    <col min="18" max="18" width="18.83203125" bestFit="1" customWidth="1"/>
    <col min="19" max="23" width="13.83203125" bestFit="1" customWidth="1"/>
    <col min="24" max="24" width="8.6640625" bestFit="1" customWidth="1"/>
    <col min="25" max="25" width="21.83203125" customWidth="1"/>
    <col min="26" max="26" width="9.83203125" customWidth="1"/>
    <col min="27" max="27" width="11.83203125" customWidth="1"/>
    <col min="28" max="28" width="14.5" bestFit="1" customWidth="1"/>
    <col min="29" max="29" width="14.6640625" bestFit="1" customWidth="1"/>
    <col min="30" max="30" width="13.83203125" bestFit="1" customWidth="1"/>
    <col min="31" max="31" width="12.6640625" bestFit="1" customWidth="1"/>
    <col min="32" max="32" width="14.83203125" bestFit="1" customWidth="1"/>
    <col min="33" max="33" width="13.33203125" bestFit="1" customWidth="1"/>
    <col min="34" max="34" width="17.5" bestFit="1" customWidth="1"/>
    <col min="35" max="35" width="19.33203125" bestFit="1" customWidth="1"/>
    <col min="36" max="36" width="15.83203125" bestFit="1" customWidth="1"/>
    <col min="37" max="37" width="13.6640625" bestFit="1" customWidth="1"/>
    <col min="38" max="38" width="15.5" bestFit="1" customWidth="1"/>
  </cols>
  <sheetData>
    <row r="1" spans="1:40" ht="13" x14ac:dyDescent="0.15">
      <c r="A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44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52</v>
      </c>
    </row>
    <row r="2" spans="1:40" ht="13" x14ac:dyDescent="0.15">
      <c r="A2">
        <v>1</v>
      </c>
      <c r="B2" s="1">
        <v>87679</v>
      </c>
      <c r="C2" s="1">
        <v>2491</v>
      </c>
      <c r="D2" s="4">
        <f t="shared" ref="D2:D65" si="0">C2/B2</f>
        <v>2.8410451761539252E-2</v>
      </c>
      <c r="E2" s="1">
        <v>0</v>
      </c>
      <c r="F2" s="1">
        <v>0</v>
      </c>
      <c r="G2" s="1">
        <v>62</v>
      </c>
      <c r="H2" s="1">
        <v>1259</v>
      </c>
      <c r="I2" s="1">
        <v>172</v>
      </c>
      <c r="J2" s="1">
        <v>815</v>
      </c>
      <c r="K2" s="1">
        <v>97</v>
      </c>
      <c r="L2" s="1">
        <v>148</v>
      </c>
      <c r="M2" s="1">
        <v>33</v>
      </c>
      <c r="N2" s="1">
        <v>1</v>
      </c>
      <c r="O2" s="1">
        <v>7</v>
      </c>
      <c r="P2" s="1">
        <v>11</v>
      </c>
      <c r="Q2" s="1">
        <v>10</v>
      </c>
      <c r="R2" s="1">
        <v>4</v>
      </c>
      <c r="S2" s="1">
        <v>1</v>
      </c>
      <c r="T2" s="1">
        <v>0</v>
      </c>
      <c r="U2" s="1">
        <v>1</v>
      </c>
      <c r="V2" s="1">
        <v>0</v>
      </c>
      <c r="W2" s="1">
        <v>1</v>
      </c>
      <c r="X2" s="1">
        <v>0</v>
      </c>
      <c r="Y2" s="1">
        <v>1</v>
      </c>
      <c r="Z2" s="1">
        <v>32</v>
      </c>
      <c r="AA2" s="1" t="str" cm="1">
        <f t="array" ref="AA2">_xlfn.IFS(AND(Z2&lt;36, Z2&gt;23), "24-35", AND(Z2&lt;51, Z2&gt;35),"36-50", AND(Z2&lt;66, Z2&gt;50), "51-66", Z2&gt;65, "66+", TRUE, "?")</f>
        <v>24-35</v>
      </c>
      <c r="AB2" s="1">
        <v>2496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1</v>
      </c>
      <c r="AJ2" s="1">
        <v>0</v>
      </c>
      <c r="AK2" s="1">
        <v>0</v>
      </c>
      <c r="AL2" s="1">
        <v>2458</v>
      </c>
      <c r="AM2" s="2">
        <v>42353</v>
      </c>
      <c r="AN2" t="str">
        <f t="shared" ref="AN2:AN65" si="1">_xlfn.TEXTJOIN(",",TRUE,B2:AM2)</f>
        <v>87679,2491,0.0284104517615393,0,0,62,1259,172,815,97,148,33,1,7,11,10,4,1,0,1,0,1,0,1,32,24-35,2496,0,0,0,1,0,0,1,0,0,2458,42353</v>
      </c>
    </row>
    <row r="3" spans="1:40" ht="13" x14ac:dyDescent="0.15">
      <c r="A3">
        <v>9</v>
      </c>
      <c r="B3" s="1">
        <v>90638</v>
      </c>
      <c r="C3" s="1">
        <v>2429</v>
      </c>
      <c r="D3" s="4">
        <f t="shared" si="0"/>
        <v>2.6798914362629361E-2</v>
      </c>
      <c r="E3" s="1">
        <v>0</v>
      </c>
      <c r="F3" s="1">
        <v>0</v>
      </c>
      <c r="G3" s="1">
        <v>29</v>
      </c>
      <c r="H3" s="1">
        <v>1156</v>
      </c>
      <c r="I3" s="1">
        <v>120</v>
      </c>
      <c r="J3" s="1">
        <v>915</v>
      </c>
      <c r="K3" s="1">
        <v>94</v>
      </c>
      <c r="L3" s="1">
        <v>144</v>
      </c>
      <c r="M3" s="1">
        <v>96</v>
      </c>
      <c r="N3" s="1">
        <v>1</v>
      </c>
      <c r="O3" s="1">
        <v>3</v>
      </c>
      <c r="P3" s="1">
        <v>4</v>
      </c>
      <c r="Q3" s="1">
        <v>10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1</v>
      </c>
      <c r="Z3" s="1">
        <v>29</v>
      </c>
      <c r="AA3" s="1" t="str" cm="1">
        <f t="array" ref="AA3">_xlfn.IFS(AND(Z3&lt;36, Z3&gt;23), "24-35", AND(Z3&lt;51, Z3&gt;35),"36-50", AND(Z3&lt;66, Z3&gt;50), "51-66", Z3&gt;65, "66+", TRUE, "?")</f>
        <v>24-35</v>
      </c>
      <c r="AB3" s="1">
        <v>2295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0</v>
      </c>
      <c r="AL3" s="1">
        <v>2333</v>
      </c>
      <c r="AM3" s="2">
        <v>42554</v>
      </c>
      <c r="AN3" t="str">
        <f t="shared" si="1"/>
        <v>90638,2429,0.0267989143626294,0,0,29,1156,120,915,94,144,96,1,3,4,10,1,0,0,0,0,1,0,1,29,24-35,2295,0,0,1,0,0,0,0,1,0,2333,42554</v>
      </c>
    </row>
    <row r="4" spans="1:40" ht="13" hidden="1" x14ac:dyDescent="0.15">
      <c r="A4">
        <v>1107</v>
      </c>
      <c r="B4" s="1">
        <v>90638</v>
      </c>
      <c r="C4" s="1">
        <v>2429</v>
      </c>
      <c r="D4" s="4">
        <f t="shared" si="0"/>
        <v>2.6798914362629361E-2</v>
      </c>
      <c r="E4" s="1">
        <v>0</v>
      </c>
      <c r="F4" s="1">
        <v>0</v>
      </c>
      <c r="G4" s="1">
        <v>29</v>
      </c>
      <c r="H4" s="1">
        <v>1156</v>
      </c>
      <c r="I4" s="1">
        <v>120</v>
      </c>
      <c r="J4" s="1">
        <v>915</v>
      </c>
      <c r="K4" s="1">
        <v>94</v>
      </c>
      <c r="L4" s="1">
        <v>144</v>
      </c>
      <c r="M4" s="1">
        <v>96</v>
      </c>
      <c r="N4" s="1">
        <v>1</v>
      </c>
      <c r="O4" s="1">
        <v>3</v>
      </c>
      <c r="P4" s="1">
        <v>4</v>
      </c>
      <c r="Q4" s="1">
        <v>10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29</v>
      </c>
      <c r="AA4" s="1" t="str" cm="1">
        <f t="array" ref="AA4">_xlfn.IFS(AND(Z4&lt;36, Z4&gt;23), "24-35", AND(Z4&lt;51, Z4&gt;35),"36-50", AND(Z4&lt;66, Z4&gt;50), "51-66", Z4&gt;65, "66+", TRUE, "?")</f>
        <v>24-35</v>
      </c>
      <c r="AB4" s="1">
        <v>2295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s="1">
        <v>2333</v>
      </c>
      <c r="AM4" s="2">
        <v>42554</v>
      </c>
      <c r="AN4" t="str">
        <f t="shared" si="1"/>
        <v>90638,2429,0.0267989143626294,0,0,29,1156,120,915,94,144,96,1,3,4,10,1,0,0,0,0,1,0,0,29,24-35,2295,0,0,1,0,0,0,0,1,0,2333,42554</v>
      </c>
    </row>
    <row r="5" spans="1:40" ht="13" x14ac:dyDescent="0.15">
      <c r="A5">
        <v>32</v>
      </c>
      <c r="B5" s="1">
        <v>93790</v>
      </c>
      <c r="C5" s="1">
        <v>2304</v>
      </c>
      <c r="D5" s="4">
        <f t="shared" si="0"/>
        <v>2.4565518712016208E-2</v>
      </c>
      <c r="E5" s="1">
        <v>0</v>
      </c>
      <c r="F5" s="1">
        <v>0</v>
      </c>
      <c r="G5" s="1">
        <v>16</v>
      </c>
      <c r="H5" s="1">
        <v>1302</v>
      </c>
      <c r="I5" s="1">
        <v>68</v>
      </c>
      <c r="J5" s="1">
        <v>731</v>
      </c>
      <c r="K5" s="1">
        <v>89</v>
      </c>
      <c r="L5" s="1">
        <v>114</v>
      </c>
      <c r="M5" s="1">
        <v>45</v>
      </c>
      <c r="N5" s="1">
        <v>0</v>
      </c>
      <c r="O5" s="1">
        <v>6</v>
      </c>
      <c r="P5" s="1">
        <v>7</v>
      </c>
      <c r="Q5" s="1">
        <v>12</v>
      </c>
      <c r="R5" s="1">
        <v>2</v>
      </c>
      <c r="S5" s="1">
        <v>1</v>
      </c>
      <c r="T5" s="1">
        <v>0</v>
      </c>
      <c r="U5" s="1">
        <v>0</v>
      </c>
      <c r="V5" s="1">
        <v>1</v>
      </c>
      <c r="W5" s="1">
        <v>1</v>
      </c>
      <c r="X5" s="1">
        <v>0</v>
      </c>
      <c r="Y5" s="1">
        <v>1</v>
      </c>
      <c r="Z5" s="1">
        <v>50</v>
      </c>
      <c r="AA5" s="1" t="str" cm="1">
        <f t="array" ref="AA5">_xlfn.IFS(AND(Z5&lt;36, Z5&gt;23), "24-35", AND(Z5&lt;51, Z5&gt;35),"36-50", AND(Z5&lt;66, Z5&gt;50), "51-66", Z5&gt;65, "66+", TRUE, "?")</f>
        <v>36-50</v>
      </c>
      <c r="AB5" s="1">
        <v>2296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2259</v>
      </c>
      <c r="AM5" s="2">
        <v>42553</v>
      </c>
      <c r="AN5" t="str">
        <f t="shared" si="1"/>
        <v>93790,2304,0.0245655187120162,0,0,16,1302,68,731,89,114,45,0,6,7,12,2,1,0,0,1,1,0,1,50,36-50,2296,0,0,1,0,0,0,1,0,0,2259,42553</v>
      </c>
    </row>
    <row r="6" spans="1:40" ht="13" x14ac:dyDescent="0.15">
      <c r="A6">
        <v>15</v>
      </c>
      <c r="B6" s="1">
        <v>75759</v>
      </c>
      <c r="C6" s="1">
        <v>2304</v>
      </c>
      <c r="D6" s="4">
        <f t="shared" si="0"/>
        <v>3.0412228250108898E-2</v>
      </c>
      <c r="E6" s="1">
        <v>0</v>
      </c>
      <c r="F6" s="1">
        <v>0</v>
      </c>
      <c r="G6" s="1">
        <v>46</v>
      </c>
      <c r="H6" s="1">
        <v>1394</v>
      </c>
      <c r="I6" s="1">
        <v>22</v>
      </c>
      <c r="J6" s="1">
        <v>708</v>
      </c>
      <c r="K6" s="1">
        <v>89</v>
      </c>
      <c r="L6" s="1">
        <v>91</v>
      </c>
      <c r="M6" s="1">
        <v>182</v>
      </c>
      <c r="N6" s="1">
        <v>1</v>
      </c>
      <c r="O6" s="1">
        <v>9</v>
      </c>
      <c r="P6" s="1">
        <v>7</v>
      </c>
      <c r="Q6" s="1">
        <v>9</v>
      </c>
      <c r="R6" s="1">
        <v>5</v>
      </c>
      <c r="S6" s="1">
        <v>1</v>
      </c>
      <c r="T6" s="1">
        <v>0</v>
      </c>
      <c r="U6" s="1">
        <v>1</v>
      </c>
      <c r="V6" s="1">
        <v>0</v>
      </c>
      <c r="W6" s="1">
        <v>1</v>
      </c>
      <c r="X6" s="1">
        <v>0</v>
      </c>
      <c r="Y6" s="1">
        <v>1</v>
      </c>
      <c r="Z6" s="1">
        <v>51</v>
      </c>
      <c r="AA6" s="1" t="str" cm="1">
        <f t="array" ref="AA6">_xlfn.IFS(AND(Z6&lt;36, Z6&gt;23), "24-35", AND(Z6&lt;51, Z6&gt;35),"36-50", AND(Z6&lt;66, Z6&gt;50), "51-66", Z6&gt;65, "66+", TRUE, "?")</f>
        <v>51-66</v>
      </c>
      <c r="AB6" s="1">
        <v>2406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2122</v>
      </c>
      <c r="AM6" s="2">
        <v>42443</v>
      </c>
      <c r="AN6" t="str">
        <f t="shared" si="1"/>
        <v>75759,2304,0.0304122282501089,0,0,46,1394,22,708,89,91,182,1,9,7,9,5,1,0,1,0,1,0,1,51,51-66,2406,0,1,0,0,0,0,1,0,0,2122,42443</v>
      </c>
    </row>
    <row r="7" spans="1:40" ht="13" hidden="1" x14ac:dyDescent="0.15">
      <c r="A7">
        <v>988</v>
      </c>
      <c r="B7" s="1">
        <v>69098</v>
      </c>
      <c r="C7" s="1">
        <v>2262</v>
      </c>
      <c r="D7" s="4">
        <f t="shared" si="0"/>
        <v>3.2736113925149787E-2</v>
      </c>
      <c r="E7" s="1">
        <v>0</v>
      </c>
      <c r="F7" s="1">
        <v>0</v>
      </c>
      <c r="G7" s="1">
        <v>82</v>
      </c>
      <c r="H7" s="1">
        <v>1315</v>
      </c>
      <c r="I7" s="1">
        <v>22</v>
      </c>
      <c r="J7" s="1">
        <v>780</v>
      </c>
      <c r="K7" s="1">
        <v>145</v>
      </c>
      <c r="L7" s="1">
        <v>0</v>
      </c>
      <c r="M7" s="1">
        <v>178</v>
      </c>
      <c r="N7" s="1">
        <v>1</v>
      </c>
      <c r="O7" s="1">
        <v>7</v>
      </c>
      <c r="P7" s="1">
        <v>8</v>
      </c>
      <c r="Q7" s="1">
        <v>9</v>
      </c>
      <c r="R7" s="1">
        <v>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71</v>
      </c>
      <c r="AA7" s="1" t="str" cm="1">
        <f t="array" ref="AA7">_xlfn.IFS(AND(Z7&lt;36, Z7&gt;23), "24-35", AND(Z7&lt;51, Z7&gt;35),"36-50", AND(Z7&lt;66, Z7&gt;50), "51-66", Z7&gt;65, "66+", TRUE, "?")</f>
        <v>66+</v>
      </c>
      <c r="AB7" s="1">
        <v>2657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2084</v>
      </c>
      <c r="AM7" s="2">
        <v>42192</v>
      </c>
      <c r="AN7" t="str">
        <f t="shared" si="1"/>
        <v>69098,2262,0.0327361139251498,0,0,82,1315,22,780,145,0,178,1,7,8,9,5,0,0,0,0,0,0,0,71,66+,2657,0,1,0,0,0,0,0,0,1,2084,42192</v>
      </c>
    </row>
    <row r="8" spans="1:40" ht="13" hidden="1" x14ac:dyDescent="0.15">
      <c r="A8">
        <v>1473</v>
      </c>
      <c r="B8" s="1">
        <v>90226</v>
      </c>
      <c r="C8" s="1">
        <v>2244</v>
      </c>
      <c r="D8" s="4">
        <f t="shared" si="0"/>
        <v>2.4870879790747678E-2</v>
      </c>
      <c r="E8" s="1">
        <v>0</v>
      </c>
      <c r="F8" s="1">
        <v>0</v>
      </c>
      <c r="G8" s="1">
        <v>26</v>
      </c>
      <c r="H8" s="1">
        <v>1083</v>
      </c>
      <c r="I8" s="1">
        <v>108</v>
      </c>
      <c r="J8" s="1">
        <v>649</v>
      </c>
      <c r="K8" s="1">
        <v>253</v>
      </c>
      <c r="L8" s="1">
        <v>151</v>
      </c>
      <c r="M8" s="1">
        <v>108</v>
      </c>
      <c r="N8" s="1">
        <v>1</v>
      </c>
      <c r="O8" s="1">
        <v>4</v>
      </c>
      <c r="P8" s="1">
        <v>7</v>
      </c>
      <c r="Q8" s="1">
        <v>12</v>
      </c>
      <c r="R8" s="1">
        <v>2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64</v>
      </c>
      <c r="AA8" s="1" t="str" cm="1">
        <f t="array" ref="AA8">_xlfn.IFS(AND(Z8&lt;36, Z8&gt;23), "24-35", AND(Z8&lt;51, Z8&gt;35),"36-50", AND(Z8&lt;66, Z8&gt;50), "51-66", Z8&gt;65, "66+", TRUE, "?")</f>
        <v>51-66</v>
      </c>
      <c r="AB8" s="1">
        <v>2800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</v>
      </c>
      <c r="AK8" s="1">
        <v>0</v>
      </c>
      <c r="AL8" s="1">
        <v>2136</v>
      </c>
      <c r="AM8" s="2">
        <v>42049</v>
      </c>
      <c r="AN8" t="str">
        <f t="shared" si="1"/>
        <v>90226,2244,0.0248708797907477,0,0,26,1083,108,649,253,151,108,1,4,7,12,2,1,0,0,0,0,0,0,64,51-66,2800,0,1,0,0,0,0,0,1,0,2136,42049</v>
      </c>
    </row>
    <row r="9" spans="1:40" ht="13" hidden="1" x14ac:dyDescent="0.15">
      <c r="A9">
        <v>1602</v>
      </c>
      <c r="B9" s="1">
        <v>80360</v>
      </c>
      <c r="C9" s="1">
        <v>2188</v>
      </c>
      <c r="D9" s="4">
        <f t="shared" si="0"/>
        <v>2.7227476356396219E-2</v>
      </c>
      <c r="E9" s="1">
        <v>0</v>
      </c>
      <c r="F9" s="1">
        <v>0</v>
      </c>
      <c r="G9" s="1">
        <v>56</v>
      </c>
      <c r="H9" s="1">
        <v>1493</v>
      </c>
      <c r="I9" s="1">
        <v>86</v>
      </c>
      <c r="J9" s="1">
        <v>454</v>
      </c>
      <c r="K9" s="1">
        <v>112</v>
      </c>
      <c r="L9" s="1">
        <v>43</v>
      </c>
      <c r="M9" s="1">
        <v>43</v>
      </c>
      <c r="N9" s="1">
        <v>2</v>
      </c>
      <c r="O9" s="1">
        <v>4</v>
      </c>
      <c r="P9" s="1">
        <v>4</v>
      </c>
      <c r="Q9" s="1">
        <v>5</v>
      </c>
      <c r="R9" s="1">
        <v>2</v>
      </c>
      <c r="S9" s="1">
        <v>1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71</v>
      </c>
      <c r="AA9" s="1" t="str" cm="1">
        <f t="array" ref="AA9">_xlfn.IFS(AND(Z9&lt;36, Z9&gt;23), "24-35", AND(Z9&lt;51, Z9&gt;35),"36-50", AND(Z9&lt;66, Z9&gt;50), "51-66", Z9&gt;65, "66+", TRUE, "?")</f>
        <v>66+</v>
      </c>
      <c r="AB9" s="1">
        <v>2642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2145</v>
      </c>
      <c r="AM9" s="2">
        <v>42207</v>
      </c>
      <c r="AN9" t="str">
        <f t="shared" si="1"/>
        <v>80360,2188,0.0272274763563962,0,0,56,1493,86,454,112,43,43,2,4,4,5,2,1,0,0,1,1,0,0,71,66+,2642,0,1,0,0,0,0,0,0,1,2145,42207</v>
      </c>
    </row>
    <row r="10" spans="1:40" ht="13" x14ac:dyDescent="0.15">
      <c r="A10">
        <v>38</v>
      </c>
      <c r="B10" s="1">
        <v>91712</v>
      </c>
      <c r="C10" s="1">
        <v>2169</v>
      </c>
      <c r="D10" s="4">
        <f t="shared" si="0"/>
        <v>2.3650122121423586E-2</v>
      </c>
      <c r="E10" s="1">
        <v>0</v>
      </c>
      <c r="F10" s="1">
        <v>0</v>
      </c>
      <c r="G10" s="1">
        <v>47</v>
      </c>
      <c r="H10" s="1">
        <v>1276</v>
      </c>
      <c r="I10" s="1">
        <v>24</v>
      </c>
      <c r="J10" s="1">
        <v>746</v>
      </c>
      <c r="K10" s="1">
        <v>94</v>
      </c>
      <c r="L10" s="1">
        <v>29</v>
      </c>
      <c r="M10" s="1">
        <v>48</v>
      </c>
      <c r="N10" s="1">
        <v>0</v>
      </c>
      <c r="O10" s="1">
        <v>9</v>
      </c>
      <c r="P10" s="1">
        <v>7</v>
      </c>
      <c r="Q10" s="1">
        <v>11</v>
      </c>
      <c r="R10" s="1">
        <v>3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1">
        <v>73</v>
      </c>
      <c r="AA10" s="1" t="str" cm="1">
        <f t="array" ref="AA10">_xlfn.IFS(AND(Z10&lt;36, Z10&gt;23), "24-35", AND(Z10&lt;51, Z10&gt;35),"36-50", AND(Z10&lt;66, Z10&gt;50), "51-66", Z10&gt;65, "66+", TRUE, "?")</f>
        <v>66+</v>
      </c>
      <c r="AB10" s="1">
        <v>2414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>
        <v>2121</v>
      </c>
      <c r="AM10" s="2">
        <v>42435</v>
      </c>
      <c r="AN10" t="str">
        <f t="shared" si="1"/>
        <v>91712,2169,0.0236501221214236,0,0,47,1276,24,746,94,29,48,0,9,7,11,3,0,0,0,0,1,0,1,73,66+,2414,0,0,1,0,0,0,0,1,0,2121,42435</v>
      </c>
    </row>
    <row r="11" spans="1:40" ht="13" x14ac:dyDescent="0.15">
      <c r="A11">
        <v>44</v>
      </c>
      <c r="B11" s="1">
        <v>75825</v>
      </c>
      <c r="C11" s="1">
        <v>2158</v>
      </c>
      <c r="D11" s="4">
        <f t="shared" si="0"/>
        <v>2.846027035938015E-2</v>
      </c>
      <c r="E11" s="1">
        <v>0</v>
      </c>
      <c r="F11" s="1">
        <v>0</v>
      </c>
      <c r="G11" s="1">
        <v>40</v>
      </c>
      <c r="H11" s="1">
        <v>1032</v>
      </c>
      <c r="I11" s="1">
        <v>105</v>
      </c>
      <c r="J11" s="1">
        <v>779</v>
      </c>
      <c r="K11" s="1">
        <v>137</v>
      </c>
      <c r="L11" s="1">
        <v>105</v>
      </c>
      <c r="M11" s="1">
        <v>51</v>
      </c>
      <c r="N11" s="1">
        <v>0</v>
      </c>
      <c r="O11" s="1">
        <v>5</v>
      </c>
      <c r="P11" s="1">
        <v>8</v>
      </c>
      <c r="Q11" s="1">
        <v>9</v>
      </c>
      <c r="R11" s="1">
        <v>4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1</v>
      </c>
      <c r="Z11" s="1">
        <v>44</v>
      </c>
      <c r="AA11" s="1" t="str" cm="1">
        <f t="array" ref="AA11">_xlfn.IFS(AND(Z11&lt;36, Z11&gt;23), "24-35", AND(Z11&lt;51, Z11&gt;35),"36-50", AND(Z11&lt;66, Z11&gt;50), "51-66", Z11&gt;65, "66+", TRUE, "?")</f>
        <v>36-50</v>
      </c>
      <c r="AB11" s="1">
        <v>2784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2107</v>
      </c>
      <c r="AM11" s="2">
        <v>42065</v>
      </c>
      <c r="AN11" t="str">
        <f t="shared" si="1"/>
        <v>75825,2158,0.0284602703593801,0,0,40,1032,105,779,137,105,51,0,5,8,9,4,0,0,1,0,0,0,1,44,36-50,2784,0,0,1,0,0,0,1,0,0,2107,42065</v>
      </c>
    </row>
    <row r="12" spans="1:40" ht="13" hidden="1" x14ac:dyDescent="0.15">
      <c r="A12">
        <v>1340</v>
      </c>
      <c r="B12" s="1">
        <v>82657</v>
      </c>
      <c r="C12" s="1">
        <v>2157</v>
      </c>
      <c r="D12" s="4">
        <f t="shared" si="0"/>
        <v>2.6095793459719081E-2</v>
      </c>
      <c r="E12" s="1">
        <v>0</v>
      </c>
      <c r="F12" s="1">
        <v>0</v>
      </c>
      <c r="G12" s="1">
        <v>71</v>
      </c>
      <c r="H12" s="1">
        <v>966</v>
      </c>
      <c r="I12" s="1">
        <v>168</v>
      </c>
      <c r="J12" s="1">
        <v>672</v>
      </c>
      <c r="K12" s="1">
        <v>246</v>
      </c>
      <c r="L12" s="1">
        <v>105</v>
      </c>
      <c r="M12" s="1">
        <v>126</v>
      </c>
      <c r="N12" s="1">
        <v>1</v>
      </c>
      <c r="O12" s="1">
        <v>7</v>
      </c>
      <c r="P12" s="1">
        <v>5</v>
      </c>
      <c r="Q12" s="1">
        <v>10</v>
      </c>
      <c r="R12" s="1">
        <v>4</v>
      </c>
      <c r="S12" s="1">
        <v>1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0</v>
      </c>
      <c r="Z12" s="1">
        <v>74</v>
      </c>
      <c r="AA12" s="1" t="str" cm="1">
        <f t="array" ref="AA12">_xlfn.IFS(AND(Z12&lt;36, Z12&gt;23), "24-35", AND(Z12&lt;51, Z12&gt;35),"36-50", AND(Z12&lt;66, Z12&gt;50), "51-66", Z12&gt;65, "66+", TRUE, "?")</f>
        <v>66+</v>
      </c>
      <c r="AB12" s="1">
        <v>2434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  <c r="AL12" s="1">
        <v>2031</v>
      </c>
      <c r="AM12" s="2">
        <v>42415</v>
      </c>
      <c r="AN12" t="str">
        <f t="shared" si="1"/>
        <v>82657,2157,0.0260957934597191,0,0,71,966,168,672,246,105,126,1,7,5,10,4,1,0,0,1,0,0,0,74,66+,2434,0,0,0,1,0,0,1,0,0,2031,42415</v>
      </c>
    </row>
    <row r="13" spans="1:40" ht="13" hidden="1" x14ac:dyDescent="0.15">
      <c r="A13">
        <v>1181</v>
      </c>
      <c r="B13" s="1">
        <v>76653</v>
      </c>
      <c r="C13" s="1">
        <v>2153</v>
      </c>
      <c r="D13" s="4">
        <f t="shared" si="0"/>
        <v>2.808761561843633E-2</v>
      </c>
      <c r="E13" s="1">
        <v>0</v>
      </c>
      <c r="F13" s="1">
        <v>0</v>
      </c>
      <c r="G13" s="1">
        <v>91</v>
      </c>
      <c r="H13" s="1">
        <v>736</v>
      </c>
      <c r="I13" s="1">
        <v>63</v>
      </c>
      <c r="J13" s="1">
        <v>946</v>
      </c>
      <c r="K13" s="1">
        <v>219</v>
      </c>
      <c r="L13" s="1">
        <v>189</v>
      </c>
      <c r="M13" s="1">
        <v>126</v>
      </c>
      <c r="N13" s="1">
        <v>1</v>
      </c>
      <c r="O13" s="1">
        <v>4</v>
      </c>
      <c r="P13" s="1">
        <v>7</v>
      </c>
      <c r="Q13" s="1">
        <v>11</v>
      </c>
      <c r="R13" s="1">
        <v>2</v>
      </c>
      <c r="S13" s="1">
        <v>1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51</v>
      </c>
      <c r="AA13" s="1" t="str" cm="1">
        <f t="array" ref="AA13">_xlfn.IFS(AND(Z13&lt;36, Z13&gt;23), "24-35", AND(Z13&lt;51, Z13&gt;35),"36-50", AND(Z13&lt;66, Z13&gt;50), "51-66", Z13&gt;65, "66+", TRUE, "?")</f>
        <v>51-66</v>
      </c>
      <c r="AB13" s="1">
        <v>2476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2027</v>
      </c>
      <c r="AM13" s="2">
        <v>42373</v>
      </c>
      <c r="AN13" t="str">
        <f t="shared" si="1"/>
        <v>76653,2153,0.0280876156184363,0,0,91,736,63,946,219,189,126,1,4,7,11,2,1,0,0,0,1,0,0,51,51-66,2476,0,0,0,1,0,0,1,0,0,2027,42373</v>
      </c>
    </row>
    <row r="14" spans="1:40" ht="13" x14ac:dyDescent="0.15">
      <c r="A14">
        <v>50</v>
      </c>
      <c r="B14" s="1">
        <v>83151</v>
      </c>
      <c r="C14" s="1">
        <v>2136</v>
      </c>
      <c r="D14" s="4">
        <f t="shared" si="0"/>
        <v>2.5688205794277882E-2</v>
      </c>
      <c r="E14" s="1">
        <v>0</v>
      </c>
      <c r="F14" s="1">
        <v>0</v>
      </c>
      <c r="G14" s="1">
        <v>80</v>
      </c>
      <c r="H14" s="1">
        <v>968</v>
      </c>
      <c r="I14" s="1">
        <v>147</v>
      </c>
      <c r="J14" s="1">
        <v>842</v>
      </c>
      <c r="K14" s="1">
        <v>137</v>
      </c>
      <c r="L14" s="1">
        <v>42</v>
      </c>
      <c r="M14" s="1">
        <v>210</v>
      </c>
      <c r="N14" s="1">
        <v>1</v>
      </c>
      <c r="O14" s="1">
        <v>5</v>
      </c>
      <c r="P14" s="1">
        <v>7</v>
      </c>
      <c r="Q14" s="1">
        <v>10</v>
      </c>
      <c r="R14" s="1">
        <v>2</v>
      </c>
      <c r="S14" s="1">
        <v>1</v>
      </c>
      <c r="T14" s="1">
        <v>0</v>
      </c>
      <c r="U14" s="1">
        <v>1</v>
      </c>
      <c r="V14" s="1">
        <v>0</v>
      </c>
      <c r="W14" s="1">
        <v>1</v>
      </c>
      <c r="X14" s="1">
        <v>0</v>
      </c>
      <c r="Y14" s="1">
        <v>1</v>
      </c>
      <c r="Z14" s="1">
        <v>48</v>
      </c>
      <c r="AA14" s="1" t="str" cm="1">
        <f t="array" ref="AA14">_xlfn.IFS(AND(Z14&lt;36, Z14&gt;23), "24-35", AND(Z14&lt;51, Z14&gt;35),"36-50", AND(Z14&lt;66, Z14&gt;50), "51-66", Z14&gt;65, "66+", TRUE, "?")</f>
        <v>36-50</v>
      </c>
      <c r="AB14" s="1">
        <v>2663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1926</v>
      </c>
      <c r="AM14" s="2">
        <v>42186</v>
      </c>
      <c r="AN14" t="str">
        <f t="shared" si="1"/>
        <v>83151,2136,0.0256882057942779,0,0,80,968,147,842,137,42,210,1,5,7,10,2,1,0,1,0,1,0,1,48,36-50,2663,0,1,0,0,0,0,0,1,0,1926,42186</v>
      </c>
    </row>
    <row r="15" spans="1:40" ht="13" x14ac:dyDescent="0.15">
      <c r="A15">
        <v>52</v>
      </c>
      <c r="B15" s="1">
        <v>94384</v>
      </c>
      <c r="C15" s="1">
        <v>2130</v>
      </c>
      <c r="D15" s="4">
        <f t="shared" si="0"/>
        <v>2.2567384302424141E-2</v>
      </c>
      <c r="E15" s="1">
        <v>0</v>
      </c>
      <c r="F15" s="1">
        <v>0</v>
      </c>
      <c r="G15" s="1">
        <v>62</v>
      </c>
      <c r="H15" s="1">
        <v>1111</v>
      </c>
      <c r="I15" s="1">
        <v>24</v>
      </c>
      <c r="J15" s="1">
        <v>790</v>
      </c>
      <c r="K15" s="1">
        <v>160</v>
      </c>
      <c r="L15" s="1">
        <v>45</v>
      </c>
      <c r="M15" s="1">
        <v>172</v>
      </c>
      <c r="N15" s="1">
        <v>0</v>
      </c>
      <c r="O15" s="1">
        <v>5</v>
      </c>
      <c r="P15" s="1">
        <v>8</v>
      </c>
      <c r="Q15" s="1">
        <v>5</v>
      </c>
      <c r="R15" s="1">
        <v>2</v>
      </c>
      <c r="S15" s="1">
        <v>1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1</v>
      </c>
      <c r="Z15" s="1">
        <v>67</v>
      </c>
      <c r="AA15" s="1" t="str" cm="1">
        <f t="array" ref="AA15">_xlfn.IFS(AND(Z15&lt;36, Z15&gt;23), "24-35", AND(Z15&lt;51, Z15&gt;35),"36-50", AND(Z15&lt;66, Z15&gt;50), "51-66", Z15&gt;65, "66+", TRUE, "?")</f>
        <v>66+</v>
      </c>
      <c r="AB15" s="1">
        <v>2641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1958</v>
      </c>
      <c r="AM15" s="2">
        <v>42208</v>
      </c>
      <c r="AN15" t="str">
        <f t="shared" si="1"/>
        <v>94384,2130,0.0225673843024241,0,0,62,1111,24,790,160,45,172,0,5,8,5,2,1,0,0,1,1,0,1,67,66+,2641,0,0,0,1,0,0,1,0,0,1958,42208</v>
      </c>
    </row>
    <row r="16" spans="1:40" ht="13" x14ac:dyDescent="0.15">
      <c r="A16">
        <v>55</v>
      </c>
      <c r="B16" s="1">
        <v>77632</v>
      </c>
      <c r="C16" s="1">
        <v>2105</v>
      </c>
      <c r="D16" s="4">
        <f t="shared" si="0"/>
        <v>2.7115107172300083E-2</v>
      </c>
      <c r="E16" s="1">
        <v>0</v>
      </c>
      <c r="F16" s="1">
        <v>0</v>
      </c>
      <c r="G16" s="1">
        <v>73</v>
      </c>
      <c r="H16" s="1">
        <v>1200</v>
      </c>
      <c r="I16" s="1">
        <v>105</v>
      </c>
      <c r="J16" s="1">
        <v>758</v>
      </c>
      <c r="K16" s="1">
        <v>0</v>
      </c>
      <c r="L16" s="1">
        <v>42</v>
      </c>
      <c r="M16" s="1">
        <v>147</v>
      </c>
      <c r="N16" s="1">
        <v>1</v>
      </c>
      <c r="O16" s="1">
        <v>4</v>
      </c>
      <c r="P16" s="1">
        <v>2</v>
      </c>
      <c r="Q16" s="1">
        <v>6</v>
      </c>
      <c r="R16" s="1">
        <v>2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1</v>
      </c>
      <c r="Z16" s="1">
        <v>73</v>
      </c>
      <c r="AA16" s="1" t="str" cm="1">
        <f t="array" ref="AA16">_xlfn.IFS(AND(Z16&lt;36, Z16&gt;23), "24-35", AND(Z16&lt;51, Z16&gt;35),"36-50", AND(Z16&lt;66, Z16&gt;50), "51-66", Z16&gt;65, "66+", TRUE, "?")</f>
        <v>66+</v>
      </c>
      <c r="AB16" s="1">
        <v>2635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1958</v>
      </c>
      <c r="AM16" s="2">
        <v>42214</v>
      </c>
      <c r="AN16" t="str">
        <f t="shared" si="1"/>
        <v>77632,2105,0.0271151071723001,0,0,73,1200,105,758,0,42,147,1,4,2,6,2,0,0,0,1,1,0,1,73,66+,2635,0,0,0,1,0,0,0,1,0,1958,42214</v>
      </c>
    </row>
    <row r="17" spans="1:40" ht="13" hidden="1" x14ac:dyDescent="0.15">
      <c r="A17">
        <v>396</v>
      </c>
      <c r="B17" s="1">
        <v>93027</v>
      </c>
      <c r="C17" s="1">
        <v>2098</v>
      </c>
      <c r="D17" s="4">
        <f t="shared" si="0"/>
        <v>2.255259225816161E-2</v>
      </c>
      <c r="E17" s="1">
        <v>0</v>
      </c>
      <c r="F17" s="1">
        <v>0</v>
      </c>
      <c r="G17" s="1">
        <v>77</v>
      </c>
      <c r="H17" s="1">
        <v>1285</v>
      </c>
      <c r="I17" s="1">
        <v>42</v>
      </c>
      <c r="J17" s="1">
        <v>716</v>
      </c>
      <c r="K17" s="1">
        <v>55</v>
      </c>
      <c r="L17" s="1">
        <v>0</v>
      </c>
      <c r="M17" s="1">
        <v>21</v>
      </c>
      <c r="N17" s="1">
        <v>0</v>
      </c>
      <c r="O17" s="1">
        <v>7</v>
      </c>
      <c r="P17" s="1">
        <v>10</v>
      </c>
      <c r="Q17" s="1">
        <v>5</v>
      </c>
      <c r="R17" s="1">
        <v>2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79</v>
      </c>
      <c r="AA17" s="1" t="str" cm="1">
        <f t="array" ref="AA17">_xlfn.IFS(AND(Z17&lt;36, Z17&gt;23), "24-35", AND(Z17&lt;51, Z17&gt;35),"36-50", AND(Z17&lt;66, Z17&gt;50), "51-66", Z17&gt;65, "66+", TRUE, "?")</f>
        <v>66+</v>
      </c>
      <c r="AB17" s="1">
        <v>2601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2077</v>
      </c>
      <c r="AM17" s="2">
        <v>42248</v>
      </c>
      <c r="AN17" t="str">
        <f t="shared" si="1"/>
        <v>93027,2098,0.0225525922581616,0,0,77,1285,42,716,55,0,21,0,7,10,5,2,0,0,0,0,1,0,0,79,66+,2601,0,1,0,0,0,0,0,0,1,2077,42248</v>
      </c>
    </row>
    <row r="18" spans="1:40" ht="13" x14ac:dyDescent="0.15">
      <c r="A18">
        <v>60</v>
      </c>
      <c r="B18" s="1">
        <v>72335</v>
      </c>
      <c r="C18" s="1">
        <v>2092</v>
      </c>
      <c r="D18" s="4">
        <f t="shared" si="0"/>
        <v>2.8920992603857054E-2</v>
      </c>
      <c r="E18" s="1">
        <v>0</v>
      </c>
      <c r="F18" s="1">
        <v>0</v>
      </c>
      <c r="G18" s="1">
        <v>2</v>
      </c>
      <c r="H18" s="1">
        <v>1285</v>
      </c>
      <c r="I18" s="1">
        <v>105</v>
      </c>
      <c r="J18" s="1">
        <v>653</v>
      </c>
      <c r="K18" s="1">
        <v>28</v>
      </c>
      <c r="L18" s="1">
        <v>21</v>
      </c>
      <c r="M18" s="1">
        <v>0</v>
      </c>
      <c r="N18" s="1">
        <v>1</v>
      </c>
      <c r="O18" s="1">
        <v>10</v>
      </c>
      <c r="P18" s="1">
        <v>4</v>
      </c>
      <c r="Q18" s="1">
        <v>8</v>
      </c>
      <c r="R18" s="1">
        <v>8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44</v>
      </c>
      <c r="AA18" s="1" t="str" cm="1">
        <f t="array" ref="AA18">_xlfn.IFS(AND(Z18&lt;36, Z18&gt;23), "24-35", AND(Z18&lt;51, Z18&gt;35),"36-50", AND(Z18&lt;66, Z18&gt;50), "51-66", Z18&gt;65, "66+", TRUE, "?")</f>
        <v>36-50</v>
      </c>
      <c r="AB18" s="1">
        <v>2844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2092</v>
      </c>
      <c r="AM18" s="2">
        <v>42005</v>
      </c>
      <c r="AN18" t="str">
        <f t="shared" si="1"/>
        <v>72335,2092,0.0289209926038571,0,0,2,1285,105,653,28,21,0,1,10,4,8,8,0,0,0,0,0,0,1,44,36-50,2844,0,0,0,1,0,0,0,0,1,2092,42005</v>
      </c>
    </row>
    <row r="19" spans="1:40" ht="13" hidden="1" x14ac:dyDescent="0.15">
      <c r="A19">
        <v>335</v>
      </c>
      <c r="B19" s="1">
        <v>78618</v>
      </c>
      <c r="C19" s="1">
        <v>2092</v>
      </c>
      <c r="D19" s="4">
        <f t="shared" si="0"/>
        <v>2.6609682261059808E-2</v>
      </c>
      <c r="E19" s="1">
        <v>0</v>
      </c>
      <c r="F19" s="1">
        <v>0</v>
      </c>
      <c r="G19" s="1">
        <v>87</v>
      </c>
      <c r="H19" s="1">
        <v>736</v>
      </c>
      <c r="I19" s="1">
        <v>163</v>
      </c>
      <c r="J19" s="1">
        <v>818</v>
      </c>
      <c r="K19" s="1">
        <v>212</v>
      </c>
      <c r="L19" s="1">
        <v>163</v>
      </c>
      <c r="M19" s="1">
        <v>61</v>
      </c>
      <c r="N19" s="1">
        <v>1</v>
      </c>
      <c r="O19" s="1">
        <v>4</v>
      </c>
      <c r="P19" s="1">
        <v>7</v>
      </c>
      <c r="Q19" s="1">
        <v>10</v>
      </c>
      <c r="R19" s="1">
        <v>2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63</v>
      </c>
      <c r="AA19" s="1" t="str" cm="1">
        <f t="array" ref="AA19">_xlfn.IFS(AND(Z19&lt;36, Z19&gt;23), "24-35", AND(Z19&lt;51, Z19&gt;35),"36-50", AND(Z19&lt;66, Z19&gt;50), "51-66", Z19&gt;65, "66+", TRUE, "?")</f>
        <v>51-66</v>
      </c>
      <c r="AB19" s="1">
        <v>2798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2031</v>
      </c>
      <c r="AM19" s="2">
        <v>42051</v>
      </c>
      <c r="AN19" t="str">
        <f t="shared" si="1"/>
        <v>78618,2092,0.0266096822610598,0,0,87,736,163,818,212,163,61,1,4,7,10,2,0,0,0,1,0,0,0,63,51-66,2798,0,1,0,0,0,0,1,0,0,2031,42051</v>
      </c>
    </row>
    <row r="20" spans="1:40" ht="13" x14ac:dyDescent="0.15">
      <c r="A20">
        <v>62</v>
      </c>
      <c r="B20" s="1">
        <v>86857</v>
      </c>
      <c r="C20" s="1">
        <v>2074</v>
      </c>
      <c r="D20" s="4">
        <f t="shared" si="0"/>
        <v>2.387832874725123E-2</v>
      </c>
      <c r="E20" s="1">
        <v>0</v>
      </c>
      <c r="F20" s="1">
        <v>0</v>
      </c>
      <c r="G20" s="1">
        <v>96</v>
      </c>
      <c r="H20" s="1">
        <v>899</v>
      </c>
      <c r="I20" s="1">
        <v>102</v>
      </c>
      <c r="J20" s="1">
        <v>838</v>
      </c>
      <c r="K20" s="1">
        <v>133</v>
      </c>
      <c r="L20" s="1">
        <v>102</v>
      </c>
      <c r="M20" s="1">
        <v>40</v>
      </c>
      <c r="N20" s="1">
        <v>1</v>
      </c>
      <c r="O20" s="1">
        <v>5</v>
      </c>
      <c r="P20" s="1">
        <v>6</v>
      </c>
      <c r="Q20" s="1">
        <v>10</v>
      </c>
      <c r="R20" s="1">
        <v>2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48</v>
      </c>
      <c r="AA20" s="1" t="str" cm="1">
        <f t="array" ref="AA20">_xlfn.IFS(AND(Z20&lt;36, Z20&gt;23), "24-35", AND(Z20&lt;51, Z20&gt;35),"36-50", AND(Z20&lt;66, Z20&gt;50), "51-66", Z20&gt;65, "66+", TRUE, "?")</f>
        <v>36-50</v>
      </c>
      <c r="AB20" s="1">
        <v>2814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</v>
      </c>
      <c r="AL20" s="1">
        <v>2034</v>
      </c>
      <c r="AM20" s="2">
        <v>42035</v>
      </c>
      <c r="AN20" t="str">
        <f t="shared" si="1"/>
        <v>86857,2074,0.0238783287472512,0,0,96,899,102,838,133,102,40,1,5,6,10,2,0,0,0,0,0,0,1,48,36-50,2814,0,0,1,0,0,0,0,0,1,2034,42035</v>
      </c>
    </row>
    <row r="21" spans="1:40" ht="13" x14ac:dyDescent="0.15">
      <c r="A21">
        <v>70</v>
      </c>
      <c r="B21" s="1">
        <v>82326</v>
      </c>
      <c r="C21" s="1">
        <v>2074</v>
      </c>
      <c r="D21" s="4">
        <f t="shared" si="0"/>
        <v>2.5192527269635352E-2</v>
      </c>
      <c r="E21" s="1">
        <v>0</v>
      </c>
      <c r="F21" s="1">
        <v>0</v>
      </c>
      <c r="G21" s="1">
        <v>30</v>
      </c>
      <c r="H21" s="1">
        <v>938</v>
      </c>
      <c r="I21" s="1">
        <v>142</v>
      </c>
      <c r="J21" s="1">
        <v>754</v>
      </c>
      <c r="K21" s="1">
        <v>159</v>
      </c>
      <c r="L21" s="1">
        <v>81</v>
      </c>
      <c r="M21" s="1">
        <v>183</v>
      </c>
      <c r="N21" s="1">
        <v>1</v>
      </c>
      <c r="O21" s="1">
        <v>5</v>
      </c>
      <c r="P21" s="1">
        <v>10</v>
      </c>
      <c r="Q21" s="1">
        <v>6</v>
      </c>
      <c r="R21" s="1">
        <v>2</v>
      </c>
      <c r="S21" s="1">
        <v>1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1</v>
      </c>
      <c r="Z21" s="1">
        <v>43</v>
      </c>
      <c r="AA21" s="1" t="str" cm="1">
        <f t="array" ref="AA21">_xlfn.IFS(AND(Z21&lt;36, Z21&gt;23), "24-35", AND(Z21&lt;51, Z21&gt;35),"36-50", AND(Z21&lt;66, Z21&gt;50), "51-66", Z21&gt;65, "66+", TRUE, "?")</f>
        <v>36-50</v>
      </c>
      <c r="AB21" s="1">
        <v>2270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1</v>
      </c>
      <c r="AI21" s="1">
        <v>0</v>
      </c>
      <c r="AJ21" s="1">
        <v>0</v>
      </c>
      <c r="AK21" s="1">
        <v>0</v>
      </c>
      <c r="AL21" s="1">
        <v>1891</v>
      </c>
      <c r="AM21" s="2">
        <v>42579</v>
      </c>
      <c r="AN21" t="str">
        <f t="shared" si="1"/>
        <v>82326,2074,0.0251925272696354,0,0,30,938,142,754,159,81,183,1,5,10,6,2,1,0,0,1,1,0,1,43,36-50,2270,0,0,0,1,0,1,0,0,0,1891,42579</v>
      </c>
    </row>
    <row r="22" spans="1:40" ht="13" hidden="1" x14ac:dyDescent="0.15">
      <c r="A22">
        <v>221</v>
      </c>
      <c r="B22" s="1">
        <v>73455</v>
      </c>
      <c r="C22" s="1">
        <v>2068</v>
      </c>
      <c r="D22" s="4">
        <f t="shared" si="0"/>
        <v>2.8153291130624192E-2</v>
      </c>
      <c r="E22" s="1">
        <v>0</v>
      </c>
      <c r="F22" s="1">
        <v>0</v>
      </c>
      <c r="G22" s="1">
        <v>98</v>
      </c>
      <c r="H22" s="1">
        <v>901</v>
      </c>
      <c r="I22" s="1">
        <v>61</v>
      </c>
      <c r="J22" s="1">
        <v>757</v>
      </c>
      <c r="K22" s="1">
        <v>186</v>
      </c>
      <c r="L22" s="1">
        <v>163</v>
      </c>
      <c r="M22" s="1">
        <v>20</v>
      </c>
      <c r="N22" s="1">
        <v>1</v>
      </c>
      <c r="O22" s="1">
        <v>6</v>
      </c>
      <c r="P22" s="1">
        <v>5</v>
      </c>
      <c r="Q22" s="1">
        <v>10</v>
      </c>
      <c r="R22" s="1">
        <v>3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52</v>
      </c>
      <c r="AA22" s="1" t="str" cm="1">
        <f t="array" ref="AA22">_xlfn.IFS(AND(Z22&lt;36, Z22&gt;23), "24-35", AND(Z22&lt;51, Z22&gt;35),"36-50", AND(Z22&lt;66, Z22&gt;50), "51-66", Z22&gt;65, "66+", TRUE, "?")</f>
        <v>51-66</v>
      </c>
      <c r="AB22" s="1">
        <v>2403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2048</v>
      </c>
      <c r="AM22" s="2">
        <v>42446</v>
      </c>
      <c r="AN22" t="str">
        <f t="shared" si="1"/>
        <v>73455,2068,0.0281532911306242,0,0,98,901,61,757,186,163,20,1,6,5,10,3,0,0,0,1,0,0,0,52,51-66,2403,0,0,0,0,1,0,1,0,0,2048,42446</v>
      </c>
    </row>
    <row r="23" spans="1:40" ht="13" hidden="1" x14ac:dyDescent="0.15">
      <c r="A23">
        <v>1805</v>
      </c>
      <c r="B23" s="1">
        <v>94642</v>
      </c>
      <c r="C23" s="1">
        <v>2068</v>
      </c>
      <c r="D23" s="4">
        <f t="shared" si="0"/>
        <v>2.1850763931446925E-2</v>
      </c>
      <c r="E23" s="1">
        <v>0</v>
      </c>
      <c r="F23" s="1">
        <v>0</v>
      </c>
      <c r="G23" s="1">
        <v>35</v>
      </c>
      <c r="H23" s="1">
        <v>879</v>
      </c>
      <c r="I23" s="1">
        <v>143</v>
      </c>
      <c r="J23" s="1">
        <v>797</v>
      </c>
      <c r="K23" s="1">
        <v>106</v>
      </c>
      <c r="L23" s="1">
        <v>143</v>
      </c>
      <c r="M23" s="1">
        <v>143</v>
      </c>
      <c r="N23" s="1">
        <v>0</v>
      </c>
      <c r="O23" s="1">
        <v>5</v>
      </c>
      <c r="P23" s="1">
        <v>7</v>
      </c>
      <c r="Q23" s="1">
        <v>9</v>
      </c>
      <c r="R23" s="1">
        <v>1</v>
      </c>
      <c r="S23" s="1">
        <v>1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69</v>
      </c>
      <c r="AA23" s="1" t="str" cm="1">
        <f t="array" ref="AA23">_xlfn.IFS(AND(Z23&lt;36, Z23&gt;23), "24-35", AND(Z23&lt;51, Z23&gt;35),"36-50", AND(Z23&lt;66, Z23&gt;50), "51-66", Z23&gt;65, "66+", TRUE, "?")</f>
        <v>66+</v>
      </c>
      <c r="AB23" s="1">
        <v>2296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1925</v>
      </c>
      <c r="AM23" s="2">
        <v>42553</v>
      </c>
      <c r="AN23" t="str">
        <f t="shared" si="1"/>
        <v>94642,2068,0.0218507639314469,0,0,35,879,143,797,106,143,143,0,5,7,9,1,1,0,0,0,1,0,0,69,66+,2296,0,1,0,0,0,0,1,0,0,1925,42553</v>
      </c>
    </row>
    <row r="24" spans="1:40" ht="13" x14ac:dyDescent="0.15">
      <c r="A24">
        <v>72</v>
      </c>
      <c r="B24" s="1">
        <v>92163</v>
      </c>
      <c r="C24" s="1">
        <v>2066</v>
      </c>
      <c r="D24" s="4">
        <f t="shared" si="0"/>
        <v>2.2416805008517518E-2</v>
      </c>
      <c r="E24" s="1">
        <v>0</v>
      </c>
      <c r="F24" s="1">
        <v>0</v>
      </c>
      <c r="G24" s="1">
        <v>25</v>
      </c>
      <c r="H24" s="1">
        <v>817</v>
      </c>
      <c r="I24" s="1">
        <v>183</v>
      </c>
      <c r="J24" s="1">
        <v>797</v>
      </c>
      <c r="K24" s="1">
        <v>106</v>
      </c>
      <c r="L24" s="1">
        <v>163</v>
      </c>
      <c r="M24" s="1">
        <v>20</v>
      </c>
      <c r="N24" s="1">
        <v>0</v>
      </c>
      <c r="O24" s="1">
        <v>5</v>
      </c>
      <c r="P24" s="1">
        <v>11</v>
      </c>
      <c r="Q24" s="1">
        <v>5</v>
      </c>
      <c r="R24" s="1">
        <v>2</v>
      </c>
      <c r="S24" s="1">
        <v>1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1</v>
      </c>
      <c r="Z24" s="1">
        <v>45</v>
      </c>
      <c r="AA24" s="1" t="str" cm="1">
        <f t="array" ref="AA24">_xlfn.IFS(AND(Z24&lt;36, Z24&gt;23), "24-35", AND(Z24&lt;51, Z24&gt;35),"36-50", AND(Z24&lt;66, Z24&gt;50), "51-66", Z24&gt;65, "66+", TRUE, "?")</f>
        <v>36-50</v>
      </c>
      <c r="AB24" s="1">
        <v>2723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0</v>
      </c>
      <c r="AL24" s="1">
        <v>2046</v>
      </c>
      <c r="AM24" s="2">
        <v>42126</v>
      </c>
      <c r="AN24" t="str">
        <f t="shared" si="1"/>
        <v>92163,2066,0.0224168050085175,0,0,25,817,183,797,106,163,20,0,5,11,5,2,1,0,0,0,1,0,1,45,36-50,2723,0,1,0,0,0,0,0,1,0,2046,42126</v>
      </c>
    </row>
    <row r="25" spans="1:40" ht="13" hidden="1" x14ac:dyDescent="0.15">
      <c r="A25">
        <v>484</v>
      </c>
      <c r="B25" s="1">
        <v>81169</v>
      </c>
      <c r="C25" s="1">
        <v>2062</v>
      </c>
      <c r="D25" s="4">
        <f t="shared" si="0"/>
        <v>2.5403787160122707E-2</v>
      </c>
      <c r="E25" s="1">
        <v>0</v>
      </c>
      <c r="F25" s="1">
        <v>0</v>
      </c>
      <c r="G25" s="1">
        <v>47</v>
      </c>
      <c r="H25" s="1">
        <v>1288</v>
      </c>
      <c r="I25" s="1">
        <v>20</v>
      </c>
      <c r="J25" s="1">
        <v>613</v>
      </c>
      <c r="K25" s="1">
        <v>80</v>
      </c>
      <c r="L25" s="1">
        <v>61</v>
      </c>
      <c r="M25" s="1">
        <v>27</v>
      </c>
      <c r="N25" s="1">
        <v>1</v>
      </c>
      <c r="O25" s="1">
        <v>5</v>
      </c>
      <c r="P25" s="1">
        <v>7</v>
      </c>
      <c r="Q25" s="1">
        <v>9</v>
      </c>
      <c r="R25" s="1">
        <v>2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45</v>
      </c>
      <c r="AA25" s="1" t="str" cm="1">
        <f t="array" ref="AA25">_xlfn.IFS(AND(Z25&lt;36, Z25&gt;23), "24-35", AND(Z25&lt;51, Z25&gt;35),"36-50", AND(Z25&lt;66, Z25&gt;50), "51-66", Z25&gt;65, "66+", TRUE, "?")</f>
        <v>36-50</v>
      </c>
      <c r="AB25" s="1">
        <v>2600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s="1">
        <v>2035</v>
      </c>
      <c r="AM25" s="2">
        <v>42249</v>
      </c>
      <c r="AN25" t="str">
        <f t="shared" si="1"/>
        <v>81169,2062,0.0254037871601227,0,0,47,1288,20,613,80,61,27,1,5,7,9,2,0,0,0,0,0,0,0,45,36-50,2600,0,0,1,0,0,0,0,1,0,2035,42249</v>
      </c>
    </row>
    <row r="26" spans="1:40" ht="13" hidden="1" x14ac:dyDescent="0.15">
      <c r="A26">
        <v>127</v>
      </c>
      <c r="B26" s="1">
        <v>92859</v>
      </c>
      <c r="C26" s="1">
        <v>2057</v>
      </c>
      <c r="D26" s="4">
        <f t="shared" si="0"/>
        <v>2.2151864655014591E-2</v>
      </c>
      <c r="E26" s="1">
        <v>0</v>
      </c>
      <c r="F26" s="1">
        <v>0</v>
      </c>
      <c r="G26" s="1">
        <v>46</v>
      </c>
      <c r="H26" s="1">
        <v>962</v>
      </c>
      <c r="I26" s="1">
        <v>61</v>
      </c>
      <c r="J26" s="1">
        <v>921</v>
      </c>
      <c r="K26" s="1">
        <v>52</v>
      </c>
      <c r="L26" s="1">
        <v>61</v>
      </c>
      <c r="M26" s="1">
        <v>20</v>
      </c>
      <c r="N26" s="1">
        <v>1</v>
      </c>
      <c r="O26" s="1">
        <v>5</v>
      </c>
      <c r="P26" s="1">
        <v>4</v>
      </c>
      <c r="Q26" s="1">
        <v>12</v>
      </c>
      <c r="R26" s="1">
        <v>2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28</v>
      </c>
      <c r="AA26" s="1" t="str" cm="1">
        <f t="array" ref="AA26">_xlfn.IFS(AND(Z26&lt;36, Z26&gt;23), "24-35", AND(Z26&lt;51, Z26&gt;35),"36-50", AND(Z26&lt;66, Z26&gt;50), "51-66", Z26&gt;65, "66+", TRUE, "?")</f>
        <v>24-35</v>
      </c>
      <c r="AB26" s="1">
        <v>2777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2037</v>
      </c>
      <c r="AM26" s="2">
        <v>42072</v>
      </c>
      <c r="AN26" t="str">
        <f t="shared" si="1"/>
        <v>92859,2057,0.0221518646550146,0,0,46,962,61,921,52,61,20,1,5,4,12,2,0,0,0,0,0,0,0,28,24-35,2777,0,0,1,0,0,0,0,1,0,2037,42072</v>
      </c>
    </row>
    <row r="27" spans="1:40" ht="13" x14ac:dyDescent="0.15">
      <c r="A27">
        <v>79</v>
      </c>
      <c r="B27" s="1">
        <v>83512</v>
      </c>
      <c r="C27" s="1">
        <v>2056</v>
      </c>
      <c r="D27" s="4">
        <f t="shared" si="0"/>
        <v>2.4619216400038318E-2</v>
      </c>
      <c r="E27" s="1">
        <v>0</v>
      </c>
      <c r="F27" s="1">
        <v>0</v>
      </c>
      <c r="G27" s="1">
        <v>31</v>
      </c>
      <c r="H27" s="1">
        <v>1060</v>
      </c>
      <c r="I27" s="1">
        <v>61</v>
      </c>
      <c r="J27" s="1">
        <v>835</v>
      </c>
      <c r="K27" s="1">
        <v>80</v>
      </c>
      <c r="L27" s="1">
        <v>20</v>
      </c>
      <c r="M27" s="1">
        <v>101</v>
      </c>
      <c r="N27" s="1">
        <v>1</v>
      </c>
      <c r="O27" s="1">
        <v>4</v>
      </c>
      <c r="P27" s="1">
        <v>7</v>
      </c>
      <c r="Q27" s="1">
        <v>10</v>
      </c>
      <c r="R27" s="1">
        <v>1</v>
      </c>
      <c r="S27" s="1">
        <v>1</v>
      </c>
      <c r="T27" s="1">
        <v>1</v>
      </c>
      <c r="U27" s="1">
        <v>1</v>
      </c>
      <c r="V27" s="1">
        <v>0</v>
      </c>
      <c r="W27" s="1">
        <v>1</v>
      </c>
      <c r="X27" s="1">
        <v>0</v>
      </c>
      <c r="Y27" s="1">
        <v>1</v>
      </c>
      <c r="Z27" s="1">
        <v>34</v>
      </c>
      <c r="AA27" s="1" t="str" cm="1">
        <f t="array" ref="AA27">_xlfn.IFS(AND(Z27&lt;36, Z27&gt;23), "24-35", AND(Z27&lt;51, Z27&gt;35),"36-50", AND(Z27&lt;66, Z27&gt;50), "51-66", Z27&gt;65, "66+", TRUE, "?")</f>
        <v>24-35</v>
      </c>
      <c r="AB27" s="1">
        <v>2171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>
        <v>1955</v>
      </c>
      <c r="AM27" s="2">
        <v>42678</v>
      </c>
      <c r="AN27" t="str">
        <f t="shared" si="1"/>
        <v>83512,2056,0.0246192164000383,0,0,31,1060,61,835,80,20,101,1,4,7,10,1,1,1,1,0,1,0,1,34,24-35,2171,0,1,0,0,0,0,1,0,0,1955,42678</v>
      </c>
    </row>
    <row r="28" spans="1:40" ht="13" x14ac:dyDescent="0.15">
      <c r="A28">
        <v>93</v>
      </c>
      <c r="B28" s="1">
        <v>80141</v>
      </c>
      <c r="C28" s="1">
        <v>2051</v>
      </c>
      <c r="D28" s="4">
        <f t="shared" si="0"/>
        <v>2.5592393406620832E-2</v>
      </c>
      <c r="E28" s="1">
        <v>0</v>
      </c>
      <c r="F28" s="1">
        <v>0</v>
      </c>
      <c r="G28" s="1">
        <v>20</v>
      </c>
      <c r="H28" s="1">
        <v>1184</v>
      </c>
      <c r="I28" s="1">
        <v>102</v>
      </c>
      <c r="J28" s="1">
        <v>673</v>
      </c>
      <c r="K28" s="1">
        <v>52</v>
      </c>
      <c r="L28" s="1">
        <v>40</v>
      </c>
      <c r="M28" s="1">
        <v>40</v>
      </c>
      <c r="N28" s="1">
        <v>1</v>
      </c>
      <c r="O28" s="1">
        <v>7</v>
      </c>
      <c r="P28" s="1">
        <v>4</v>
      </c>
      <c r="Q28" s="1">
        <v>10</v>
      </c>
      <c r="R28" s="1">
        <v>6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1</v>
      </c>
      <c r="Z28" s="1">
        <v>34</v>
      </c>
      <c r="AA28" s="1" t="str" cm="1">
        <f t="array" ref="AA28">_xlfn.IFS(AND(Z28&lt;36, Z28&gt;23), "24-35", AND(Z28&lt;51, Z28&gt;35),"36-50", AND(Z28&lt;66, Z28&gt;50), "51-66", Z28&gt;65, "66+", TRUE, "?")</f>
        <v>24-35</v>
      </c>
      <c r="AB28" s="1">
        <v>2693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2011</v>
      </c>
      <c r="AM28" s="2">
        <v>42156</v>
      </c>
      <c r="AN28" t="str">
        <f t="shared" si="1"/>
        <v>80141,2051,0.0255923934066208,0,0,20,1184,102,673,52,40,40,1,7,4,10,6,0,0,0,0,1,0,1,34,24-35,2693,0,1,0,0,0,0,0,1,0,2011,42156</v>
      </c>
    </row>
    <row r="29" spans="1:40" ht="13" hidden="1" x14ac:dyDescent="0.15">
      <c r="A29">
        <v>948</v>
      </c>
      <c r="B29" s="1">
        <v>77568</v>
      </c>
      <c r="C29" s="1">
        <v>2036</v>
      </c>
      <c r="D29" s="4">
        <f t="shared" si="0"/>
        <v>2.6247937293729373E-2</v>
      </c>
      <c r="E29" s="1">
        <v>0</v>
      </c>
      <c r="F29" s="1">
        <v>1</v>
      </c>
      <c r="G29" s="1">
        <v>30</v>
      </c>
      <c r="H29" s="1">
        <v>1230</v>
      </c>
      <c r="I29" s="1">
        <v>0</v>
      </c>
      <c r="J29" s="1">
        <v>396</v>
      </c>
      <c r="K29" s="1">
        <v>232</v>
      </c>
      <c r="L29" s="1">
        <v>178</v>
      </c>
      <c r="M29" s="1">
        <v>158</v>
      </c>
      <c r="N29" s="1">
        <v>1</v>
      </c>
      <c r="O29" s="1">
        <v>10</v>
      </c>
      <c r="P29" s="1">
        <v>2</v>
      </c>
      <c r="Q29" s="1">
        <v>8</v>
      </c>
      <c r="R29" s="1">
        <v>5</v>
      </c>
      <c r="S29" s="1">
        <v>1</v>
      </c>
      <c r="T29" s="1">
        <v>0</v>
      </c>
      <c r="U29" s="1">
        <v>0</v>
      </c>
      <c r="V29" s="1">
        <v>1</v>
      </c>
      <c r="W29" s="1">
        <v>1</v>
      </c>
      <c r="X29" s="1">
        <v>0</v>
      </c>
      <c r="Y29" s="1">
        <v>0</v>
      </c>
      <c r="Z29" s="1">
        <v>41</v>
      </c>
      <c r="AA29" s="1" t="str" cm="1">
        <f t="array" ref="AA29">_xlfn.IFS(AND(Z29&lt;36, Z29&gt;23), "24-35", AND(Z29&lt;51, Z29&gt;35),"36-50", AND(Z29&lt;66, Z29&gt;50), "51-66", Z29&gt;65, "66+", TRUE, "?")</f>
        <v>36-50</v>
      </c>
      <c r="AB29" s="1">
        <v>2832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1878</v>
      </c>
      <c r="AM29" s="2">
        <v>42017</v>
      </c>
      <c r="AN29" t="str">
        <f t="shared" si="1"/>
        <v>77568,2036,0.0262479372937294,0,1,30,1230,0,396,232,178,158,1,10,2,8,5,1,0,0,1,1,0,0,41,36-50,2832,0,0,0,1,0,0,1,0,0,1878,42017</v>
      </c>
    </row>
    <row r="30" spans="1:40" ht="13" x14ac:dyDescent="0.15">
      <c r="A30">
        <v>100</v>
      </c>
      <c r="B30" s="1">
        <v>92491</v>
      </c>
      <c r="C30" s="1">
        <v>2012</v>
      </c>
      <c r="D30" s="4">
        <f t="shared" si="0"/>
        <v>2.1753467904985349E-2</v>
      </c>
      <c r="E30" s="1">
        <v>0</v>
      </c>
      <c r="F30" s="1">
        <v>0</v>
      </c>
      <c r="G30" s="1">
        <v>71</v>
      </c>
      <c r="H30" s="1">
        <v>979</v>
      </c>
      <c r="I30" s="1">
        <v>44</v>
      </c>
      <c r="J30" s="1">
        <v>935</v>
      </c>
      <c r="K30" s="1">
        <v>29</v>
      </c>
      <c r="L30" s="1">
        <v>25</v>
      </c>
      <c r="M30" s="1">
        <v>22</v>
      </c>
      <c r="N30" s="1">
        <v>1</v>
      </c>
      <c r="O30" s="1">
        <v>7</v>
      </c>
      <c r="P30" s="1">
        <v>5</v>
      </c>
      <c r="Q30" s="1">
        <v>12</v>
      </c>
      <c r="R30" s="1">
        <v>3</v>
      </c>
      <c r="S30" s="1">
        <v>1</v>
      </c>
      <c r="T30" s="1">
        <v>0</v>
      </c>
      <c r="U30" s="1">
        <v>0</v>
      </c>
      <c r="V30" s="1">
        <v>1</v>
      </c>
      <c r="W30" s="1">
        <v>1</v>
      </c>
      <c r="X30" s="1">
        <v>0</v>
      </c>
      <c r="Y30" s="1">
        <v>1</v>
      </c>
      <c r="Z30" s="1">
        <v>37</v>
      </c>
      <c r="AA30" s="1" t="str" cm="1">
        <f t="array" ref="AA30">_xlfn.IFS(AND(Z30&lt;36, Z30&gt;23), "24-35", AND(Z30&lt;51, Z30&gt;35),"36-50", AND(Z30&lt;66, Z30&gt;50), "51-66", Z30&gt;65, "66+", TRUE, "?")</f>
        <v>36-50</v>
      </c>
      <c r="AB30" s="1">
        <v>2583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1990</v>
      </c>
      <c r="AM30" s="2">
        <v>42266</v>
      </c>
      <c r="AN30" t="str">
        <f t="shared" si="1"/>
        <v>92491,2012,0.0217534679049853,0,0,71,979,44,935,29,25,22,1,7,5,12,3,1,0,0,1,1,0,1,37,36-50,2583,0,1,0,0,0,0,0,0,1,1990,42266</v>
      </c>
    </row>
    <row r="31" spans="1:40" ht="13" hidden="1" x14ac:dyDescent="0.15">
      <c r="A31">
        <v>1010</v>
      </c>
      <c r="B31" s="1">
        <v>88347</v>
      </c>
      <c r="C31" s="1">
        <v>1998</v>
      </c>
      <c r="D31" s="4">
        <f t="shared" si="0"/>
        <v>2.2615368942918265E-2</v>
      </c>
      <c r="E31" s="1">
        <v>0</v>
      </c>
      <c r="F31" s="1">
        <v>0</v>
      </c>
      <c r="G31" s="1">
        <v>32</v>
      </c>
      <c r="H31" s="1">
        <v>1050</v>
      </c>
      <c r="I31" s="1">
        <v>178</v>
      </c>
      <c r="J31" s="1">
        <v>555</v>
      </c>
      <c r="K31" s="1">
        <v>77</v>
      </c>
      <c r="L31" s="1">
        <v>138</v>
      </c>
      <c r="M31" s="1">
        <v>118</v>
      </c>
      <c r="N31" s="1">
        <v>1</v>
      </c>
      <c r="O31" s="1">
        <v>4</v>
      </c>
      <c r="P31" s="1">
        <v>7</v>
      </c>
      <c r="Q31" s="1">
        <v>9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59</v>
      </c>
      <c r="AA31" s="1" t="str" cm="1">
        <f t="array" ref="AA31">_xlfn.IFS(AND(Z31&lt;36, Z31&gt;23), "24-35", AND(Z31&lt;51, Z31&gt;35),"36-50", AND(Z31&lt;66, Z31&gt;50), "51-66", Z31&gt;65, "66+", TRUE, "?")</f>
        <v>51-66</v>
      </c>
      <c r="AB31" s="1">
        <v>2520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1880</v>
      </c>
      <c r="AM31" s="2">
        <v>42329</v>
      </c>
      <c r="AN31" t="str">
        <f t="shared" si="1"/>
        <v>88347,1998,0.0226153689429183,0,0,32,1050,178,555,77,138,118,1,4,7,9,1,1,0,0,0,0,0,0,59,51-66,2520,0,0,0,1,0,0,1,0,0,1880,42329</v>
      </c>
    </row>
    <row r="32" spans="1:40" ht="13" x14ac:dyDescent="0.15">
      <c r="A32">
        <v>102</v>
      </c>
      <c r="B32" s="1">
        <v>89572</v>
      </c>
      <c r="C32" s="1">
        <v>1995</v>
      </c>
      <c r="D32" s="4">
        <f t="shared" si="0"/>
        <v>2.2272585182869648E-2</v>
      </c>
      <c r="E32" s="1">
        <v>0</v>
      </c>
      <c r="F32" s="1">
        <v>0</v>
      </c>
      <c r="G32" s="1">
        <v>44</v>
      </c>
      <c r="H32" s="1">
        <v>606</v>
      </c>
      <c r="I32" s="1">
        <v>24</v>
      </c>
      <c r="J32" s="1">
        <v>974</v>
      </c>
      <c r="K32" s="1">
        <v>197</v>
      </c>
      <c r="L32" s="1">
        <v>194</v>
      </c>
      <c r="M32" s="1">
        <v>64</v>
      </c>
      <c r="N32" s="1">
        <v>1</v>
      </c>
      <c r="O32" s="1">
        <v>7</v>
      </c>
      <c r="P32" s="1">
        <v>7</v>
      </c>
      <c r="Q32" s="1">
        <v>9</v>
      </c>
      <c r="R32" s="1">
        <v>4</v>
      </c>
      <c r="S32" s="1">
        <v>1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1</v>
      </c>
      <c r="Z32" s="1">
        <v>54</v>
      </c>
      <c r="AA32" s="1" t="str" cm="1">
        <f t="array" ref="AA32">_xlfn.IFS(AND(Z32&lt;36, Z32&gt;23), "24-35", AND(Z32&lt;51, Z32&gt;35),"36-50", AND(Z32&lt;66, Z32&gt;50), "51-66", Z32&gt;65, "66+", TRUE, "?")</f>
        <v>51-66</v>
      </c>
      <c r="AB32" s="1">
        <v>2811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s="1">
        <v>1931</v>
      </c>
      <c r="AM32" s="2">
        <v>42038</v>
      </c>
      <c r="AN32" t="str">
        <f t="shared" si="1"/>
        <v>89572,1995,0.0222725851828696,0,0,44,606,24,974,197,194,64,1,7,7,9,4,1,0,0,1,0,0,1,54,51-66,2811,0,0,1,0,0,1,0,0,0,1931,42038</v>
      </c>
    </row>
    <row r="33" spans="1:40" ht="13" hidden="1" x14ac:dyDescent="0.15">
      <c r="A33">
        <v>1138</v>
      </c>
      <c r="B33" s="1">
        <v>74918</v>
      </c>
      <c r="C33" s="1">
        <v>1988</v>
      </c>
      <c r="D33" s="4">
        <f t="shared" si="0"/>
        <v>2.6535679009049896E-2</v>
      </c>
      <c r="E33" s="1">
        <v>0</v>
      </c>
      <c r="F33" s="1">
        <v>0</v>
      </c>
      <c r="G33" s="1">
        <v>78</v>
      </c>
      <c r="H33" s="1">
        <v>972</v>
      </c>
      <c r="I33" s="1">
        <v>59</v>
      </c>
      <c r="J33" s="1">
        <v>913</v>
      </c>
      <c r="K33" s="1">
        <v>25</v>
      </c>
      <c r="L33" s="1">
        <v>19</v>
      </c>
      <c r="M33" s="1">
        <v>59</v>
      </c>
      <c r="N33" s="1">
        <v>1</v>
      </c>
      <c r="O33" s="1">
        <v>5</v>
      </c>
      <c r="P33" s="1">
        <v>9</v>
      </c>
      <c r="Q33" s="1">
        <v>6</v>
      </c>
      <c r="R33" s="1">
        <v>3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51</v>
      </c>
      <c r="AA33" s="1" t="str" cm="1">
        <f t="array" ref="AA33">_xlfn.IFS(AND(Z33&lt;36, Z33&gt;23), "24-35", AND(Z33&lt;51, Z33&gt;35),"36-50", AND(Z33&lt;66, Z33&gt;50), "51-66", Z33&gt;65, "66+", TRUE, "?")</f>
        <v>51-66</v>
      </c>
      <c r="AB33" s="1">
        <v>2633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1929</v>
      </c>
      <c r="AM33" s="2">
        <v>42216</v>
      </c>
      <c r="AN33" t="str">
        <f t="shared" si="1"/>
        <v>74918,1988,0.0265356790090499,0,0,78,972,59,913,25,19,59,1,5,9,6,3,0,0,0,0,1,0,0,51,51-66,2633,0,0,0,1,0,0,1,0,0,1929,42216</v>
      </c>
    </row>
    <row r="34" spans="1:40" ht="13" x14ac:dyDescent="0.15">
      <c r="A34">
        <v>110</v>
      </c>
      <c r="B34" s="1">
        <v>82332</v>
      </c>
      <c r="C34" s="1">
        <v>1987</v>
      </c>
      <c r="D34" s="4">
        <f t="shared" si="0"/>
        <v>2.4133994072778508E-2</v>
      </c>
      <c r="E34" s="1">
        <v>0</v>
      </c>
      <c r="F34" s="1">
        <v>0</v>
      </c>
      <c r="G34" s="1">
        <v>89</v>
      </c>
      <c r="H34" s="1">
        <v>830</v>
      </c>
      <c r="I34" s="1">
        <v>59</v>
      </c>
      <c r="J34" s="1">
        <v>968</v>
      </c>
      <c r="K34" s="1">
        <v>51</v>
      </c>
      <c r="L34" s="1">
        <v>79</v>
      </c>
      <c r="M34" s="1">
        <v>19</v>
      </c>
      <c r="N34" s="1">
        <v>1</v>
      </c>
      <c r="O34" s="1">
        <v>5</v>
      </c>
      <c r="P34" s="1">
        <v>3</v>
      </c>
      <c r="Q34" s="1">
        <v>12</v>
      </c>
      <c r="R34" s="1">
        <v>2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1</v>
      </c>
      <c r="Z34" s="1">
        <v>59</v>
      </c>
      <c r="AA34" s="1" t="str" cm="1">
        <f t="array" ref="AA34">_xlfn.IFS(AND(Z34&lt;36, Z34&gt;23), "24-35", AND(Z34&lt;51, Z34&gt;35),"36-50", AND(Z34&lt;66, Z34&gt;50), "51-66", Z34&gt;65, "66+", TRUE, "?")</f>
        <v>51-66</v>
      </c>
      <c r="AB34" s="1">
        <v>2809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1968</v>
      </c>
      <c r="AM34" s="2">
        <v>42040</v>
      </c>
      <c r="AN34" t="str">
        <f t="shared" si="1"/>
        <v>82332,1987,0.0241339940727785,0,0,89,830,59,968,51,79,19,1,5,3,12,2,0,0,0,0,1,0,1,59,51-66,2809,0,0,1,0,0,0,1,0,0,1968,42040</v>
      </c>
    </row>
    <row r="35" spans="1:40" ht="13" x14ac:dyDescent="0.15">
      <c r="A35">
        <v>113</v>
      </c>
      <c r="B35" s="1">
        <v>72903</v>
      </c>
      <c r="C35" s="1">
        <v>1974</v>
      </c>
      <c r="D35" s="4">
        <f t="shared" si="0"/>
        <v>2.7077075017488992E-2</v>
      </c>
      <c r="E35" s="1">
        <v>0</v>
      </c>
      <c r="F35" s="1">
        <v>0</v>
      </c>
      <c r="G35" s="1">
        <v>74</v>
      </c>
      <c r="H35" s="1">
        <v>1067</v>
      </c>
      <c r="I35" s="1">
        <v>138</v>
      </c>
      <c r="J35" s="1">
        <v>750</v>
      </c>
      <c r="K35" s="1">
        <v>0</v>
      </c>
      <c r="L35" s="1">
        <v>19</v>
      </c>
      <c r="M35" s="1">
        <v>39</v>
      </c>
      <c r="N35" s="1">
        <v>1</v>
      </c>
      <c r="O35" s="1">
        <v>7</v>
      </c>
      <c r="P35" s="1">
        <v>5</v>
      </c>
      <c r="Q35" s="1">
        <v>8</v>
      </c>
      <c r="R35" s="1">
        <v>4</v>
      </c>
      <c r="S35" s="1">
        <v>1</v>
      </c>
      <c r="T35" s="1">
        <v>0</v>
      </c>
      <c r="U35" s="1">
        <v>0</v>
      </c>
      <c r="V35" s="1">
        <v>1</v>
      </c>
      <c r="W35" s="1">
        <v>1</v>
      </c>
      <c r="X35" s="1">
        <v>0</v>
      </c>
      <c r="Y35" s="1">
        <v>1</v>
      </c>
      <c r="Z35" s="1">
        <v>35</v>
      </c>
      <c r="AA35" s="1" t="str" cm="1">
        <f t="array" ref="AA35">_xlfn.IFS(AND(Z35&lt;36, Z35&gt;23), "24-35", AND(Z35&lt;51, Z35&gt;35),"36-50", AND(Z35&lt;66, Z35&gt;50), "51-66", Z35&gt;65, "66+", TRUE, "?")</f>
        <v>24-35</v>
      </c>
      <c r="AB35" s="1">
        <v>2402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1935</v>
      </c>
      <c r="AM35" s="2">
        <v>42447</v>
      </c>
      <c r="AN35" t="str">
        <f t="shared" si="1"/>
        <v>72903,1974,0.027077075017489,0,0,74,1067,138,750,0,19,39,1,7,5,8,4,1,0,0,1,1,0,1,35,24-35,2402,0,0,1,0,0,0,1,0,0,1935,42447</v>
      </c>
    </row>
    <row r="36" spans="1:40" ht="13" hidden="1" x14ac:dyDescent="0.15">
      <c r="A36">
        <v>611</v>
      </c>
      <c r="B36" s="1">
        <v>98777</v>
      </c>
      <c r="C36" s="1">
        <v>1970</v>
      </c>
      <c r="D36" s="4">
        <f t="shared" si="0"/>
        <v>1.994391406906466E-2</v>
      </c>
      <c r="E36" s="1">
        <v>0</v>
      </c>
      <c r="F36" s="1">
        <v>0</v>
      </c>
      <c r="G36" s="1">
        <v>23</v>
      </c>
      <c r="H36" s="1">
        <v>1000</v>
      </c>
      <c r="I36" s="1">
        <v>19</v>
      </c>
      <c r="J36" s="1">
        <v>711</v>
      </c>
      <c r="K36" s="1">
        <v>125</v>
      </c>
      <c r="L36" s="1">
        <v>115</v>
      </c>
      <c r="M36" s="1">
        <v>38</v>
      </c>
      <c r="N36" s="1">
        <v>0</v>
      </c>
      <c r="O36" s="1">
        <v>4</v>
      </c>
      <c r="P36" s="1">
        <v>6</v>
      </c>
      <c r="Q36" s="1">
        <v>9</v>
      </c>
      <c r="R36" s="1">
        <v>1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60</v>
      </c>
      <c r="AA36" s="1" t="str" cm="1">
        <f t="array" ref="AA36">_xlfn.IFS(AND(Z36&lt;36, Z36&gt;23), "24-35", AND(Z36&lt;51, Z36&gt;35),"36-50", AND(Z36&lt;66, Z36&gt;50), "51-66", Z36&gt;65, "66+", TRUE, "?")</f>
        <v>51-66</v>
      </c>
      <c r="AB36" s="1">
        <v>2291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1932</v>
      </c>
      <c r="AM36" s="2">
        <v>42558</v>
      </c>
      <c r="AN36" t="str">
        <f t="shared" si="1"/>
        <v>98777,1970,0.0199439140690647,0,0,23,1000,19,711,125,115,38,0,4,6,9,1,0,0,0,1,0,0,0,60,51-66,2291,0,0,1,0,0,0,0,1,0,1932,42558</v>
      </c>
    </row>
    <row r="37" spans="1:40" ht="13" x14ac:dyDescent="0.15">
      <c r="A37">
        <v>115</v>
      </c>
      <c r="B37" s="1">
        <v>95529</v>
      </c>
      <c r="C37" s="1">
        <v>1966</v>
      </c>
      <c r="D37" s="4">
        <f t="shared" si="0"/>
        <v>2.0580137968574989E-2</v>
      </c>
      <c r="E37" s="1">
        <v>0</v>
      </c>
      <c r="F37" s="1">
        <v>0</v>
      </c>
      <c r="G37" s="1">
        <v>29</v>
      </c>
      <c r="H37" s="1">
        <v>770</v>
      </c>
      <c r="I37" s="1">
        <v>29</v>
      </c>
      <c r="J37" s="1">
        <v>890</v>
      </c>
      <c r="K37" s="1">
        <v>250</v>
      </c>
      <c r="L37" s="1">
        <v>27</v>
      </c>
      <c r="M37" s="1">
        <v>24</v>
      </c>
      <c r="N37" s="1">
        <v>1</v>
      </c>
      <c r="O37" s="1">
        <v>7</v>
      </c>
      <c r="P37" s="1">
        <v>3</v>
      </c>
      <c r="Q37" s="1">
        <v>7</v>
      </c>
      <c r="R37" s="1">
        <v>3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1</v>
      </c>
      <c r="Z37" s="1">
        <v>26</v>
      </c>
      <c r="AA37" s="1" t="str" cm="1">
        <f t="array" ref="AA37">_xlfn.IFS(AND(Z37&lt;36, Z37&gt;23), "24-35", AND(Z37&lt;51, Z37&gt;35),"36-50", AND(Z37&lt;66, Z37&gt;50), "51-66", Z37&gt;65, "66+", TRUE, "?")</f>
        <v>24-35</v>
      </c>
      <c r="AB37" s="1">
        <v>2732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1942</v>
      </c>
      <c r="AM37" s="2">
        <v>42117</v>
      </c>
      <c r="AN37" t="str">
        <f t="shared" si="1"/>
        <v>95529,1966,0.020580137968575,0,0,29,770,29,890,250,27,24,1,7,3,7,3,0,0,0,0,1,0,1,26,24-35,2732,0,0,1,0,0,0,1,0,0,1942,42117</v>
      </c>
    </row>
    <row r="38" spans="1:40" ht="13" hidden="1" x14ac:dyDescent="0.15">
      <c r="A38">
        <v>638</v>
      </c>
      <c r="B38" s="1">
        <v>68743</v>
      </c>
      <c r="C38" s="1">
        <v>1959</v>
      </c>
      <c r="D38" s="4">
        <f t="shared" si="0"/>
        <v>2.8497447012786756E-2</v>
      </c>
      <c r="E38" s="1">
        <v>0</v>
      </c>
      <c r="F38" s="1">
        <v>0</v>
      </c>
      <c r="G38" s="1">
        <v>81</v>
      </c>
      <c r="H38" s="1">
        <v>1132</v>
      </c>
      <c r="I38" s="1">
        <v>134</v>
      </c>
      <c r="J38" s="1">
        <v>384</v>
      </c>
      <c r="K38" s="1">
        <v>175</v>
      </c>
      <c r="L38" s="1">
        <v>134</v>
      </c>
      <c r="M38" s="1">
        <v>115</v>
      </c>
      <c r="N38" s="1">
        <v>1</v>
      </c>
      <c r="O38" s="1">
        <v>11</v>
      </c>
      <c r="P38" s="1">
        <v>5</v>
      </c>
      <c r="Q38" s="1">
        <v>13</v>
      </c>
      <c r="R38" s="1">
        <v>7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53</v>
      </c>
      <c r="AA38" s="1" t="str" cm="1">
        <f t="array" ref="AA38">_xlfn.IFS(AND(Z38&lt;36, Z38&gt;23), "24-35", AND(Z38&lt;51, Z38&gt;35),"36-50", AND(Z38&lt;66, Z38&gt;50), "51-66", Z38&gt;65, "66+", TRUE, "?")</f>
        <v>51-66</v>
      </c>
      <c r="AB38" s="1">
        <v>2827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1844</v>
      </c>
      <c r="AM38" s="2">
        <v>42022</v>
      </c>
      <c r="AN38" t="str">
        <f t="shared" si="1"/>
        <v>68743,1959,0.0284974470127868,0,0,81,1132,134,384,175,134,115,1,11,5,13,7,0,0,0,0,0,0,0,53,51-66,2827,1,0,0,0,0,0,1,0,0,1844,42022</v>
      </c>
    </row>
    <row r="39" spans="1:40" ht="13" hidden="1" x14ac:dyDescent="0.15">
      <c r="A39">
        <v>460</v>
      </c>
      <c r="B39" s="1">
        <v>78952</v>
      </c>
      <c r="C39" s="1">
        <v>1958</v>
      </c>
      <c r="D39" s="4">
        <f t="shared" si="0"/>
        <v>2.4799878407133449E-2</v>
      </c>
      <c r="E39" s="1">
        <v>0</v>
      </c>
      <c r="F39" s="1">
        <v>1</v>
      </c>
      <c r="G39" s="1">
        <v>11</v>
      </c>
      <c r="H39" s="1">
        <v>1170</v>
      </c>
      <c r="I39" s="1">
        <v>19</v>
      </c>
      <c r="J39" s="1">
        <v>594</v>
      </c>
      <c r="K39" s="1">
        <v>99</v>
      </c>
      <c r="L39" s="1">
        <v>76</v>
      </c>
      <c r="M39" s="1">
        <v>134</v>
      </c>
      <c r="N39" s="1">
        <v>2</v>
      </c>
      <c r="O39" s="1">
        <v>2</v>
      </c>
      <c r="P39" s="1">
        <v>5</v>
      </c>
      <c r="Q39" s="1">
        <v>12</v>
      </c>
      <c r="R39" s="1">
        <v>6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62</v>
      </c>
      <c r="AA39" s="1" t="str" cm="1">
        <f t="array" ref="AA39">_xlfn.IFS(AND(Z39&lt;36, Z39&gt;23), "24-35", AND(Z39&lt;51, Z39&gt;35),"36-50", AND(Z39&lt;66, Z39&gt;50), "51-66", Z39&gt;65, "66+", TRUE, "?")</f>
        <v>51-66</v>
      </c>
      <c r="AB39" s="1">
        <v>2802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1824</v>
      </c>
      <c r="AM39" s="2">
        <v>42047</v>
      </c>
      <c r="AN39" t="str">
        <f t="shared" si="1"/>
        <v>78952,1958,0.0247998784071334,0,1,11,1170,19,594,99,76,134,2,2,5,12,6,0,0,0,0,0,0,0,62,51-66,2802,0,0,0,1,0,0,0,0,1,1824,42047</v>
      </c>
    </row>
    <row r="40" spans="1:40" ht="13" x14ac:dyDescent="0.15">
      <c r="A40">
        <v>125</v>
      </c>
      <c r="B40" s="1">
        <v>75345</v>
      </c>
      <c r="C40" s="1">
        <v>1954</v>
      </c>
      <c r="D40" s="4">
        <f t="shared" si="0"/>
        <v>2.5934036764217933E-2</v>
      </c>
      <c r="E40" s="1">
        <v>0</v>
      </c>
      <c r="F40" s="1">
        <v>0</v>
      </c>
      <c r="G40" s="1">
        <v>16</v>
      </c>
      <c r="H40" s="1">
        <v>918</v>
      </c>
      <c r="I40" s="1">
        <v>57</v>
      </c>
      <c r="J40" s="1">
        <v>842</v>
      </c>
      <c r="K40" s="1">
        <v>99</v>
      </c>
      <c r="L40" s="1">
        <v>38</v>
      </c>
      <c r="M40" s="1">
        <v>133</v>
      </c>
      <c r="N40" s="1">
        <v>1</v>
      </c>
      <c r="O40" s="1">
        <v>5</v>
      </c>
      <c r="P40" s="1">
        <v>8</v>
      </c>
      <c r="Q40" s="1">
        <v>6</v>
      </c>
      <c r="R40" s="1">
        <v>3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50</v>
      </c>
      <c r="AA40" s="1" t="str" cm="1">
        <f t="array" ref="AA40">_xlfn.IFS(AND(Z40&lt;36, Z40&gt;23), "24-35", AND(Z40&lt;51, Z40&gt;35),"36-50", AND(Z40&lt;66, Z40&gt;50), "51-66", Z40&gt;65, "66+", TRUE, "?")</f>
        <v>36-50</v>
      </c>
      <c r="AB40" s="1">
        <v>2671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s="1">
        <v>1821</v>
      </c>
      <c r="AM40" s="2">
        <v>42178</v>
      </c>
      <c r="AN40" t="str">
        <f t="shared" si="1"/>
        <v>75345,1954,0.0259340367642179,0,0,16,918,57,842,99,38,133,1,5,8,6,3,1,0,0,0,0,0,1,50,36-50,2671,0,0,1,0,0,0,0,1,0,1821,42178</v>
      </c>
    </row>
    <row r="41" spans="1:40" ht="13" hidden="1" x14ac:dyDescent="0.15">
      <c r="A41">
        <v>229</v>
      </c>
      <c r="B41" s="1">
        <v>67546</v>
      </c>
      <c r="C41" s="1">
        <v>1954</v>
      </c>
      <c r="D41" s="4">
        <f t="shared" si="0"/>
        <v>2.8928433956118792E-2</v>
      </c>
      <c r="E41" s="1">
        <v>0</v>
      </c>
      <c r="F41" s="1">
        <v>0</v>
      </c>
      <c r="G41" s="1">
        <v>90</v>
      </c>
      <c r="H41" s="1">
        <v>864</v>
      </c>
      <c r="I41" s="1">
        <v>134</v>
      </c>
      <c r="J41" s="1">
        <v>768</v>
      </c>
      <c r="K41" s="1">
        <v>150</v>
      </c>
      <c r="L41" s="1">
        <v>38</v>
      </c>
      <c r="M41" s="1">
        <v>172</v>
      </c>
      <c r="N41" s="1">
        <v>1</v>
      </c>
      <c r="O41" s="1">
        <v>4</v>
      </c>
      <c r="P41" s="1">
        <v>10</v>
      </c>
      <c r="Q41" s="1">
        <v>5</v>
      </c>
      <c r="R41" s="1">
        <v>3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32</v>
      </c>
      <c r="AA41" s="1" t="str" cm="1">
        <f t="array" ref="AA41">_xlfn.IFS(AND(Z41&lt;36, Z41&gt;23), "24-35", AND(Z41&lt;51, Z41&gt;35),"36-50", AND(Z41&lt;66, Z41&gt;50), "51-66", Z41&gt;65, "66+", TRUE, "?")</f>
        <v>24-35</v>
      </c>
      <c r="AB41" s="1">
        <v>2826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1</v>
      </c>
      <c r="AL41" s="1">
        <v>1782</v>
      </c>
      <c r="AM41" s="2">
        <v>42023</v>
      </c>
      <c r="AN41" t="str">
        <f t="shared" si="1"/>
        <v>67546,1954,0.0289284339561188,0,0,90,864,134,768,150,38,172,1,4,10,5,3,0,0,0,0,0,0,0,32,24-35,2826,0,1,0,0,0,0,0,0,1,1782,42023</v>
      </c>
    </row>
    <row r="42" spans="1:40" ht="13" x14ac:dyDescent="0.15">
      <c r="A42">
        <v>128</v>
      </c>
      <c r="B42" s="1">
        <v>91700</v>
      </c>
      <c r="C42" s="1">
        <v>1949</v>
      </c>
      <c r="D42" s="4">
        <f t="shared" si="0"/>
        <v>2.1254089422028354E-2</v>
      </c>
      <c r="E42" s="1">
        <v>0</v>
      </c>
      <c r="F42" s="1">
        <v>0</v>
      </c>
      <c r="G42" s="1">
        <v>58</v>
      </c>
      <c r="H42" s="1">
        <v>576</v>
      </c>
      <c r="I42" s="1">
        <v>172</v>
      </c>
      <c r="J42" s="1">
        <v>961</v>
      </c>
      <c r="K42" s="1">
        <v>125</v>
      </c>
      <c r="L42" s="1">
        <v>115</v>
      </c>
      <c r="M42" s="1">
        <v>19</v>
      </c>
      <c r="N42" s="1">
        <v>1</v>
      </c>
      <c r="O42" s="1">
        <v>8</v>
      </c>
      <c r="P42" s="1">
        <v>6</v>
      </c>
      <c r="Q42" s="1">
        <v>5</v>
      </c>
      <c r="R42" s="1">
        <v>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49</v>
      </c>
      <c r="AA42" s="1" t="str" cm="1">
        <f t="array" ref="AA42">_xlfn.IFS(AND(Z42&lt;36, Z42&gt;23), "24-35", AND(Z42&lt;51, Z42&gt;35),"36-50", AND(Z42&lt;66, Z42&gt;50), "51-66", Z42&gt;65, "66+", TRUE, "?")</f>
        <v>36-50</v>
      </c>
      <c r="AB42" s="1">
        <v>2687</v>
      </c>
      <c r="AC42" s="1">
        <v>0</v>
      </c>
      <c r="AD42" s="1">
        <v>0</v>
      </c>
      <c r="AE42" s="1">
        <v>1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1930</v>
      </c>
      <c r="AM42" s="2">
        <v>42162</v>
      </c>
      <c r="AN42" t="str">
        <f t="shared" si="1"/>
        <v>91700,1949,0.0212540894220284,0,0,58,576,172,961,125,115,19,1,8,6,5,3,0,0,0,0,0,0,1,49,36-50,2687,0,0,1,0,0,0,1,0,0,1930,42162</v>
      </c>
    </row>
    <row r="43" spans="1:40" ht="13" x14ac:dyDescent="0.15">
      <c r="A43">
        <v>133</v>
      </c>
      <c r="B43" s="1">
        <v>72309</v>
      </c>
      <c r="C43" s="1">
        <v>1931</v>
      </c>
      <c r="D43" s="4">
        <f t="shared" si="0"/>
        <v>2.670483618913275E-2</v>
      </c>
      <c r="E43" s="1">
        <v>0</v>
      </c>
      <c r="F43" s="1">
        <v>0</v>
      </c>
      <c r="G43" s="1">
        <v>64</v>
      </c>
      <c r="H43" s="1">
        <v>960</v>
      </c>
      <c r="I43" s="1">
        <v>0</v>
      </c>
      <c r="J43" s="1">
        <v>883</v>
      </c>
      <c r="K43" s="1">
        <v>50</v>
      </c>
      <c r="L43" s="1">
        <v>38</v>
      </c>
      <c r="M43" s="1">
        <v>0</v>
      </c>
      <c r="N43" s="1">
        <v>1</v>
      </c>
      <c r="O43" s="1">
        <v>5</v>
      </c>
      <c r="P43" s="1">
        <v>6</v>
      </c>
      <c r="Q43" s="1">
        <v>8</v>
      </c>
      <c r="R43" s="1">
        <v>3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44</v>
      </c>
      <c r="AA43" s="1" t="str" cm="1">
        <f t="array" ref="AA43">_xlfn.IFS(AND(Z43&lt;36, Z43&gt;23), "24-35", AND(Z43&lt;51, Z43&gt;35),"36-50", AND(Z43&lt;66, Z43&gt;50), "51-66", Z43&gt;65, "66+", TRUE, "?")</f>
        <v>36-50</v>
      </c>
      <c r="AB43" s="1">
        <v>2634</v>
      </c>
      <c r="AC43" s="1">
        <v>0</v>
      </c>
      <c r="AD43" s="1">
        <v>0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1931</v>
      </c>
      <c r="AM43" s="2">
        <v>42215</v>
      </c>
      <c r="AN43" t="str">
        <f t="shared" si="1"/>
        <v>72309,1931,0.0267048361891328,0,0,64,960,0,883,50,38,0,1,5,6,8,3,1,0,0,0,0,0,1,44,36-50,2634,0,0,1,0,0,0,0,1,0,1931,42215</v>
      </c>
    </row>
    <row r="44" spans="1:40" ht="13" x14ac:dyDescent="0.15">
      <c r="A44">
        <v>142</v>
      </c>
      <c r="B44" s="1">
        <v>87771</v>
      </c>
      <c r="C44" s="1">
        <v>1924</v>
      </c>
      <c r="D44" s="4">
        <f t="shared" si="0"/>
        <v>2.1920679951236741E-2</v>
      </c>
      <c r="E44" s="1">
        <v>0</v>
      </c>
      <c r="F44" s="1">
        <v>1</v>
      </c>
      <c r="G44" s="1">
        <v>61</v>
      </c>
      <c r="H44" s="1">
        <v>1492</v>
      </c>
      <c r="I44" s="1">
        <v>38</v>
      </c>
      <c r="J44" s="1">
        <v>287</v>
      </c>
      <c r="K44" s="1">
        <v>50</v>
      </c>
      <c r="L44" s="1">
        <v>57</v>
      </c>
      <c r="M44" s="1">
        <v>33</v>
      </c>
      <c r="N44" s="1">
        <v>1</v>
      </c>
      <c r="O44" s="1">
        <v>5</v>
      </c>
      <c r="P44" s="1">
        <v>10</v>
      </c>
      <c r="Q44" s="1">
        <v>4</v>
      </c>
      <c r="R44" s="1">
        <v>6</v>
      </c>
      <c r="S44" s="1">
        <v>1</v>
      </c>
      <c r="T44" s="1">
        <v>1</v>
      </c>
      <c r="U44" s="1">
        <v>0</v>
      </c>
      <c r="V44" s="1">
        <v>1</v>
      </c>
      <c r="W44" s="1">
        <v>1</v>
      </c>
      <c r="X44" s="1">
        <v>0</v>
      </c>
      <c r="Y44" s="1">
        <v>1</v>
      </c>
      <c r="Z44" s="1">
        <v>61</v>
      </c>
      <c r="AA44" s="1" t="str" cm="1">
        <f t="array" ref="AA44">_xlfn.IFS(AND(Z44&lt;36, Z44&gt;23), "24-35", AND(Z44&lt;51, Z44&gt;35),"36-50", AND(Z44&lt;66, Z44&gt;50), "51-66", Z44&gt;65, "66+", TRUE, "?")</f>
        <v>51-66</v>
      </c>
      <c r="AB44" s="1">
        <v>2562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1891</v>
      </c>
      <c r="AM44" s="2">
        <v>42287</v>
      </c>
      <c r="AN44" t="str">
        <f t="shared" si="1"/>
        <v>87771,1924,0.0219206799512367,0,1,61,1492,38,287,50,57,33,1,5,10,4,6,1,1,0,1,1,0,1,61,51-66,2562,0,0,0,1,0,0,1,0,0,1891,42287</v>
      </c>
    </row>
    <row r="45" spans="1:40" ht="13" x14ac:dyDescent="0.15">
      <c r="A45">
        <v>182</v>
      </c>
      <c r="B45" s="1">
        <v>96876</v>
      </c>
      <c r="C45" s="1">
        <v>1920</v>
      </c>
      <c r="D45" s="4">
        <f t="shared" si="0"/>
        <v>1.9819150253932862E-2</v>
      </c>
      <c r="E45" s="1">
        <v>0</v>
      </c>
      <c r="F45" s="1">
        <v>0</v>
      </c>
      <c r="G45" s="1">
        <v>79</v>
      </c>
      <c r="H45" s="1">
        <v>908</v>
      </c>
      <c r="I45" s="1">
        <v>43</v>
      </c>
      <c r="J45" s="1">
        <v>735</v>
      </c>
      <c r="K45" s="1">
        <v>40</v>
      </c>
      <c r="L45" s="1">
        <v>194</v>
      </c>
      <c r="M45" s="1">
        <v>21</v>
      </c>
      <c r="N45" s="1">
        <v>1</v>
      </c>
      <c r="O45" s="1">
        <v>7</v>
      </c>
      <c r="P45" s="1">
        <v>7</v>
      </c>
      <c r="Q45" s="1">
        <v>9</v>
      </c>
      <c r="R45" s="1">
        <v>2</v>
      </c>
      <c r="S45" s="1">
        <v>1</v>
      </c>
      <c r="T45" s="1">
        <v>0</v>
      </c>
      <c r="U45" s="1">
        <v>0</v>
      </c>
      <c r="V45" s="1">
        <v>1</v>
      </c>
      <c r="W45" s="1">
        <v>1</v>
      </c>
      <c r="X45" s="1">
        <v>0</v>
      </c>
      <c r="Y45" s="1">
        <v>1</v>
      </c>
      <c r="Z45" s="1">
        <v>43</v>
      </c>
      <c r="AA45" s="1" t="str" cm="1">
        <f t="array" ref="AA45">_xlfn.IFS(AND(Z45&lt;36, Z45&gt;23), "24-35", AND(Z45&lt;51, Z45&gt;35),"36-50", AND(Z45&lt;66, Z45&gt;50), "51-66", Z45&gt;65, "66+", TRUE, "?")</f>
        <v>36-50</v>
      </c>
      <c r="AB45" s="1">
        <v>2486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1899</v>
      </c>
      <c r="AM45" s="2">
        <v>42363</v>
      </c>
      <c r="AN45" t="str">
        <f t="shared" si="1"/>
        <v>96876,1920,0.0198191502539329,0,0,79,908,43,735,40,194,21,1,7,7,9,2,1,0,0,1,1,0,1,43,36-50,2486,0,0,0,1,0,0,1,0,0,1899,42363</v>
      </c>
    </row>
    <row r="46" spans="1:40" ht="13" hidden="1" x14ac:dyDescent="0.15">
      <c r="A46">
        <v>1025</v>
      </c>
      <c r="B46" s="1">
        <v>85844</v>
      </c>
      <c r="C46" s="1">
        <v>1920</v>
      </c>
      <c r="D46" s="4">
        <f t="shared" si="0"/>
        <v>2.236615255579889E-2</v>
      </c>
      <c r="E46" s="1">
        <v>0</v>
      </c>
      <c r="F46" s="1">
        <v>0</v>
      </c>
      <c r="G46" s="1">
        <v>62</v>
      </c>
      <c r="H46" s="1">
        <v>938</v>
      </c>
      <c r="I46" s="1">
        <v>19</v>
      </c>
      <c r="J46" s="1">
        <v>843</v>
      </c>
      <c r="K46" s="1">
        <v>25</v>
      </c>
      <c r="L46" s="1">
        <v>95</v>
      </c>
      <c r="M46" s="1">
        <v>38</v>
      </c>
      <c r="N46" s="1">
        <v>1</v>
      </c>
      <c r="O46" s="1">
        <v>6</v>
      </c>
      <c r="P46" s="1">
        <v>6</v>
      </c>
      <c r="Q46" s="1">
        <v>7</v>
      </c>
      <c r="R46" s="1">
        <v>2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47</v>
      </c>
      <c r="AA46" s="1" t="str" cm="1">
        <f t="array" ref="AA46">_xlfn.IFS(AND(Z46&lt;36, Z46&gt;23), "24-35", AND(Z46&lt;51, Z46&gt;35),"36-50", AND(Z46&lt;66, Z46&gt;50), "51-66", Z46&gt;65, "66+", TRUE, "?")</f>
        <v>36-50</v>
      </c>
      <c r="AB46" s="1">
        <v>2190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1882</v>
      </c>
      <c r="AM46" s="2">
        <v>42659</v>
      </c>
      <c r="AN46" t="str">
        <f t="shared" si="1"/>
        <v>85844,1920,0.0223661525557989,0,0,62,938,19,843,25,95,38,1,6,6,7,2,0,0,0,0,1,0,0,47,36-50,2190,0,1,0,0,0,0,0,0,1,1882,42659</v>
      </c>
    </row>
    <row r="47" spans="1:40" ht="13" x14ac:dyDescent="0.15">
      <c r="A47">
        <v>186</v>
      </c>
      <c r="B47" s="1">
        <v>84169</v>
      </c>
      <c r="C47" s="1">
        <v>1919</v>
      </c>
      <c r="D47" s="4">
        <f t="shared" si="0"/>
        <v>2.279936793831458E-2</v>
      </c>
      <c r="E47" s="1">
        <v>0</v>
      </c>
      <c r="F47" s="1">
        <v>0</v>
      </c>
      <c r="G47" s="1">
        <v>9</v>
      </c>
      <c r="H47" s="1">
        <v>1478</v>
      </c>
      <c r="I47" s="1">
        <v>19</v>
      </c>
      <c r="J47" s="1">
        <v>403</v>
      </c>
      <c r="K47" s="1">
        <v>0</v>
      </c>
      <c r="L47" s="1">
        <v>19</v>
      </c>
      <c r="M47" s="1">
        <v>0</v>
      </c>
      <c r="N47" s="1">
        <v>1</v>
      </c>
      <c r="O47" s="1">
        <v>7</v>
      </c>
      <c r="P47" s="1">
        <v>6</v>
      </c>
      <c r="Q47" s="1">
        <v>6</v>
      </c>
      <c r="R47" s="1">
        <v>3</v>
      </c>
      <c r="S47" s="1">
        <v>0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1</v>
      </c>
      <c r="Z47" s="1">
        <v>38</v>
      </c>
      <c r="AA47" s="1" t="str" cm="1">
        <f t="array" ref="AA47">_xlfn.IFS(AND(Z47&lt;36, Z47&gt;23), "24-35", AND(Z47&lt;51, Z47&gt;35),"36-50", AND(Z47&lt;66, Z47&gt;50), "51-66", Z47&gt;65, "66+", TRUE, "?")</f>
        <v>36-50</v>
      </c>
      <c r="AB47" s="1">
        <v>2485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1919</v>
      </c>
      <c r="AM47" s="2">
        <v>42364</v>
      </c>
      <c r="AN47" t="str">
        <f t="shared" si="1"/>
        <v>84169,1919,0.0227993679383146,0,0,9,1478,19,403,0,19,0,1,7,6,6,3,0,0,0,1,1,0,1,38,36-50,2485,0,1,0,0,0,0,0,0,1,1919,42364</v>
      </c>
    </row>
    <row r="48" spans="1:40" ht="13" hidden="1" x14ac:dyDescent="0.15">
      <c r="A48">
        <v>1725</v>
      </c>
      <c r="B48" s="1">
        <v>88420</v>
      </c>
      <c r="C48" s="1">
        <v>1916</v>
      </c>
      <c r="D48" s="4">
        <f t="shared" si="0"/>
        <v>2.1669305586971273E-2</v>
      </c>
      <c r="E48" s="1">
        <v>0</v>
      </c>
      <c r="F48" s="1">
        <v>0</v>
      </c>
      <c r="G48" s="1">
        <v>87</v>
      </c>
      <c r="H48" s="1">
        <v>957</v>
      </c>
      <c r="I48" s="1">
        <v>153</v>
      </c>
      <c r="J48" s="1">
        <v>612</v>
      </c>
      <c r="K48" s="1">
        <v>99</v>
      </c>
      <c r="L48" s="1">
        <v>95</v>
      </c>
      <c r="M48" s="1">
        <v>153</v>
      </c>
      <c r="N48" s="1">
        <v>1</v>
      </c>
      <c r="O48" s="1">
        <v>4</v>
      </c>
      <c r="P48" s="1">
        <v>7</v>
      </c>
      <c r="Q48" s="1">
        <v>8</v>
      </c>
      <c r="R48" s="1">
        <v>1</v>
      </c>
      <c r="S48" s="1">
        <v>1</v>
      </c>
      <c r="T48" s="1">
        <v>0</v>
      </c>
      <c r="U48" s="1">
        <v>1</v>
      </c>
      <c r="V48" s="1">
        <v>0</v>
      </c>
      <c r="W48" s="1">
        <v>1</v>
      </c>
      <c r="X48" s="1">
        <v>0</v>
      </c>
      <c r="Y48" s="1">
        <v>0</v>
      </c>
      <c r="Z48" s="1">
        <v>31</v>
      </c>
      <c r="AA48" s="1" t="str" cm="1">
        <f t="array" ref="AA48">_xlfn.IFS(AND(Z48&lt;36, Z48&gt;23), "24-35", AND(Z48&lt;51, Z48&gt;35),"36-50", AND(Z48&lt;66, Z48&gt;50), "51-66", Z48&gt;65, "66+", TRUE, "?")</f>
        <v>24-35</v>
      </c>
      <c r="AB48" s="1">
        <v>2217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1</v>
      </c>
      <c r="AK48" s="1">
        <v>0</v>
      </c>
      <c r="AL48" s="1">
        <v>1763</v>
      </c>
      <c r="AM48" s="2">
        <v>42632</v>
      </c>
      <c r="AN48" t="str">
        <f t="shared" si="1"/>
        <v>88420,1916,0.0216693055869713,0,0,87,957,153,612,99,95,153,1,4,7,8,1,1,0,1,0,1,0,0,31,24-35,2217,0,0,0,1,0,0,0,1,0,1763,42632</v>
      </c>
    </row>
    <row r="49" spans="1:40" ht="13" x14ac:dyDescent="0.15">
      <c r="A49">
        <v>191</v>
      </c>
      <c r="B49" s="1">
        <v>79174</v>
      </c>
      <c r="C49" s="1">
        <v>1914</v>
      </c>
      <c r="D49" s="4">
        <f t="shared" si="0"/>
        <v>2.417460277363781E-2</v>
      </c>
      <c r="E49" s="1">
        <v>0</v>
      </c>
      <c r="F49" s="1">
        <v>0</v>
      </c>
      <c r="G49" s="1">
        <v>2</v>
      </c>
      <c r="H49" s="1">
        <v>1074</v>
      </c>
      <c r="I49" s="1">
        <v>37</v>
      </c>
      <c r="J49" s="1">
        <v>518</v>
      </c>
      <c r="K49" s="1">
        <v>193</v>
      </c>
      <c r="L49" s="1">
        <v>92</v>
      </c>
      <c r="M49" s="1">
        <v>129</v>
      </c>
      <c r="N49" s="1">
        <v>1</v>
      </c>
      <c r="O49" s="1">
        <v>5</v>
      </c>
      <c r="P49" s="1">
        <v>6</v>
      </c>
      <c r="Q49" s="1">
        <v>7</v>
      </c>
      <c r="R49" s="1">
        <v>2</v>
      </c>
      <c r="S49" s="1">
        <v>1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1</v>
      </c>
      <c r="Z49" s="1">
        <v>45</v>
      </c>
      <c r="AA49" s="1" t="str" cm="1">
        <f t="array" ref="AA49">_xlfn.IFS(AND(Z49&lt;36, Z49&gt;23), "24-35", AND(Z49&lt;51, Z49&gt;35),"36-50", AND(Z49&lt;66, Z49&gt;50), "51-66", Z49&gt;65, "66+", TRUE, "?")</f>
        <v>36-50</v>
      </c>
      <c r="AB49" s="1">
        <v>2693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1785</v>
      </c>
      <c r="AM49" s="2">
        <v>42156</v>
      </c>
      <c r="AN49" t="str">
        <f t="shared" si="1"/>
        <v>79174,1914,0.0241746027736378,0,0,2,1074,37,518,193,92,129,1,5,6,7,2,1,0,0,0,1,0,1,45,36-50,2693,0,1,0,0,0,0,0,0,1,1785,42156</v>
      </c>
    </row>
    <row r="50" spans="1:40" ht="13" x14ac:dyDescent="0.15">
      <c r="A50">
        <v>212</v>
      </c>
      <c r="B50" s="1">
        <v>72968</v>
      </c>
      <c r="C50" s="1">
        <v>1903</v>
      </c>
      <c r="D50" s="4">
        <f t="shared" si="0"/>
        <v>2.6079925446771186E-2</v>
      </c>
      <c r="E50" s="1">
        <v>0</v>
      </c>
      <c r="F50" s="1">
        <v>0</v>
      </c>
      <c r="G50" s="1">
        <v>8</v>
      </c>
      <c r="H50" s="1">
        <v>1092</v>
      </c>
      <c r="I50" s="1">
        <v>37</v>
      </c>
      <c r="J50" s="1">
        <v>592</v>
      </c>
      <c r="K50" s="1">
        <v>145</v>
      </c>
      <c r="L50" s="1">
        <v>37</v>
      </c>
      <c r="M50" s="1">
        <v>55</v>
      </c>
      <c r="N50" s="1">
        <v>1</v>
      </c>
      <c r="O50" s="1">
        <v>5</v>
      </c>
      <c r="P50" s="1">
        <v>5</v>
      </c>
      <c r="Q50" s="1">
        <v>8</v>
      </c>
      <c r="R50" s="1">
        <v>3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57</v>
      </c>
      <c r="AA50" s="1" t="str" cm="1">
        <f t="array" ref="AA50">_xlfn.IFS(AND(Z50&lt;36, Z50&gt;23), "24-35", AND(Z50&lt;51, Z50&gt;35),"36-50", AND(Z50&lt;66, Z50&gt;50), "51-66", Z50&gt;65, "66+", TRUE, "?")</f>
        <v>51-66</v>
      </c>
      <c r="AB50" s="1">
        <v>2354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1</v>
      </c>
      <c r="AL50" s="1">
        <v>1848</v>
      </c>
      <c r="AM50" s="2">
        <v>42495</v>
      </c>
      <c r="AN50" t="str">
        <f t="shared" si="1"/>
        <v>72968,1903,0.0260799254467712,0,0,8,1092,37,592,145,37,55,1,5,5,8,3,1,0,0,0,0,0,1,57,51-66,2354,1,0,0,0,0,0,0,0,1,1848,42495</v>
      </c>
    </row>
    <row r="51" spans="1:40" ht="13" hidden="1" x14ac:dyDescent="0.15">
      <c r="A51">
        <v>488</v>
      </c>
      <c r="B51" s="1">
        <v>80184</v>
      </c>
      <c r="C51" s="1">
        <v>1902</v>
      </c>
      <c r="D51" s="4">
        <f t="shared" si="0"/>
        <v>2.3720442981143369E-2</v>
      </c>
      <c r="E51" s="1">
        <v>0</v>
      </c>
      <c r="F51" s="1">
        <v>0</v>
      </c>
      <c r="G51" s="1">
        <v>19</v>
      </c>
      <c r="H51" s="1">
        <v>1035</v>
      </c>
      <c r="I51" s="1">
        <v>134</v>
      </c>
      <c r="J51" s="1">
        <v>670</v>
      </c>
      <c r="K51" s="1">
        <v>25</v>
      </c>
      <c r="L51" s="1">
        <v>38</v>
      </c>
      <c r="M51" s="1">
        <v>0</v>
      </c>
      <c r="N51" s="1">
        <v>1</v>
      </c>
      <c r="O51" s="1">
        <v>6</v>
      </c>
      <c r="P51" s="1">
        <v>3</v>
      </c>
      <c r="Q51" s="1">
        <v>10</v>
      </c>
      <c r="R51" s="1">
        <v>3</v>
      </c>
      <c r="S51" s="1">
        <v>1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76</v>
      </c>
      <c r="AA51" s="1" t="str" cm="1">
        <f t="array" ref="AA51">_xlfn.IFS(AND(Z51&lt;36, Z51&gt;23), "24-35", AND(Z51&lt;51, Z51&gt;35),"36-50", AND(Z51&lt;66, Z51&gt;50), "51-66", Z51&gt;65, "66+", TRUE, "?")</f>
        <v>66+</v>
      </c>
      <c r="AB51" s="1">
        <v>2279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1902</v>
      </c>
      <c r="AM51" s="2">
        <v>42570</v>
      </c>
      <c r="AN51" t="str">
        <f t="shared" si="1"/>
        <v>80184,1902,0.0237204429811434,0,0,19,1035,134,670,25,38,0,1,6,3,10,3,1,0,0,0,1,0,0,76,66+,2279,0,1,0,0,0,0,0,1,0,1902,42570</v>
      </c>
    </row>
    <row r="52" spans="1:40" ht="13" hidden="1" x14ac:dyDescent="0.15">
      <c r="A52">
        <v>1271</v>
      </c>
      <c r="B52" s="1">
        <v>80695</v>
      </c>
      <c r="C52" s="1">
        <v>1900</v>
      </c>
      <c r="D52" s="4">
        <f t="shared" si="0"/>
        <v>2.3545448912572032E-2</v>
      </c>
      <c r="E52" s="1">
        <v>0</v>
      </c>
      <c r="F52" s="1">
        <v>0</v>
      </c>
      <c r="G52" s="1">
        <v>85</v>
      </c>
      <c r="H52" s="1">
        <v>557</v>
      </c>
      <c r="I52" s="1">
        <v>129</v>
      </c>
      <c r="J52" s="1">
        <v>984</v>
      </c>
      <c r="K52" s="1">
        <v>193</v>
      </c>
      <c r="L52" s="1">
        <v>37</v>
      </c>
      <c r="M52" s="1">
        <v>18</v>
      </c>
      <c r="N52" s="1">
        <v>1</v>
      </c>
      <c r="O52" s="1">
        <v>5</v>
      </c>
      <c r="P52" s="1">
        <v>8</v>
      </c>
      <c r="Q52" s="1">
        <v>5</v>
      </c>
      <c r="R52" s="1">
        <v>2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57</v>
      </c>
      <c r="AA52" s="1" t="str" cm="1">
        <f t="array" ref="AA52">_xlfn.IFS(AND(Z52&lt;36, Z52&gt;23), "24-35", AND(Z52&lt;51, Z52&gt;35),"36-50", AND(Z52&lt;66, Z52&gt;50), "51-66", Z52&gt;65, "66+", TRUE, "?")</f>
        <v>51-66</v>
      </c>
      <c r="AB52" s="1">
        <v>2341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1882</v>
      </c>
      <c r="AM52" s="2">
        <v>42508</v>
      </c>
      <c r="AN52" t="str">
        <f t="shared" si="1"/>
        <v>80695,1900,0.023545448912572,0,0,85,557,129,984,193,37,18,1,5,8,5,2,0,0,0,0,0,0,0,57,51-66,2341,0,0,1,0,0,0,1,0,0,1882,42508</v>
      </c>
    </row>
    <row r="53" spans="1:40" ht="13" hidden="1" x14ac:dyDescent="0.15">
      <c r="A53">
        <v>919</v>
      </c>
      <c r="B53" s="1">
        <v>82576</v>
      </c>
      <c r="C53" s="1">
        <v>1892</v>
      </c>
      <c r="D53" s="4">
        <f t="shared" si="0"/>
        <v>2.2912226312730093E-2</v>
      </c>
      <c r="E53" s="1">
        <v>0</v>
      </c>
      <c r="F53" s="1">
        <v>0</v>
      </c>
      <c r="G53" s="1">
        <v>66</v>
      </c>
      <c r="H53" s="1">
        <v>1206</v>
      </c>
      <c r="I53" s="1">
        <v>55</v>
      </c>
      <c r="J53" s="1">
        <v>445</v>
      </c>
      <c r="K53" s="1">
        <v>168</v>
      </c>
      <c r="L53" s="1">
        <v>18</v>
      </c>
      <c r="M53" s="1">
        <v>18</v>
      </c>
      <c r="N53" s="1">
        <v>1</v>
      </c>
      <c r="O53" s="1">
        <v>2</v>
      </c>
      <c r="P53" s="1">
        <v>4</v>
      </c>
      <c r="Q53" s="1">
        <v>12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  <c r="Z53" s="1">
        <v>61</v>
      </c>
      <c r="AA53" s="1" t="str" cm="1">
        <f t="array" ref="AA53">_xlfn.IFS(AND(Z53&lt;36, Z53&gt;23), "24-35", AND(Z53&lt;51, Z53&gt;35),"36-50", AND(Z53&lt;66, Z53&gt;50), "51-66", Z53&gt;65, "66+", TRUE, "?")</f>
        <v>51-66</v>
      </c>
      <c r="AB53" s="1">
        <v>2856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1</v>
      </c>
      <c r="AK53" s="1">
        <v>0</v>
      </c>
      <c r="AL53" s="1">
        <v>1874</v>
      </c>
      <c r="AM53" s="2">
        <v>41993</v>
      </c>
      <c r="AN53" t="str">
        <f t="shared" si="1"/>
        <v>82576,1892,0.0229122263127301,0,0,66,1206,55,445,168,18,18,1,2,4,12,1,0,0,0,0,1,0,0,61,51-66,2856,0,0,0,1,0,0,0,1,0,1874,41993</v>
      </c>
    </row>
    <row r="54" spans="1:40" ht="13" x14ac:dyDescent="0.15">
      <c r="A54">
        <v>224</v>
      </c>
      <c r="B54" s="1">
        <v>78687</v>
      </c>
      <c r="C54" s="1">
        <v>1889</v>
      </c>
      <c r="D54" s="4">
        <f t="shared" si="0"/>
        <v>2.4006506792735777E-2</v>
      </c>
      <c r="E54" s="1">
        <v>0</v>
      </c>
      <c r="F54" s="1">
        <v>0</v>
      </c>
      <c r="G54" s="1">
        <v>13</v>
      </c>
      <c r="H54" s="1">
        <v>817</v>
      </c>
      <c r="I54" s="1">
        <v>185</v>
      </c>
      <c r="J54" s="1">
        <v>687</v>
      </c>
      <c r="K54" s="1">
        <v>145</v>
      </c>
      <c r="L54" s="1">
        <v>55</v>
      </c>
      <c r="M54" s="1">
        <v>241</v>
      </c>
      <c r="N54" s="1">
        <v>1</v>
      </c>
      <c r="O54" s="1">
        <v>4</v>
      </c>
      <c r="P54" s="1">
        <v>6</v>
      </c>
      <c r="Q54" s="1">
        <v>8</v>
      </c>
      <c r="R54" s="1">
        <v>2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1</v>
      </c>
      <c r="Z54" s="1">
        <v>37</v>
      </c>
      <c r="AA54" s="1" t="str" cm="1">
        <f t="array" ref="AA54">_xlfn.IFS(AND(Z54&lt;36, Z54&gt;23), "24-35", AND(Z54&lt;51, Z54&gt;35),"36-50", AND(Z54&lt;66, Z54&gt;50), "51-66", Z54&gt;65, "66+", TRUE, "?")</f>
        <v>36-50</v>
      </c>
      <c r="AB54" s="1">
        <v>2848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1648</v>
      </c>
      <c r="AM54" s="2">
        <v>42001</v>
      </c>
      <c r="AN54" t="str">
        <f t="shared" si="1"/>
        <v>78687,1889,0.0240065067927358,0,0,13,817,185,687,145,55,241,1,4,6,8,2,0,0,0,0,1,0,1,37,36-50,2848,0,0,0,1,0,0,1,0,0,1648,42001</v>
      </c>
    </row>
    <row r="55" spans="1:40" ht="13" hidden="1" x14ac:dyDescent="0.15">
      <c r="A55">
        <v>832</v>
      </c>
      <c r="B55" s="1">
        <v>82072</v>
      </c>
      <c r="C55" s="1">
        <v>1889</v>
      </c>
      <c r="D55" s="4">
        <f t="shared" si="0"/>
        <v>2.3016375865094064E-2</v>
      </c>
      <c r="E55" s="1">
        <v>0</v>
      </c>
      <c r="F55" s="1">
        <v>0</v>
      </c>
      <c r="G55" s="1">
        <v>67</v>
      </c>
      <c r="H55" s="1">
        <v>889</v>
      </c>
      <c r="I55" s="1">
        <v>55</v>
      </c>
      <c r="J55" s="1">
        <v>685</v>
      </c>
      <c r="K55" s="1">
        <v>168</v>
      </c>
      <c r="L55" s="1">
        <v>92</v>
      </c>
      <c r="M55" s="1">
        <v>129</v>
      </c>
      <c r="N55" s="1">
        <v>1</v>
      </c>
      <c r="O55" s="1">
        <v>3</v>
      </c>
      <c r="P55" s="1">
        <v>2</v>
      </c>
      <c r="Q55" s="1">
        <v>13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50</v>
      </c>
      <c r="AA55" s="1" t="str" cm="1">
        <f t="array" ref="AA55">_xlfn.IFS(AND(Z55&lt;36, Z55&gt;23), "24-35", AND(Z55&lt;51, Z55&gt;35),"36-50", AND(Z55&lt;66, Z55&gt;50), "51-66", Z55&gt;65, "66+", TRUE, "?")</f>
        <v>36-50</v>
      </c>
      <c r="AB55" s="1">
        <v>2521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1760</v>
      </c>
      <c r="AM55" s="2">
        <v>42328</v>
      </c>
      <c r="AN55" t="str">
        <f t="shared" si="1"/>
        <v>82072,1889,0.0230163758650941,0,0,67,889,55,685,168,92,129,1,3,2,13,1,0,0,0,0,0,0,0,50,36-50,2521,0,0,0,1,0,0,0,0,1,1760,42328</v>
      </c>
    </row>
    <row r="56" spans="1:40" ht="13" hidden="1" x14ac:dyDescent="0.15">
      <c r="A56">
        <v>872</v>
      </c>
      <c r="B56" s="1">
        <v>74116</v>
      </c>
      <c r="C56" s="1">
        <v>1886</v>
      </c>
      <c r="D56" s="4">
        <f t="shared" si="0"/>
        <v>2.5446597225970102E-2</v>
      </c>
      <c r="E56" s="1">
        <v>0</v>
      </c>
      <c r="F56" s="1">
        <v>0</v>
      </c>
      <c r="G56" s="1">
        <v>53</v>
      </c>
      <c r="H56" s="1">
        <v>871</v>
      </c>
      <c r="I56" s="1">
        <v>111</v>
      </c>
      <c r="J56" s="1">
        <v>704</v>
      </c>
      <c r="K56" s="1">
        <v>145</v>
      </c>
      <c r="L56" s="1">
        <v>55</v>
      </c>
      <c r="M56" s="1">
        <v>166</v>
      </c>
      <c r="N56" s="1">
        <v>1</v>
      </c>
      <c r="O56" s="1">
        <v>4</v>
      </c>
      <c r="P56" s="1">
        <v>4</v>
      </c>
      <c r="Q56" s="1">
        <v>10</v>
      </c>
      <c r="R56" s="1">
        <v>2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38</v>
      </c>
      <c r="AA56" s="1" t="str" cm="1">
        <f t="array" ref="AA56">_xlfn.IFS(AND(Z56&lt;36, Z56&gt;23), "24-35", AND(Z56&lt;51, Z56&gt;35),"36-50", AND(Z56&lt;66, Z56&gt;50), "51-66", Z56&gt;65, "66+", TRUE, "?")</f>
        <v>36-50</v>
      </c>
      <c r="AB56" s="1">
        <v>2340</v>
      </c>
      <c r="AC56" s="1">
        <v>0</v>
      </c>
      <c r="AD56" s="1">
        <v>0</v>
      </c>
      <c r="AE56" s="1">
        <v>1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1">
        <v>1720</v>
      </c>
      <c r="AM56" s="2">
        <v>42509</v>
      </c>
      <c r="AN56" t="str">
        <f t="shared" si="1"/>
        <v>74116,1886,0.0254465972259701,0,0,53,871,111,704,145,55,166,1,4,4,10,2,0,0,0,1,0,0,0,38,36-50,2340,0,0,1,0,0,1,0,0,0,1720,42509</v>
      </c>
    </row>
    <row r="57" spans="1:40" ht="13" hidden="1" x14ac:dyDescent="0.15">
      <c r="A57">
        <v>1642</v>
      </c>
      <c r="B57" s="1">
        <v>75702</v>
      </c>
      <c r="C57" s="1">
        <v>1884</v>
      </c>
      <c r="D57" s="4">
        <f t="shared" si="0"/>
        <v>2.4887057145121662E-2</v>
      </c>
      <c r="E57" s="1">
        <v>0</v>
      </c>
      <c r="F57" s="1">
        <v>1</v>
      </c>
      <c r="G57" s="1">
        <v>87</v>
      </c>
      <c r="H57" s="1">
        <v>1073</v>
      </c>
      <c r="I57" s="1">
        <v>0</v>
      </c>
      <c r="J57" s="1">
        <v>629</v>
      </c>
      <c r="K57" s="1">
        <v>145</v>
      </c>
      <c r="L57" s="1">
        <v>37</v>
      </c>
      <c r="M57" s="1">
        <v>37</v>
      </c>
      <c r="N57" s="1">
        <v>1</v>
      </c>
      <c r="O57" s="1">
        <v>10</v>
      </c>
      <c r="P57" s="1">
        <v>5</v>
      </c>
      <c r="Q57" s="1">
        <v>13</v>
      </c>
      <c r="R57" s="1">
        <v>6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46</v>
      </c>
      <c r="AA57" s="1" t="str" cm="1">
        <f t="array" ref="AA57">_xlfn.IFS(AND(Z57&lt;36, Z57&gt;23), "24-35", AND(Z57&lt;51, Z57&gt;35),"36-50", AND(Z57&lt;66, Z57&gt;50), "51-66", Z57&gt;65, "66+", TRUE, "?")</f>
        <v>36-50</v>
      </c>
      <c r="AB57" s="1">
        <v>2782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1</v>
      </c>
      <c r="AJ57" s="1">
        <v>0</v>
      </c>
      <c r="AK57" s="1">
        <v>0</v>
      </c>
      <c r="AL57" s="1">
        <v>1847</v>
      </c>
      <c r="AM57" s="2">
        <v>42067</v>
      </c>
      <c r="AN57" t="str">
        <f t="shared" si="1"/>
        <v>75702,1884,0.0248870571451217,0,1,87,1073,0,629,145,37,37,1,10,5,13,6,0,0,0,0,1,0,0,46,36-50,2782,0,0,0,1,0,0,1,0,0,1847,42067</v>
      </c>
    </row>
    <row r="58" spans="1:40" ht="13" x14ac:dyDescent="0.15">
      <c r="A58">
        <v>227</v>
      </c>
      <c r="B58" s="1">
        <v>95169</v>
      </c>
      <c r="C58" s="1">
        <v>1881</v>
      </c>
      <c r="D58" s="4">
        <f t="shared" si="0"/>
        <v>1.9764839390978155E-2</v>
      </c>
      <c r="E58" s="1">
        <v>0</v>
      </c>
      <c r="F58" s="1">
        <v>0</v>
      </c>
      <c r="G58" s="1">
        <v>1</v>
      </c>
      <c r="H58" s="1">
        <v>1285</v>
      </c>
      <c r="I58" s="1">
        <v>21</v>
      </c>
      <c r="J58" s="1">
        <v>449</v>
      </c>
      <c r="K58" s="1">
        <v>106</v>
      </c>
      <c r="L58" s="1">
        <v>20</v>
      </c>
      <c r="M58" s="1">
        <v>20</v>
      </c>
      <c r="N58" s="1">
        <v>1</v>
      </c>
      <c r="O58" s="1">
        <v>4</v>
      </c>
      <c r="P58" s="1">
        <v>3</v>
      </c>
      <c r="Q58" s="1">
        <v>4</v>
      </c>
      <c r="R58" s="1">
        <v>1</v>
      </c>
      <c r="S58" s="1">
        <v>1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1</v>
      </c>
      <c r="Z58" s="1">
        <v>33</v>
      </c>
      <c r="AA58" s="1" t="str" cm="1">
        <f t="array" ref="AA58">_xlfn.IFS(AND(Z58&lt;36, Z58&gt;23), "24-35", AND(Z58&lt;51, Z58&gt;35),"36-50", AND(Z58&lt;66, Z58&gt;50), "51-66", Z58&gt;65, "66+", TRUE, "?")</f>
        <v>24-35</v>
      </c>
      <c r="AB58" s="1">
        <v>2422</v>
      </c>
      <c r="AC58" s="1">
        <v>0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1</v>
      </c>
      <c r="AL58" s="1">
        <v>1861</v>
      </c>
      <c r="AM58" s="2">
        <v>42427</v>
      </c>
      <c r="AN58" t="str">
        <f t="shared" si="1"/>
        <v>95169,1881,0.0197648393909782,0,0,1,1285,21,449,106,20,20,1,4,3,4,1,1,0,0,0,1,0,1,33,24-35,2422,0,0,1,0,0,0,0,0,1,1861,42427</v>
      </c>
    </row>
    <row r="59" spans="1:40" ht="13" x14ac:dyDescent="0.15">
      <c r="A59">
        <v>233</v>
      </c>
      <c r="B59" s="1">
        <v>90273</v>
      </c>
      <c r="C59" s="1">
        <v>1880</v>
      </c>
      <c r="D59" s="4">
        <f t="shared" si="0"/>
        <v>2.0825717545667033E-2</v>
      </c>
      <c r="E59" s="1">
        <v>0</v>
      </c>
      <c r="F59" s="1">
        <v>0</v>
      </c>
      <c r="G59" s="1">
        <v>32</v>
      </c>
      <c r="H59" s="1">
        <v>704</v>
      </c>
      <c r="I59" s="1">
        <v>129</v>
      </c>
      <c r="J59" s="1">
        <v>853</v>
      </c>
      <c r="K59" s="1">
        <v>120</v>
      </c>
      <c r="L59" s="1">
        <v>74</v>
      </c>
      <c r="M59" s="1">
        <v>111</v>
      </c>
      <c r="N59" s="1">
        <v>1</v>
      </c>
      <c r="O59" s="1">
        <v>5</v>
      </c>
      <c r="P59" s="1">
        <v>6</v>
      </c>
      <c r="Q59" s="1">
        <v>7</v>
      </c>
      <c r="R59" s="1">
        <v>2</v>
      </c>
      <c r="S59" s="1">
        <v>1</v>
      </c>
      <c r="T59" s="1">
        <v>0</v>
      </c>
      <c r="U59" s="1">
        <v>0</v>
      </c>
      <c r="V59" s="1">
        <v>1</v>
      </c>
      <c r="W59" s="1">
        <v>1</v>
      </c>
      <c r="X59" s="1">
        <v>0</v>
      </c>
      <c r="Y59" s="1">
        <v>1</v>
      </c>
      <c r="Z59" s="1">
        <v>29</v>
      </c>
      <c r="AA59" s="1" t="str" cm="1">
        <f t="array" ref="AA59">_xlfn.IFS(AND(Z59&lt;36, Z59&gt;23), "24-35", AND(Z59&lt;51, Z59&gt;35),"36-50", AND(Z59&lt;66, Z59&gt;50), "51-66", Z59&gt;65, "66+", TRUE, "?")</f>
        <v>24-35</v>
      </c>
      <c r="AB59" s="1">
        <v>2356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1769</v>
      </c>
      <c r="AM59" s="2">
        <v>42493</v>
      </c>
      <c r="AN59" t="str">
        <f t="shared" si="1"/>
        <v>90273,1880,0.020825717545667,0,0,32,704,129,853,120,74,111,1,5,6,7,2,1,0,0,1,1,0,1,29,24-35,2356,0,0,1,0,0,0,1,0,0,1769,42493</v>
      </c>
    </row>
    <row r="60" spans="1:40" ht="13" x14ac:dyDescent="0.15">
      <c r="A60">
        <v>241</v>
      </c>
      <c r="B60" s="1">
        <v>81205</v>
      </c>
      <c r="C60" s="1">
        <v>1879</v>
      </c>
      <c r="D60" s="4">
        <f t="shared" si="0"/>
        <v>2.3138969275290931E-2</v>
      </c>
      <c r="E60" s="1">
        <v>0</v>
      </c>
      <c r="F60" s="1">
        <v>0</v>
      </c>
      <c r="G60" s="1">
        <v>43</v>
      </c>
      <c r="H60" s="1">
        <v>724</v>
      </c>
      <c r="I60" s="1">
        <v>74</v>
      </c>
      <c r="J60" s="1">
        <v>929</v>
      </c>
      <c r="K60" s="1">
        <v>97</v>
      </c>
      <c r="L60" s="1">
        <v>55</v>
      </c>
      <c r="M60" s="1">
        <v>130</v>
      </c>
      <c r="N60" s="1">
        <v>1</v>
      </c>
      <c r="O60" s="1">
        <v>5</v>
      </c>
      <c r="P60" s="1">
        <v>6</v>
      </c>
      <c r="Q60" s="1">
        <v>7</v>
      </c>
      <c r="R60" s="1">
        <v>2</v>
      </c>
      <c r="S60" s="1">
        <v>0</v>
      </c>
      <c r="T60" s="1">
        <v>1</v>
      </c>
      <c r="U60" s="1">
        <v>1</v>
      </c>
      <c r="V60" s="1">
        <v>0</v>
      </c>
      <c r="W60" s="1">
        <v>1</v>
      </c>
      <c r="X60" s="1">
        <v>0</v>
      </c>
      <c r="Y60" s="1">
        <v>1</v>
      </c>
      <c r="Z60" s="1">
        <v>50</v>
      </c>
      <c r="AA60" s="1" t="str" cm="1">
        <f t="array" ref="AA60">_xlfn.IFS(AND(Z60&lt;36, Z60&gt;23), "24-35", AND(Z60&lt;51, Z60&gt;35),"36-50", AND(Z60&lt;66, Z60&gt;50), "51-66", Z60&gt;65, "66+", TRUE, "?")</f>
        <v>36-50</v>
      </c>
      <c r="AB60" s="1">
        <v>2326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  <c r="AL60" s="1">
        <v>1749</v>
      </c>
      <c r="AM60" s="2">
        <v>42523</v>
      </c>
      <c r="AN60" t="str">
        <f t="shared" si="1"/>
        <v>81205,1879,0.0231389692752909,0,0,43,724,74,929,97,55,130,1,5,6,7,2,0,1,1,0,1,0,1,50,36-50,2326,0,0,0,1,0,0,1,0,0,1749,42523</v>
      </c>
    </row>
    <row r="61" spans="1:40" ht="13" x14ac:dyDescent="0.15">
      <c r="A61">
        <v>245</v>
      </c>
      <c r="B61" s="1">
        <v>75251</v>
      </c>
      <c r="C61" s="1">
        <v>1872</v>
      </c>
      <c r="D61" s="4">
        <f t="shared" si="0"/>
        <v>2.4876745823975761E-2</v>
      </c>
      <c r="E61" s="1">
        <v>0</v>
      </c>
      <c r="F61" s="1">
        <v>0</v>
      </c>
      <c r="G61" s="1">
        <v>34</v>
      </c>
      <c r="H61" s="1">
        <v>721</v>
      </c>
      <c r="I61" s="1">
        <v>111</v>
      </c>
      <c r="J61" s="1">
        <v>925</v>
      </c>
      <c r="K61" s="1">
        <v>97</v>
      </c>
      <c r="L61" s="1">
        <v>18</v>
      </c>
      <c r="M61" s="1">
        <v>18</v>
      </c>
      <c r="N61" s="1">
        <v>1</v>
      </c>
      <c r="O61" s="1">
        <v>7</v>
      </c>
      <c r="P61" s="1">
        <v>6</v>
      </c>
      <c r="Q61" s="1">
        <v>5</v>
      </c>
      <c r="R61" s="1">
        <v>5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48</v>
      </c>
      <c r="AA61" s="1" t="str" cm="1">
        <f t="array" ref="AA61">_xlfn.IFS(AND(Z61&lt;36, Z61&gt;23), "24-35", AND(Z61&lt;51, Z61&gt;35),"36-50", AND(Z61&lt;66, Z61&gt;50), "51-66", Z61&gt;65, "66+", TRUE, "?")</f>
        <v>36-50</v>
      </c>
      <c r="AB61" s="1">
        <v>2830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1</v>
      </c>
      <c r="AK61" s="1">
        <v>0</v>
      </c>
      <c r="AL61" s="1">
        <v>1854</v>
      </c>
      <c r="AM61" s="2">
        <v>42019</v>
      </c>
      <c r="AN61" t="str">
        <f t="shared" si="1"/>
        <v>75251,1872,0.0248767458239758,0,0,34,721,111,925,97,18,18,1,7,6,5,5,0,0,0,0,0,0,1,48,36-50,2830,0,1,0,0,0,0,0,1,0,1854,42019</v>
      </c>
    </row>
    <row r="62" spans="1:40" ht="13" hidden="1" x14ac:dyDescent="0.15">
      <c r="A62">
        <v>1065</v>
      </c>
      <c r="B62" s="1">
        <v>85606</v>
      </c>
      <c r="C62" s="1">
        <v>1872</v>
      </c>
      <c r="D62" s="4">
        <f t="shared" si="0"/>
        <v>2.186762610097423E-2</v>
      </c>
      <c r="E62" s="1">
        <v>0</v>
      </c>
      <c r="F62" s="1">
        <v>1</v>
      </c>
      <c r="G62" s="1">
        <v>89</v>
      </c>
      <c r="H62" s="1">
        <v>717</v>
      </c>
      <c r="I62" s="1">
        <v>42</v>
      </c>
      <c r="J62" s="1">
        <v>864</v>
      </c>
      <c r="K62" s="1">
        <v>219</v>
      </c>
      <c r="L62" s="1">
        <v>30</v>
      </c>
      <c r="M62" s="1">
        <v>84</v>
      </c>
      <c r="N62" s="1">
        <v>2</v>
      </c>
      <c r="O62" s="1">
        <v>6</v>
      </c>
      <c r="P62" s="1">
        <v>7</v>
      </c>
      <c r="Q62" s="1">
        <v>9</v>
      </c>
      <c r="R62" s="1">
        <v>3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44</v>
      </c>
      <c r="AA62" s="1" t="str" cm="1">
        <f t="array" ref="AA62">_xlfn.IFS(AND(Z62&lt;36, Z62&gt;23), "24-35", AND(Z62&lt;51, Z62&gt;35),"36-50", AND(Z62&lt;66, Z62&gt;50), "51-66", Z62&gt;65, "66+", TRUE, "?")</f>
        <v>36-50</v>
      </c>
      <c r="AB62" s="1">
        <v>2753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1788</v>
      </c>
      <c r="AM62" s="2">
        <v>42096</v>
      </c>
      <c r="AN62" t="str">
        <f t="shared" si="1"/>
        <v>85606,1872,0.0218676261009742,0,1,89,717,42,864,219,30,84,2,6,7,9,3,1,0,0,0,0,0,0,44,36-50,2753,0,0,0,1,0,0,1,0,0,1788,42096</v>
      </c>
    </row>
    <row r="63" spans="1:40" ht="13" hidden="1" x14ac:dyDescent="0.15">
      <c r="A63">
        <v>927</v>
      </c>
      <c r="B63" s="1">
        <v>82170</v>
      </c>
      <c r="C63" s="1">
        <v>1871</v>
      </c>
      <c r="D63" s="4">
        <f t="shared" si="0"/>
        <v>2.2769867348180602E-2</v>
      </c>
      <c r="E63" s="1">
        <v>0</v>
      </c>
      <c r="F63" s="1">
        <v>0</v>
      </c>
      <c r="G63" s="1">
        <v>13</v>
      </c>
      <c r="H63" s="1">
        <v>1023</v>
      </c>
      <c r="I63" s="1">
        <v>93</v>
      </c>
      <c r="J63" s="1">
        <v>651</v>
      </c>
      <c r="K63" s="1">
        <v>49</v>
      </c>
      <c r="L63" s="1">
        <v>55</v>
      </c>
      <c r="M63" s="1">
        <v>37</v>
      </c>
      <c r="N63" s="1">
        <v>1</v>
      </c>
      <c r="O63" s="1">
        <v>5</v>
      </c>
      <c r="P63" s="1">
        <v>6</v>
      </c>
      <c r="Q63" s="1">
        <v>7</v>
      </c>
      <c r="R63" s="1">
        <v>2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42</v>
      </c>
      <c r="AA63" s="1" t="str" cm="1">
        <f t="array" ref="AA63">_xlfn.IFS(AND(Z63&lt;36, Z63&gt;23), "24-35", AND(Z63&lt;51, Z63&gt;35),"36-50", AND(Z63&lt;66, Z63&gt;50), "51-66", Z63&gt;65, "66+", TRUE, "?")</f>
        <v>36-50</v>
      </c>
      <c r="AB63" s="1">
        <v>2375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1</v>
      </c>
      <c r="AL63" s="1">
        <v>1834</v>
      </c>
      <c r="AM63" s="2">
        <v>42474</v>
      </c>
      <c r="AN63" t="str">
        <f t="shared" si="1"/>
        <v>82170,1871,0.0227698673481806,0,0,13,1023,93,651,49,55,37,1,5,6,7,2,0,0,0,0,0,0,0,42,36-50,2375,0,1,0,0,0,0,0,0,1,1834,42474</v>
      </c>
    </row>
    <row r="64" spans="1:40" ht="13" hidden="1" x14ac:dyDescent="0.15">
      <c r="A64">
        <v>482</v>
      </c>
      <c r="B64" s="1">
        <v>89120</v>
      </c>
      <c r="C64" s="1">
        <v>1869</v>
      </c>
      <c r="D64" s="4">
        <f t="shared" si="0"/>
        <v>2.0971723518850988E-2</v>
      </c>
      <c r="E64" s="1">
        <v>0</v>
      </c>
      <c r="F64" s="1">
        <v>0</v>
      </c>
      <c r="G64" s="1">
        <v>78</v>
      </c>
      <c r="H64" s="1">
        <v>1168</v>
      </c>
      <c r="I64" s="1">
        <v>92</v>
      </c>
      <c r="J64" s="1">
        <v>408</v>
      </c>
      <c r="K64" s="1">
        <v>72</v>
      </c>
      <c r="L64" s="1">
        <v>129</v>
      </c>
      <c r="M64" s="1">
        <v>55</v>
      </c>
      <c r="N64" s="1">
        <v>1</v>
      </c>
      <c r="O64" s="1">
        <v>5</v>
      </c>
      <c r="P64" s="1">
        <v>6</v>
      </c>
      <c r="Q64" s="1">
        <v>7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  <c r="Y64" s="1">
        <v>0</v>
      </c>
      <c r="Z64" s="1">
        <v>61</v>
      </c>
      <c r="AA64" s="1" t="str" cm="1">
        <f t="array" ref="AA64">_xlfn.IFS(AND(Z64&lt;36, Z64&gt;23), "24-35", AND(Z64&lt;51, Z64&gt;35),"36-50", AND(Z64&lt;66, Z64&gt;50), "51-66", Z64&gt;65, "66+", TRUE, "?")</f>
        <v>51-66</v>
      </c>
      <c r="AB64" s="1">
        <v>2263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1</v>
      </c>
      <c r="AK64" s="1">
        <v>0</v>
      </c>
      <c r="AL64" s="1">
        <v>1814</v>
      </c>
      <c r="AM64" s="2">
        <v>42586</v>
      </c>
      <c r="AN64" t="str">
        <f t="shared" si="1"/>
        <v>89120,1869,0.020971723518851,0,0,78,1168,92,408,72,129,55,1,5,6,7,1,0,0,0,0,1,0,0,61,51-66,2263,0,0,0,1,0,0,0,1,0,1814,42586</v>
      </c>
    </row>
    <row r="65" spans="1:40" ht="13" x14ac:dyDescent="0.15">
      <c r="A65">
        <v>248</v>
      </c>
      <c r="B65" s="1">
        <v>87188</v>
      </c>
      <c r="C65" s="1">
        <v>1868</v>
      </c>
      <c r="D65" s="4">
        <f t="shared" si="0"/>
        <v>2.1424966738542002E-2</v>
      </c>
      <c r="E65" s="1">
        <v>0</v>
      </c>
      <c r="F65" s="1">
        <v>0</v>
      </c>
      <c r="G65" s="1">
        <v>73</v>
      </c>
      <c r="H65" s="1">
        <v>910</v>
      </c>
      <c r="I65" s="1">
        <v>111</v>
      </c>
      <c r="J65" s="1">
        <v>724</v>
      </c>
      <c r="K65" s="1">
        <v>49</v>
      </c>
      <c r="L65" s="1">
        <v>74</v>
      </c>
      <c r="M65" s="1">
        <v>55</v>
      </c>
      <c r="N65" s="1">
        <v>1</v>
      </c>
      <c r="O65" s="1">
        <v>10</v>
      </c>
      <c r="P65" s="1">
        <v>2</v>
      </c>
      <c r="Q65" s="1">
        <v>6</v>
      </c>
      <c r="R65" s="1">
        <v>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37</v>
      </c>
      <c r="AA65" s="1" t="str" cm="1">
        <f t="array" ref="AA65">_xlfn.IFS(AND(Z65&lt;36, Z65&gt;23), "24-35", AND(Z65&lt;51, Z65&gt;35),"36-50", AND(Z65&lt;66, Z65&gt;50), "51-66", Z65&gt;65, "66+", TRUE, "?")</f>
        <v>36-50</v>
      </c>
      <c r="AB65" s="1">
        <v>2550</v>
      </c>
      <c r="AC65" s="1">
        <v>0</v>
      </c>
      <c r="AD65" s="1">
        <v>0</v>
      </c>
      <c r="AE65" s="1">
        <v>1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</v>
      </c>
      <c r="AL65" s="1">
        <v>1813</v>
      </c>
      <c r="AM65" s="2">
        <v>42299</v>
      </c>
      <c r="AN65" t="str">
        <f t="shared" si="1"/>
        <v>87188,1868,0.021424966738542,0,0,73,910,111,724,49,74,55,1,10,2,6,3,0,0,0,0,0,0,1,37,36-50,2550,0,0,1,0,0,0,0,0,1,1813,42299</v>
      </c>
    </row>
    <row r="66" spans="1:40" ht="13" x14ac:dyDescent="0.15">
      <c r="A66">
        <v>251</v>
      </c>
      <c r="B66" s="1">
        <v>81929</v>
      </c>
      <c r="C66" s="1">
        <v>1868</v>
      </c>
      <c r="D66" s="4">
        <f t="shared" ref="D66:D129" si="2">C66/B66</f>
        <v>2.2800229466977504E-2</v>
      </c>
      <c r="E66" s="1">
        <v>1</v>
      </c>
      <c r="F66" s="1">
        <v>0</v>
      </c>
      <c r="G66" s="1">
        <v>60</v>
      </c>
      <c r="H66" s="1">
        <v>1486</v>
      </c>
      <c r="I66" s="1">
        <v>55</v>
      </c>
      <c r="J66" s="1">
        <v>278</v>
      </c>
      <c r="K66" s="1">
        <v>49</v>
      </c>
      <c r="L66" s="1">
        <v>0</v>
      </c>
      <c r="M66" s="1">
        <v>185</v>
      </c>
      <c r="N66" s="1">
        <v>2</v>
      </c>
      <c r="O66" s="1">
        <v>4</v>
      </c>
      <c r="P66" s="1">
        <v>4</v>
      </c>
      <c r="Q66" s="1">
        <v>10</v>
      </c>
      <c r="R66" s="1">
        <v>6</v>
      </c>
      <c r="S66" s="1">
        <v>0</v>
      </c>
      <c r="T66" s="1">
        <v>0</v>
      </c>
      <c r="U66" s="1">
        <v>1</v>
      </c>
      <c r="V66" s="1">
        <v>0</v>
      </c>
      <c r="W66" s="1">
        <v>1</v>
      </c>
      <c r="X66" s="1">
        <v>0</v>
      </c>
      <c r="Y66" s="1">
        <v>1</v>
      </c>
      <c r="Z66" s="1">
        <v>44</v>
      </c>
      <c r="AA66" s="1" t="str" cm="1">
        <f t="array" ref="AA66">_xlfn.IFS(AND(Z66&lt;36, Z66&gt;23), "24-35", AND(Z66&lt;51, Z66&gt;35),"36-50", AND(Z66&lt;66, Z66&gt;50), "51-66", Z66&gt;65, "66+", TRUE, "?")</f>
        <v>36-50</v>
      </c>
      <c r="AB66" s="1">
        <v>2797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1683</v>
      </c>
      <c r="AM66" s="2">
        <v>42052</v>
      </c>
      <c r="AN66" t="str">
        <f t="shared" ref="AN66:AN129" si="3">_xlfn.TEXTJOIN(",",TRUE,B66:AM66)</f>
        <v>81929,1868,0.0228002294669775,1,0,60,1486,55,278,49,0,185,2,4,4,10,6,0,0,1,0,1,0,1,44,36-50,2797,0,1,0,0,0,0,0,1,0,1683,42052</v>
      </c>
    </row>
    <row r="67" spans="1:40" ht="13" x14ac:dyDescent="0.15">
      <c r="A67">
        <v>257</v>
      </c>
      <c r="B67" s="1">
        <v>83829</v>
      </c>
      <c r="C67" s="1">
        <v>1835</v>
      </c>
      <c r="D67" s="4">
        <f t="shared" si="2"/>
        <v>2.1889799472736164E-2</v>
      </c>
      <c r="E67" s="1">
        <v>0</v>
      </c>
      <c r="F67" s="1">
        <v>0</v>
      </c>
      <c r="G67" s="1">
        <v>78</v>
      </c>
      <c r="H67" s="1">
        <v>897</v>
      </c>
      <c r="I67" s="1">
        <v>161</v>
      </c>
      <c r="J67" s="1">
        <v>430</v>
      </c>
      <c r="K67" s="1">
        <v>186</v>
      </c>
      <c r="L67" s="1">
        <v>161</v>
      </c>
      <c r="M67" s="1">
        <v>27</v>
      </c>
      <c r="N67" s="1">
        <v>0</v>
      </c>
      <c r="O67" s="1">
        <v>4</v>
      </c>
      <c r="P67" s="1">
        <v>7</v>
      </c>
      <c r="Q67" s="1">
        <v>6</v>
      </c>
      <c r="R67" s="1">
        <v>1</v>
      </c>
      <c r="S67" s="1">
        <v>1</v>
      </c>
      <c r="T67" s="1">
        <v>0</v>
      </c>
      <c r="U67" s="1">
        <v>1</v>
      </c>
      <c r="V67" s="1">
        <v>0</v>
      </c>
      <c r="W67" s="1">
        <v>1</v>
      </c>
      <c r="X67" s="1">
        <v>0</v>
      </c>
      <c r="Y67" s="1">
        <v>1</v>
      </c>
      <c r="Z67" s="1">
        <v>45</v>
      </c>
      <c r="AA67" s="1" t="str" cm="1">
        <f t="array" ref="AA67">_xlfn.IFS(AND(Z67&lt;36, Z67&gt;23), "24-35", AND(Z67&lt;51, Z67&gt;35),"36-50", AND(Z67&lt;66, Z67&gt;50), "51-66", Z67&gt;65, "66+", TRUE, "?")</f>
        <v>36-50</v>
      </c>
      <c r="AB67" s="1">
        <v>2423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0</v>
      </c>
      <c r="AL67" s="1">
        <v>1808</v>
      </c>
      <c r="AM67" s="2">
        <v>42426</v>
      </c>
      <c r="AN67" t="str">
        <f t="shared" si="3"/>
        <v>83829,1835,0.0218897994727362,0,0,78,897,161,430,186,161,27,0,4,7,6,1,1,0,1,0,1,0,1,45,36-50,2423,1,0,0,0,0,0,1,0,0,1808,42426</v>
      </c>
    </row>
    <row r="68" spans="1:40" ht="13" hidden="1" x14ac:dyDescent="0.15">
      <c r="A68">
        <v>161</v>
      </c>
      <c r="B68" s="1">
        <v>80427</v>
      </c>
      <c r="C68" s="1">
        <v>1809</v>
      </c>
      <c r="D68" s="4">
        <f t="shared" si="2"/>
        <v>2.2492446566451565E-2</v>
      </c>
      <c r="E68" s="1">
        <v>0</v>
      </c>
      <c r="F68" s="1">
        <v>1</v>
      </c>
      <c r="G68" s="1">
        <v>56</v>
      </c>
      <c r="H68" s="1">
        <v>1149</v>
      </c>
      <c r="I68" s="1">
        <v>71</v>
      </c>
      <c r="J68" s="1">
        <v>449</v>
      </c>
      <c r="K68" s="1">
        <v>69</v>
      </c>
      <c r="L68" s="1">
        <v>71</v>
      </c>
      <c r="M68" s="1">
        <v>26</v>
      </c>
      <c r="N68" s="1">
        <v>1</v>
      </c>
      <c r="O68" s="1">
        <v>11</v>
      </c>
      <c r="P68" s="1">
        <v>8</v>
      </c>
      <c r="Q68" s="1">
        <v>8</v>
      </c>
      <c r="R68" s="1">
        <v>5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45</v>
      </c>
      <c r="AA68" s="1" t="str" cm="1">
        <f t="array" ref="AA68">_xlfn.IFS(AND(Z68&lt;36, Z68&gt;23), "24-35", AND(Z68&lt;51, Z68&gt;35),"36-50", AND(Z68&lt;66, Z68&gt;50), "51-66", Z68&gt;65, "66+", TRUE, "?")</f>
        <v>36-50</v>
      </c>
      <c r="AB68" s="1">
        <v>2814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</v>
      </c>
      <c r="AL68" s="1">
        <v>1783</v>
      </c>
      <c r="AM68" s="2">
        <v>42035</v>
      </c>
      <c r="AN68" t="str">
        <f t="shared" si="3"/>
        <v>80427,1809,0.0224924465664516,0,1,56,1149,71,449,69,71,26,1,11,8,8,5,0,0,0,0,0,0,0,45,36-50,2814,0,1,0,0,0,0,0,0,1,1783,42035</v>
      </c>
    </row>
    <row r="69" spans="1:40" ht="13" x14ac:dyDescent="0.15">
      <c r="A69">
        <v>284</v>
      </c>
      <c r="B69" s="1">
        <v>70971</v>
      </c>
      <c r="C69" s="1">
        <v>1808</v>
      </c>
      <c r="D69" s="4">
        <f t="shared" si="2"/>
        <v>2.5475194093362078E-2</v>
      </c>
      <c r="E69" s="1">
        <v>0</v>
      </c>
      <c r="F69" s="1">
        <v>1</v>
      </c>
      <c r="G69" s="1">
        <v>28</v>
      </c>
      <c r="H69" s="1">
        <v>1001</v>
      </c>
      <c r="I69" s="1">
        <v>17</v>
      </c>
      <c r="J69" s="1">
        <v>572</v>
      </c>
      <c r="K69" s="1">
        <v>93</v>
      </c>
      <c r="L69" s="1">
        <v>125</v>
      </c>
      <c r="M69" s="1">
        <v>17</v>
      </c>
      <c r="N69" s="1">
        <v>7</v>
      </c>
      <c r="O69" s="1">
        <v>11</v>
      </c>
      <c r="P69" s="1">
        <v>11</v>
      </c>
      <c r="Q69" s="1">
        <v>5</v>
      </c>
      <c r="R69" s="1">
        <v>7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60</v>
      </c>
      <c r="AA69" s="1" t="str" cm="1">
        <f t="array" ref="AA69">_xlfn.IFS(AND(Z69&lt;36, Z69&gt;23), "24-35", AND(Z69&lt;51, Z69&gt;35),"36-50", AND(Z69&lt;66, Z69&gt;50), "51-66", Z69&gt;65, "66+", TRUE, "?")</f>
        <v>51-66</v>
      </c>
      <c r="AB69" s="1">
        <v>2805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1</v>
      </c>
      <c r="AJ69" s="1">
        <v>0</v>
      </c>
      <c r="AK69" s="1">
        <v>0</v>
      </c>
      <c r="AL69" s="1">
        <v>1791</v>
      </c>
      <c r="AM69" s="2">
        <v>42044</v>
      </c>
      <c r="AN69" t="str">
        <f t="shared" si="3"/>
        <v>70971,1808,0.0254751940933621,0,1,28,1001,17,572,93,125,17,7,11,11,5,7,0,0,0,0,0,0,1,60,51-66,2805,0,0,0,1,0,0,1,0,0,1791,42044</v>
      </c>
    </row>
    <row r="70" spans="1:40" ht="13" x14ac:dyDescent="0.15">
      <c r="A70">
        <v>308</v>
      </c>
      <c r="B70" s="1">
        <v>82333</v>
      </c>
      <c r="C70" s="1">
        <v>1805</v>
      </c>
      <c r="D70" s="4">
        <f t="shared" si="2"/>
        <v>2.1923165680832715E-2</v>
      </c>
      <c r="E70" s="1">
        <v>0</v>
      </c>
      <c r="F70" s="1">
        <v>0</v>
      </c>
      <c r="G70" s="1">
        <v>60</v>
      </c>
      <c r="H70" s="1">
        <v>1311</v>
      </c>
      <c r="I70" s="1">
        <v>0</v>
      </c>
      <c r="J70" s="1">
        <v>359</v>
      </c>
      <c r="K70" s="1">
        <v>46</v>
      </c>
      <c r="L70" s="1">
        <v>89</v>
      </c>
      <c r="M70" s="1">
        <v>17</v>
      </c>
      <c r="N70" s="1">
        <v>1</v>
      </c>
      <c r="O70" s="1">
        <v>4</v>
      </c>
      <c r="P70" s="1">
        <v>3</v>
      </c>
      <c r="Q70" s="1">
        <v>10</v>
      </c>
      <c r="R70" s="1">
        <v>2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1</v>
      </c>
      <c r="Z70" s="1">
        <v>34</v>
      </c>
      <c r="AA70" s="1" t="str" cm="1">
        <f t="array" ref="AA70">_xlfn.IFS(AND(Z70&lt;36, Z70&gt;23), "24-35", AND(Z70&lt;51, Z70&gt;35),"36-50", AND(Z70&lt;66, Z70&gt;50), "51-66", Z70&gt;65, "66+", TRUE, "?")</f>
        <v>24-35</v>
      </c>
      <c r="AB70" s="1">
        <v>2615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1788</v>
      </c>
      <c r="AM70" s="2">
        <v>42234</v>
      </c>
      <c r="AN70" t="str">
        <f t="shared" si="3"/>
        <v>82333,1805,0.0219231656808327,0,0,60,1311,0,359,46,89,17,1,4,3,10,2,0,0,0,0,1,0,1,34,24-35,2615,0,1,0,0,0,0,0,0,1,1788,42234</v>
      </c>
    </row>
    <row r="71" spans="1:40" ht="13" hidden="1" x14ac:dyDescent="0.15">
      <c r="A71">
        <v>1378</v>
      </c>
      <c r="B71" s="1">
        <v>76998</v>
      </c>
      <c r="C71" s="1">
        <v>1803</v>
      </c>
      <c r="D71" s="4">
        <f t="shared" si="2"/>
        <v>2.3416192628379958E-2</v>
      </c>
      <c r="E71" s="1">
        <v>0</v>
      </c>
      <c r="F71" s="1">
        <v>1</v>
      </c>
      <c r="G71" s="1">
        <v>85</v>
      </c>
      <c r="H71" s="1">
        <v>1449</v>
      </c>
      <c r="I71" s="1">
        <v>89</v>
      </c>
      <c r="J71" s="1">
        <v>161</v>
      </c>
      <c r="K71" s="1">
        <v>69</v>
      </c>
      <c r="L71" s="1">
        <v>35</v>
      </c>
      <c r="M71" s="1">
        <v>107</v>
      </c>
      <c r="N71" s="1">
        <v>2</v>
      </c>
      <c r="O71" s="1">
        <v>11</v>
      </c>
      <c r="P71" s="1">
        <v>8</v>
      </c>
      <c r="Q71" s="1">
        <v>8</v>
      </c>
      <c r="R71" s="1">
        <v>6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0</v>
      </c>
      <c r="Y71" s="1">
        <v>0</v>
      </c>
      <c r="Z71" s="1">
        <v>65</v>
      </c>
      <c r="AA71" s="1" t="str" cm="1">
        <f t="array" ref="AA71">_xlfn.IFS(AND(Z71&lt;36, Z71&gt;23), "24-35", AND(Z71&lt;51, Z71&gt;35),"36-50", AND(Z71&lt;66, Z71&gt;50), "51-66", Z71&gt;65, "66+", TRUE, "?")</f>
        <v>51-66</v>
      </c>
      <c r="AB71" s="1">
        <v>2693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1</v>
      </c>
      <c r="AJ71" s="1">
        <v>0</v>
      </c>
      <c r="AK71" s="1">
        <v>0</v>
      </c>
      <c r="AL71" s="1">
        <v>1696</v>
      </c>
      <c r="AM71" s="2">
        <v>42156</v>
      </c>
      <c r="AN71" t="str">
        <f t="shared" si="3"/>
        <v>76998,1803,0.02341619262838,0,1,85,1449,89,161,69,35,107,2,11,8,8,6,0,0,0,0,1,0,0,65,51-66,2693,0,1,0,0,0,0,1,0,0,1696,42156</v>
      </c>
    </row>
    <row r="72" spans="1:40" ht="13" hidden="1" x14ac:dyDescent="0.15">
      <c r="A72">
        <v>467</v>
      </c>
      <c r="B72" s="1">
        <v>78642</v>
      </c>
      <c r="C72" s="1">
        <v>1799</v>
      </c>
      <c r="D72" s="4">
        <f t="shared" si="2"/>
        <v>2.2875816993464051E-2</v>
      </c>
      <c r="E72" s="1">
        <v>0</v>
      </c>
      <c r="F72" s="1">
        <v>1</v>
      </c>
      <c r="G72" s="1">
        <v>83</v>
      </c>
      <c r="H72" s="1">
        <v>1396</v>
      </c>
      <c r="I72" s="1">
        <v>0</v>
      </c>
      <c r="J72" s="1">
        <v>322</v>
      </c>
      <c r="K72" s="1">
        <v>46</v>
      </c>
      <c r="L72" s="1">
        <v>35</v>
      </c>
      <c r="M72" s="1">
        <v>17</v>
      </c>
      <c r="N72" s="1">
        <v>1</v>
      </c>
      <c r="O72" s="1">
        <v>4</v>
      </c>
      <c r="P72" s="1">
        <v>9</v>
      </c>
      <c r="Q72" s="1">
        <v>4</v>
      </c>
      <c r="R72" s="1">
        <v>6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49</v>
      </c>
      <c r="AA72" s="1" t="str" cm="1">
        <f t="array" ref="AA72">_xlfn.IFS(AND(Z72&lt;36, Z72&gt;23), "24-35", AND(Z72&lt;51, Z72&gt;35),"36-50", AND(Z72&lt;66, Z72&gt;50), "51-66", Z72&gt;65, "66+", TRUE, "?")</f>
        <v>36-50</v>
      </c>
      <c r="AB72" s="1">
        <v>2593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1782</v>
      </c>
      <c r="AM72" s="2">
        <v>42256</v>
      </c>
      <c r="AN72" t="str">
        <f t="shared" si="3"/>
        <v>78642,1799,0.0228758169934641,0,1,83,1396,0,322,46,35,17,1,4,9,4,6,0,0,0,0,0,0,0,49,36-50,2593,0,0,0,1,0,0,0,0,1,1782,42256</v>
      </c>
    </row>
    <row r="73" spans="1:40" ht="13" hidden="1" x14ac:dyDescent="0.15">
      <c r="A73">
        <v>1453</v>
      </c>
      <c r="B73" s="1">
        <v>81574</v>
      </c>
      <c r="C73" s="1">
        <v>1798</v>
      </c>
      <c r="D73" s="4">
        <f t="shared" si="2"/>
        <v>2.2041336700419252E-2</v>
      </c>
      <c r="E73" s="1">
        <v>0</v>
      </c>
      <c r="F73" s="1">
        <v>0</v>
      </c>
      <c r="G73" s="1">
        <v>89</v>
      </c>
      <c r="H73" s="1">
        <v>1252</v>
      </c>
      <c r="I73" s="1">
        <v>0</v>
      </c>
      <c r="J73" s="1">
        <v>465</v>
      </c>
      <c r="K73" s="1">
        <v>46</v>
      </c>
      <c r="L73" s="1">
        <v>35</v>
      </c>
      <c r="M73" s="1">
        <v>0</v>
      </c>
      <c r="N73" s="1">
        <v>1</v>
      </c>
      <c r="O73" s="1">
        <v>4</v>
      </c>
      <c r="P73" s="1">
        <v>5</v>
      </c>
      <c r="Q73" s="1">
        <v>8</v>
      </c>
      <c r="R73" s="1">
        <v>1</v>
      </c>
      <c r="S73" s="1">
        <v>0</v>
      </c>
      <c r="T73" s="1">
        <v>0</v>
      </c>
      <c r="U73" s="1">
        <v>0</v>
      </c>
      <c r="V73" s="1">
        <v>1</v>
      </c>
      <c r="W73" s="1">
        <v>1</v>
      </c>
      <c r="X73" s="1">
        <v>0</v>
      </c>
      <c r="Y73" s="1">
        <v>0</v>
      </c>
      <c r="Z73" s="1">
        <v>73</v>
      </c>
      <c r="AA73" s="1" t="str" cm="1">
        <f t="array" ref="AA73">_xlfn.IFS(AND(Z73&lt;36, Z73&gt;23), "24-35", AND(Z73&lt;51, Z73&gt;35),"36-50", AND(Z73&lt;66, Z73&gt;50), "51-66", Z73&gt;65, "66+", TRUE, "?")</f>
        <v>66+</v>
      </c>
      <c r="AB73" s="1">
        <v>2221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v>1</v>
      </c>
      <c r="AL73" s="1">
        <v>1798</v>
      </c>
      <c r="AM73" s="2">
        <v>42628</v>
      </c>
      <c r="AN73" t="str">
        <f t="shared" si="3"/>
        <v>81574,1798,0.0220413367004193,0,0,89,1252,0,465,46,35,0,1,4,5,8,1,0,0,0,1,1,0,0,73,66+,2221,0,0,0,1,0,0,0,0,1,1798,42628</v>
      </c>
    </row>
    <row r="74" spans="1:40" ht="13" x14ac:dyDescent="0.15">
      <c r="A74">
        <v>309</v>
      </c>
      <c r="B74" s="1">
        <v>70643</v>
      </c>
      <c r="C74" s="1">
        <v>1795</v>
      </c>
      <c r="D74" s="4">
        <f t="shared" si="2"/>
        <v>2.5409453165918774E-2</v>
      </c>
      <c r="E74" s="1">
        <v>0</v>
      </c>
      <c r="F74" s="1">
        <v>0</v>
      </c>
      <c r="G74" s="1">
        <v>66</v>
      </c>
      <c r="H74" s="1">
        <v>1218</v>
      </c>
      <c r="I74" s="1">
        <v>107</v>
      </c>
      <c r="J74" s="1">
        <v>304</v>
      </c>
      <c r="K74" s="1">
        <v>23</v>
      </c>
      <c r="L74" s="1">
        <v>143</v>
      </c>
      <c r="M74" s="1">
        <v>33</v>
      </c>
      <c r="N74" s="1">
        <v>1</v>
      </c>
      <c r="O74" s="1">
        <v>5</v>
      </c>
      <c r="P74" s="1">
        <v>8</v>
      </c>
      <c r="Q74" s="1">
        <v>4</v>
      </c>
      <c r="R74" s="1">
        <v>6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36</v>
      </c>
      <c r="AA74" s="1" t="str" cm="1">
        <f t="array" ref="AA74">_xlfn.IFS(AND(Z74&lt;36, Z74&gt;23), "24-35", AND(Z74&lt;51, Z74&gt;35),"36-50", AND(Z74&lt;66, Z74&gt;50), "51-66", Z74&gt;65, "66+", TRUE, "?")</f>
        <v>36-50</v>
      </c>
      <c r="AB74" s="1">
        <v>2781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1762</v>
      </c>
      <c r="AM74" s="2">
        <v>42068</v>
      </c>
      <c r="AN74" t="str">
        <f t="shared" si="3"/>
        <v>70643,1795,0.0254094531659188,0,0,66,1218,107,304,23,143,33,1,5,8,4,6,0,0,0,0,0,0,1,36,36-50,2781,0,1,0,0,0,0,0,0,1,1762,42068</v>
      </c>
    </row>
    <row r="75" spans="1:40" ht="13" hidden="1" x14ac:dyDescent="0.15">
      <c r="A75">
        <v>880</v>
      </c>
      <c r="B75" s="1">
        <v>67536</v>
      </c>
      <c r="C75" s="1">
        <v>1794</v>
      </c>
      <c r="D75" s="4">
        <f t="shared" si="2"/>
        <v>2.65636105188344E-2</v>
      </c>
      <c r="E75" s="1">
        <v>0</v>
      </c>
      <c r="F75" s="1">
        <v>1</v>
      </c>
      <c r="G75" s="1">
        <v>45</v>
      </c>
      <c r="H75" s="1">
        <v>1253</v>
      </c>
      <c r="I75" s="1">
        <v>0</v>
      </c>
      <c r="J75" s="1">
        <v>447</v>
      </c>
      <c r="K75" s="1">
        <v>23</v>
      </c>
      <c r="L75" s="1">
        <v>71</v>
      </c>
      <c r="M75" s="1">
        <v>35</v>
      </c>
      <c r="N75" s="1">
        <v>3</v>
      </c>
      <c r="O75" s="1">
        <v>11</v>
      </c>
      <c r="P75" s="1">
        <v>5</v>
      </c>
      <c r="Q75" s="1">
        <v>11</v>
      </c>
      <c r="R75" s="1">
        <v>8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50</v>
      </c>
      <c r="AA75" s="1" t="str" cm="1">
        <f t="array" ref="AA75">_xlfn.IFS(AND(Z75&lt;36, Z75&gt;23), "24-35", AND(Z75&lt;51, Z75&gt;35),"36-50", AND(Z75&lt;66, Z75&gt;50), "51-66", Z75&gt;65, "66+", TRUE, "?")</f>
        <v>36-50</v>
      </c>
      <c r="AB75" s="1">
        <v>2562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1</v>
      </c>
      <c r="AL75" s="1">
        <v>1759</v>
      </c>
      <c r="AM75" s="2">
        <v>42287</v>
      </c>
      <c r="AN75" t="str">
        <f t="shared" si="3"/>
        <v>67536,1794,0.0265636105188344,0,1,45,1253,0,447,23,71,35,3,11,5,11,8,1,0,0,0,0,0,0,50,36-50,2562,0,1,0,0,0,0,0,0,1,1759,42287</v>
      </c>
    </row>
    <row r="76" spans="1:40" ht="13" x14ac:dyDescent="0.15">
      <c r="A76">
        <v>312</v>
      </c>
      <c r="B76" s="1">
        <v>78427</v>
      </c>
      <c r="C76" s="1">
        <v>1792</v>
      </c>
      <c r="D76" s="4">
        <f t="shared" si="2"/>
        <v>2.284927384701697E-2</v>
      </c>
      <c r="E76" s="1">
        <v>0</v>
      </c>
      <c r="F76" s="1">
        <v>0</v>
      </c>
      <c r="G76" s="1">
        <v>36</v>
      </c>
      <c r="H76" s="1">
        <v>972</v>
      </c>
      <c r="I76" s="1">
        <v>19</v>
      </c>
      <c r="J76" s="1">
        <v>595</v>
      </c>
      <c r="K76" s="1">
        <v>180</v>
      </c>
      <c r="L76" s="1">
        <v>26</v>
      </c>
      <c r="M76" s="1">
        <v>138</v>
      </c>
      <c r="N76" s="1">
        <v>3</v>
      </c>
      <c r="O76" s="1">
        <v>3</v>
      </c>
      <c r="P76" s="1">
        <v>7</v>
      </c>
      <c r="Q76" s="1">
        <v>10</v>
      </c>
      <c r="R76" s="1">
        <v>3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72</v>
      </c>
      <c r="AA76" s="1" t="str" cm="1">
        <f t="array" ref="AA76">_xlfn.IFS(AND(Z76&lt;36, Z76&gt;23), "24-35", AND(Z76&lt;51, Z76&gt;35),"36-50", AND(Z76&lt;66, Z76&gt;50), "51-66", Z76&gt;65, "66+", TRUE, "?")</f>
        <v>66+</v>
      </c>
      <c r="AB76" s="1">
        <v>2772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H76" s="1">
        <v>0</v>
      </c>
      <c r="AI76" s="1">
        <v>0</v>
      </c>
      <c r="AJ76" s="1">
        <v>1</v>
      </c>
      <c r="AK76" s="1">
        <v>0</v>
      </c>
      <c r="AL76" s="1">
        <v>1654</v>
      </c>
      <c r="AM76" s="2">
        <v>42077</v>
      </c>
      <c r="AN76" t="str">
        <f t="shared" si="3"/>
        <v>78427,1792,0.022849273847017,0,0,36,972,19,595,180,26,138,3,3,7,10,3,1,0,0,0,0,0,1,72,66+,2772,0,0,0,0,1,0,0,1,0,1654,42077</v>
      </c>
    </row>
    <row r="77" spans="1:40" ht="13" x14ac:dyDescent="0.15">
      <c r="A77">
        <v>314</v>
      </c>
      <c r="B77" s="1">
        <v>76412</v>
      </c>
      <c r="C77" s="1">
        <v>1791</v>
      </c>
      <c r="D77" s="4">
        <f t="shared" si="2"/>
        <v>2.3438726901533792E-2</v>
      </c>
      <c r="E77" s="1">
        <v>0</v>
      </c>
      <c r="F77" s="1">
        <v>0</v>
      </c>
      <c r="G77" s="1">
        <v>15</v>
      </c>
      <c r="H77" s="1">
        <v>840</v>
      </c>
      <c r="I77" s="1">
        <v>53</v>
      </c>
      <c r="J77" s="1">
        <v>804</v>
      </c>
      <c r="K77" s="1">
        <v>23</v>
      </c>
      <c r="L77" s="1">
        <v>71</v>
      </c>
      <c r="M77" s="1">
        <v>17</v>
      </c>
      <c r="N77" s="1">
        <v>1</v>
      </c>
      <c r="O77" s="1">
        <v>5</v>
      </c>
      <c r="P77" s="1">
        <v>4</v>
      </c>
      <c r="Q77" s="1">
        <v>8</v>
      </c>
      <c r="R77" s="1">
        <v>3</v>
      </c>
      <c r="S77" s="1">
        <v>1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1</v>
      </c>
      <c r="Z77" s="1">
        <v>40</v>
      </c>
      <c r="AA77" s="1" t="str" cm="1">
        <f t="array" ref="AA77">_xlfn.IFS(AND(Z77&lt;36, Z77&gt;23), "24-35", AND(Z77&lt;51, Z77&gt;35),"36-50", AND(Z77&lt;66, Z77&gt;50), "51-66", Z77&gt;65, "66+", TRUE, "?")</f>
        <v>36-50</v>
      </c>
      <c r="AB77" s="1">
        <v>2579</v>
      </c>
      <c r="AC77" s="1">
        <v>0</v>
      </c>
      <c r="AD77" s="1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1774</v>
      </c>
      <c r="AM77" s="2">
        <v>42270</v>
      </c>
      <c r="AN77" t="str">
        <f t="shared" si="3"/>
        <v>76412,1791,0.0234387269015338,0,0,15,840,53,804,23,71,17,1,5,4,8,3,1,0,0,0,1,0,1,40,36-50,2579,0,0,1,0,0,0,0,0,1,1774,42270</v>
      </c>
    </row>
    <row r="78" spans="1:40" ht="13" x14ac:dyDescent="0.15">
      <c r="A78">
        <v>319</v>
      </c>
      <c r="B78" s="1">
        <v>82347</v>
      </c>
      <c r="C78" s="1">
        <v>1790</v>
      </c>
      <c r="D78" s="4">
        <f t="shared" si="2"/>
        <v>2.173728247537858E-2</v>
      </c>
      <c r="E78" s="1">
        <v>0</v>
      </c>
      <c r="F78" s="1">
        <v>0</v>
      </c>
      <c r="G78" s="1">
        <v>38</v>
      </c>
      <c r="H78" s="1">
        <v>556</v>
      </c>
      <c r="I78" s="1">
        <v>54</v>
      </c>
      <c r="J78" s="1">
        <v>845</v>
      </c>
      <c r="K78" s="1">
        <v>202</v>
      </c>
      <c r="L78" s="1">
        <v>133</v>
      </c>
      <c r="M78" s="1">
        <v>63</v>
      </c>
      <c r="N78" s="1">
        <v>1</v>
      </c>
      <c r="O78" s="1">
        <v>7</v>
      </c>
      <c r="P78" s="1">
        <v>7</v>
      </c>
      <c r="Q78" s="1">
        <v>10</v>
      </c>
      <c r="R78" s="1">
        <v>3</v>
      </c>
      <c r="S78" s="1">
        <v>1</v>
      </c>
      <c r="T78" s="1">
        <v>0</v>
      </c>
      <c r="U78" s="1">
        <v>1</v>
      </c>
      <c r="V78" s="1">
        <v>0</v>
      </c>
      <c r="W78" s="1">
        <v>0</v>
      </c>
      <c r="X78" s="1">
        <v>0</v>
      </c>
      <c r="Y78" s="1">
        <v>1</v>
      </c>
      <c r="Z78" s="1">
        <v>63</v>
      </c>
      <c r="AA78" s="1" t="str" cm="1">
        <f t="array" ref="AA78">_xlfn.IFS(AND(Z78&lt;36, Z78&gt;23), "24-35", AND(Z78&lt;51, Z78&gt;35),"36-50", AND(Z78&lt;66, Z78&gt;50), "51-66", Z78&gt;65, "66+", TRUE, "?")</f>
        <v>51-66</v>
      </c>
      <c r="AB78" s="1">
        <v>2759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1727</v>
      </c>
      <c r="AM78" s="2">
        <v>42090</v>
      </c>
      <c r="AN78" t="str">
        <f t="shared" si="3"/>
        <v>82347,1790,0.0217372824753786,0,0,38,556,54,845,202,133,63,1,7,7,10,3,1,0,1,0,0,0,1,63,51-66,2759,0,1,0,0,0,1,0,0,0,1727,42090</v>
      </c>
    </row>
    <row r="79" spans="1:40" ht="13" hidden="1" x14ac:dyDescent="0.15">
      <c r="A79">
        <v>799</v>
      </c>
      <c r="B79" s="1">
        <v>82347</v>
      </c>
      <c r="C79" s="1">
        <v>1790</v>
      </c>
      <c r="D79" s="4">
        <f t="shared" si="2"/>
        <v>2.173728247537858E-2</v>
      </c>
      <c r="E79" s="1">
        <v>0</v>
      </c>
      <c r="F79" s="1">
        <v>0</v>
      </c>
      <c r="G79" s="1">
        <v>38</v>
      </c>
      <c r="H79" s="1">
        <v>556</v>
      </c>
      <c r="I79" s="1">
        <v>54</v>
      </c>
      <c r="J79" s="1">
        <v>845</v>
      </c>
      <c r="K79" s="1">
        <v>202</v>
      </c>
      <c r="L79" s="1">
        <v>133</v>
      </c>
      <c r="M79" s="1">
        <v>63</v>
      </c>
      <c r="N79" s="1">
        <v>1</v>
      </c>
      <c r="O79" s="1">
        <v>7</v>
      </c>
      <c r="P79" s="1">
        <v>7</v>
      </c>
      <c r="Q79" s="1">
        <v>10</v>
      </c>
      <c r="R79" s="1">
        <v>3</v>
      </c>
      <c r="S79" s="1">
        <v>1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63</v>
      </c>
      <c r="AA79" s="1" t="str" cm="1">
        <f t="array" ref="AA79">_xlfn.IFS(AND(Z79&lt;36, Z79&gt;23), "24-35", AND(Z79&lt;51, Z79&gt;35),"36-50", AND(Z79&lt;66, Z79&gt;50), "51-66", Z79&gt;65, "66+", TRUE, "?")</f>
        <v>51-66</v>
      </c>
      <c r="AB79" s="1">
        <v>2759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0</v>
      </c>
      <c r="AK79" s="1">
        <v>0</v>
      </c>
      <c r="AL79" s="1">
        <v>1727</v>
      </c>
      <c r="AM79" s="2">
        <v>42090</v>
      </c>
      <c r="AN79" t="str">
        <f t="shared" si="3"/>
        <v>82347,1790,0.0217372824753786,0,0,38,556,54,845,202,133,63,1,7,7,10,3,1,0,1,0,0,0,0,63,51-66,2759,0,1,0,0,0,1,0,0,0,1727,42090</v>
      </c>
    </row>
    <row r="80" spans="1:40" ht="13" hidden="1" x14ac:dyDescent="0.15">
      <c r="A80">
        <v>1970</v>
      </c>
      <c r="B80" s="1">
        <v>81380</v>
      </c>
      <c r="C80" s="1">
        <v>1790</v>
      </c>
      <c r="D80" s="4">
        <f t="shared" si="2"/>
        <v>2.1995576308675348E-2</v>
      </c>
      <c r="E80" s="1">
        <v>0</v>
      </c>
      <c r="F80" s="1">
        <v>0</v>
      </c>
      <c r="G80" s="1">
        <v>51</v>
      </c>
      <c r="H80" s="1">
        <v>741</v>
      </c>
      <c r="I80" s="1">
        <v>68</v>
      </c>
      <c r="J80" s="1">
        <v>689</v>
      </c>
      <c r="K80" s="1">
        <v>224</v>
      </c>
      <c r="L80" s="1">
        <v>68</v>
      </c>
      <c r="M80" s="1">
        <v>103</v>
      </c>
      <c r="N80" s="1">
        <v>1</v>
      </c>
      <c r="O80" s="1">
        <v>4</v>
      </c>
      <c r="P80" s="1">
        <v>2</v>
      </c>
      <c r="Q80" s="1">
        <v>10</v>
      </c>
      <c r="R80" s="1">
        <v>2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53</v>
      </c>
      <c r="AA80" s="1" t="str" cm="1">
        <f t="array" ref="AA80">_xlfn.IFS(AND(Z80&lt;36, Z80&gt;23), "24-35", AND(Z80&lt;51, Z80&gt;35),"36-50", AND(Z80&lt;66, Z80&gt;50), "51-66", Z80&gt;65, "66+", TRUE, "?")</f>
        <v>51-66</v>
      </c>
      <c r="AB80" s="1">
        <v>2713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  <c r="AK80" s="1">
        <v>0</v>
      </c>
      <c r="AL80" s="1">
        <v>1687</v>
      </c>
      <c r="AM80" s="2">
        <v>42136</v>
      </c>
      <c r="AN80" t="str">
        <f t="shared" si="3"/>
        <v>81380,1790,0.0219955763086753,0,0,51,741,68,689,224,68,103,1,4,2,10,2,0,0,0,0,0,0,0,53,51-66,2713,1,0,0,0,0,0,0,1,0,1687,42136</v>
      </c>
    </row>
    <row r="81" spans="1:40" ht="13" hidden="1" x14ac:dyDescent="0.15">
      <c r="A81">
        <v>1831</v>
      </c>
      <c r="B81" s="1">
        <v>71964</v>
      </c>
      <c r="C81" s="1">
        <v>1784</v>
      </c>
      <c r="D81" s="4">
        <f t="shared" si="2"/>
        <v>2.4790172864209883E-2</v>
      </c>
      <c r="E81" s="1">
        <v>0</v>
      </c>
      <c r="F81" s="1">
        <v>0</v>
      </c>
      <c r="G81" s="1">
        <v>81</v>
      </c>
      <c r="H81" s="1">
        <v>587</v>
      </c>
      <c r="I81" s="1">
        <v>51</v>
      </c>
      <c r="J81" s="1">
        <v>932</v>
      </c>
      <c r="K81" s="1">
        <v>180</v>
      </c>
      <c r="L81" s="1">
        <v>34</v>
      </c>
      <c r="M81" s="1">
        <v>86</v>
      </c>
      <c r="N81" s="1">
        <v>1</v>
      </c>
      <c r="O81" s="1">
        <v>5</v>
      </c>
      <c r="P81" s="1">
        <v>6</v>
      </c>
      <c r="Q81" s="1">
        <v>5</v>
      </c>
      <c r="R81" s="1">
        <v>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62</v>
      </c>
      <c r="AA81" s="1" t="str" cm="1">
        <f t="array" ref="AA81">_xlfn.IFS(AND(Z81&lt;36, Z81&gt;23), "24-35", AND(Z81&lt;51, Z81&gt;35),"36-50", AND(Z81&lt;66, Z81&gt;50), "51-66", Z81&gt;65, "66+", TRUE, "?")</f>
        <v>51-66</v>
      </c>
      <c r="AB81" s="1">
        <v>2564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1698</v>
      </c>
      <c r="AM81" s="2">
        <v>42285</v>
      </c>
      <c r="AN81" t="str">
        <f t="shared" si="3"/>
        <v>71964,1784,0.0247901728642099,0,0,81,587,51,932,180,34,86,1,5,6,5,3,0,0,0,0,0,0,0,62,51-66,2564,1,0,0,0,0,0,1,0,0,1698,42285</v>
      </c>
    </row>
    <row r="82" spans="1:40" ht="13" hidden="1" x14ac:dyDescent="0.15">
      <c r="A82">
        <v>717</v>
      </c>
      <c r="B82" s="1">
        <v>74985</v>
      </c>
      <c r="C82" s="1">
        <v>1783</v>
      </c>
      <c r="D82" s="4">
        <f t="shared" si="2"/>
        <v>2.3778088951123558E-2</v>
      </c>
      <c r="E82" s="1">
        <v>0</v>
      </c>
      <c r="F82" s="1">
        <v>0</v>
      </c>
      <c r="G82" s="1">
        <v>8</v>
      </c>
      <c r="H82" s="1">
        <v>587</v>
      </c>
      <c r="I82" s="1">
        <v>51</v>
      </c>
      <c r="J82" s="1">
        <v>898</v>
      </c>
      <c r="K82" s="1">
        <v>247</v>
      </c>
      <c r="L82" s="1">
        <v>0</v>
      </c>
      <c r="M82" s="1">
        <v>86</v>
      </c>
      <c r="N82" s="1">
        <v>1</v>
      </c>
      <c r="O82" s="1">
        <v>3</v>
      </c>
      <c r="P82" s="1">
        <v>6</v>
      </c>
      <c r="Q82" s="1">
        <v>7</v>
      </c>
      <c r="R82" s="1">
        <v>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43</v>
      </c>
      <c r="AA82" s="1" t="str" cm="1">
        <f t="array" ref="AA82">_xlfn.IFS(AND(Z82&lt;36, Z82&gt;23), "24-35", AND(Z82&lt;51, Z82&gt;35),"36-50", AND(Z82&lt;66, Z82&gt;50), "51-66", Z82&gt;65, "66+", TRUE, "?")</f>
        <v>36-50</v>
      </c>
      <c r="AB82" s="1">
        <v>2815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  <c r="AL82" s="1">
        <v>1697</v>
      </c>
      <c r="AM82" s="2">
        <v>42034</v>
      </c>
      <c r="AN82" t="str">
        <f t="shared" si="3"/>
        <v>74985,1783,0.0237780889511236,0,0,8,587,51,898,247,0,86,1,3,6,7,2,0,0,0,0,0,0,0,43,36-50,2815,0,1,0,0,0,0,1,0,0,1697,42034</v>
      </c>
    </row>
    <row r="83" spans="1:40" ht="13" hidden="1" x14ac:dyDescent="0.15">
      <c r="A83">
        <v>1293</v>
      </c>
      <c r="B83" s="1">
        <v>92344</v>
      </c>
      <c r="C83" s="1">
        <v>1780</v>
      </c>
      <c r="D83" s="4">
        <f t="shared" si="2"/>
        <v>1.9275751537728494E-2</v>
      </c>
      <c r="E83" s="1">
        <v>0</v>
      </c>
      <c r="F83" s="1">
        <v>0</v>
      </c>
      <c r="G83" s="1">
        <v>9</v>
      </c>
      <c r="H83" s="1">
        <v>992</v>
      </c>
      <c r="I83" s="1">
        <v>24</v>
      </c>
      <c r="J83" s="1">
        <v>694</v>
      </c>
      <c r="K83" s="1">
        <v>51</v>
      </c>
      <c r="L83" s="1">
        <v>19</v>
      </c>
      <c r="M83" s="1">
        <v>119</v>
      </c>
      <c r="N83" s="1">
        <v>0</v>
      </c>
      <c r="O83" s="1">
        <v>5</v>
      </c>
      <c r="P83" s="1">
        <v>10</v>
      </c>
      <c r="Q83" s="1">
        <v>5</v>
      </c>
      <c r="R83" s="1">
        <v>1</v>
      </c>
      <c r="S83" s="1">
        <v>0</v>
      </c>
      <c r="T83" s="1">
        <v>0</v>
      </c>
      <c r="U83" s="1">
        <v>1</v>
      </c>
      <c r="V83" s="1">
        <v>0</v>
      </c>
      <c r="W83" s="1">
        <v>1</v>
      </c>
      <c r="X83" s="1">
        <v>0</v>
      </c>
      <c r="Y83" s="1">
        <v>0</v>
      </c>
      <c r="Z83" s="1">
        <v>72</v>
      </c>
      <c r="AA83" s="1" t="str" cm="1">
        <f t="array" ref="AA83">_xlfn.IFS(AND(Z83&lt;36, Z83&gt;23), "24-35", AND(Z83&lt;51, Z83&gt;35),"36-50", AND(Z83&lt;66, Z83&gt;50), "51-66", Z83&gt;65, "66+", TRUE, "?")</f>
        <v>66+</v>
      </c>
      <c r="AB83" s="1">
        <v>2324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1661</v>
      </c>
      <c r="AM83" s="2">
        <v>42525</v>
      </c>
      <c r="AN83" t="str">
        <f t="shared" si="3"/>
        <v>92344,1780,0.0192757515377285,0,0,9,992,24,694,51,19,119,0,5,10,5,1,0,0,1,0,1,0,0,72,66+,2324,0,1,0,0,0,0,1,0,0,1661,42525</v>
      </c>
    </row>
    <row r="84" spans="1:40" ht="13" hidden="1" x14ac:dyDescent="0.15">
      <c r="A84">
        <v>497</v>
      </c>
      <c r="B84" s="1">
        <v>61839</v>
      </c>
      <c r="C84" s="1">
        <v>1775</v>
      </c>
      <c r="D84" s="4">
        <f t="shared" si="2"/>
        <v>2.8703568945164053E-2</v>
      </c>
      <c r="E84" s="1">
        <v>0</v>
      </c>
      <c r="F84" s="1">
        <v>0</v>
      </c>
      <c r="G84" s="1">
        <v>20</v>
      </c>
      <c r="H84" s="1">
        <v>1000</v>
      </c>
      <c r="I84" s="1">
        <v>155</v>
      </c>
      <c r="J84" s="1">
        <v>379</v>
      </c>
      <c r="K84" s="1">
        <v>224</v>
      </c>
      <c r="L84" s="1">
        <v>17</v>
      </c>
      <c r="M84" s="1">
        <v>120</v>
      </c>
      <c r="N84" s="1">
        <v>1</v>
      </c>
      <c r="O84" s="1">
        <v>4</v>
      </c>
      <c r="P84" s="1">
        <v>8</v>
      </c>
      <c r="Q84" s="1">
        <v>4</v>
      </c>
      <c r="R84" s="1">
        <v>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56</v>
      </c>
      <c r="AA84" s="1" t="str" cm="1">
        <f t="array" ref="AA84">_xlfn.IFS(AND(Z84&lt;36, Z84&gt;23), "24-35", AND(Z84&lt;51, Z84&gt;35),"36-50", AND(Z84&lt;66, Z84&gt;50), "51-66", Z84&gt;65, "66+", TRUE, "?")</f>
        <v>51-66</v>
      </c>
      <c r="AB84" s="1">
        <v>2845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  <c r="AL84" s="1">
        <v>1655</v>
      </c>
      <c r="AM84" s="2">
        <v>42004</v>
      </c>
      <c r="AN84" t="str">
        <f t="shared" si="3"/>
        <v>61839,1775,0.0287035689451641,0,0,20,1000,155,379,224,17,120,1,4,8,4,8,0,0,0,0,0,0,0,56,51-66,2845,0,0,1,0,0,0,1,0,0,1655,42004</v>
      </c>
    </row>
    <row r="85" spans="1:40" ht="13" x14ac:dyDescent="0.15">
      <c r="A85">
        <v>322</v>
      </c>
      <c r="B85" s="1">
        <v>82384</v>
      </c>
      <c r="C85" s="1">
        <v>1767</v>
      </c>
      <c r="D85" s="4">
        <f t="shared" si="2"/>
        <v>2.1448339483394835E-2</v>
      </c>
      <c r="E85" s="1">
        <v>0</v>
      </c>
      <c r="F85" s="1">
        <v>0</v>
      </c>
      <c r="G85" s="1">
        <v>55</v>
      </c>
      <c r="H85" s="1">
        <v>984</v>
      </c>
      <c r="I85" s="1">
        <v>51</v>
      </c>
      <c r="J85" s="1">
        <v>432</v>
      </c>
      <c r="K85" s="1">
        <v>180</v>
      </c>
      <c r="L85" s="1">
        <v>120</v>
      </c>
      <c r="M85" s="1">
        <v>190</v>
      </c>
      <c r="N85" s="1">
        <v>1</v>
      </c>
      <c r="O85" s="1">
        <v>3</v>
      </c>
      <c r="P85" s="1">
        <v>10</v>
      </c>
      <c r="Q85" s="1">
        <v>13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0</v>
      </c>
      <c r="Y85" s="1">
        <v>1</v>
      </c>
      <c r="Z85" s="1">
        <v>65</v>
      </c>
      <c r="AA85" s="1" t="str" cm="1">
        <f t="array" ref="AA85">_xlfn.IFS(AND(Z85&lt;36, Z85&gt;23), "24-35", AND(Z85&lt;51, Z85&gt;35),"36-50", AND(Z85&lt;66, Z85&gt;50), "51-66", Z85&gt;65, "66+", TRUE, "?")</f>
        <v>51-66</v>
      </c>
      <c r="AB85" s="1">
        <v>2746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1</v>
      </c>
      <c r="AK85" s="1">
        <v>0</v>
      </c>
      <c r="AL85" s="1">
        <v>1577</v>
      </c>
      <c r="AM85" s="2">
        <v>42103</v>
      </c>
      <c r="AN85" t="str">
        <f t="shared" si="3"/>
        <v>82384,1767,0.0214483394833948,0,0,55,984,51,432,180,120,190,1,3,10,13,1,0,0,0,0,1,0,1,65,51-66,2746,0,0,0,1,0,0,0,1,0,1577,42103</v>
      </c>
    </row>
    <row r="86" spans="1:40" ht="13" hidden="1" x14ac:dyDescent="0.15">
      <c r="A86">
        <v>1182</v>
      </c>
      <c r="B86" s="1">
        <v>73450</v>
      </c>
      <c r="C86" s="1">
        <v>1767</v>
      </c>
      <c r="D86" s="4">
        <f t="shared" si="2"/>
        <v>2.40571817562968E-2</v>
      </c>
      <c r="E86" s="1">
        <v>0</v>
      </c>
      <c r="F86" s="1">
        <v>0</v>
      </c>
      <c r="G86" s="1">
        <v>85</v>
      </c>
      <c r="H86" s="1">
        <v>1142</v>
      </c>
      <c r="I86" s="1">
        <v>51</v>
      </c>
      <c r="J86" s="1">
        <v>415</v>
      </c>
      <c r="K86" s="1">
        <v>90</v>
      </c>
      <c r="L86" s="1">
        <v>69</v>
      </c>
      <c r="M86" s="1">
        <v>37</v>
      </c>
      <c r="N86" s="1">
        <v>1</v>
      </c>
      <c r="O86" s="1">
        <v>7</v>
      </c>
      <c r="P86" s="1">
        <v>8</v>
      </c>
      <c r="Q86" s="1">
        <v>11</v>
      </c>
      <c r="R86" s="1">
        <v>3</v>
      </c>
      <c r="S86" s="1">
        <v>1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38</v>
      </c>
      <c r="AA86" s="1" t="str" cm="1">
        <f t="array" ref="AA86">_xlfn.IFS(AND(Z86&lt;36, Z86&gt;23), "24-35", AND(Z86&lt;51, Z86&gt;35),"36-50", AND(Z86&lt;66, Z86&gt;50), "51-66", Z86&gt;65, "66+", TRUE, "?")</f>
        <v>36-50</v>
      </c>
      <c r="AB86" s="1">
        <v>2365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1</v>
      </c>
      <c r="AK86" s="1">
        <v>0</v>
      </c>
      <c r="AL86" s="1">
        <v>1730</v>
      </c>
      <c r="AM86" s="2">
        <v>42484</v>
      </c>
      <c r="AN86" t="str">
        <f t="shared" si="3"/>
        <v>73450,1767,0.0240571817562968,0,0,85,1142,51,415,90,69,37,1,7,8,11,3,1,0,1,0,0,0,0,38,36-50,2365,0,0,0,1,0,0,0,1,0,1730,42484</v>
      </c>
    </row>
    <row r="87" spans="1:40" ht="13" hidden="1" x14ac:dyDescent="0.15">
      <c r="A87">
        <v>398</v>
      </c>
      <c r="B87" s="1">
        <v>92910</v>
      </c>
      <c r="C87" s="1">
        <v>1762</v>
      </c>
      <c r="D87" s="4">
        <f t="shared" si="2"/>
        <v>1.8964589387579379E-2</v>
      </c>
      <c r="E87" s="1">
        <v>0</v>
      </c>
      <c r="F87" s="1">
        <v>0</v>
      </c>
      <c r="G87" s="1">
        <v>42</v>
      </c>
      <c r="H87" s="1">
        <v>551</v>
      </c>
      <c r="I87" s="1">
        <v>137</v>
      </c>
      <c r="J87" s="1">
        <v>792</v>
      </c>
      <c r="K87" s="1">
        <v>179</v>
      </c>
      <c r="L87" s="1">
        <v>103</v>
      </c>
      <c r="M87" s="1">
        <v>33</v>
      </c>
      <c r="N87" s="1">
        <v>1</v>
      </c>
      <c r="O87" s="1">
        <v>6</v>
      </c>
      <c r="P87" s="1">
        <v>7</v>
      </c>
      <c r="Q87" s="1">
        <v>13</v>
      </c>
      <c r="R87" s="1">
        <v>1</v>
      </c>
      <c r="S87" s="1">
        <v>1</v>
      </c>
      <c r="T87" s="1">
        <v>0</v>
      </c>
      <c r="U87" s="1">
        <v>0</v>
      </c>
      <c r="V87" s="1">
        <v>1</v>
      </c>
      <c r="W87" s="1">
        <v>1</v>
      </c>
      <c r="X87" s="1">
        <v>0</v>
      </c>
      <c r="Y87" s="1">
        <v>0</v>
      </c>
      <c r="Z87" s="1">
        <v>34</v>
      </c>
      <c r="AA87" s="1" t="str" cm="1">
        <f t="array" ref="AA87">_xlfn.IFS(AND(Z87&lt;36, Z87&gt;23), "24-35", AND(Z87&lt;51, Z87&gt;35),"36-50", AND(Z87&lt;66, Z87&gt;50), "51-66", Z87&gt;65, "66+", TRUE, "?")</f>
        <v>24-35</v>
      </c>
      <c r="AB87" s="1">
        <v>2225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1729</v>
      </c>
      <c r="AM87" s="2">
        <v>42624</v>
      </c>
      <c r="AN87" t="str">
        <f t="shared" si="3"/>
        <v>92910,1762,0.0189645893875794,0,0,42,551,137,792,179,103,33,1,6,7,13,1,1,0,0,1,1,0,0,34,24-35,2225,0,1,0,0,0,0,1,0,0,1729,42624</v>
      </c>
    </row>
    <row r="88" spans="1:40" ht="13" hidden="1" x14ac:dyDescent="0.15">
      <c r="A88">
        <v>1648</v>
      </c>
      <c r="B88" s="1">
        <v>63159</v>
      </c>
      <c r="C88" s="1">
        <v>1760</v>
      </c>
      <c r="D88" s="4">
        <f t="shared" si="2"/>
        <v>2.7866179008534019E-2</v>
      </c>
      <c r="E88" s="1">
        <v>0</v>
      </c>
      <c r="F88" s="1">
        <v>0</v>
      </c>
      <c r="G88" s="1">
        <v>74</v>
      </c>
      <c r="H88" s="1">
        <v>965</v>
      </c>
      <c r="I88" s="1">
        <v>34</v>
      </c>
      <c r="J88" s="1">
        <v>586</v>
      </c>
      <c r="K88" s="1">
        <v>89</v>
      </c>
      <c r="L88" s="1">
        <v>86</v>
      </c>
      <c r="M88" s="1">
        <v>37</v>
      </c>
      <c r="N88" s="1">
        <v>1</v>
      </c>
      <c r="O88" s="1">
        <v>3</v>
      </c>
      <c r="P88" s="1">
        <v>5</v>
      </c>
      <c r="Q88" s="1">
        <v>8</v>
      </c>
      <c r="R88" s="1">
        <v>3</v>
      </c>
      <c r="S88" s="1">
        <v>0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46</v>
      </c>
      <c r="AA88" s="1" t="str" cm="1">
        <f t="array" ref="AA88">_xlfn.IFS(AND(Z88&lt;36, Z88&gt;23), "24-35", AND(Z88&lt;51, Z88&gt;35),"36-50", AND(Z88&lt;66, Z88&gt;50), "51-66", Z88&gt;65, "66+", TRUE, "?")</f>
        <v>36-50</v>
      </c>
      <c r="AB88" s="1">
        <v>2760</v>
      </c>
      <c r="AC88" s="1">
        <v>0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1</v>
      </c>
      <c r="AL88" s="1">
        <v>1723</v>
      </c>
      <c r="AM88" s="2">
        <v>42089</v>
      </c>
      <c r="AN88" t="str">
        <f t="shared" si="3"/>
        <v>63159,1760,0.027866179008534,0,0,74,965,34,586,89,86,37,1,3,5,8,3,0,0,1,0,0,0,0,46,36-50,2760,0,0,1,0,0,0,0,0,1,1723,42089</v>
      </c>
    </row>
    <row r="89" spans="1:40" ht="13" x14ac:dyDescent="0.15">
      <c r="A89">
        <v>327</v>
      </c>
      <c r="B89" s="1">
        <v>72066</v>
      </c>
      <c r="C89" s="1">
        <v>1758</v>
      </c>
      <c r="D89" s="4">
        <f t="shared" si="2"/>
        <v>2.4394305220214803E-2</v>
      </c>
      <c r="E89" s="1">
        <v>0</v>
      </c>
      <c r="F89" s="1">
        <v>0</v>
      </c>
      <c r="G89" s="1">
        <v>55</v>
      </c>
      <c r="H89" s="1">
        <v>1003</v>
      </c>
      <c r="I89" s="1">
        <v>34</v>
      </c>
      <c r="J89" s="1">
        <v>536</v>
      </c>
      <c r="K89" s="1">
        <v>134</v>
      </c>
      <c r="L89" s="1">
        <v>51</v>
      </c>
      <c r="M89" s="1">
        <v>34</v>
      </c>
      <c r="N89" s="1">
        <v>1</v>
      </c>
      <c r="O89" s="1">
        <v>4</v>
      </c>
      <c r="P89" s="1">
        <v>6</v>
      </c>
      <c r="Q89" s="1">
        <v>6</v>
      </c>
      <c r="R89" s="1">
        <v>2</v>
      </c>
      <c r="S89" s="1">
        <v>1</v>
      </c>
      <c r="T89" s="1">
        <v>0</v>
      </c>
      <c r="U89" s="1">
        <v>0</v>
      </c>
      <c r="V89" s="1">
        <v>0</v>
      </c>
      <c r="W89" s="1">
        <v>1</v>
      </c>
      <c r="X89" s="1">
        <v>0</v>
      </c>
      <c r="Y89" s="1">
        <v>1</v>
      </c>
      <c r="Z89" s="1">
        <v>39</v>
      </c>
      <c r="AA89" s="1" t="str" cm="1">
        <f t="array" ref="AA89">_xlfn.IFS(AND(Z89&lt;36, Z89&gt;23), "24-35", AND(Z89&lt;51, Z89&gt;35),"36-50", AND(Z89&lt;66, Z89&gt;50), "51-66", Z89&gt;65, "66+", TRUE, "?")</f>
        <v>36-50</v>
      </c>
      <c r="AB89" s="1">
        <v>2165</v>
      </c>
      <c r="AC89" s="1">
        <v>0</v>
      </c>
      <c r="AD89" s="1">
        <v>0</v>
      </c>
      <c r="AE89" s="1">
        <v>1</v>
      </c>
      <c r="AF89" s="1">
        <v>0</v>
      </c>
      <c r="AG89" s="1">
        <v>0</v>
      </c>
      <c r="AH89" s="1">
        <v>0</v>
      </c>
      <c r="AI89" s="1">
        <v>1</v>
      </c>
      <c r="AJ89" s="1">
        <v>0</v>
      </c>
      <c r="AK89" s="1">
        <v>0</v>
      </c>
      <c r="AL89" s="1">
        <v>1724</v>
      </c>
      <c r="AM89" s="2">
        <v>42684</v>
      </c>
      <c r="AN89" t="str">
        <f t="shared" si="3"/>
        <v>72066,1758,0.0243943052202148,0,0,55,1003,34,536,134,51,34,1,4,6,6,2,1,0,0,0,1,0,1,39,36-50,2165,0,0,1,0,0,0,1,0,0,1724,42684</v>
      </c>
    </row>
    <row r="90" spans="1:40" ht="13" x14ac:dyDescent="0.15">
      <c r="A90">
        <v>348</v>
      </c>
      <c r="B90" s="1">
        <v>85683</v>
      </c>
      <c r="C90" s="1">
        <v>1738</v>
      </c>
      <c r="D90" s="4">
        <f t="shared" si="2"/>
        <v>2.0284070352345272E-2</v>
      </c>
      <c r="E90" s="1">
        <v>0</v>
      </c>
      <c r="F90" s="1">
        <v>0</v>
      </c>
      <c r="G90" s="1">
        <v>6</v>
      </c>
      <c r="H90" s="1">
        <v>1296</v>
      </c>
      <c r="I90" s="1">
        <v>17</v>
      </c>
      <c r="J90" s="1">
        <v>311</v>
      </c>
      <c r="K90" s="1">
        <v>45</v>
      </c>
      <c r="L90" s="1">
        <v>69</v>
      </c>
      <c r="M90" s="1">
        <v>51</v>
      </c>
      <c r="N90" s="1">
        <v>1</v>
      </c>
      <c r="O90" s="1">
        <v>2</v>
      </c>
      <c r="P90" s="1">
        <v>4</v>
      </c>
      <c r="Q90" s="1">
        <v>10</v>
      </c>
      <c r="R90" s="1">
        <v>1</v>
      </c>
      <c r="S90" s="1">
        <v>1</v>
      </c>
      <c r="T90" s="1">
        <v>1</v>
      </c>
      <c r="U90" s="1">
        <v>0</v>
      </c>
      <c r="V90" s="1">
        <v>1</v>
      </c>
      <c r="W90" s="1">
        <v>1</v>
      </c>
      <c r="X90" s="1">
        <v>0</v>
      </c>
      <c r="Y90" s="1">
        <v>1</v>
      </c>
      <c r="Z90" s="1">
        <v>66</v>
      </c>
      <c r="AA90" s="1" t="str" cm="1">
        <f t="array" ref="AA90">_xlfn.IFS(AND(Z90&lt;36, Z90&gt;23), "24-35", AND(Z90&lt;51, Z90&gt;35),"36-50", AND(Z90&lt;66, Z90&gt;50), "51-66", Z90&gt;65, "66+", TRUE, "?")</f>
        <v>66+</v>
      </c>
      <c r="AB90" s="1">
        <v>2259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1</v>
      </c>
      <c r="AJ90" s="1">
        <v>0</v>
      </c>
      <c r="AK90" s="1">
        <v>0</v>
      </c>
      <c r="AL90" s="1">
        <v>1687</v>
      </c>
      <c r="AM90" s="2">
        <v>42590</v>
      </c>
      <c r="AN90" t="str">
        <f t="shared" si="3"/>
        <v>85683,1738,0.0202840703523453,0,0,6,1296,17,311,45,69,51,1,2,4,10,1,1,1,0,1,1,0,1,66,66+,2259,1,0,0,0,0,0,1,0,0,1687,42590</v>
      </c>
    </row>
    <row r="91" spans="1:40" ht="13" hidden="1" x14ac:dyDescent="0.15">
      <c r="A91">
        <v>210</v>
      </c>
      <c r="B91" s="1">
        <v>79930</v>
      </c>
      <c r="C91" s="1">
        <v>1736</v>
      </c>
      <c r="D91" s="4">
        <f t="shared" si="2"/>
        <v>2.1719004128612537E-2</v>
      </c>
      <c r="E91" s="1">
        <v>0</v>
      </c>
      <c r="F91" s="1">
        <v>0</v>
      </c>
      <c r="G91" s="1">
        <v>72</v>
      </c>
      <c r="H91" s="1">
        <v>792</v>
      </c>
      <c r="I91" s="1">
        <v>86</v>
      </c>
      <c r="J91" s="1">
        <v>740</v>
      </c>
      <c r="K91" s="1">
        <v>67</v>
      </c>
      <c r="L91" s="1">
        <v>51</v>
      </c>
      <c r="M91" s="1">
        <v>17</v>
      </c>
      <c r="N91" s="1">
        <v>1</v>
      </c>
      <c r="O91" s="1">
        <v>3</v>
      </c>
      <c r="P91" s="1">
        <v>5</v>
      </c>
      <c r="Q91" s="1">
        <v>8</v>
      </c>
      <c r="R91" s="1">
        <v>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48</v>
      </c>
      <c r="AA91" s="1" t="str" cm="1">
        <f t="array" ref="AA91">_xlfn.IFS(AND(Z91&lt;36, Z91&gt;23), "24-35", AND(Z91&lt;51, Z91&gt;35),"36-50", AND(Z91&lt;66, Z91&gt;50), "51-66", Z91&gt;65, "66+", TRUE, "?")</f>
        <v>36-50</v>
      </c>
      <c r="AB91" s="1">
        <v>2849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s="1">
        <v>1719</v>
      </c>
      <c r="AM91" s="2">
        <v>42000</v>
      </c>
      <c r="AN91" t="str">
        <f t="shared" si="3"/>
        <v>79930,1736,0.0217190041286125,0,0,72,792,86,740,67,51,17,1,3,5,8,2,0,0,0,0,0,0,0,48,36-50,2849,0,1,0,0,0,0,0,0,1,1719,42000</v>
      </c>
    </row>
    <row r="92" spans="1:40" ht="13" x14ac:dyDescent="0.15">
      <c r="A92">
        <v>350</v>
      </c>
      <c r="B92" s="1">
        <v>68126</v>
      </c>
      <c r="C92" s="1">
        <v>1734</v>
      </c>
      <c r="D92" s="4">
        <f t="shared" si="2"/>
        <v>2.5452837389542907E-2</v>
      </c>
      <c r="E92" s="1">
        <v>0</v>
      </c>
      <c r="F92" s="1">
        <v>0</v>
      </c>
      <c r="G92" s="1">
        <v>40</v>
      </c>
      <c r="H92" s="1">
        <v>1332</v>
      </c>
      <c r="I92" s="1">
        <v>17</v>
      </c>
      <c r="J92" s="1">
        <v>311</v>
      </c>
      <c r="K92" s="1">
        <v>23</v>
      </c>
      <c r="L92" s="1">
        <v>51</v>
      </c>
      <c r="M92" s="1">
        <v>86</v>
      </c>
      <c r="N92" s="1">
        <v>1</v>
      </c>
      <c r="O92" s="1">
        <v>7</v>
      </c>
      <c r="P92" s="1">
        <v>4</v>
      </c>
      <c r="Q92" s="1">
        <v>5</v>
      </c>
      <c r="R92" s="1">
        <v>9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1</v>
      </c>
      <c r="Z92" s="1">
        <v>29</v>
      </c>
      <c r="AA92" s="1" t="str" cm="1">
        <f t="array" ref="AA92">_xlfn.IFS(AND(Z92&lt;36, Z92&gt;23), "24-35", AND(Z92&lt;51, Z92&gt;35),"36-50", AND(Z92&lt;66, Z92&gt;50), "51-66", Z92&gt;65, "66+", TRUE, "?")</f>
        <v>24-35</v>
      </c>
      <c r="AB92" s="1">
        <v>2755</v>
      </c>
      <c r="AC92" s="1">
        <v>0</v>
      </c>
      <c r="AD92" s="1">
        <v>0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</v>
      </c>
      <c r="AL92" s="1">
        <v>1648</v>
      </c>
      <c r="AM92" s="2">
        <v>42094</v>
      </c>
      <c r="AN92" t="str">
        <f t="shared" si="3"/>
        <v>68126,1734,0.0254528373895429,0,0,40,1332,17,311,23,51,86,1,7,4,5,9,0,0,0,1,0,0,1,29,24-35,2755,0,0,1,0,0,0,0,0,1,1648,42094</v>
      </c>
    </row>
    <row r="93" spans="1:40" ht="13" hidden="1" x14ac:dyDescent="0.15">
      <c r="A93">
        <v>21</v>
      </c>
      <c r="B93" s="1">
        <v>2447</v>
      </c>
      <c r="C93" s="1">
        <v>1729</v>
      </c>
      <c r="D93" s="4">
        <f t="shared" si="2"/>
        <v>0.7065794850837761</v>
      </c>
      <c r="E93" s="1">
        <v>1</v>
      </c>
      <c r="F93" s="1">
        <v>0</v>
      </c>
      <c r="G93" s="1">
        <v>42</v>
      </c>
      <c r="H93" s="1">
        <v>1</v>
      </c>
      <c r="I93" s="1">
        <v>1</v>
      </c>
      <c r="J93" s="1">
        <v>1725</v>
      </c>
      <c r="K93" s="1">
        <v>1</v>
      </c>
      <c r="L93" s="1">
        <v>1</v>
      </c>
      <c r="M93" s="1">
        <v>1</v>
      </c>
      <c r="N93" s="1">
        <v>15</v>
      </c>
      <c r="O93" s="1">
        <v>0</v>
      </c>
      <c r="P93" s="1">
        <v>28</v>
      </c>
      <c r="Q93" s="1">
        <v>0</v>
      </c>
      <c r="R93" s="1">
        <v>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41</v>
      </c>
      <c r="AA93" s="1" t="str" cm="1">
        <f t="array" ref="AA93">_xlfn.IFS(AND(Z93&lt;36, Z93&gt;23), "24-35", AND(Z93&lt;51, Z93&gt;35),"36-50", AND(Z93&lt;66, Z93&gt;50), "51-66", Z93&gt;65, "66+", TRUE, "?")</f>
        <v>36-50</v>
      </c>
      <c r="AB93" s="1">
        <v>2698</v>
      </c>
      <c r="AC93" s="1">
        <v>0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>
        <v>0</v>
      </c>
      <c r="AL93" s="1">
        <v>1728</v>
      </c>
      <c r="AM93" s="2">
        <v>42151</v>
      </c>
      <c r="AN93" t="str">
        <f t="shared" si="3"/>
        <v>2447,1729,0.706579485083776,1,0,42,1,1,1725,1,1,1,15,0,28,0,1,0,0,0,0,0,0,0,41,36-50,2698,0,1,0,0,0,0,1,0,0,1728,42151</v>
      </c>
    </row>
    <row r="94" spans="1:40" ht="13" x14ac:dyDescent="0.15">
      <c r="A94">
        <v>359</v>
      </c>
      <c r="B94" s="1">
        <v>90687</v>
      </c>
      <c r="C94" s="1">
        <v>1728</v>
      </c>
      <c r="D94" s="4">
        <f t="shared" si="2"/>
        <v>1.9054550266300572E-2</v>
      </c>
      <c r="E94" s="1">
        <v>0</v>
      </c>
      <c r="F94" s="1">
        <v>0</v>
      </c>
      <c r="G94" s="1">
        <v>98</v>
      </c>
      <c r="H94" s="1">
        <v>982</v>
      </c>
      <c r="I94" s="1">
        <v>17</v>
      </c>
      <c r="J94" s="1">
        <v>672</v>
      </c>
      <c r="K94" s="1">
        <v>23</v>
      </c>
      <c r="L94" s="1">
        <v>34</v>
      </c>
      <c r="M94" s="1">
        <v>51</v>
      </c>
      <c r="N94" s="1">
        <v>1</v>
      </c>
      <c r="O94" s="1">
        <v>6</v>
      </c>
      <c r="P94" s="1">
        <v>2</v>
      </c>
      <c r="Q94" s="1">
        <v>8</v>
      </c>
      <c r="R94" s="1">
        <v>2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0</v>
      </c>
      <c r="Y94" s="1">
        <v>1</v>
      </c>
      <c r="Z94" s="1">
        <v>37</v>
      </c>
      <c r="AA94" s="1" t="str" cm="1">
        <f t="array" ref="AA94">_xlfn.IFS(AND(Z94&lt;36, Z94&gt;23), "24-35", AND(Z94&lt;51, Z94&gt;35),"36-50", AND(Z94&lt;66, Z94&gt;50), "51-66", Z94&gt;65, "66+", TRUE, "?")</f>
        <v>36-50</v>
      </c>
      <c r="AB94" s="1">
        <v>2562</v>
      </c>
      <c r="AC94" s="1">
        <v>1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1</v>
      </c>
      <c r="AL94" s="1">
        <v>1677</v>
      </c>
      <c r="AM94" s="2">
        <v>42287</v>
      </c>
      <c r="AN94" t="str">
        <f t="shared" si="3"/>
        <v>90687,1728,0.0190545502663006,0,0,98,982,17,672,23,34,51,1,6,2,8,2,0,0,0,0,1,0,1,37,36-50,2562,1,0,0,0,0,0,0,0,1,1677,42287</v>
      </c>
    </row>
    <row r="95" spans="1:40" ht="13" hidden="1" x14ac:dyDescent="0.15">
      <c r="A95">
        <v>869</v>
      </c>
      <c r="B95" s="1">
        <v>83033</v>
      </c>
      <c r="C95" s="1">
        <v>1728</v>
      </c>
      <c r="D95" s="4">
        <f t="shared" si="2"/>
        <v>2.0811002854286848E-2</v>
      </c>
      <c r="E95" s="1">
        <v>1</v>
      </c>
      <c r="F95" s="1">
        <v>0</v>
      </c>
      <c r="G95" s="1">
        <v>82</v>
      </c>
      <c r="H95" s="1">
        <v>812</v>
      </c>
      <c r="I95" s="1">
        <v>99</v>
      </c>
      <c r="J95" s="1">
        <v>431</v>
      </c>
      <c r="K95" s="1">
        <v>237</v>
      </c>
      <c r="L95" s="1">
        <v>149</v>
      </c>
      <c r="M95" s="1">
        <v>33</v>
      </c>
      <c r="N95" s="1">
        <v>1</v>
      </c>
      <c r="O95" s="1">
        <v>11</v>
      </c>
      <c r="P95" s="1">
        <v>4</v>
      </c>
      <c r="Q95" s="1">
        <v>10</v>
      </c>
      <c r="R95" s="1">
        <v>5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34</v>
      </c>
      <c r="AA95" s="1" t="str" cm="1">
        <f t="array" ref="AA95">_xlfn.IFS(AND(Z95&lt;36, Z95&gt;23), "24-35", AND(Z95&lt;51, Z95&gt;35),"36-50", AND(Z95&lt;66, Z95&gt;50), "51-66", Z95&gt;65, "66+", TRUE, "?")</f>
        <v>24-35</v>
      </c>
      <c r="AB95" s="1">
        <v>2201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1695</v>
      </c>
      <c r="AM95" s="2">
        <v>42648</v>
      </c>
      <c r="AN95" t="str">
        <f t="shared" si="3"/>
        <v>83033,1728,0.0208110028542868,1,0,82,812,99,431,237,149,33,1,11,4,10,5,1,0,0,0,0,0,0,34,24-35,2201,0,0,0,1,0,0,1,0,0,1695,42648</v>
      </c>
    </row>
    <row r="96" spans="1:40" ht="13" hidden="1" x14ac:dyDescent="0.15">
      <c r="A96">
        <v>817</v>
      </c>
      <c r="B96" s="1">
        <v>70123</v>
      </c>
      <c r="C96" s="1">
        <v>1727</v>
      </c>
      <c r="D96" s="4">
        <f t="shared" si="2"/>
        <v>2.4628153387618899E-2</v>
      </c>
      <c r="E96" s="1">
        <v>0</v>
      </c>
      <c r="F96" s="1">
        <v>0</v>
      </c>
      <c r="G96" s="1">
        <v>27</v>
      </c>
      <c r="H96" s="1">
        <v>1308</v>
      </c>
      <c r="I96" s="1">
        <v>0</v>
      </c>
      <c r="J96" s="1">
        <v>396</v>
      </c>
      <c r="K96" s="1">
        <v>23</v>
      </c>
      <c r="L96" s="1">
        <v>0</v>
      </c>
      <c r="M96" s="1">
        <v>0</v>
      </c>
      <c r="N96" s="1">
        <v>1</v>
      </c>
      <c r="O96" s="1">
        <v>5</v>
      </c>
      <c r="P96" s="1">
        <v>7</v>
      </c>
      <c r="Q96" s="1">
        <v>4</v>
      </c>
      <c r="R96" s="1">
        <v>3</v>
      </c>
      <c r="S96" s="1">
        <v>0</v>
      </c>
      <c r="T96" s="1">
        <v>1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37</v>
      </c>
      <c r="AA96" s="1" t="str" cm="1">
        <f t="array" ref="AA96">_xlfn.IFS(AND(Z96&lt;36, Z96&gt;23), "24-35", AND(Z96&lt;51, Z96&gt;35),"36-50", AND(Z96&lt;66, Z96&gt;50), "51-66", Z96&gt;65, "66+", TRUE, "?")</f>
        <v>36-50</v>
      </c>
      <c r="AB96" s="1">
        <v>2433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1</v>
      </c>
      <c r="AL96" s="1">
        <v>1727</v>
      </c>
      <c r="AM96" s="2">
        <v>42416</v>
      </c>
      <c r="AN96" t="str">
        <f t="shared" si="3"/>
        <v>70123,1727,0.0246281533876189,0,0,27,1308,0,396,23,0,0,1,5,7,4,3,0,1,0,1,0,0,0,37,36-50,2433,0,0,0,1,0,0,0,0,1,1727,42416</v>
      </c>
    </row>
    <row r="97" spans="1:40" ht="13" x14ac:dyDescent="0.15">
      <c r="A97">
        <v>370</v>
      </c>
      <c r="B97" s="1">
        <v>75261</v>
      </c>
      <c r="C97" s="1">
        <v>1726</v>
      </c>
      <c r="D97" s="4">
        <f t="shared" si="2"/>
        <v>2.2933524667490466E-2</v>
      </c>
      <c r="E97" s="1">
        <v>0</v>
      </c>
      <c r="F97" s="1">
        <v>0</v>
      </c>
      <c r="G97" s="1">
        <v>17</v>
      </c>
      <c r="H97" s="1">
        <v>1239</v>
      </c>
      <c r="I97" s="1">
        <v>17</v>
      </c>
      <c r="J97" s="1">
        <v>413</v>
      </c>
      <c r="K97" s="1">
        <v>23</v>
      </c>
      <c r="L97" s="1">
        <v>34</v>
      </c>
      <c r="M97" s="1">
        <v>17</v>
      </c>
      <c r="N97" s="1">
        <v>1</v>
      </c>
      <c r="O97" s="1">
        <v>5</v>
      </c>
      <c r="P97" s="1">
        <v>6</v>
      </c>
      <c r="Q97" s="1">
        <v>5</v>
      </c>
      <c r="R97" s="1">
        <v>2</v>
      </c>
      <c r="S97" s="1">
        <v>0</v>
      </c>
      <c r="T97" s="1">
        <v>0</v>
      </c>
      <c r="U97" s="1">
        <v>0</v>
      </c>
      <c r="V97" s="1">
        <v>1</v>
      </c>
      <c r="W97" s="1">
        <v>1</v>
      </c>
      <c r="X97" s="1">
        <v>0</v>
      </c>
      <c r="Y97" s="1">
        <v>1</v>
      </c>
      <c r="Z97" s="1">
        <v>65</v>
      </c>
      <c r="AA97" s="1" t="str" cm="1">
        <f t="array" ref="AA97">_xlfn.IFS(AND(Z97&lt;36, Z97&gt;23), "24-35", AND(Z97&lt;51, Z97&gt;35),"36-50", AND(Z97&lt;66, Z97&gt;50), "51-66", Z97&gt;65, "66+", TRUE, "?")</f>
        <v>51-66</v>
      </c>
      <c r="AB97" s="1">
        <v>2591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1709</v>
      </c>
      <c r="AM97" s="2">
        <v>42258</v>
      </c>
      <c r="AN97" t="str">
        <f t="shared" si="3"/>
        <v>75261,1726,0.0229335246674905,0,0,17,1239,17,413,23,34,17,1,5,6,5,2,0,0,0,1,1,0,1,65,51-66,2591,0,0,0,1,0,0,0,0,1,1709,42258</v>
      </c>
    </row>
    <row r="98" spans="1:40" ht="13" x14ac:dyDescent="0.15">
      <c r="A98">
        <v>372</v>
      </c>
      <c r="B98" s="1">
        <v>83145</v>
      </c>
      <c r="C98" s="1">
        <v>1719</v>
      </c>
      <c r="D98" s="4">
        <f t="shared" si="2"/>
        <v>2.0674724878224787E-2</v>
      </c>
      <c r="E98" s="1">
        <v>0</v>
      </c>
      <c r="F98" s="1">
        <v>0</v>
      </c>
      <c r="G98" s="1">
        <v>14</v>
      </c>
      <c r="H98" s="1">
        <v>777</v>
      </c>
      <c r="I98" s="1">
        <v>35</v>
      </c>
      <c r="J98" s="1">
        <v>731</v>
      </c>
      <c r="K98" s="1">
        <v>39</v>
      </c>
      <c r="L98" s="1">
        <v>137</v>
      </c>
      <c r="M98" s="1">
        <v>114</v>
      </c>
      <c r="N98" s="1">
        <v>1</v>
      </c>
      <c r="O98" s="1">
        <v>5</v>
      </c>
      <c r="P98" s="1">
        <v>9</v>
      </c>
      <c r="Q98" s="1">
        <v>11</v>
      </c>
      <c r="R98" s="1">
        <v>2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0</v>
      </c>
      <c r="Y98" s="1">
        <v>1</v>
      </c>
      <c r="Z98" s="1">
        <v>46</v>
      </c>
      <c r="AA98" s="1" t="str" cm="1">
        <f t="array" ref="AA98">_xlfn.IFS(AND(Z98&lt;36, Z98&gt;23), "24-35", AND(Z98&lt;51, Z98&gt;35),"36-50", AND(Z98&lt;66, Z98&gt;50), "51-66", Z98&gt;65, "66+", TRUE, "?")</f>
        <v>36-50</v>
      </c>
      <c r="AB98" s="1">
        <v>2804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1</v>
      </c>
      <c r="AJ98" s="1">
        <v>0</v>
      </c>
      <c r="AK98" s="1">
        <v>0</v>
      </c>
      <c r="AL98" s="1">
        <v>1605</v>
      </c>
      <c r="AM98" s="2">
        <v>42045</v>
      </c>
      <c r="AN98" t="str">
        <f t="shared" si="3"/>
        <v>83145,1719,0.0206747248782248,0,0,14,777,35,731,39,137,114,1,5,9,11,2,0,0,0,0,1,0,1,46,36-50,2804,0,0,0,1,0,0,1,0,0,1605,42045</v>
      </c>
    </row>
    <row r="99" spans="1:40" ht="13" hidden="1" x14ac:dyDescent="0.15">
      <c r="A99">
        <v>270</v>
      </c>
      <c r="B99" s="1">
        <v>82497</v>
      </c>
      <c r="C99" s="1">
        <v>1716</v>
      </c>
      <c r="D99" s="4">
        <f t="shared" si="2"/>
        <v>2.0800756391141498E-2</v>
      </c>
      <c r="E99" s="1">
        <v>0</v>
      </c>
      <c r="F99" s="1">
        <v>0</v>
      </c>
      <c r="G99" s="1">
        <v>32</v>
      </c>
      <c r="H99" s="1">
        <v>777</v>
      </c>
      <c r="I99" s="1">
        <v>129</v>
      </c>
      <c r="J99" s="1">
        <v>573</v>
      </c>
      <c r="K99" s="1">
        <v>216</v>
      </c>
      <c r="L99" s="1">
        <v>21</v>
      </c>
      <c r="M99" s="1">
        <v>203</v>
      </c>
      <c r="N99" s="1">
        <v>1</v>
      </c>
      <c r="O99" s="1">
        <v>2</v>
      </c>
      <c r="P99" s="1">
        <v>7</v>
      </c>
      <c r="Q99" s="1">
        <v>9</v>
      </c>
      <c r="R99" s="1">
        <v>4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0</v>
      </c>
      <c r="Y99" s="1">
        <v>0</v>
      </c>
      <c r="Z99" s="1">
        <v>40</v>
      </c>
      <c r="AA99" s="1" t="str" cm="1">
        <f t="array" ref="AA99">_xlfn.IFS(AND(Z99&lt;36, Z99&gt;23), "24-35", AND(Z99&lt;51, Z99&gt;35),"36-50", AND(Z99&lt;66, Z99&gt;50), "51-66", Z99&gt;65, "66+", TRUE, "?")</f>
        <v>36-50</v>
      </c>
      <c r="AB99" s="1">
        <v>2765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0</v>
      </c>
      <c r="AK99" s="1">
        <v>0</v>
      </c>
      <c r="AL99" s="1">
        <v>1513</v>
      </c>
      <c r="AM99" s="2">
        <v>42084</v>
      </c>
      <c r="AN99" t="str">
        <f t="shared" si="3"/>
        <v>82497,1716,0.0208007563911415,0,0,32,777,129,573,216,21,203,1,2,7,9,4,0,0,0,0,1,0,0,40,36-50,2765,0,1,0,0,0,0,1,0,0,1513,42084</v>
      </c>
    </row>
    <row r="100" spans="1:40" ht="13" x14ac:dyDescent="0.15">
      <c r="A100">
        <v>377</v>
      </c>
      <c r="B100" s="1">
        <v>80952</v>
      </c>
      <c r="C100" s="1">
        <v>1713</v>
      </c>
      <c r="D100" s="4">
        <f t="shared" si="2"/>
        <v>2.1160687815001484E-2</v>
      </c>
      <c r="E100" s="1">
        <v>0</v>
      </c>
      <c r="F100" s="1">
        <v>0</v>
      </c>
      <c r="G100" s="1">
        <v>20</v>
      </c>
      <c r="H100" s="1">
        <v>778</v>
      </c>
      <c r="I100" s="1">
        <v>178</v>
      </c>
      <c r="J100" s="1">
        <v>689</v>
      </c>
      <c r="K100" s="1">
        <v>41</v>
      </c>
      <c r="L100" s="1">
        <v>27</v>
      </c>
      <c r="M100" s="1">
        <v>44</v>
      </c>
      <c r="N100" s="1">
        <v>1</v>
      </c>
      <c r="O100" s="1">
        <v>8</v>
      </c>
      <c r="P100" s="1">
        <v>5</v>
      </c>
      <c r="Q100" s="1">
        <v>11</v>
      </c>
      <c r="R100" s="1">
        <v>8</v>
      </c>
      <c r="S100" s="1">
        <v>1</v>
      </c>
      <c r="T100" s="1">
        <v>0</v>
      </c>
      <c r="U100" s="1">
        <v>0</v>
      </c>
      <c r="V100" s="1">
        <v>1</v>
      </c>
      <c r="W100" s="1">
        <v>1</v>
      </c>
      <c r="X100" s="1">
        <v>0</v>
      </c>
      <c r="Y100" s="1">
        <v>1</v>
      </c>
      <c r="Z100" s="1">
        <v>51</v>
      </c>
      <c r="AA100" s="1" t="str" cm="1">
        <f t="array" ref="AA100">_xlfn.IFS(AND(Z100&lt;36, Z100&gt;23), "24-35", AND(Z100&lt;51, Z100&gt;35),"36-50", AND(Z100&lt;66, Z100&gt;50), "51-66", Z100&gt;65, "66+", TRUE, "?")</f>
        <v>51-66</v>
      </c>
      <c r="AB100" s="1">
        <v>2645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1669</v>
      </c>
      <c r="AM100" s="2">
        <v>42204</v>
      </c>
      <c r="AN100" t="str">
        <f t="shared" si="3"/>
        <v>80952,1713,0.0211606878150015,0,0,20,778,178,689,41,27,44,1,8,5,11,8,1,0,0,1,1,0,1,51,51-66,2645,0,1,0,0,0,0,1,0,0,1669,42204</v>
      </c>
    </row>
    <row r="101" spans="1:40" ht="13" x14ac:dyDescent="0.15">
      <c r="A101">
        <v>379</v>
      </c>
      <c r="B101" s="1">
        <v>78579</v>
      </c>
      <c r="C101" s="1">
        <v>1713</v>
      </c>
      <c r="D101" s="4">
        <f t="shared" si="2"/>
        <v>2.179971748176994E-2</v>
      </c>
      <c r="E101" s="1">
        <v>0</v>
      </c>
      <c r="F101" s="1">
        <v>0</v>
      </c>
      <c r="G101" s="1">
        <v>35</v>
      </c>
      <c r="H101" s="1">
        <v>816</v>
      </c>
      <c r="I101" s="1">
        <v>66</v>
      </c>
      <c r="J101" s="1">
        <v>549</v>
      </c>
      <c r="K101" s="1">
        <v>216</v>
      </c>
      <c r="L101" s="1">
        <v>66</v>
      </c>
      <c r="M101" s="1">
        <v>99</v>
      </c>
      <c r="N101" s="1">
        <v>1</v>
      </c>
      <c r="O101" s="1">
        <v>5</v>
      </c>
      <c r="P101" s="1">
        <v>6</v>
      </c>
      <c r="Q101" s="1">
        <v>4</v>
      </c>
      <c r="R101" s="1">
        <v>3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  <c r="Z101" s="1">
        <v>50</v>
      </c>
      <c r="AA101" s="1" t="str" cm="1">
        <f t="array" ref="AA101">_xlfn.IFS(AND(Z101&lt;36, Z101&gt;23), "24-35", AND(Z101&lt;51, Z101&gt;35),"36-50", AND(Z101&lt;66, Z101&gt;50), "51-66", Z101&gt;65, "66+", TRUE, "?")</f>
        <v>36-50</v>
      </c>
      <c r="AB101" s="1">
        <v>2713</v>
      </c>
      <c r="AC101" s="1">
        <v>1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1614</v>
      </c>
      <c r="AM101" s="2">
        <v>42136</v>
      </c>
      <c r="AN101" t="str">
        <f t="shared" si="3"/>
        <v>78579,1713,0.0217997174817699,0,0,35,816,66,549,216,66,99,1,5,6,4,3,0,0,0,0,0,0,1,50,36-50,2713,1,0,0,0,0,0,0,1,0,1614,42136</v>
      </c>
    </row>
    <row r="102" spans="1:40" ht="13" x14ac:dyDescent="0.15">
      <c r="A102">
        <v>383</v>
      </c>
      <c r="B102" s="1">
        <v>79607</v>
      </c>
      <c r="C102" s="1">
        <v>1707</v>
      </c>
      <c r="D102" s="4">
        <f t="shared" si="2"/>
        <v>2.1442837941387065E-2</v>
      </c>
      <c r="E102" s="1">
        <v>0</v>
      </c>
      <c r="F102" s="1">
        <v>0</v>
      </c>
      <c r="G102" s="1">
        <v>37</v>
      </c>
      <c r="H102" s="1">
        <v>450</v>
      </c>
      <c r="I102" s="1">
        <v>133</v>
      </c>
      <c r="J102" s="1">
        <v>951</v>
      </c>
      <c r="K102" s="1">
        <v>173</v>
      </c>
      <c r="L102" s="1">
        <v>0</v>
      </c>
      <c r="M102" s="1">
        <v>216</v>
      </c>
      <c r="N102" s="1">
        <v>1</v>
      </c>
      <c r="O102" s="1">
        <v>3</v>
      </c>
      <c r="P102" s="1">
        <v>6</v>
      </c>
      <c r="Q102" s="1">
        <v>6</v>
      </c>
      <c r="R102" s="1">
        <v>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36</v>
      </c>
      <c r="AA102" s="1" t="str" cm="1">
        <f t="array" ref="AA102">_xlfn.IFS(AND(Z102&lt;36, Z102&gt;23), "24-35", AND(Z102&lt;51, Z102&gt;35),"36-50", AND(Z102&lt;66, Z102&gt;50), "51-66", Z102&gt;65, "66+", TRUE, "?")</f>
        <v>36-50</v>
      </c>
      <c r="AB102" s="1">
        <v>2593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1</v>
      </c>
      <c r="AJ102" s="1">
        <v>0</v>
      </c>
      <c r="AK102" s="1">
        <v>0</v>
      </c>
      <c r="AL102" s="1">
        <v>1491</v>
      </c>
      <c r="AM102" s="2">
        <v>42256</v>
      </c>
      <c r="AN102" t="str">
        <f t="shared" si="3"/>
        <v>79607,1707,0.0214428379413871,0,0,37,450,133,951,173,0,216,1,3,6,6,1,0,0,0,0,0,0,1,36,36-50,2593,0,0,1,0,0,0,1,0,0,1491,42256</v>
      </c>
    </row>
    <row r="103" spans="1:40" ht="13" hidden="1" x14ac:dyDescent="0.15">
      <c r="A103">
        <v>1750</v>
      </c>
      <c r="B103" s="1">
        <v>77598</v>
      </c>
      <c r="C103" s="1">
        <v>1702</v>
      </c>
      <c r="D103" s="4">
        <f t="shared" si="2"/>
        <v>2.1933554988530633E-2</v>
      </c>
      <c r="E103" s="1">
        <v>0</v>
      </c>
      <c r="F103" s="1">
        <v>0</v>
      </c>
      <c r="G103" s="1">
        <v>53</v>
      </c>
      <c r="H103" s="1">
        <v>1193</v>
      </c>
      <c r="I103" s="1">
        <v>33</v>
      </c>
      <c r="J103" s="1">
        <v>281</v>
      </c>
      <c r="K103" s="1">
        <v>129</v>
      </c>
      <c r="L103" s="1">
        <v>66</v>
      </c>
      <c r="M103" s="1">
        <v>33</v>
      </c>
      <c r="N103" s="1">
        <v>1</v>
      </c>
      <c r="O103" s="1">
        <v>7</v>
      </c>
      <c r="P103" s="1">
        <v>5</v>
      </c>
      <c r="Q103" s="1">
        <v>13</v>
      </c>
      <c r="R103" s="1">
        <v>3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77</v>
      </c>
      <c r="AA103" s="1" t="str" cm="1">
        <f t="array" ref="AA103">_xlfn.IFS(AND(Z103&lt;36, Z103&gt;23), "24-35", AND(Z103&lt;51, Z103&gt;35),"36-50", AND(Z103&lt;66, Z103&gt;50), "51-66", Z103&gt;65, "66+", TRUE, "?")</f>
        <v>66+</v>
      </c>
      <c r="AB103" s="1">
        <v>2430</v>
      </c>
      <c r="AC103" s="1">
        <v>0</v>
      </c>
      <c r="AD103" s="1">
        <v>0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0</v>
      </c>
      <c r="AL103" s="1">
        <v>1669</v>
      </c>
      <c r="AM103" s="2">
        <v>42419</v>
      </c>
      <c r="AN103" t="str">
        <f t="shared" si="3"/>
        <v>77598,1702,0.0219335549885306,0,0,53,1193,33,281,129,66,33,1,7,5,13,3,0,0,0,0,1,0,0,77,66+,2430,0,0,1,0,0,0,0,1,0,1669,42419</v>
      </c>
    </row>
    <row r="104" spans="1:40" ht="13" hidden="1" x14ac:dyDescent="0.15">
      <c r="A104">
        <v>342</v>
      </c>
      <c r="B104" s="1">
        <v>72025</v>
      </c>
      <c r="C104" s="1">
        <v>1699</v>
      </c>
      <c r="D104" s="4">
        <f t="shared" si="2"/>
        <v>2.3589031586254774E-2</v>
      </c>
      <c r="E104" s="1">
        <v>0</v>
      </c>
      <c r="F104" s="1">
        <v>0</v>
      </c>
      <c r="G104" s="1">
        <v>27</v>
      </c>
      <c r="H104" s="1">
        <v>833</v>
      </c>
      <c r="I104" s="1">
        <v>33</v>
      </c>
      <c r="J104" s="1">
        <v>549</v>
      </c>
      <c r="K104" s="1">
        <v>151</v>
      </c>
      <c r="L104" s="1">
        <v>133</v>
      </c>
      <c r="M104" s="1">
        <v>233</v>
      </c>
      <c r="N104" s="1">
        <v>1</v>
      </c>
      <c r="O104" s="1">
        <v>4</v>
      </c>
      <c r="P104" s="1">
        <v>3</v>
      </c>
      <c r="Q104" s="1">
        <v>8</v>
      </c>
      <c r="R104" s="1">
        <v>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58</v>
      </c>
      <c r="AA104" s="1" t="str" cm="1">
        <f t="array" ref="AA104">_xlfn.IFS(AND(Z104&lt;36, Z104&gt;23), "24-35", AND(Z104&lt;51, Z104&gt;35),"36-50", AND(Z104&lt;66, Z104&gt;50), "51-66", Z104&gt;65, "66+", TRUE, "?")</f>
        <v>51-66</v>
      </c>
      <c r="AB104" s="1">
        <v>2748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1</v>
      </c>
      <c r="AJ104" s="1">
        <v>0</v>
      </c>
      <c r="AK104" s="1">
        <v>0</v>
      </c>
      <c r="AL104" s="1">
        <v>1466</v>
      </c>
      <c r="AM104" s="2">
        <v>42101</v>
      </c>
      <c r="AN104" t="str">
        <f t="shared" si="3"/>
        <v>72025,1699,0.0235890315862548,0,0,27,833,33,549,151,133,233,1,4,3,8,3,0,0,0,0,0,0,0,58,51-66,2748,0,0,0,1,0,0,1,0,0,1466,42101</v>
      </c>
    </row>
    <row r="105" spans="1:40" ht="13" hidden="1" x14ac:dyDescent="0.15">
      <c r="A105">
        <v>677</v>
      </c>
      <c r="B105" s="1">
        <v>72190</v>
      </c>
      <c r="C105" s="1">
        <v>1698</v>
      </c>
      <c r="D105" s="4">
        <f t="shared" si="2"/>
        <v>2.3521263332871589E-2</v>
      </c>
      <c r="E105" s="1">
        <v>0</v>
      </c>
      <c r="F105" s="1">
        <v>0</v>
      </c>
      <c r="G105" s="1">
        <v>79</v>
      </c>
      <c r="H105" s="1">
        <v>597</v>
      </c>
      <c r="I105" s="1">
        <v>166</v>
      </c>
      <c r="J105" s="1">
        <v>597</v>
      </c>
      <c r="K105" s="1">
        <v>172</v>
      </c>
      <c r="L105" s="1">
        <v>166</v>
      </c>
      <c r="M105" s="1">
        <v>249</v>
      </c>
      <c r="N105" s="1">
        <v>1</v>
      </c>
      <c r="O105" s="1">
        <v>5</v>
      </c>
      <c r="P105" s="1">
        <v>6</v>
      </c>
      <c r="Q105" s="1">
        <v>4</v>
      </c>
      <c r="R105" s="1">
        <v>3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55</v>
      </c>
      <c r="AA105" s="1" t="str" cm="1">
        <f t="array" ref="AA105">_xlfn.IFS(AND(Z105&lt;36, Z105&gt;23), "24-35", AND(Z105&lt;51, Z105&gt;35),"36-50", AND(Z105&lt;66, Z105&gt;50), "51-66", Z105&gt;65, "66+", TRUE, "?")</f>
        <v>51-66</v>
      </c>
      <c r="AB105" s="1">
        <v>2660</v>
      </c>
      <c r="AC105" s="1">
        <v>0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1</v>
      </c>
      <c r="AJ105" s="1">
        <v>0</v>
      </c>
      <c r="AK105" s="1">
        <v>0</v>
      </c>
      <c r="AL105" s="1">
        <v>1449</v>
      </c>
      <c r="AM105" s="2">
        <v>42189</v>
      </c>
      <c r="AN105" t="str">
        <f t="shared" si="3"/>
        <v>72190,1698,0.0235212633328716,0,0,79,597,166,597,172,166,249,1,5,6,4,3,0,0,0,0,0,0,0,55,51-66,2660,0,1,0,0,0,0,1,0,0,1449,42189</v>
      </c>
    </row>
    <row r="106" spans="1:40" ht="13" x14ac:dyDescent="0.15">
      <c r="A106">
        <v>391</v>
      </c>
      <c r="B106" s="1">
        <v>92955</v>
      </c>
      <c r="C106" s="1">
        <v>1694</v>
      </c>
      <c r="D106" s="4">
        <f t="shared" si="2"/>
        <v>1.8223871765908235E-2</v>
      </c>
      <c r="E106" s="1">
        <v>0</v>
      </c>
      <c r="F106" s="1">
        <v>0</v>
      </c>
      <c r="G106" s="1">
        <v>35</v>
      </c>
      <c r="H106" s="1">
        <v>693</v>
      </c>
      <c r="I106" s="1">
        <v>21</v>
      </c>
      <c r="J106" s="1">
        <v>925</v>
      </c>
      <c r="K106" s="1">
        <v>31</v>
      </c>
      <c r="L106" s="1">
        <v>24</v>
      </c>
      <c r="M106" s="1">
        <v>84</v>
      </c>
      <c r="N106" s="1">
        <v>1</v>
      </c>
      <c r="O106" s="1">
        <v>6</v>
      </c>
      <c r="P106" s="1">
        <v>7</v>
      </c>
      <c r="Q106" s="1">
        <v>9</v>
      </c>
      <c r="R106" s="1">
        <v>2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1</v>
      </c>
      <c r="Z106" s="1">
        <v>47</v>
      </c>
      <c r="AA106" s="1" t="str" cm="1">
        <f t="array" ref="AA106">_xlfn.IFS(AND(Z106&lt;36, Z106&gt;23), "24-35", AND(Z106&lt;51, Z106&gt;35),"36-50", AND(Z106&lt;66, Z106&gt;50), "51-66", Z106&gt;65, "66+", TRUE, "?")</f>
        <v>36-50</v>
      </c>
      <c r="AB106" s="1">
        <v>2473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1610</v>
      </c>
      <c r="AM106" s="2">
        <v>42376</v>
      </c>
      <c r="AN106" t="str">
        <f t="shared" si="3"/>
        <v>92955,1694,0.0182238717659082,0,0,35,693,21,925,31,24,84,1,6,7,9,2,1,0,0,0,1,0,1,47,36-50,2473,0,1,0,0,0,0,1,0,0,1610,42376</v>
      </c>
    </row>
    <row r="107" spans="1:40" ht="13" hidden="1" x14ac:dyDescent="0.15">
      <c r="A107">
        <v>105</v>
      </c>
      <c r="B107" s="1">
        <v>90765</v>
      </c>
      <c r="C107" s="1">
        <v>1691</v>
      </c>
      <c r="D107" s="4">
        <f t="shared" si="2"/>
        <v>1.8630529389081694E-2</v>
      </c>
      <c r="E107" s="1">
        <v>0</v>
      </c>
      <c r="F107" s="1">
        <v>0</v>
      </c>
      <c r="G107" s="1">
        <v>25</v>
      </c>
      <c r="H107" s="1">
        <v>547</v>
      </c>
      <c r="I107" s="1">
        <v>99</v>
      </c>
      <c r="J107" s="1">
        <v>812</v>
      </c>
      <c r="K107" s="1">
        <v>151</v>
      </c>
      <c r="L107" s="1">
        <v>82</v>
      </c>
      <c r="M107" s="1">
        <v>33</v>
      </c>
      <c r="N107" s="1">
        <v>0</v>
      </c>
      <c r="O107" s="1">
        <v>4</v>
      </c>
      <c r="P107" s="1">
        <v>6</v>
      </c>
      <c r="Q107" s="1">
        <v>5</v>
      </c>
      <c r="R107" s="1">
        <v>1</v>
      </c>
      <c r="S107" s="1">
        <v>1</v>
      </c>
      <c r="T107" s="1">
        <v>0</v>
      </c>
      <c r="U107" s="1">
        <v>0</v>
      </c>
      <c r="V107" s="1">
        <v>0</v>
      </c>
      <c r="W107" s="1">
        <v>1</v>
      </c>
      <c r="X107" s="1">
        <v>0</v>
      </c>
      <c r="Y107" s="1">
        <v>0</v>
      </c>
      <c r="Z107" s="1">
        <v>50</v>
      </c>
      <c r="AA107" s="1" t="str" cm="1">
        <f t="array" ref="AA107">_xlfn.IFS(AND(Z107&lt;36, Z107&gt;23), "24-35", AND(Z107&lt;51, Z107&gt;35),"36-50", AND(Z107&lt;66, Z107&gt;50), "51-66", Z107&gt;65, "66+", TRUE, "?")</f>
        <v>36-50</v>
      </c>
      <c r="AB107" s="1">
        <v>2315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1</v>
      </c>
      <c r="AJ107" s="1">
        <v>0</v>
      </c>
      <c r="AK107" s="1">
        <v>0</v>
      </c>
      <c r="AL107" s="1">
        <v>1658</v>
      </c>
      <c r="AM107" s="2">
        <v>42534</v>
      </c>
      <c r="AN107" t="str">
        <f t="shared" si="3"/>
        <v>90765,1691,0.0186305293890817,0,0,25,547,99,812,151,82,33,0,4,6,5,1,1,0,0,0,1,0,0,50,36-50,2315,0,1,0,0,0,0,1,0,0,1658,42534</v>
      </c>
    </row>
    <row r="108" spans="1:40" ht="13" hidden="1" x14ac:dyDescent="0.15">
      <c r="A108">
        <v>1789</v>
      </c>
      <c r="B108" s="1">
        <v>74485</v>
      </c>
      <c r="C108" s="1">
        <v>1685</v>
      </c>
      <c r="D108" s="4">
        <f t="shared" si="2"/>
        <v>2.2622004430422234E-2</v>
      </c>
      <c r="E108" s="1">
        <v>0</v>
      </c>
      <c r="F108" s="1">
        <v>0</v>
      </c>
      <c r="G108" s="1">
        <v>58</v>
      </c>
      <c r="H108" s="1">
        <v>499</v>
      </c>
      <c r="I108" s="1">
        <v>149</v>
      </c>
      <c r="J108" s="1">
        <v>815</v>
      </c>
      <c r="K108" s="1">
        <v>173</v>
      </c>
      <c r="L108" s="1">
        <v>49</v>
      </c>
      <c r="M108" s="1">
        <v>49</v>
      </c>
      <c r="N108" s="1">
        <v>1</v>
      </c>
      <c r="O108" s="1">
        <v>6</v>
      </c>
      <c r="P108" s="1">
        <v>7</v>
      </c>
      <c r="Q108" s="1">
        <v>12</v>
      </c>
      <c r="R108" s="1">
        <v>3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73</v>
      </c>
      <c r="AA108" s="1" t="str" cm="1">
        <f t="array" ref="AA108">_xlfn.IFS(AND(Z108&lt;36, Z108&gt;23), "24-35", AND(Z108&lt;51, Z108&gt;35),"36-50", AND(Z108&lt;66, Z108&gt;50), "51-66", Z108&gt;65, "66+", TRUE, "?")</f>
        <v>66+</v>
      </c>
      <c r="AB108" s="1">
        <v>2468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1636</v>
      </c>
      <c r="AM108" s="2">
        <v>42381</v>
      </c>
      <c r="AN108" t="str">
        <f t="shared" si="3"/>
        <v>74485,1685,0.0226220044304222,0,0,58,499,149,815,173,49,49,1,6,7,12,3,0,0,0,0,0,0,0,73,66+,2468,0,0,0,1,0,0,1,0,0,1636,42381</v>
      </c>
    </row>
    <row r="109" spans="1:40" ht="13" x14ac:dyDescent="0.15">
      <c r="A109">
        <v>395</v>
      </c>
      <c r="B109" s="1">
        <v>77870</v>
      </c>
      <c r="C109" s="1">
        <v>1682</v>
      </c>
      <c r="D109" s="4">
        <f t="shared" si="2"/>
        <v>2.160010273532811E-2</v>
      </c>
      <c r="E109" s="1">
        <v>0</v>
      </c>
      <c r="F109" s="1">
        <v>1</v>
      </c>
      <c r="G109" s="1">
        <v>93</v>
      </c>
      <c r="H109" s="1">
        <v>1017</v>
      </c>
      <c r="I109" s="1">
        <v>50</v>
      </c>
      <c r="J109" s="1">
        <v>500</v>
      </c>
      <c r="K109" s="1">
        <v>65</v>
      </c>
      <c r="L109" s="1">
        <v>50</v>
      </c>
      <c r="M109" s="1">
        <v>133</v>
      </c>
      <c r="N109" s="1">
        <v>3</v>
      </c>
      <c r="O109" s="1">
        <v>5</v>
      </c>
      <c r="P109" s="1">
        <v>5</v>
      </c>
      <c r="Q109" s="1">
        <v>5</v>
      </c>
      <c r="R109" s="1">
        <v>8</v>
      </c>
      <c r="S109" s="1">
        <v>1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1</v>
      </c>
      <c r="Z109" s="1">
        <v>53</v>
      </c>
      <c r="AA109" s="1" t="str" cm="1">
        <f t="array" ref="AA109">_xlfn.IFS(AND(Z109&lt;36, Z109&gt;23), "24-35", AND(Z109&lt;51, Z109&gt;35),"36-50", AND(Z109&lt;66, Z109&gt;50), "51-66", Z109&gt;65, "66+", TRUE, "?")</f>
        <v>51-66</v>
      </c>
      <c r="AB109" s="1">
        <v>2835</v>
      </c>
      <c r="AC109" s="1">
        <v>0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1549</v>
      </c>
      <c r="AM109" s="2">
        <v>42014</v>
      </c>
      <c r="AN109" t="str">
        <f t="shared" si="3"/>
        <v>77870,1682,0.0216001027353281,0,1,93,1017,50,500,65,50,133,3,5,5,5,8,1,0,0,1,0,0,1,53,51-66,2835,0,1,0,0,0,0,1,0,0,1549,42014</v>
      </c>
    </row>
    <row r="110" spans="1:40" ht="13" hidden="1" x14ac:dyDescent="0.15">
      <c r="A110">
        <v>462</v>
      </c>
      <c r="B110" s="1">
        <v>76005</v>
      </c>
      <c r="C110" s="1">
        <v>1682</v>
      </c>
      <c r="D110" s="4">
        <f t="shared" si="2"/>
        <v>2.2130123018222484E-2</v>
      </c>
      <c r="E110" s="1">
        <v>0</v>
      </c>
      <c r="F110" s="1">
        <v>0</v>
      </c>
      <c r="G110" s="1">
        <v>72</v>
      </c>
      <c r="H110" s="1">
        <v>983</v>
      </c>
      <c r="I110" s="1">
        <v>20</v>
      </c>
      <c r="J110" s="1">
        <v>389</v>
      </c>
      <c r="K110" s="1">
        <v>240</v>
      </c>
      <c r="L110" s="1">
        <v>50</v>
      </c>
      <c r="M110" s="1">
        <v>40</v>
      </c>
      <c r="N110" s="1">
        <v>1</v>
      </c>
      <c r="O110" s="1">
        <v>3</v>
      </c>
      <c r="P110" s="1">
        <v>5</v>
      </c>
      <c r="Q110" s="1">
        <v>13</v>
      </c>
      <c r="R110" s="1">
        <v>6</v>
      </c>
      <c r="S110" s="1">
        <v>1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65</v>
      </c>
      <c r="AA110" s="1" t="str" cm="1">
        <f t="array" ref="AA110">_xlfn.IFS(AND(Z110&lt;36, Z110&gt;23), "24-35", AND(Z110&lt;51, Z110&gt;35),"36-50", AND(Z110&lt;66, Z110&gt;50), "51-66", Z110&gt;65, "66+", TRUE, "?")</f>
        <v>51-66</v>
      </c>
      <c r="AB110" s="1">
        <v>2651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1</v>
      </c>
      <c r="AJ110" s="1">
        <v>0</v>
      </c>
      <c r="AK110" s="1">
        <v>0</v>
      </c>
      <c r="AL110" s="1">
        <v>1642</v>
      </c>
      <c r="AM110" s="2">
        <v>42198</v>
      </c>
      <c r="AN110" t="str">
        <f t="shared" si="3"/>
        <v>76005,1682,0.0221301230182225,0,0,72,983,20,389,240,50,40,1,3,5,13,6,1,0,0,0,0,0,0,65,51-66,2651,0,0,0,1,0,0,1,0,0,1642,42198</v>
      </c>
    </row>
    <row r="111" spans="1:40" ht="13" hidden="1" x14ac:dyDescent="0.15">
      <c r="A111">
        <v>363</v>
      </c>
      <c r="B111" s="1">
        <v>90300</v>
      </c>
      <c r="C111" s="1">
        <v>1681</v>
      </c>
      <c r="D111" s="4">
        <f t="shared" si="2"/>
        <v>1.8615725359911406E-2</v>
      </c>
      <c r="E111" s="1">
        <v>0</v>
      </c>
      <c r="F111" s="1">
        <v>0</v>
      </c>
      <c r="G111" s="1">
        <v>7</v>
      </c>
      <c r="H111" s="1">
        <v>594</v>
      </c>
      <c r="I111" s="1">
        <v>134</v>
      </c>
      <c r="J111" s="1">
        <v>786</v>
      </c>
      <c r="K111" s="1">
        <v>33</v>
      </c>
      <c r="L111" s="1">
        <v>134</v>
      </c>
      <c r="M111" s="1">
        <v>57</v>
      </c>
      <c r="N111" s="1">
        <v>0</v>
      </c>
      <c r="O111" s="1">
        <v>5</v>
      </c>
      <c r="P111" s="1">
        <v>6</v>
      </c>
      <c r="Q111" s="1">
        <v>8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0</v>
      </c>
      <c r="Y111" s="1">
        <v>0</v>
      </c>
      <c r="Z111" s="1">
        <v>41</v>
      </c>
      <c r="AA111" s="1" t="str" cm="1">
        <f t="array" ref="AA111">_xlfn.IFS(AND(Z111&lt;36, Z111&gt;23), "24-35", AND(Z111&lt;51, Z111&gt;35),"36-50", AND(Z111&lt;66, Z111&gt;50), "51-66", Z111&gt;65, "66+", TRUE, "?")</f>
        <v>36-50</v>
      </c>
      <c r="AB111" s="1">
        <v>2336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1</v>
      </c>
      <c r="AJ111" s="1">
        <v>0</v>
      </c>
      <c r="AK111" s="1">
        <v>0</v>
      </c>
      <c r="AL111" s="1">
        <v>1624</v>
      </c>
      <c r="AM111" s="2">
        <v>42513</v>
      </c>
      <c r="AN111" t="str">
        <f t="shared" si="3"/>
        <v>90300,1681,0.0186157253599114,0,0,7,594,134,786,33,134,57,0,5,6,8,1,0,0,0,0,1,0,0,41,36-50,2336,0,0,0,1,0,0,1,0,0,1624,42513</v>
      </c>
    </row>
    <row r="112" spans="1:40" ht="13" hidden="1" x14ac:dyDescent="0.15">
      <c r="A112">
        <v>1100</v>
      </c>
      <c r="B112" s="1">
        <v>74214</v>
      </c>
      <c r="C112" s="1">
        <v>1678</v>
      </c>
      <c r="D112" s="4">
        <f t="shared" si="2"/>
        <v>2.2610289163769639E-2</v>
      </c>
      <c r="E112" s="1">
        <v>0</v>
      </c>
      <c r="F112" s="1">
        <v>0</v>
      </c>
      <c r="G112" s="1">
        <v>3</v>
      </c>
      <c r="H112" s="1">
        <v>863</v>
      </c>
      <c r="I112" s="1">
        <v>83</v>
      </c>
      <c r="J112" s="1">
        <v>547</v>
      </c>
      <c r="K112" s="1">
        <v>86</v>
      </c>
      <c r="L112" s="1">
        <v>99</v>
      </c>
      <c r="M112" s="1">
        <v>33</v>
      </c>
      <c r="N112" s="1">
        <v>1</v>
      </c>
      <c r="O112" s="1">
        <v>8</v>
      </c>
      <c r="P112" s="1">
        <v>2</v>
      </c>
      <c r="Q112" s="1">
        <v>5</v>
      </c>
      <c r="R112" s="1">
        <v>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30</v>
      </c>
      <c r="AA112" s="1" t="str" cm="1">
        <f t="array" ref="AA112">_xlfn.IFS(AND(Z112&lt;36, Z112&gt;23), "24-35", AND(Z112&lt;51, Z112&gt;35),"36-50", AND(Z112&lt;66, Z112&gt;50), "51-66", Z112&gt;65, "66+", TRUE, "?")</f>
        <v>24-35</v>
      </c>
      <c r="AB112" s="1">
        <v>2831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1</v>
      </c>
      <c r="AL112" s="1">
        <v>1645</v>
      </c>
      <c r="AM112" s="2">
        <v>42018</v>
      </c>
      <c r="AN112" t="str">
        <f t="shared" si="3"/>
        <v>74214,1678,0.0226102891637696,0,0,3,863,83,547,86,99,33,1,8,2,5,5,0,0,0,0,0,0,0,30,24-35,2831,0,1,0,0,0,0,0,0,1,1645,42018</v>
      </c>
    </row>
    <row r="113" spans="1:40" ht="13" x14ac:dyDescent="0.15">
      <c r="A113">
        <v>402</v>
      </c>
      <c r="B113" s="1">
        <v>72025</v>
      </c>
      <c r="C113" s="1">
        <v>1677</v>
      </c>
      <c r="D113" s="4">
        <f t="shared" si="2"/>
        <v>2.3283582089552238E-2</v>
      </c>
      <c r="E113" s="1">
        <v>0</v>
      </c>
      <c r="F113" s="1">
        <v>0</v>
      </c>
      <c r="G113" s="1">
        <v>46</v>
      </c>
      <c r="H113" s="1">
        <v>967</v>
      </c>
      <c r="I113" s="1">
        <v>0</v>
      </c>
      <c r="J113" s="1">
        <v>617</v>
      </c>
      <c r="K113" s="1">
        <v>43</v>
      </c>
      <c r="L113" s="1">
        <v>50</v>
      </c>
      <c r="M113" s="1">
        <v>0</v>
      </c>
      <c r="N113" s="1">
        <v>1</v>
      </c>
      <c r="O113" s="1">
        <v>4</v>
      </c>
      <c r="P113" s="1">
        <v>8</v>
      </c>
      <c r="Q113" s="1">
        <v>13</v>
      </c>
      <c r="R113" s="1">
        <v>2</v>
      </c>
      <c r="S113" s="1">
        <v>1</v>
      </c>
      <c r="T113" s="1">
        <v>0</v>
      </c>
      <c r="U113" s="1">
        <v>0</v>
      </c>
      <c r="V113" s="1">
        <v>1</v>
      </c>
      <c r="W113" s="1">
        <v>1</v>
      </c>
      <c r="X113" s="1">
        <v>0</v>
      </c>
      <c r="Y113" s="1">
        <v>1</v>
      </c>
      <c r="Z113" s="1">
        <v>71</v>
      </c>
      <c r="AA113" s="1" t="str" cm="1">
        <f t="array" ref="AA113">_xlfn.IFS(AND(Z113&lt;36, Z113&gt;23), "24-35", AND(Z113&lt;51, Z113&gt;35),"36-50", AND(Z113&lt;66, Z113&gt;50), "51-66", Z113&gt;65, "66+", TRUE, "?")</f>
        <v>66+</v>
      </c>
      <c r="AB113" s="1">
        <v>2220</v>
      </c>
      <c r="AC113" s="1">
        <v>0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1</v>
      </c>
      <c r="AJ113" s="1">
        <v>0</v>
      </c>
      <c r="AK113" s="1">
        <v>0</v>
      </c>
      <c r="AL113" s="1">
        <v>1677</v>
      </c>
      <c r="AM113" s="2">
        <v>42629</v>
      </c>
      <c r="AN113" t="str">
        <f t="shared" si="3"/>
        <v>72025,1677,0.0232835820895522,0,0,46,967,0,617,43,50,0,1,4,8,13,2,1,0,0,1,1,0,1,71,66+,2220,0,1,0,0,0,0,1,0,0,1677,42629</v>
      </c>
    </row>
    <row r="114" spans="1:40" ht="13" hidden="1" x14ac:dyDescent="0.15">
      <c r="A114">
        <v>1003</v>
      </c>
      <c r="B114" s="1">
        <v>64176</v>
      </c>
      <c r="C114" s="1">
        <v>1677</v>
      </c>
      <c r="D114" s="4">
        <f t="shared" si="2"/>
        <v>2.6131264023934182E-2</v>
      </c>
      <c r="E114" s="1">
        <v>0</v>
      </c>
      <c r="F114" s="1">
        <v>1</v>
      </c>
      <c r="G114" s="1">
        <v>52</v>
      </c>
      <c r="H114" s="1">
        <v>1215</v>
      </c>
      <c r="I114" s="1">
        <v>33</v>
      </c>
      <c r="J114" s="1">
        <v>249</v>
      </c>
      <c r="K114" s="1">
        <v>64</v>
      </c>
      <c r="L114" s="1">
        <v>116</v>
      </c>
      <c r="M114" s="1">
        <v>149</v>
      </c>
      <c r="N114" s="1">
        <v>8</v>
      </c>
      <c r="O114" s="1">
        <v>8</v>
      </c>
      <c r="P114" s="1">
        <v>9</v>
      </c>
      <c r="Q114" s="1">
        <v>8</v>
      </c>
      <c r="R114" s="1">
        <v>6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55</v>
      </c>
      <c r="AA114" s="1" t="str" cm="1">
        <f t="array" ref="AA114">_xlfn.IFS(AND(Z114&lt;36, Z114&gt;23), "24-35", AND(Z114&lt;51, Z114&gt;35),"36-50", AND(Z114&lt;66, Z114&gt;50), "51-66", Z114&gt;65, "66+", TRUE, "?")</f>
        <v>51-66</v>
      </c>
      <c r="AB114" s="1">
        <v>2854</v>
      </c>
      <c r="AC114" s="1">
        <v>1</v>
      </c>
      <c r="AD114" s="1">
        <v>0</v>
      </c>
      <c r="AE114" s="1">
        <v>0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">
        <v>1528</v>
      </c>
      <c r="AM114" s="2">
        <v>41995</v>
      </c>
      <c r="AN114" t="str">
        <f t="shared" si="3"/>
        <v>64176,1677,0.0261312640239342,0,1,52,1215,33,249,64,116,149,8,8,9,8,6,0,0,0,0,0,0,0,55,51-66,2854,1,0,0,0,0,1,0,0,0,1528,41995</v>
      </c>
    </row>
    <row r="115" spans="1:40" ht="13" hidden="1" x14ac:dyDescent="0.15">
      <c r="A115">
        <v>1815</v>
      </c>
      <c r="B115" s="1">
        <v>94472</v>
      </c>
      <c r="C115" s="1">
        <v>1675</v>
      </c>
      <c r="D115" s="4">
        <f t="shared" si="2"/>
        <v>1.7730121094080786E-2</v>
      </c>
      <c r="E115" s="1">
        <v>0</v>
      </c>
      <c r="F115" s="1">
        <v>1</v>
      </c>
      <c r="G115" s="1">
        <v>75</v>
      </c>
      <c r="H115" s="1">
        <v>1017</v>
      </c>
      <c r="I115" s="1">
        <v>33</v>
      </c>
      <c r="J115" s="1">
        <v>417</v>
      </c>
      <c r="K115" s="1">
        <v>108</v>
      </c>
      <c r="L115" s="1">
        <v>100</v>
      </c>
      <c r="M115" s="1">
        <v>16</v>
      </c>
      <c r="N115" s="1">
        <v>1</v>
      </c>
      <c r="O115" s="1">
        <v>5</v>
      </c>
      <c r="P115" s="1">
        <v>5</v>
      </c>
      <c r="Q115" s="1">
        <v>5</v>
      </c>
      <c r="R115" s="1">
        <v>5</v>
      </c>
      <c r="S115" s="1">
        <v>0</v>
      </c>
      <c r="T115" s="1">
        <v>0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62</v>
      </c>
      <c r="AA115" s="1" t="str" cm="1">
        <f t="array" ref="AA115">_xlfn.IFS(AND(Z115&lt;36, Z115&gt;23), "24-35", AND(Z115&lt;51, Z115&gt;35),"36-50", AND(Z115&lt;66, Z115&gt;50), "51-66", Z115&gt;65, "66+", TRUE, "?")</f>
        <v>51-66</v>
      </c>
      <c r="AB115" s="1">
        <v>2246</v>
      </c>
      <c r="AC115" s="1">
        <v>0</v>
      </c>
      <c r="AD115" s="1">
        <v>0</v>
      </c>
      <c r="AE115" s="1">
        <v>1</v>
      </c>
      <c r="AF115" s="1">
        <v>0</v>
      </c>
      <c r="AG115" s="1">
        <v>0</v>
      </c>
      <c r="AH115" s="1">
        <v>0</v>
      </c>
      <c r="AI115" s="1">
        <v>1</v>
      </c>
      <c r="AJ115" s="1">
        <v>0</v>
      </c>
      <c r="AK115" s="1">
        <v>0</v>
      </c>
      <c r="AL115" s="1">
        <v>1659</v>
      </c>
      <c r="AM115" s="2">
        <v>42603</v>
      </c>
      <c r="AN115" t="str">
        <f t="shared" si="3"/>
        <v>94472,1675,0.0177301210940808,0,1,75,1017,33,417,108,100,16,1,5,5,5,5,0,0,0,1,1,0,0,62,51-66,2246,0,0,1,0,0,0,1,0,0,1659,42603</v>
      </c>
    </row>
    <row r="116" spans="1:40" ht="13" hidden="1" x14ac:dyDescent="0.15">
      <c r="A116">
        <v>148</v>
      </c>
      <c r="B116" s="1">
        <v>70356</v>
      </c>
      <c r="C116" s="1">
        <v>1673</v>
      </c>
      <c r="D116" s="4">
        <f t="shared" si="2"/>
        <v>2.3779066461993292E-2</v>
      </c>
      <c r="E116" s="1">
        <v>0</v>
      </c>
      <c r="F116" s="1">
        <v>0</v>
      </c>
      <c r="G116" s="1">
        <v>20</v>
      </c>
      <c r="H116" s="1">
        <v>1349</v>
      </c>
      <c r="I116" s="1">
        <v>16</v>
      </c>
      <c r="J116" s="1">
        <v>249</v>
      </c>
      <c r="K116" s="1">
        <v>43</v>
      </c>
      <c r="L116" s="1">
        <v>16</v>
      </c>
      <c r="M116" s="1">
        <v>33</v>
      </c>
      <c r="N116" s="1">
        <v>2</v>
      </c>
      <c r="O116" s="1">
        <v>10</v>
      </c>
      <c r="P116" s="1">
        <v>6</v>
      </c>
      <c r="Q116" s="1">
        <v>9</v>
      </c>
      <c r="R116" s="1">
        <v>6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75</v>
      </c>
      <c r="AA116" s="1" t="str" cm="1">
        <f t="array" ref="AA116">_xlfn.IFS(AND(Z116&lt;36, Z116&gt;23), "24-35", AND(Z116&lt;51, Z116&gt;35),"36-50", AND(Z116&lt;66, Z116&gt;50), "51-66", Z116&gt;65, "66+", TRUE, "?")</f>
        <v>66+</v>
      </c>
      <c r="AB116" s="1">
        <v>2760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1640</v>
      </c>
      <c r="AM116" s="2">
        <v>42089</v>
      </c>
      <c r="AN116" t="str">
        <f t="shared" si="3"/>
        <v>70356,1673,0.0237790664619933,0,0,20,1349,16,249,43,16,33,2,10,6,9,6,0,0,0,0,0,0,0,75,66+,2760,0,1,0,0,0,0,0,0,1,1640,42089</v>
      </c>
    </row>
    <row r="117" spans="1:40" ht="13" hidden="1" x14ac:dyDescent="0.15">
      <c r="A117">
        <v>28</v>
      </c>
      <c r="B117" s="1">
        <v>84618</v>
      </c>
      <c r="C117" s="1">
        <v>1672</v>
      </c>
      <c r="D117" s="4">
        <f t="shared" si="2"/>
        <v>1.9759389255241202E-2</v>
      </c>
      <c r="E117" s="1">
        <v>0</v>
      </c>
      <c r="F117" s="1">
        <v>0</v>
      </c>
      <c r="G117" s="1">
        <v>96</v>
      </c>
      <c r="H117" s="1">
        <v>684</v>
      </c>
      <c r="I117" s="1">
        <v>100</v>
      </c>
      <c r="J117" s="1">
        <v>801</v>
      </c>
      <c r="K117" s="1">
        <v>21</v>
      </c>
      <c r="L117" s="1">
        <v>66</v>
      </c>
      <c r="M117" s="1">
        <v>0</v>
      </c>
      <c r="N117" s="1">
        <v>1</v>
      </c>
      <c r="O117" s="1">
        <v>6</v>
      </c>
      <c r="P117" s="1">
        <v>9</v>
      </c>
      <c r="Q117" s="1">
        <v>10</v>
      </c>
      <c r="R117" s="1">
        <v>2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55</v>
      </c>
      <c r="AA117" s="1" t="str" cm="1">
        <f t="array" ref="AA117">_xlfn.IFS(AND(Z117&lt;36, Z117&gt;23), "24-35", AND(Z117&lt;51, Z117&gt;35),"36-50", AND(Z117&lt;66, Z117&gt;50), "51-66", Z117&gt;65, "66+", TRUE, "?")</f>
        <v>51-66</v>
      </c>
      <c r="AB117" s="1">
        <v>2378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</v>
      </c>
      <c r="AL117" s="1">
        <v>1672</v>
      </c>
      <c r="AM117" s="2">
        <v>42471</v>
      </c>
      <c r="AN117" t="str">
        <f t="shared" si="3"/>
        <v>84618,1672,0.0197593892552412,0,0,96,684,100,801,21,66,0,1,6,9,10,2,0,0,0,0,1,0,0,55,51-66,2378,0,1,0,0,0,0,0,0,1,1672,42471</v>
      </c>
    </row>
    <row r="118" spans="1:40" ht="13" x14ac:dyDescent="0.15">
      <c r="A118">
        <v>427</v>
      </c>
      <c r="B118" s="1">
        <v>84865</v>
      </c>
      <c r="C118" s="1">
        <v>1672</v>
      </c>
      <c r="D118" s="4">
        <f t="shared" si="2"/>
        <v>1.9701879455605961E-2</v>
      </c>
      <c r="E118" s="1">
        <v>0</v>
      </c>
      <c r="F118" s="1">
        <v>0</v>
      </c>
      <c r="G118" s="1">
        <v>1</v>
      </c>
      <c r="H118" s="1">
        <v>1248</v>
      </c>
      <c r="I118" s="1">
        <v>16</v>
      </c>
      <c r="J118" s="1">
        <v>349</v>
      </c>
      <c r="K118" s="1">
        <v>43</v>
      </c>
      <c r="L118" s="1">
        <v>16</v>
      </c>
      <c r="M118" s="1">
        <v>16</v>
      </c>
      <c r="N118" s="1">
        <v>1</v>
      </c>
      <c r="O118" s="1">
        <v>2</v>
      </c>
      <c r="P118" s="1">
        <v>4</v>
      </c>
      <c r="Q118" s="1">
        <v>9</v>
      </c>
      <c r="R118" s="1">
        <v>4</v>
      </c>
      <c r="S118" s="1">
        <v>1</v>
      </c>
      <c r="T118" s="1">
        <v>1</v>
      </c>
      <c r="U118" s="1">
        <v>0</v>
      </c>
      <c r="V118" s="1">
        <v>1</v>
      </c>
      <c r="W118" s="1">
        <v>1</v>
      </c>
      <c r="X118" s="1">
        <v>0</v>
      </c>
      <c r="Y118" s="1">
        <v>1</v>
      </c>
      <c r="Z118" s="1">
        <v>59</v>
      </c>
      <c r="AA118" s="1" t="str" cm="1">
        <f t="array" ref="AA118">_xlfn.IFS(AND(Z118&lt;36, Z118&gt;23), "24-35", AND(Z118&lt;51, Z118&gt;35),"36-50", AND(Z118&lt;66, Z118&gt;50), "51-66", Z118&gt;65, "66+", TRUE, "?")</f>
        <v>51-66</v>
      </c>
      <c r="AB118" s="1">
        <v>2575</v>
      </c>
      <c r="AC118" s="1">
        <v>0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1</v>
      </c>
      <c r="AL118" s="1">
        <v>1656</v>
      </c>
      <c r="AM118" s="2">
        <v>42274</v>
      </c>
      <c r="AN118" t="str">
        <f t="shared" si="3"/>
        <v>84865,1672,0.019701879455606,0,0,1,1248,16,349,43,16,16,1,2,4,9,4,1,1,0,1,1,0,1,59,51-66,2575,0,0,1,0,0,0,0,0,1,1656,42274</v>
      </c>
    </row>
    <row r="119" spans="1:40" ht="13" x14ac:dyDescent="0.15">
      <c r="A119">
        <v>428</v>
      </c>
      <c r="B119" s="1">
        <v>78789</v>
      </c>
      <c r="C119" s="1">
        <v>1671</v>
      </c>
      <c r="D119" s="4">
        <f t="shared" si="2"/>
        <v>2.1208544339945932E-2</v>
      </c>
      <c r="E119" s="1">
        <v>0</v>
      </c>
      <c r="F119" s="1">
        <v>0</v>
      </c>
      <c r="G119" s="1">
        <v>12</v>
      </c>
      <c r="H119" s="1">
        <v>667</v>
      </c>
      <c r="I119" s="1">
        <v>50</v>
      </c>
      <c r="J119" s="1">
        <v>850</v>
      </c>
      <c r="K119" s="1">
        <v>21</v>
      </c>
      <c r="L119" s="1">
        <v>83</v>
      </c>
      <c r="M119" s="1">
        <v>83</v>
      </c>
      <c r="N119" s="1">
        <v>1</v>
      </c>
      <c r="O119" s="1">
        <v>4</v>
      </c>
      <c r="P119" s="1">
        <v>6</v>
      </c>
      <c r="Q119" s="1">
        <v>5</v>
      </c>
      <c r="R119" s="1">
        <v>2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40</v>
      </c>
      <c r="AA119" s="1" t="str" cm="1">
        <f t="array" ref="AA119">_xlfn.IFS(AND(Z119&lt;36, Z119&gt;23), "24-35", AND(Z119&lt;51, Z119&gt;35),"36-50", AND(Z119&lt;66, Z119&gt;50), "51-66", Z119&gt;65, "66+", TRUE, "?")</f>
        <v>36-50</v>
      </c>
      <c r="AB119" s="1">
        <v>2849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0</v>
      </c>
      <c r="AL119" s="1">
        <v>1588</v>
      </c>
      <c r="AM119" s="2">
        <v>42000</v>
      </c>
      <c r="AN119" t="str">
        <f t="shared" si="3"/>
        <v>78789,1671,0.0212085443399459,0,0,12,667,50,850,21,83,83,1,4,6,5,2,0,0,0,0,0,0,1,40,36-50,2849,1,0,0,0,0,0,0,1,0,1588,42000</v>
      </c>
    </row>
    <row r="120" spans="1:40" ht="13" x14ac:dyDescent="0.15">
      <c r="A120">
        <v>431</v>
      </c>
      <c r="B120" s="1">
        <v>86979</v>
      </c>
      <c r="C120" s="1">
        <v>1667</v>
      </c>
      <c r="D120" s="4">
        <f t="shared" si="2"/>
        <v>1.9165545706434885E-2</v>
      </c>
      <c r="E120" s="1">
        <v>0</v>
      </c>
      <c r="F120" s="1">
        <v>0</v>
      </c>
      <c r="G120" s="1">
        <v>67</v>
      </c>
      <c r="H120" s="1">
        <v>584</v>
      </c>
      <c r="I120" s="1">
        <v>100</v>
      </c>
      <c r="J120" s="1">
        <v>835</v>
      </c>
      <c r="K120" s="1">
        <v>65</v>
      </c>
      <c r="L120" s="1">
        <v>83</v>
      </c>
      <c r="M120" s="1">
        <v>35</v>
      </c>
      <c r="N120" s="1">
        <v>1</v>
      </c>
      <c r="O120" s="1">
        <v>5</v>
      </c>
      <c r="P120" s="1">
        <v>5</v>
      </c>
      <c r="Q120" s="1">
        <v>5</v>
      </c>
      <c r="R120" s="1">
        <v>2</v>
      </c>
      <c r="S120" s="1">
        <v>0</v>
      </c>
      <c r="T120" s="1">
        <v>0</v>
      </c>
      <c r="U120" s="1">
        <v>1</v>
      </c>
      <c r="V120" s="1">
        <v>0</v>
      </c>
      <c r="W120" s="1">
        <v>0</v>
      </c>
      <c r="X120" s="1">
        <v>0</v>
      </c>
      <c r="Y120" s="1">
        <v>1</v>
      </c>
      <c r="Z120" s="1">
        <v>49</v>
      </c>
      <c r="AA120" s="1" t="str" cm="1">
        <f t="array" ref="AA120">_xlfn.IFS(AND(Z120&lt;36, Z120&gt;23), "24-35", AND(Z120&lt;51, Z120&gt;35),"36-50", AND(Z120&lt;66, Z120&gt;50), "51-66", Z120&gt;65, "66+", TRUE, "?")</f>
        <v>36-50</v>
      </c>
      <c r="AB120" s="1">
        <v>2393</v>
      </c>
      <c r="AC120" s="1">
        <v>1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1</v>
      </c>
      <c r="AL120" s="1">
        <v>1632</v>
      </c>
      <c r="AM120" s="2">
        <v>42456</v>
      </c>
      <c r="AN120" t="str">
        <f t="shared" si="3"/>
        <v>86979,1667,0.0191655457064349,0,0,67,584,100,835,65,83,35,1,5,5,5,2,0,0,1,0,0,0,1,49,36-50,2393,1,0,0,0,0,0,0,0,1,1632,42456</v>
      </c>
    </row>
    <row r="121" spans="1:40" ht="13" hidden="1" x14ac:dyDescent="0.15">
      <c r="A121">
        <v>1880</v>
      </c>
      <c r="B121" s="1">
        <v>77610</v>
      </c>
      <c r="C121" s="1">
        <v>1664</v>
      </c>
      <c r="D121" s="4">
        <f t="shared" si="2"/>
        <v>2.1440536013400336E-2</v>
      </c>
      <c r="E121" s="1">
        <v>0</v>
      </c>
      <c r="F121" s="1">
        <v>1</v>
      </c>
      <c r="G121" s="1">
        <v>70</v>
      </c>
      <c r="H121" s="1">
        <v>1245</v>
      </c>
      <c r="I121" s="1">
        <v>33</v>
      </c>
      <c r="J121" s="1">
        <v>332</v>
      </c>
      <c r="K121" s="1">
        <v>21</v>
      </c>
      <c r="L121" s="1">
        <v>33</v>
      </c>
      <c r="M121" s="1">
        <v>16</v>
      </c>
      <c r="N121" s="1">
        <v>2</v>
      </c>
      <c r="O121" s="1">
        <v>4</v>
      </c>
      <c r="P121" s="1">
        <v>7</v>
      </c>
      <c r="Q121" s="1">
        <v>4</v>
      </c>
      <c r="R121" s="1">
        <v>7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68</v>
      </c>
      <c r="AA121" s="1" t="str" cm="1">
        <f t="array" ref="AA121">_xlfn.IFS(AND(Z121&lt;36, Z121&gt;23), "24-35", AND(Z121&lt;51, Z121&gt;35),"36-50", AND(Z121&lt;66, Z121&gt;50), "51-66", Z121&gt;65, "66+", TRUE, "?")</f>
        <v>66+</v>
      </c>
      <c r="AB121" s="1">
        <v>2767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1</v>
      </c>
      <c r="AL121" s="1">
        <v>1648</v>
      </c>
      <c r="AM121" s="2">
        <v>42082</v>
      </c>
      <c r="AN121" t="str">
        <f t="shared" si="3"/>
        <v>77610,1664,0.0214405360134003,0,1,70,1245,33,332,21,33,16,2,4,7,4,7,0,0,0,0,0,0,0,68,66+,2767,0,1,0,0,0,0,0,0,1,1648,42082</v>
      </c>
    </row>
    <row r="122" spans="1:40" ht="13" hidden="1" x14ac:dyDescent="0.15">
      <c r="A122">
        <v>48</v>
      </c>
      <c r="B122" s="1">
        <v>79143</v>
      </c>
      <c r="C122" s="1">
        <v>1661</v>
      </c>
      <c r="D122" s="4">
        <f t="shared" si="2"/>
        <v>2.0987326737677368E-2</v>
      </c>
      <c r="E122" s="1">
        <v>0</v>
      </c>
      <c r="F122" s="1">
        <v>0</v>
      </c>
      <c r="G122" s="1">
        <v>2</v>
      </c>
      <c r="H122" s="1">
        <v>650</v>
      </c>
      <c r="I122" s="1">
        <v>37</v>
      </c>
      <c r="J122" s="1">
        <v>780</v>
      </c>
      <c r="K122" s="1">
        <v>27</v>
      </c>
      <c r="L122" s="1">
        <v>167</v>
      </c>
      <c r="M122" s="1">
        <v>32</v>
      </c>
      <c r="N122" s="1">
        <v>1</v>
      </c>
      <c r="O122" s="1">
        <v>6</v>
      </c>
      <c r="P122" s="1">
        <v>9</v>
      </c>
      <c r="Q122" s="1">
        <v>13</v>
      </c>
      <c r="R122" s="1">
        <v>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56</v>
      </c>
      <c r="AA122" s="1" t="str" cm="1">
        <f t="array" ref="AA122">_xlfn.IFS(AND(Z122&lt;36, Z122&gt;23), "24-35", AND(Z122&lt;51, Z122&gt;35),"36-50", AND(Z122&lt;66, Z122&gt;50), "51-66", Z122&gt;65, "66+", TRUE, "?")</f>
        <v>51-66</v>
      </c>
      <c r="AB122" s="1">
        <v>2846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1629</v>
      </c>
      <c r="AM122" s="2">
        <v>42003</v>
      </c>
      <c r="AN122" t="str">
        <f t="shared" si="3"/>
        <v>79143,1661,0.0209873267376774,0,0,2,650,37,780,27,167,32,1,6,9,13,3,0,0,0,0,0,0,0,56,51-66,2846,0,1,0,0,0,0,0,1,0,1629,42003</v>
      </c>
    </row>
    <row r="123" spans="1:40" ht="13" hidden="1" x14ac:dyDescent="0.15">
      <c r="A123">
        <v>492</v>
      </c>
      <c r="B123" s="1">
        <v>70503</v>
      </c>
      <c r="C123" s="1">
        <v>1661</v>
      </c>
      <c r="D123" s="4">
        <f t="shared" si="2"/>
        <v>2.3559281165340482E-2</v>
      </c>
      <c r="E123" s="1">
        <v>0</v>
      </c>
      <c r="F123" s="1">
        <v>0</v>
      </c>
      <c r="G123" s="1">
        <v>73</v>
      </c>
      <c r="H123" s="1">
        <v>1379</v>
      </c>
      <c r="I123" s="1">
        <v>33</v>
      </c>
      <c r="J123" s="1">
        <v>216</v>
      </c>
      <c r="K123" s="1">
        <v>0</v>
      </c>
      <c r="L123" s="1">
        <v>33</v>
      </c>
      <c r="M123" s="1">
        <v>66</v>
      </c>
      <c r="N123" s="1">
        <v>1</v>
      </c>
      <c r="O123" s="1">
        <v>2</v>
      </c>
      <c r="P123" s="1">
        <v>4</v>
      </c>
      <c r="Q123" s="1">
        <v>9</v>
      </c>
      <c r="R123" s="1">
        <v>6</v>
      </c>
      <c r="S123" s="1">
        <v>0</v>
      </c>
      <c r="T123" s="1">
        <v>0</v>
      </c>
      <c r="U123" s="1">
        <v>0</v>
      </c>
      <c r="V123" s="1">
        <v>1</v>
      </c>
      <c r="W123" s="1">
        <v>1</v>
      </c>
      <c r="X123" s="1">
        <v>0</v>
      </c>
      <c r="Y123" s="1">
        <v>0</v>
      </c>
      <c r="Z123" s="1">
        <v>67</v>
      </c>
      <c r="AA123" s="1" t="str" cm="1">
        <f t="array" ref="AA123">_xlfn.IFS(AND(Z123&lt;36, Z123&gt;23), "24-35", AND(Z123&lt;51, Z123&gt;35),"36-50", AND(Z123&lt;66, Z123&gt;50), "51-66", Z123&gt;65, "66+", TRUE, "?")</f>
        <v>66+</v>
      </c>
      <c r="AB123" s="1">
        <v>2796</v>
      </c>
      <c r="AC123" s="1">
        <v>0</v>
      </c>
      <c r="AD123" s="1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1</v>
      </c>
      <c r="AJ123" s="1">
        <v>0</v>
      </c>
      <c r="AK123" s="1">
        <v>0</v>
      </c>
      <c r="AL123" s="1">
        <v>1595</v>
      </c>
      <c r="AM123" s="2">
        <v>42053</v>
      </c>
      <c r="AN123" t="str">
        <f t="shared" si="3"/>
        <v>70503,1661,0.0235592811653405,0,0,73,1379,33,216,0,33,66,1,2,4,9,6,0,0,0,1,1,0,0,67,66+,2796,0,1,0,0,0,0,1,0,0,1595,42053</v>
      </c>
    </row>
    <row r="124" spans="1:40" ht="13" hidden="1" x14ac:dyDescent="0.15">
      <c r="A124">
        <v>525</v>
      </c>
      <c r="B124" s="1">
        <v>79908</v>
      </c>
      <c r="C124" s="1">
        <v>1661</v>
      </c>
      <c r="D124" s="4">
        <f t="shared" si="2"/>
        <v>2.0786404365019773E-2</v>
      </c>
      <c r="E124" s="1">
        <v>0</v>
      </c>
      <c r="F124" s="1">
        <v>0</v>
      </c>
      <c r="G124" s="1">
        <v>30</v>
      </c>
      <c r="H124" s="1">
        <v>557</v>
      </c>
      <c r="I124" s="1">
        <v>129</v>
      </c>
      <c r="J124" s="1">
        <v>761</v>
      </c>
      <c r="K124" s="1">
        <v>29</v>
      </c>
      <c r="L124" s="1">
        <v>185</v>
      </c>
      <c r="M124" s="1">
        <v>111</v>
      </c>
      <c r="N124" s="1">
        <v>1</v>
      </c>
      <c r="O124" s="1">
        <v>5</v>
      </c>
      <c r="P124" s="1">
        <v>6</v>
      </c>
      <c r="Q124" s="1">
        <v>7</v>
      </c>
      <c r="R124" s="1">
        <v>2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38</v>
      </c>
      <c r="AA124" s="1" t="str" cm="1">
        <f t="array" ref="AA124">_xlfn.IFS(AND(Z124&lt;36, Z124&gt;23), "24-35", AND(Z124&lt;51, Z124&gt;35),"36-50", AND(Z124&lt;66, Z124&gt;50), "51-66", Z124&gt;65, "66+", TRUE, "?")</f>
        <v>36-50</v>
      </c>
      <c r="AB124" s="1">
        <v>2609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1</v>
      </c>
      <c r="AJ124" s="1">
        <v>0</v>
      </c>
      <c r="AK124" s="1">
        <v>0</v>
      </c>
      <c r="AL124" s="1">
        <v>1550</v>
      </c>
      <c r="AM124" s="2">
        <v>42240</v>
      </c>
      <c r="AN124" t="str">
        <f t="shared" si="3"/>
        <v>79908,1661,0.0207864043650198,0,0,30,557,129,761,29,185,111,1,5,6,7,2,0,0,0,0,1,0,0,38,36-50,2609,0,1,0,0,0,0,1,0,0,1550,42240</v>
      </c>
    </row>
    <row r="125" spans="1:40" ht="13" hidden="1" x14ac:dyDescent="0.15">
      <c r="A125">
        <v>1948</v>
      </c>
      <c r="B125" s="1">
        <v>69209</v>
      </c>
      <c r="C125" s="1">
        <v>1654</v>
      </c>
      <c r="D125" s="4">
        <f t="shared" si="2"/>
        <v>2.3898625901255618E-2</v>
      </c>
      <c r="E125" s="1">
        <v>0</v>
      </c>
      <c r="F125" s="1">
        <v>0</v>
      </c>
      <c r="G125" s="1">
        <v>4</v>
      </c>
      <c r="H125" s="1">
        <v>496</v>
      </c>
      <c r="I125" s="1">
        <v>32</v>
      </c>
      <c r="J125" s="1">
        <v>849</v>
      </c>
      <c r="K125" s="1">
        <v>229</v>
      </c>
      <c r="L125" s="1">
        <v>48</v>
      </c>
      <c r="M125" s="1">
        <v>128</v>
      </c>
      <c r="N125" s="1">
        <v>2</v>
      </c>
      <c r="O125" s="1">
        <v>5</v>
      </c>
      <c r="P125" s="1">
        <v>3</v>
      </c>
      <c r="Q125" s="1">
        <v>6</v>
      </c>
      <c r="R125" s="1">
        <v>4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48</v>
      </c>
      <c r="AA125" s="1" t="str" cm="1">
        <f t="array" ref="AA125">_xlfn.IFS(AND(Z125&lt;36, Z125&gt;23), "24-35", AND(Z125&lt;51, Z125&gt;35),"36-50", AND(Z125&lt;66, Z125&gt;50), "51-66", Z125&gt;65, "66+", TRUE, "?")</f>
        <v>36-50</v>
      </c>
      <c r="AB125" s="1">
        <v>2809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1</v>
      </c>
      <c r="AJ125" s="1">
        <v>0</v>
      </c>
      <c r="AK125" s="1">
        <v>0</v>
      </c>
      <c r="AL125" s="1">
        <v>1526</v>
      </c>
      <c r="AM125" s="2">
        <v>42040</v>
      </c>
      <c r="AN125" t="str">
        <f t="shared" si="3"/>
        <v>69209,1654,0.0238986259012556,0,0,4,496,32,849,229,48,128,2,5,3,6,4,1,0,0,0,0,0,0,48,36-50,2809,0,1,0,0,0,0,1,0,0,1526,42040</v>
      </c>
    </row>
    <row r="126" spans="1:40" ht="13" x14ac:dyDescent="0.15">
      <c r="A126">
        <v>436</v>
      </c>
      <c r="B126" s="1">
        <v>91249</v>
      </c>
      <c r="C126" s="1">
        <v>1649</v>
      </c>
      <c r="D126" s="4">
        <f t="shared" si="2"/>
        <v>1.8071430919790903E-2</v>
      </c>
      <c r="E126" s="1">
        <v>0</v>
      </c>
      <c r="F126" s="1">
        <v>0</v>
      </c>
      <c r="G126" s="1">
        <v>84</v>
      </c>
      <c r="H126" s="1">
        <v>1324</v>
      </c>
      <c r="I126" s="1">
        <v>27</v>
      </c>
      <c r="J126" s="1">
        <v>119</v>
      </c>
      <c r="K126" s="1">
        <v>71</v>
      </c>
      <c r="L126" s="1">
        <v>108</v>
      </c>
      <c r="M126" s="1">
        <v>27</v>
      </c>
      <c r="N126" s="1">
        <v>0</v>
      </c>
      <c r="O126" s="1">
        <v>7</v>
      </c>
      <c r="P126" s="1">
        <v>9</v>
      </c>
      <c r="Q126" s="1">
        <v>6</v>
      </c>
      <c r="R126" s="1">
        <v>4</v>
      </c>
      <c r="S126" s="1">
        <v>1</v>
      </c>
      <c r="T126" s="1">
        <v>1</v>
      </c>
      <c r="U126" s="1">
        <v>0</v>
      </c>
      <c r="V126" s="1">
        <v>1</v>
      </c>
      <c r="W126" s="1">
        <v>1</v>
      </c>
      <c r="X126" s="1">
        <v>0</v>
      </c>
      <c r="Y126" s="1">
        <v>1</v>
      </c>
      <c r="Z126" s="1">
        <v>64</v>
      </c>
      <c r="AA126" s="1" t="str" cm="1">
        <f t="array" ref="AA126">_xlfn.IFS(AND(Z126&lt;36, Z126&gt;23), "24-35", AND(Z126&lt;51, Z126&gt;35),"36-50", AND(Z126&lt;66, Z126&gt;50), "51-66", Z126&gt;65, "66+", TRUE, "?")</f>
        <v>51-66</v>
      </c>
      <c r="AB126" s="1">
        <v>2776</v>
      </c>
      <c r="AC126" s="1">
        <v>0</v>
      </c>
      <c r="AD126" s="1">
        <v>0</v>
      </c>
      <c r="AE126" s="1">
        <v>1</v>
      </c>
      <c r="AF126" s="1">
        <v>0</v>
      </c>
      <c r="AG126" s="1">
        <v>0</v>
      </c>
      <c r="AH126" s="1">
        <v>0</v>
      </c>
      <c r="AI126" s="1">
        <v>1</v>
      </c>
      <c r="AJ126" s="1">
        <v>0</v>
      </c>
      <c r="AK126" s="1">
        <v>0</v>
      </c>
      <c r="AL126" s="1">
        <v>1622</v>
      </c>
      <c r="AM126" s="2">
        <v>42073</v>
      </c>
      <c r="AN126" t="str">
        <f t="shared" si="3"/>
        <v>91249,1649,0.0180714309197909,0,0,84,1324,27,119,71,108,27,0,7,9,6,4,1,1,0,1,1,0,1,64,51-66,2776,0,0,1,0,0,0,1,0,0,1622,42073</v>
      </c>
    </row>
    <row r="127" spans="1:40" ht="13" x14ac:dyDescent="0.15">
      <c r="A127">
        <v>441</v>
      </c>
      <c r="B127" s="1">
        <v>64509</v>
      </c>
      <c r="C127" s="1">
        <v>1645</v>
      </c>
      <c r="D127" s="4">
        <f t="shared" si="2"/>
        <v>2.5500317785115256E-2</v>
      </c>
      <c r="E127" s="1">
        <v>0</v>
      </c>
      <c r="F127" s="1">
        <v>0</v>
      </c>
      <c r="G127" s="1">
        <v>19</v>
      </c>
      <c r="H127" s="1">
        <v>836</v>
      </c>
      <c r="I127" s="1">
        <v>185</v>
      </c>
      <c r="J127" s="1">
        <v>575</v>
      </c>
      <c r="K127" s="1">
        <v>24</v>
      </c>
      <c r="L127" s="1">
        <v>25</v>
      </c>
      <c r="M127" s="1">
        <v>77</v>
      </c>
      <c r="N127" s="1">
        <v>1</v>
      </c>
      <c r="O127" s="1">
        <v>6</v>
      </c>
      <c r="P127" s="1">
        <v>3</v>
      </c>
      <c r="Q127" s="1">
        <v>9</v>
      </c>
      <c r="R127" s="1">
        <v>4</v>
      </c>
      <c r="S127" s="1">
        <v>0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  <c r="Y127" s="1">
        <v>1</v>
      </c>
      <c r="Z127" s="1">
        <v>30</v>
      </c>
      <c r="AA127" s="1" t="str" cm="1">
        <f t="array" ref="AA127">_xlfn.IFS(AND(Z127&lt;36, Z127&gt;23), "24-35", AND(Z127&lt;51, Z127&gt;35),"36-50", AND(Z127&lt;66, Z127&gt;50), "51-66", Z127&gt;65, "66+", TRUE, "?")</f>
        <v>24-35</v>
      </c>
      <c r="AB127" s="1">
        <v>2475</v>
      </c>
      <c r="AC127" s="1">
        <v>0</v>
      </c>
      <c r="AD127" s="1">
        <v>0</v>
      </c>
      <c r="AE127" s="1">
        <v>1</v>
      </c>
      <c r="AF127" s="1">
        <v>0</v>
      </c>
      <c r="AG127" s="1">
        <v>0</v>
      </c>
      <c r="AH127" s="1">
        <v>0</v>
      </c>
      <c r="AI127" s="1">
        <v>1</v>
      </c>
      <c r="AJ127" s="1">
        <v>0</v>
      </c>
      <c r="AK127" s="1">
        <v>0</v>
      </c>
      <c r="AL127" s="1">
        <v>1568</v>
      </c>
      <c r="AM127" s="2">
        <v>42374</v>
      </c>
      <c r="AN127" t="str">
        <f t="shared" si="3"/>
        <v>64509,1645,0.0255003177851153,0,0,19,836,185,575,24,25,77,1,6,3,9,4,0,0,1,0,0,0,1,30,24-35,2475,0,0,1,0,0,0,1,0,0,1568,42374</v>
      </c>
    </row>
    <row r="128" spans="1:40" ht="13" hidden="1" x14ac:dyDescent="0.15">
      <c r="A128">
        <v>822</v>
      </c>
      <c r="B128" s="1">
        <v>80812</v>
      </c>
      <c r="C128" s="1">
        <v>1644</v>
      </c>
      <c r="D128" s="4">
        <f t="shared" si="2"/>
        <v>2.034351333960303E-2</v>
      </c>
      <c r="E128" s="1">
        <v>0</v>
      </c>
      <c r="F128" s="1">
        <v>0</v>
      </c>
      <c r="G128" s="1">
        <v>95</v>
      </c>
      <c r="H128" s="1">
        <v>769</v>
      </c>
      <c r="I128" s="1">
        <v>22</v>
      </c>
      <c r="J128" s="1">
        <v>500</v>
      </c>
      <c r="K128" s="1">
        <v>210</v>
      </c>
      <c r="L128" s="1">
        <v>143</v>
      </c>
      <c r="M128" s="1">
        <v>33</v>
      </c>
      <c r="N128" s="1">
        <v>1</v>
      </c>
      <c r="O128" s="1">
        <v>4</v>
      </c>
      <c r="P128" s="1">
        <v>8</v>
      </c>
      <c r="Q128" s="1">
        <v>5</v>
      </c>
      <c r="R128" s="1">
        <v>2</v>
      </c>
      <c r="S128" s="1">
        <v>1</v>
      </c>
      <c r="T128" s="1">
        <v>0</v>
      </c>
      <c r="U128" s="1">
        <v>1</v>
      </c>
      <c r="V128" s="1">
        <v>0</v>
      </c>
      <c r="W128" s="1">
        <v>1</v>
      </c>
      <c r="X128" s="1">
        <v>0</v>
      </c>
      <c r="Y128" s="1">
        <v>0</v>
      </c>
      <c r="Z128" s="1">
        <v>67</v>
      </c>
      <c r="AA128" s="1" t="str" cm="1">
        <f t="array" ref="AA128">_xlfn.IFS(AND(Z128&lt;36, Z128&gt;23), "24-35", AND(Z128&lt;51, Z128&gt;35),"36-50", AND(Z128&lt;66, Z128&gt;50), "51-66", Z128&gt;65, "66+", TRUE, "?")</f>
        <v>66+</v>
      </c>
      <c r="AB128" s="1">
        <v>2444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1</v>
      </c>
      <c r="AJ128" s="1">
        <v>0</v>
      </c>
      <c r="AK128" s="1">
        <v>0</v>
      </c>
      <c r="AL128" s="1">
        <v>1611</v>
      </c>
      <c r="AM128" s="2">
        <v>42405</v>
      </c>
      <c r="AN128" t="str">
        <f t="shared" si="3"/>
        <v>80812,1644,0.020343513339603,0,0,95,769,22,500,210,143,33,1,4,8,5,2,1,0,1,0,1,0,0,67,66+,2444,0,0,0,1,0,0,1,0,0,1611,42405</v>
      </c>
    </row>
    <row r="129" spans="1:40" ht="13" x14ac:dyDescent="0.15">
      <c r="A129">
        <v>442</v>
      </c>
      <c r="B129" s="1">
        <v>79800</v>
      </c>
      <c r="C129" s="1">
        <v>1643</v>
      </c>
      <c r="D129" s="4">
        <f t="shared" si="2"/>
        <v>2.0588972431077695E-2</v>
      </c>
      <c r="E129" s="1">
        <v>0</v>
      </c>
      <c r="F129" s="1">
        <v>0</v>
      </c>
      <c r="G129" s="1">
        <v>65</v>
      </c>
      <c r="H129" s="1">
        <v>1060</v>
      </c>
      <c r="I129" s="1">
        <v>21</v>
      </c>
      <c r="J129" s="1">
        <v>530</v>
      </c>
      <c r="K129" s="1">
        <v>32</v>
      </c>
      <c r="L129" s="1">
        <v>0</v>
      </c>
      <c r="M129" s="1">
        <v>224</v>
      </c>
      <c r="N129" s="1">
        <v>1</v>
      </c>
      <c r="O129" s="1">
        <v>5</v>
      </c>
      <c r="P129" s="1">
        <v>11</v>
      </c>
      <c r="Q129" s="1">
        <v>5</v>
      </c>
      <c r="R129" s="1">
        <v>3</v>
      </c>
      <c r="S129" s="1">
        <v>1</v>
      </c>
      <c r="T129" s="1">
        <v>0</v>
      </c>
      <c r="U129" s="1">
        <v>1</v>
      </c>
      <c r="V129" s="1">
        <v>0</v>
      </c>
      <c r="W129" s="1">
        <v>1</v>
      </c>
      <c r="X129" s="1">
        <v>0</v>
      </c>
      <c r="Y129" s="1">
        <v>1</v>
      </c>
      <c r="Z129" s="1">
        <v>65</v>
      </c>
      <c r="AA129" s="1" t="str" cm="1">
        <f t="array" ref="AA129">_xlfn.IFS(AND(Z129&lt;36, Z129&gt;23), "24-35", AND(Z129&lt;51, Z129&gt;35),"36-50", AND(Z129&lt;66, Z129&gt;50), "51-66", Z129&gt;65, "66+", TRUE, "?")</f>
        <v>51-66</v>
      </c>
      <c r="AB129" s="1">
        <v>2803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1</v>
      </c>
      <c r="AJ129" s="1">
        <v>0</v>
      </c>
      <c r="AK129" s="1">
        <v>0</v>
      </c>
      <c r="AL129" s="1">
        <v>1419</v>
      </c>
      <c r="AM129" s="2">
        <v>42046</v>
      </c>
      <c r="AN129" t="str">
        <f t="shared" si="3"/>
        <v>79800,1643,0.0205889724310777,0,0,65,1060,21,530,32,0,224,1,5,11,5,3,1,0,1,0,1,0,1,65,51-66,2803,0,0,0,0,1,0,1,0,0,1419,42046</v>
      </c>
    </row>
    <row r="130" spans="1:40" ht="13" x14ac:dyDescent="0.15">
      <c r="A130">
        <v>452</v>
      </c>
      <c r="B130" s="1">
        <v>78569</v>
      </c>
      <c r="C130" s="1">
        <v>1641</v>
      </c>
      <c r="D130" s="4">
        <f t="shared" ref="D130:D193" si="4">C130/B130</f>
        <v>2.0886100115821763E-2</v>
      </c>
      <c r="E130" s="1">
        <v>0</v>
      </c>
      <c r="F130" s="1">
        <v>0</v>
      </c>
      <c r="G130" s="1">
        <v>14</v>
      </c>
      <c r="H130" s="1">
        <v>558</v>
      </c>
      <c r="I130" s="1">
        <v>79</v>
      </c>
      <c r="J130" s="1">
        <v>622</v>
      </c>
      <c r="K130" s="1">
        <v>207</v>
      </c>
      <c r="L130" s="1">
        <v>175</v>
      </c>
      <c r="M130" s="1">
        <v>95</v>
      </c>
      <c r="N130" s="1">
        <v>1</v>
      </c>
      <c r="O130" s="1">
        <v>4</v>
      </c>
      <c r="P130" s="1">
        <v>6</v>
      </c>
      <c r="Q130" s="1">
        <v>4</v>
      </c>
      <c r="R130" s="1">
        <v>1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0</v>
      </c>
      <c r="Y130" s="1">
        <v>1</v>
      </c>
      <c r="Z130" s="1">
        <v>74</v>
      </c>
      <c r="AA130" s="1" t="str" cm="1">
        <f t="array" ref="AA130">_xlfn.IFS(AND(Z130&lt;36, Z130&gt;23), "24-35", AND(Z130&lt;51, Z130&gt;35),"36-50", AND(Z130&lt;66, Z130&gt;50), "51-66", Z130&gt;65, "66+", TRUE, "?")</f>
        <v>66+</v>
      </c>
      <c r="AB130" s="1">
        <v>2289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1546</v>
      </c>
      <c r="AM130" s="2">
        <v>42560</v>
      </c>
      <c r="AN130" t="str">
        <f t="shared" ref="AN130:AN193" si="5">_xlfn.TEXTJOIN(",",TRUE,B130:AM130)</f>
        <v>78569,1641,0.0208861001158218,0,0,14,558,79,622,207,175,95,1,4,6,4,1,0,0,0,0,1,0,1,74,66+,2289,0,1,0,0,0,0,1,0,0,1546,42560</v>
      </c>
    </row>
    <row r="131" spans="1:40" ht="13" hidden="1" x14ac:dyDescent="0.15">
      <c r="A131">
        <v>864</v>
      </c>
      <c r="B131" s="1">
        <v>74637</v>
      </c>
      <c r="C131" s="1">
        <v>1634</v>
      </c>
      <c r="D131" s="4">
        <f t="shared" si="4"/>
        <v>2.1892626981255946E-2</v>
      </c>
      <c r="E131" s="1">
        <v>0</v>
      </c>
      <c r="F131" s="1">
        <v>0</v>
      </c>
      <c r="G131" s="1">
        <v>73</v>
      </c>
      <c r="H131" s="1">
        <v>960</v>
      </c>
      <c r="I131" s="1">
        <v>64</v>
      </c>
      <c r="J131" s="1">
        <v>464</v>
      </c>
      <c r="K131" s="1">
        <v>146</v>
      </c>
      <c r="L131" s="1">
        <v>0</v>
      </c>
      <c r="M131" s="1">
        <v>16</v>
      </c>
      <c r="N131" s="1">
        <v>1</v>
      </c>
      <c r="O131" s="1">
        <v>6</v>
      </c>
      <c r="P131" s="1">
        <v>9</v>
      </c>
      <c r="Q131" s="1">
        <v>9</v>
      </c>
      <c r="R131" s="1">
        <v>3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66</v>
      </c>
      <c r="AA131" s="1" t="str" cm="1">
        <f t="array" ref="AA131">_xlfn.IFS(AND(Z131&lt;36, Z131&gt;23), "24-35", AND(Z131&lt;51, Z131&gt;35),"36-50", AND(Z131&lt;66, Z131&gt;50), "51-66", Z131&gt;65, "66+", TRUE, "?")</f>
        <v>66+</v>
      </c>
      <c r="AB131" s="1">
        <v>2566</v>
      </c>
      <c r="AC131" s="1">
        <v>0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1</v>
      </c>
      <c r="AL131" s="1">
        <v>1618</v>
      </c>
      <c r="AM131" s="2">
        <v>42283</v>
      </c>
      <c r="AN131" t="str">
        <f t="shared" si="5"/>
        <v>74637,1634,0.0218926269812559,0,0,73,960,64,464,146,0,16,1,6,9,9,3,1,0,0,0,0,0,0,66,66+,2566,0,0,1,0,0,0,0,0,1,1618,42283</v>
      </c>
    </row>
    <row r="132" spans="1:40" ht="13" hidden="1" x14ac:dyDescent="0.15">
      <c r="A132">
        <v>1464</v>
      </c>
      <c r="B132" s="1">
        <v>75794</v>
      </c>
      <c r="C132" s="1">
        <v>1634</v>
      </c>
      <c r="D132" s="4">
        <f t="shared" si="4"/>
        <v>2.155843470459403E-2</v>
      </c>
      <c r="E132" s="1">
        <v>0</v>
      </c>
      <c r="F132" s="1">
        <v>0</v>
      </c>
      <c r="G132" s="1">
        <v>33</v>
      </c>
      <c r="H132" s="1">
        <v>754</v>
      </c>
      <c r="I132" s="1">
        <v>160</v>
      </c>
      <c r="J132" s="1">
        <v>625</v>
      </c>
      <c r="K132" s="1">
        <v>63</v>
      </c>
      <c r="L132" s="1">
        <v>32</v>
      </c>
      <c r="M132" s="1">
        <v>48</v>
      </c>
      <c r="N132" s="1">
        <v>1</v>
      </c>
      <c r="O132" s="1">
        <v>7</v>
      </c>
      <c r="P132" s="1">
        <v>5</v>
      </c>
      <c r="Q132" s="1">
        <v>12</v>
      </c>
      <c r="R132" s="1">
        <v>3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33</v>
      </c>
      <c r="AA132" s="1" t="str" cm="1">
        <f t="array" ref="AA132">_xlfn.IFS(AND(Z132&lt;36, Z132&gt;23), "24-35", AND(Z132&lt;51, Z132&gt;35),"36-50", AND(Z132&lt;66, Z132&gt;50), "51-66", Z132&gt;65, "66+", TRUE, "?")</f>
        <v>24-35</v>
      </c>
      <c r="AB132" s="1">
        <v>2346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1586</v>
      </c>
      <c r="AM132" s="2">
        <v>42503</v>
      </c>
      <c r="AN132" t="str">
        <f t="shared" si="5"/>
        <v>75794,1634,0.021558434704594,0,0,33,754,160,625,63,32,48,1,7,5,12,3,1,0,0,0,0,0,0,33,24-35,2346,0,1,0,0,0,0,1,0,0,1586,42503</v>
      </c>
    </row>
    <row r="133" spans="1:40" ht="13" x14ac:dyDescent="0.15">
      <c r="A133">
        <v>455</v>
      </c>
      <c r="B133" s="1">
        <v>89616</v>
      </c>
      <c r="C133" s="1">
        <v>1629</v>
      </c>
      <c r="D133" s="4">
        <f t="shared" si="4"/>
        <v>1.8177557579003748E-2</v>
      </c>
      <c r="E133" s="1">
        <v>0</v>
      </c>
      <c r="F133" s="1">
        <v>0</v>
      </c>
      <c r="G133" s="1">
        <v>36</v>
      </c>
      <c r="H133" s="1">
        <v>671</v>
      </c>
      <c r="I133" s="1">
        <v>47</v>
      </c>
      <c r="J133" s="1">
        <v>655</v>
      </c>
      <c r="K133" s="1">
        <v>145</v>
      </c>
      <c r="L133" s="1">
        <v>111</v>
      </c>
      <c r="M133" s="1">
        <v>15</v>
      </c>
      <c r="N133" s="1">
        <v>1</v>
      </c>
      <c r="O133" s="1">
        <v>7</v>
      </c>
      <c r="P133" s="1">
        <v>5</v>
      </c>
      <c r="Q133" s="1">
        <v>12</v>
      </c>
      <c r="R133" s="1">
        <v>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37</v>
      </c>
      <c r="AA133" s="1" t="str" cm="1">
        <f t="array" ref="AA133">_xlfn.IFS(AND(Z133&lt;36, Z133&gt;23), "24-35", AND(Z133&lt;51, Z133&gt;35),"36-50", AND(Z133&lt;66, Z133&gt;50), "51-66", Z133&gt;65, "66+", TRUE, "?")</f>
        <v>36-50</v>
      </c>
      <c r="AB133" s="1">
        <v>2648</v>
      </c>
      <c r="AC133" s="1">
        <v>0</v>
      </c>
      <c r="AD133" s="1">
        <v>0</v>
      </c>
      <c r="AE133" s="1">
        <v>1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1614</v>
      </c>
      <c r="AM133" s="2">
        <v>42201</v>
      </c>
      <c r="AN133" t="str">
        <f t="shared" si="5"/>
        <v>89616,1629,0.0181775575790037,0,0,36,671,47,655,145,111,15,1,7,5,12,2,0,0,0,0,0,0,1,37,36-50,2648,0,0,1,0,0,0,0,1,0,1614,42201</v>
      </c>
    </row>
    <row r="134" spans="1:40" ht="13" hidden="1" x14ac:dyDescent="0.15">
      <c r="A134">
        <v>1058</v>
      </c>
      <c r="B134" s="1">
        <v>86358</v>
      </c>
      <c r="C134" s="1">
        <v>1627</v>
      </c>
      <c r="D134" s="4">
        <f t="shared" si="4"/>
        <v>1.8840176937863311E-2</v>
      </c>
      <c r="E134" s="1">
        <v>1</v>
      </c>
      <c r="F134" s="1">
        <v>1</v>
      </c>
      <c r="G134" s="1">
        <v>78</v>
      </c>
      <c r="H134" s="1">
        <v>957</v>
      </c>
      <c r="I134" s="1">
        <v>47</v>
      </c>
      <c r="J134" s="1">
        <v>494</v>
      </c>
      <c r="K134" s="1">
        <v>82</v>
      </c>
      <c r="L134" s="1">
        <v>47</v>
      </c>
      <c r="M134" s="1">
        <v>95</v>
      </c>
      <c r="N134" s="1">
        <v>4</v>
      </c>
      <c r="O134" s="1">
        <v>5</v>
      </c>
      <c r="P134" s="1">
        <v>3</v>
      </c>
      <c r="Q134" s="1">
        <v>6</v>
      </c>
      <c r="R134" s="1">
        <v>8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54</v>
      </c>
      <c r="AA134" s="1" t="str" cm="1">
        <f t="array" ref="AA134">_xlfn.IFS(AND(Z134&lt;36, Z134&gt;23), "24-35", AND(Z134&lt;51, Z134&gt;35),"36-50", AND(Z134&lt;66, Z134&gt;50), "51-66", Z134&gt;65, "66+", TRUE, "?")</f>
        <v>51-66</v>
      </c>
      <c r="AB134" s="1">
        <v>2849</v>
      </c>
      <c r="AC134" s="1">
        <v>0</v>
      </c>
      <c r="AD134" s="1">
        <v>0</v>
      </c>
      <c r="AE134" s="1">
        <v>1</v>
      </c>
      <c r="AF134" s="1">
        <v>0</v>
      </c>
      <c r="AG134" s="1">
        <v>0</v>
      </c>
      <c r="AH134" s="1">
        <v>0</v>
      </c>
      <c r="AI134" s="1">
        <v>1</v>
      </c>
      <c r="AJ134" s="1">
        <v>0</v>
      </c>
      <c r="AK134" s="1">
        <v>0</v>
      </c>
      <c r="AL134" s="1">
        <v>1532</v>
      </c>
      <c r="AM134" s="2">
        <v>42000</v>
      </c>
      <c r="AN134" t="str">
        <f t="shared" si="5"/>
        <v>86358,1627,0.0188401769378633,1,1,78,957,47,494,82,47,95,4,5,3,6,8,0,0,0,0,0,0,0,54,51-66,2849,0,0,1,0,0,0,1,0,0,1532,42000</v>
      </c>
    </row>
    <row r="135" spans="1:40" ht="13" hidden="1" x14ac:dyDescent="0.15">
      <c r="A135">
        <v>332</v>
      </c>
      <c r="B135" s="1">
        <v>68462</v>
      </c>
      <c r="C135" s="1">
        <v>1622</v>
      </c>
      <c r="D135" s="4">
        <f t="shared" si="4"/>
        <v>2.3691975110280157E-2</v>
      </c>
      <c r="E135" s="1">
        <v>0</v>
      </c>
      <c r="F135" s="1">
        <v>0</v>
      </c>
      <c r="G135" s="1">
        <v>6</v>
      </c>
      <c r="H135" s="1">
        <v>561</v>
      </c>
      <c r="I135" s="1">
        <v>64</v>
      </c>
      <c r="J135" s="1">
        <v>785</v>
      </c>
      <c r="K135" s="1">
        <v>84</v>
      </c>
      <c r="L135" s="1">
        <v>128</v>
      </c>
      <c r="M135" s="1">
        <v>48</v>
      </c>
      <c r="N135" s="1">
        <v>1</v>
      </c>
      <c r="O135" s="1">
        <v>3</v>
      </c>
      <c r="P135" s="1">
        <v>3</v>
      </c>
      <c r="Q135" s="1">
        <v>8</v>
      </c>
      <c r="R135" s="1">
        <v>1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51</v>
      </c>
      <c r="AA135" s="1" t="str" cm="1">
        <f t="array" ref="AA135">_xlfn.IFS(AND(Z135&lt;36, Z135&gt;23), "24-35", AND(Z135&lt;51, Z135&gt;35),"36-50", AND(Z135&lt;66, Z135&gt;50), "51-66", Z135&gt;65, "66+", TRUE, "?")</f>
        <v>51-66</v>
      </c>
      <c r="AB135" s="1">
        <v>2723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</v>
      </c>
      <c r="AL135" s="1">
        <v>1574</v>
      </c>
      <c r="AM135" s="2">
        <v>42126</v>
      </c>
      <c r="AN135" t="str">
        <f t="shared" si="5"/>
        <v>68462,1622,0.0236919751102802,0,0,6,561,64,785,84,128,48,1,3,3,8,1,0,0,0,0,0,0,0,51,51-66,2723,0,1,0,0,0,0,0,0,1,1574,42126</v>
      </c>
    </row>
    <row r="136" spans="1:40" ht="13" x14ac:dyDescent="0.15">
      <c r="A136">
        <v>493</v>
      </c>
      <c r="B136" s="1">
        <v>68281</v>
      </c>
      <c r="C136" s="1">
        <v>1614</v>
      </c>
      <c r="D136" s="4">
        <f t="shared" si="4"/>
        <v>2.3637615149163016E-2</v>
      </c>
      <c r="E136" s="1">
        <v>0</v>
      </c>
      <c r="F136" s="1">
        <v>0</v>
      </c>
      <c r="G136" s="1">
        <v>31</v>
      </c>
      <c r="H136" s="1">
        <v>995</v>
      </c>
      <c r="I136" s="1">
        <v>112</v>
      </c>
      <c r="J136" s="1">
        <v>417</v>
      </c>
      <c r="K136" s="1">
        <v>42</v>
      </c>
      <c r="L136" s="1">
        <v>48</v>
      </c>
      <c r="M136" s="1">
        <v>41</v>
      </c>
      <c r="N136" s="1">
        <v>1</v>
      </c>
      <c r="O136" s="1">
        <v>2</v>
      </c>
      <c r="P136" s="1">
        <v>9</v>
      </c>
      <c r="Q136" s="1">
        <v>13</v>
      </c>
      <c r="R136" s="1">
        <v>5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62</v>
      </c>
      <c r="AA136" s="1" t="str" cm="1">
        <f t="array" ref="AA136">_xlfn.IFS(AND(Z136&lt;36, Z136&gt;23), "24-35", AND(Z136&lt;51, Z136&gt;35),"36-50", AND(Z136&lt;66, Z136&gt;50), "51-66", Z136&gt;65, "66+", TRUE, "?")</f>
        <v>51-66</v>
      </c>
      <c r="AB136" s="1">
        <v>2850</v>
      </c>
      <c r="AC136" s="1">
        <v>0</v>
      </c>
      <c r="AD136" s="1">
        <v>0</v>
      </c>
      <c r="AE136" s="1">
        <v>1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">
        <v>1573</v>
      </c>
      <c r="AM136" s="2">
        <v>41999</v>
      </c>
      <c r="AN136" t="str">
        <f t="shared" si="5"/>
        <v>68281,1614,0.023637615149163,0,0,31,995,112,417,42,48,41,1,2,9,13,5,0,0,0,0,0,0,1,62,51-66,2850,0,0,1,0,0,0,1,0,0,1573,41999</v>
      </c>
    </row>
    <row r="137" spans="1:40" ht="13" x14ac:dyDescent="0.15">
      <c r="A137">
        <v>506</v>
      </c>
      <c r="B137" s="1">
        <v>64497</v>
      </c>
      <c r="C137" s="1">
        <v>1612</v>
      </c>
      <c r="D137" s="4">
        <f t="shared" si="4"/>
        <v>2.4993410546226957E-2</v>
      </c>
      <c r="E137" s="1">
        <v>0</v>
      </c>
      <c r="F137" s="1">
        <v>1</v>
      </c>
      <c r="G137" s="1">
        <v>17</v>
      </c>
      <c r="H137" s="1">
        <v>1170</v>
      </c>
      <c r="I137" s="1">
        <v>48</v>
      </c>
      <c r="J137" s="1">
        <v>320</v>
      </c>
      <c r="K137" s="1">
        <v>42</v>
      </c>
      <c r="L137" s="1">
        <v>32</v>
      </c>
      <c r="M137" s="1">
        <v>192</v>
      </c>
      <c r="N137" s="1">
        <v>5</v>
      </c>
      <c r="O137" s="1">
        <v>11</v>
      </c>
      <c r="P137" s="1">
        <v>4</v>
      </c>
      <c r="Q137" s="1">
        <v>9</v>
      </c>
      <c r="R137" s="1">
        <v>8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1</v>
      </c>
      <c r="Z137" s="1">
        <v>66</v>
      </c>
      <c r="AA137" s="1" t="str" cm="1">
        <f t="array" ref="AA137">_xlfn.IFS(AND(Z137&lt;36, Z137&gt;23), "24-35", AND(Z137&lt;51, Z137&gt;35),"36-50", AND(Z137&lt;66, Z137&gt;50), "51-66", Z137&gt;65, "66+", TRUE, "?")</f>
        <v>66+</v>
      </c>
      <c r="AB137" s="1">
        <v>2816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1</v>
      </c>
      <c r="AJ137" s="1">
        <v>0</v>
      </c>
      <c r="AK137" s="1">
        <v>0</v>
      </c>
      <c r="AL137" s="1">
        <v>1420</v>
      </c>
      <c r="AM137" s="2">
        <v>42033</v>
      </c>
      <c r="AN137" t="str">
        <f t="shared" si="5"/>
        <v>64497,1612,0.024993410546227,0,1,17,1170,48,320,42,32,192,5,11,4,9,8,0,0,1,0,0,0,1,66,66+,2816,1,0,0,0,0,0,1,0,0,1420,42033</v>
      </c>
    </row>
    <row r="138" spans="1:40" ht="13" x14ac:dyDescent="0.15">
      <c r="A138">
        <v>512</v>
      </c>
      <c r="B138" s="1">
        <v>80134</v>
      </c>
      <c r="C138" s="1">
        <v>1610</v>
      </c>
      <c r="D138" s="4">
        <f t="shared" si="4"/>
        <v>2.0091346993785411E-2</v>
      </c>
      <c r="E138" s="1">
        <v>1</v>
      </c>
      <c r="F138" s="1">
        <v>0</v>
      </c>
      <c r="G138" s="1">
        <v>40</v>
      </c>
      <c r="H138" s="1">
        <v>1218</v>
      </c>
      <c r="I138" s="1">
        <v>16</v>
      </c>
      <c r="J138" s="1">
        <v>272</v>
      </c>
      <c r="K138" s="1">
        <v>104</v>
      </c>
      <c r="L138" s="1">
        <v>0</v>
      </c>
      <c r="M138" s="1">
        <v>80</v>
      </c>
      <c r="N138" s="1">
        <v>2</v>
      </c>
      <c r="O138" s="1">
        <v>5</v>
      </c>
      <c r="P138" s="1">
        <v>3</v>
      </c>
      <c r="Q138" s="1">
        <v>6</v>
      </c>
      <c r="R138" s="1">
        <v>6</v>
      </c>
      <c r="S138" s="1">
        <v>1</v>
      </c>
      <c r="T138" s="1">
        <v>0</v>
      </c>
      <c r="U138" s="1">
        <v>0</v>
      </c>
      <c r="V138" s="1">
        <v>1</v>
      </c>
      <c r="W138" s="1">
        <v>1</v>
      </c>
      <c r="X138" s="1">
        <v>0</v>
      </c>
      <c r="Y138" s="1">
        <v>1</v>
      </c>
      <c r="Z138" s="1">
        <v>48</v>
      </c>
      <c r="AA138" s="1" t="str" cm="1">
        <f t="array" ref="AA138">_xlfn.IFS(AND(Z138&lt;36, Z138&gt;23), "24-35", AND(Z138&lt;51, Z138&gt;35),"36-50", AND(Z138&lt;66, Z138&gt;50), "51-66", Z138&gt;65, "66+", TRUE, "?")</f>
        <v>36-50</v>
      </c>
      <c r="AB138" s="1">
        <v>2564</v>
      </c>
      <c r="AC138" s="1">
        <v>0</v>
      </c>
      <c r="AD138" s="1">
        <v>1</v>
      </c>
      <c r="AE138" s="1">
        <v>0</v>
      </c>
      <c r="AF138" s="1">
        <v>0</v>
      </c>
      <c r="AG138" s="1">
        <v>0</v>
      </c>
      <c r="AH138" s="1">
        <v>0</v>
      </c>
      <c r="AI138" s="1">
        <v>1</v>
      </c>
      <c r="AJ138" s="1">
        <v>0</v>
      </c>
      <c r="AK138" s="1">
        <v>0</v>
      </c>
      <c r="AL138" s="1">
        <v>1530</v>
      </c>
      <c r="AM138" s="2">
        <v>42285</v>
      </c>
      <c r="AN138" t="str">
        <f t="shared" si="5"/>
        <v>80134,1610,0.0200913469937854,1,0,40,1218,16,272,104,0,80,2,5,3,6,6,1,0,0,1,1,0,1,48,36-50,2564,0,1,0,0,0,0,1,0,0,1530,42285</v>
      </c>
    </row>
    <row r="139" spans="1:40" ht="13" x14ac:dyDescent="0.15">
      <c r="A139">
        <v>516</v>
      </c>
      <c r="B139" s="1">
        <v>74004</v>
      </c>
      <c r="C139" s="1">
        <v>1610</v>
      </c>
      <c r="D139" s="4">
        <f t="shared" si="4"/>
        <v>2.1755580779417329E-2</v>
      </c>
      <c r="E139" s="1">
        <v>0</v>
      </c>
      <c r="F139" s="1">
        <v>0</v>
      </c>
      <c r="G139" s="1">
        <v>5</v>
      </c>
      <c r="H139" s="1">
        <v>784</v>
      </c>
      <c r="I139" s="1">
        <v>48</v>
      </c>
      <c r="J139" s="1">
        <v>560</v>
      </c>
      <c r="K139" s="1">
        <v>42</v>
      </c>
      <c r="L139" s="1">
        <v>176</v>
      </c>
      <c r="M139" s="1">
        <v>48</v>
      </c>
      <c r="N139" s="1">
        <v>1</v>
      </c>
      <c r="O139" s="1">
        <v>4</v>
      </c>
      <c r="P139" s="1">
        <v>6</v>
      </c>
      <c r="Q139" s="1">
        <v>4</v>
      </c>
      <c r="R139" s="1">
        <v>3</v>
      </c>
      <c r="S139" s="1">
        <v>1</v>
      </c>
      <c r="T139" s="1">
        <v>0</v>
      </c>
      <c r="U139" s="1">
        <v>0</v>
      </c>
      <c r="V139" s="1">
        <v>0</v>
      </c>
      <c r="W139" s="1">
        <v>1</v>
      </c>
      <c r="X139" s="1">
        <v>0</v>
      </c>
      <c r="Y139" s="1">
        <v>1</v>
      </c>
      <c r="Z139" s="1">
        <v>33</v>
      </c>
      <c r="AA139" s="1" t="str" cm="1">
        <f t="array" ref="AA139">_xlfn.IFS(AND(Z139&lt;36, Z139&gt;23), "24-35", AND(Z139&lt;51, Z139&gt;35),"36-50", AND(Z139&lt;66, Z139&gt;50), "51-66", Z139&gt;65, "66+", TRUE, "?")</f>
        <v>24-35</v>
      </c>
      <c r="AB139" s="1">
        <v>2284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1</v>
      </c>
      <c r="AL139" s="1">
        <v>1562</v>
      </c>
      <c r="AM139" s="2">
        <v>42565</v>
      </c>
      <c r="AN139" t="str">
        <f t="shared" si="5"/>
        <v>74004,1610,0.0217555807794173,0,0,5,784,48,560,42,176,48,1,4,6,4,3,1,0,0,0,1,0,1,33,24-35,2284,0,0,1,0,0,0,0,0,1,1562,42565</v>
      </c>
    </row>
    <row r="140" spans="1:40" ht="13" hidden="1" x14ac:dyDescent="0.15">
      <c r="A140">
        <v>1580</v>
      </c>
      <c r="B140" s="1">
        <v>82571</v>
      </c>
      <c r="C140" s="1">
        <v>1607</v>
      </c>
      <c r="D140" s="4">
        <f t="shared" si="4"/>
        <v>1.9462038730304828E-2</v>
      </c>
      <c r="E140" s="1">
        <v>0</v>
      </c>
      <c r="F140" s="1">
        <v>0</v>
      </c>
      <c r="G140" s="1">
        <v>28</v>
      </c>
      <c r="H140" s="1">
        <v>861</v>
      </c>
      <c r="I140" s="1">
        <v>31</v>
      </c>
      <c r="J140" s="1">
        <v>558</v>
      </c>
      <c r="K140" s="1">
        <v>62</v>
      </c>
      <c r="L140" s="1">
        <v>95</v>
      </c>
      <c r="M140" s="1">
        <v>79</v>
      </c>
      <c r="N140" s="1">
        <v>0</v>
      </c>
      <c r="O140" s="1">
        <v>6</v>
      </c>
      <c r="P140" s="1">
        <v>5</v>
      </c>
      <c r="Q140" s="1">
        <v>13</v>
      </c>
      <c r="R140" s="1">
        <v>2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58</v>
      </c>
      <c r="AA140" s="1" t="str" cm="1">
        <f t="array" ref="AA140">_xlfn.IFS(AND(Z140&lt;36, Z140&gt;23), "24-35", AND(Z140&lt;51, Z140&gt;35),"36-50", AND(Z140&lt;66, Z140&gt;50), "51-66", Z140&gt;65, "66+", TRUE, "?")</f>
        <v>51-66</v>
      </c>
      <c r="AB140" s="1">
        <v>2247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  <c r="AI140" s="1">
        <v>0</v>
      </c>
      <c r="AJ140" s="1">
        <v>0</v>
      </c>
      <c r="AK140" s="1">
        <v>1</v>
      </c>
      <c r="AL140" s="1">
        <v>1528</v>
      </c>
      <c r="AM140" s="2">
        <v>42602</v>
      </c>
      <c r="AN140" t="str">
        <f t="shared" si="5"/>
        <v>82571,1607,0.0194620387303048,0,0,28,861,31,558,62,95,79,0,6,5,13,2,0,0,0,0,1,0,0,58,51-66,2247,0,0,0,0,1,0,0,0,1,1528,42602</v>
      </c>
    </row>
    <row r="141" spans="1:40" ht="13" hidden="1" x14ac:dyDescent="0.15">
      <c r="A141">
        <v>18</v>
      </c>
      <c r="B141" s="1">
        <v>76995</v>
      </c>
      <c r="C141" s="1">
        <v>1606</v>
      </c>
      <c r="D141" s="4">
        <f t="shared" si="4"/>
        <v>2.0858497305019808E-2</v>
      </c>
      <c r="E141" s="1">
        <v>0</v>
      </c>
      <c r="F141" s="1">
        <v>1</v>
      </c>
      <c r="G141" s="1">
        <v>91</v>
      </c>
      <c r="H141" s="1">
        <v>1012</v>
      </c>
      <c r="I141" s="1">
        <v>80</v>
      </c>
      <c r="J141" s="1">
        <v>498</v>
      </c>
      <c r="K141" s="1">
        <v>0</v>
      </c>
      <c r="L141" s="1">
        <v>16</v>
      </c>
      <c r="M141" s="1">
        <v>176</v>
      </c>
      <c r="N141" s="1">
        <v>2</v>
      </c>
      <c r="O141" s="1">
        <v>11</v>
      </c>
      <c r="P141" s="1">
        <v>4</v>
      </c>
      <c r="Q141" s="1">
        <v>9</v>
      </c>
      <c r="R141" s="1">
        <v>5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71</v>
      </c>
      <c r="AA141" s="1" t="str" cm="1">
        <f t="array" ref="AA141">_xlfn.IFS(AND(Z141&lt;36, Z141&gt;23), "24-35", AND(Z141&lt;51, Z141&gt;35),"36-50", AND(Z141&lt;66, Z141&gt;50), "51-66", Z141&gt;65, "66+", TRUE, "?")</f>
        <v>66+</v>
      </c>
      <c r="AB141" s="1">
        <v>2617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1430</v>
      </c>
      <c r="AM141" s="2">
        <v>42232</v>
      </c>
      <c r="AN141" t="str">
        <f t="shared" si="5"/>
        <v>76995,1606,0.0208584973050198,0,1,91,1012,80,498,0,16,176,2,11,4,9,5,1,0,0,0,0,0,0,71,66+,2617,0,1,0,0,0,0,0,1,0,1430,42232</v>
      </c>
    </row>
    <row r="142" spans="1:40" ht="13" x14ac:dyDescent="0.15">
      <c r="A142">
        <v>519</v>
      </c>
      <c r="B142" s="1">
        <v>71670</v>
      </c>
      <c r="C142" s="1">
        <v>1606</v>
      </c>
      <c r="D142" s="4">
        <f t="shared" si="4"/>
        <v>2.240826008092647E-2</v>
      </c>
      <c r="E142" s="1">
        <v>0</v>
      </c>
      <c r="F142" s="1">
        <v>0</v>
      </c>
      <c r="G142" s="1">
        <v>8</v>
      </c>
      <c r="H142" s="1">
        <v>1462</v>
      </c>
      <c r="I142" s="1">
        <v>16</v>
      </c>
      <c r="J142" s="1">
        <v>128</v>
      </c>
      <c r="K142" s="1">
        <v>0</v>
      </c>
      <c r="L142" s="1">
        <v>0</v>
      </c>
      <c r="M142" s="1">
        <v>160</v>
      </c>
      <c r="N142" s="1">
        <v>1</v>
      </c>
      <c r="O142" s="1">
        <v>5</v>
      </c>
      <c r="P142" s="1">
        <v>3</v>
      </c>
      <c r="Q142" s="1">
        <v>6</v>
      </c>
      <c r="R142" s="1">
        <v>6</v>
      </c>
      <c r="S142" s="1">
        <v>0</v>
      </c>
      <c r="T142" s="1">
        <v>1</v>
      </c>
      <c r="U142" s="1">
        <v>0</v>
      </c>
      <c r="V142" s="1">
        <v>1</v>
      </c>
      <c r="W142" s="1">
        <v>1</v>
      </c>
      <c r="X142" s="1">
        <v>0</v>
      </c>
      <c r="Y142" s="1">
        <v>1</v>
      </c>
      <c r="Z142" s="1">
        <v>58</v>
      </c>
      <c r="AA142" s="1" t="str" cm="1">
        <f t="array" ref="AA142">_xlfn.IFS(AND(Z142&lt;36, Z142&gt;23), "24-35", AND(Z142&lt;51, Z142&gt;35),"36-50", AND(Z142&lt;66, Z142&gt;50), "51-66", Z142&gt;65, "66+", TRUE, "?")</f>
        <v>51-66</v>
      </c>
      <c r="AB142" s="1">
        <v>2514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">
        <v>1446</v>
      </c>
      <c r="AM142" s="2">
        <v>42335</v>
      </c>
      <c r="AN142" t="str">
        <f t="shared" si="5"/>
        <v>71670,1606,0.0224082600809265,0,0,8,1462,16,128,0,0,160,1,5,3,6,6,0,1,0,1,1,0,1,58,51-66,2514,0,0,0,0,1,0,0,0,1,1446,42335</v>
      </c>
    </row>
    <row r="143" spans="1:40" ht="13" hidden="1" x14ac:dyDescent="0.15">
      <c r="A143">
        <v>1730</v>
      </c>
      <c r="B143" s="1">
        <v>90933</v>
      </c>
      <c r="C143" s="1">
        <v>1606</v>
      </c>
      <c r="D143" s="4">
        <f t="shared" si="4"/>
        <v>1.7661355063618267E-2</v>
      </c>
      <c r="E143" s="1">
        <v>0</v>
      </c>
      <c r="F143" s="1">
        <v>0</v>
      </c>
      <c r="G143" s="1">
        <v>90</v>
      </c>
      <c r="H143" s="1">
        <v>1020</v>
      </c>
      <c r="I143" s="1">
        <v>31</v>
      </c>
      <c r="J143" s="1">
        <v>430</v>
      </c>
      <c r="K143" s="1">
        <v>62</v>
      </c>
      <c r="L143" s="1">
        <v>63</v>
      </c>
      <c r="M143" s="1">
        <v>79</v>
      </c>
      <c r="N143" s="1">
        <v>1</v>
      </c>
      <c r="O143" s="1">
        <v>4</v>
      </c>
      <c r="P143" s="1">
        <v>6</v>
      </c>
      <c r="Q143" s="1">
        <v>4</v>
      </c>
      <c r="R143" s="1">
        <v>1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66</v>
      </c>
      <c r="AA143" s="1" t="str" cm="1">
        <f t="array" ref="AA143">_xlfn.IFS(AND(Z143&lt;36, Z143&gt;23), "24-35", AND(Z143&lt;51, Z143&gt;35),"36-50", AND(Z143&lt;66, Z143&gt;50), "51-66", Z143&gt;65, "66+", TRUE, "?")</f>
        <v>66+</v>
      </c>
      <c r="AB143" s="1">
        <v>2249</v>
      </c>
      <c r="AC143" s="1">
        <v>0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1</v>
      </c>
      <c r="AL143" s="1">
        <v>1527</v>
      </c>
      <c r="AM143" s="2">
        <v>42600</v>
      </c>
      <c r="AN143" t="str">
        <f t="shared" si="5"/>
        <v>90933,1606,0.0176613550636183,0,0,90,1020,31,430,62,63,79,1,4,6,4,1,0,0,0,0,1,0,0,66,66+,2249,0,0,1,0,0,0,0,0,1,1527,42600</v>
      </c>
    </row>
    <row r="144" spans="1:40" ht="13" x14ac:dyDescent="0.15">
      <c r="A144">
        <v>522</v>
      </c>
      <c r="B144" s="1">
        <v>90247</v>
      </c>
      <c r="C144" s="1">
        <v>1605</v>
      </c>
      <c r="D144" s="4">
        <f t="shared" si="4"/>
        <v>1.7784524693341606E-2</v>
      </c>
      <c r="E144" s="1">
        <v>0</v>
      </c>
      <c r="F144" s="1">
        <v>0</v>
      </c>
      <c r="G144" s="1">
        <v>27</v>
      </c>
      <c r="H144" s="1">
        <v>1184</v>
      </c>
      <c r="I144" s="1">
        <v>32</v>
      </c>
      <c r="J144" s="1">
        <v>352</v>
      </c>
      <c r="K144" s="1">
        <v>21</v>
      </c>
      <c r="L144" s="1">
        <v>16</v>
      </c>
      <c r="M144" s="1">
        <v>16</v>
      </c>
      <c r="N144" s="1">
        <v>1</v>
      </c>
      <c r="O144" s="1">
        <v>3</v>
      </c>
      <c r="P144" s="1">
        <v>4</v>
      </c>
      <c r="Q144" s="1">
        <v>7</v>
      </c>
      <c r="R144" s="1">
        <v>1</v>
      </c>
      <c r="S144" s="1">
        <v>1</v>
      </c>
      <c r="T144" s="1">
        <v>0</v>
      </c>
      <c r="U144" s="1">
        <v>0</v>
      </c>
      <c r="V144" s="1">
        <v>1</v>
      </c>
      <c r="W144" s="1">
        <v>1</v>
      </c>
      <c r="X144" s="1">
        <v>0</v>
      </c>
      <c r="Y144" s="1">
        <v>1</v>
      </c>
      <c r="Z144" s="1">
        <v>32</v>
      </c>
      <c r="AA144" s="1" t="str" cm="1">
        <f t="array" ref="AA144">_xlfn.IFS(AND(Z144&lt;36, Z144&gt;23), "24-35", AND(Z144&lt;51, Z144&gt;35),"36-50", AND(Z144&lt;66, Z144&gt;50), "51-66", Z144&gt;65, "66+", TRUE, "?")</f>
        <v>24-35</v>
      </c>
      <c r="AB144" s="1">
        <v>2220</v>
      </c>
      <c r="AC144" s="1">
        <v>0</v>
      </c>
      <c r="AD144" s="1">
        <v>0</v>
      </c>
      <c r="AE144" s="1">
        <v>1</v>
      </c>
      <c r="AF144" s="1">
        <v>0</v>
      </c>
      <c r="AG144" s="1">
        <v>0</v>
      </c>
      <c r="AH144" s="1">
        <v>0</v>
      </c>
      <c r="AI144" s="1">
        <v>0</v>
      </c>
      <c r="AJ144" s="1">
        <v>1</v>
      </c>
      <c r="AK144" s="1">
        <v>0</v>
      </c>
      <c r="AL144" s="1">
        <v>1589</v>
      </c>
      <c r="AM144" s="2">
        <v>42629</v>
      </c>
      <c r="AN144" t="str">
        <f t="shared" si="5"/>
        <v>90247,1605,0.0177845246933416,0,0,27,1184,32,352,21,16,16,1,3,4,7,1,1,0,0,1,1,0,1,32,24-35,2220,0,0,1,0,0,0,0,1,0,1589,42629</v>
      </c>
    </row>
    <row r="145" spans="1:40" ht="13" hidden="1" x14ac:dyDescent="0.15">
      <c r="A145">
        <v>775</v>
      </c>
      <c r="B145" s="1">
        <v>93404</v>
      </c>
      <c r="C145" s="1">
        <v>1601</v>
      </c>
      <c r="D145" s="4">
        <f t="shared" si="4"/>
        <v>1.7140593550597404E-2</v>
      </c>
      <c r="E145" s="1">
        <v>1</v>
      </c>
      <c r="F145" s="1">
        <v>2</v>
      </c>
      <c r="G145" s="1">
        <v>97</v>
      </c>
      <c r="H145" s="1">
        <v>1279</v>
      </c>
      <c r="I145" s="1">
        <v>15</v>
      </c>
      <c r="J145" s="1">
        <v>287</v>
      </c>
      <c r="K145" s="1">
        <v>20</v>
      </c>
      <c r="L145" s="1">
        <v>0</v>
      </c>
      <c r="M145" s="1">
        <v>15</v>
      </c>
      <c r="N145" s="1">
        <v>3</v>
      </c>
      <c r="O145" s="1">
        <v>3</v>
      </c>
      <c r="P145" s="1">
        <v>4</v>
      </c>
      <c r="Q145" s="1">
        <v>7</v>
      </c>
      <c r="R145" s="1">
        <v>5</v>
      </c>
      <c r="S145" s="1">
        <v>0</v>
      </c>
      <c r="T145" s="1">
        <v>0</v>
      </c>
      <c r="U145" s="1">
        <v>0</v>
      </c>
      <c r="V145" s="1">
        <v>1</v>
      </c>
      <c r="W145" s="1">
        <v>1</v>
      </c>
      <c r="X145" s="1">
        <v>0</v>
      </c>
      <c r="Y145" s="1">
        <v>0</v>
      </c>
      <c r="Z145" s="1">
        <v>66</v>
      </c>
      <c r="AA145" s="1" t="str" cm="1">
        <f t="array" ref="AA145">_xlfn.IFS(AND(Z145&lt;36, Z145&gt;23), "24-35", AND(Z145&lt;51, Z145&gt;35),"36-50", AND(Z145&lt;66, Z145&gt;50), "51-66", Z145&gt;65, "66+", TRUE, "?")</f>
        <v>66+</v>
      </c>
      <c r="AB145" s="1">
        <v>2577</v>
      </c>
      <c r="AC145" s="1">
        <v>0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0</v>
      </c>
      <c r="AL145" s="1">
        <v>1586</v>
      </c>
      <c r="AM145" s="2">
        <v>42272</v>
      </c>
      <c r="AN145" t="str">
        <f t="shared" si="5"/>
        <v>93404,1601,0.0171405935505974,1,2,97,1279,15,287,20,0,15,3,3,4,7,5,0,0,0,1,1,0,0,66,66+,2577,0,1,0,0,0,0,1,0,0,1586,42272</v>
      </c>
    </row>
    <row r="146" spans="1:40" ht="13" hidden="1" x14ac:dyDescent="0.15">
      <c r="A146">
        <v>1376</v>
      </c>
      <c r="B146" s="1">
        <v>79419</v>
      </c>
      <c r="C146" s="1">
        <v>1600</v>
      </c>
      <c r="D146" s="4">
        <f t="shared" si="4"/>
        <v>2.0146312595222805E-2</v>
      </c>
      <c r="E146" s="1">
        <v>0</v>
      </c>
      <c r="F146" s="1">
        <v>0</v>
      </c>
      <c r="G146" s="1">
        <v>96</v>
      </c>
      <c r="H146" s="1">
        <v>751</v>
      </c>
      <c r="I146" s="1">
        <v>127</v>
      </c>
      <c r="J146" s="1">
        <v>687</v>
      </c>
      <c r="K146" s="1">
        <v>20</v>
      </c>
      <c r="L146" s="1">
        <v>15</v>
      </c>
      <c r="M146" s="1">
        <v>31</v>
      </c>
      <c r="N146" s="1">
        <v>1</v>
      </c>
      <c r="O146" s="1">
        <v>4</v>
      </c>
      <c r="P146" s="1">
        <v>6</v>
      </c>
      <c r="Q146" s="1">
        <v>4</v>
      </c>
      <c r="R146" s="1">
        <v>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50</v>
      </c>
      <c r="AA146" s="1" t="str" cm="1">
        <f t="array" ref="AA146">_xlfn.IFS(AND(Z146&lt;36, Z146&gt;23), "24-35", AND(Z146&lt;51, Z146&gt;35),"36-50", AND(Z146&lt;66, Z146&gt;50), "51-66", Z146&gt;65, "66+", TRUE, "?")</f>
        <v>36-50</v>
      </c>
      <c r="AB146" s="1">
        <v>2166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0</v>
      </c>
      <c r="AJ146" s="1">
        <v>1</v>
      </c>
      <c r="AK146" s="1">
        <v>0</v>
      </c>
      <c r="AL146" s="1">
        <v>1569</v>
      </c>
      <c r="AM146" s="2">
        <v>42683</v>
      </c>
      <c r="AN146" t="str">
        <f t="shared" si="5"/>
        <v>79419,1600,0.0201463125952228,0,0,96,751,127,687,20,15,31,1,4,6,4,2,0,0,0,0,0,0,0,50,36-50,2166,0,0,0,1,0,0,0,1,0,1569,42683</v>
      </c>
    </row>
    <row r="147" spans="1:40" ht="13" hidden="1" x14ac:dyDescent="0.15">
      <c r="A147">
        <v>199</v>
      </c>
      <c r="B147" s="1">
        <v>83790</v>
      </c>
      <c r="C147" s="1">
        <v>1599</v>
      </c>
      <c r="D147" s="4">
        <f t="shared" si="4"/>
        <v>1.908342284282134E-2</v>
      </c>
      <c r="E147" s="1">
        <v>0</v>
      </c>
      <c r="F147" s="1">
        <v>0</v>
      </c>
      <c r="G147" s="1">
        <v>81</v>
      </c>
      <c r="H147" s="1">
        <v>1076</v>
      </c>
      <c r="I147" s="1">
        <v>16</v>
      </c>
      <c r="J147" s="1">
        <v>417</v>
      </c>
      <c r="K147" s="1">
        <v>42</v>
      </c>
      <c r="L147" s="1">
        <v>48</v>
      </c>
      <c r="M147" s="1">
        <v>16</v>
      </c>
      <c r="N147" s="1">
        <v>1</v>
      </c>
      <c r="O147" s="1">
        <v>8</v>
      </c>
      <c r="P147" s="1">
        <v>10</v>
      </c>
      <c r="Q147" s="1">
        <v>6</v>
      </c>
      <c r="R147" s="1">
        <v>3</v>
      </c>
      <c r="S147" s="1">
        <v>0</v>
      </c>
      <c r="T147" s="1">
        <v>0</v>
      </c>
      <c r="U147" s="1">
        <v>0</v>
      </c>
      <c r="V147" s="1">
        <v>1</v>
      </c>
      <c r="W147" s="1">
        <v>1</v>
      </c>
      <c r="X147" s="1">
        <v>0</v>
      </c>
      <c r="Y147" s="1">
        <v>0</v>
      </c>
      <c r="Z147" s="1">
        <v>72</v>
      </c>
      <c r="AA147" s="1" t="str" cm="1">
        <f t="array" ref="AA147">_xlfn.IFS(AND(Z147&lt;36, Z147&gt;23), "24-35", AND(Z147&lt;51, Z147&gt;35),"36-50", AND(Z147&lt;66, Z147&gt;50), "51-66", Z147&gt;65, "66+", TRUE, "?")</f>
        <v>66+</v>
      </c>
      <c r="AB147" s="1">
        <v>2385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1583</v>
      </c>
      <c r="AM147" s="2">
        <v>42464</v>
      </c>
      <c r="AN147" t="str">
        <f t="shared" si="5"/>
        <v>83790,1599,0.0190834228428213,0,0,81,1076,16,417,42,48,16,1,8,10,6,3,0,0,0,1,1,0,0,72,66+,2385,0,1,0,0,0,0,0,1,0,1583,42464</v>
      </c>
    </row>
    <row r="148" spans="1:40" ht="13" hidden="1" x14ac:dyDescent="0.15">
      <c r="A148">
        <v>1558</v>
      </c>
      <c r="B148" s="1">
        <v>73705</v>
      </c>
      <c r="C148" s="1">
        <v>1588</v>
      </c>
      <c r="D148" s="4">
        <f t="shared" si="4"/>
        <v>2.1545349704904689E-2</v>
      </c>
      <c r="E148" s="1">
        <v>0</v>
      </c>
      <c r="F148" s="1">
        <v>2</v>
      </c>
      <c r="G148" s="1">
        <v>86</v>
      </c>
      <c r="H148" s="1">
        <v>612</v>
      </c>
      <c r="I148" s="1">
        <v>91</v>
      </c>
      <c r="J148" s="1">
        <v>520</v>
      </c>
      <c r="K148" s="1">
        <v>258</v>
      </c>
      <c r="L148" s="1">
        <v>107</v>
      </c>
      <c r="M148" s="1">
        <v>107</v>
      </c>
      <c r="N148" s="1">
        <v>2</v>
      </c>
      <c r="O148" s="1">
        <v>9</v>
      </c>
      <c r="P148" s="1">
        <v>6</v>
      </c>
      <c r="Q148" s="1">
        <v>8</v>
      </c>
      <c r="R148" s="1">
        <v>5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69</v>
      </c>
      <c r="AA148" s="1" t="str" cm="1">
        <f t="array" ref="AA148">_xlfn.IFS(AND(Z148&lt;36, Z148&gt;23), "24-35", AND(Z148&lt;51, Z148&gt;35),"36-50", AND(Z148&lt;66, Z148&gt;50), "51-66", Z148&gt;65, "66+", TRUE, "?")</f>
        <v>66+</v>
      </c>
      <c r="AB148" s="1">
        <v>2275</v>
      </c>
      <c r="AC148" s="1">
        <v>0</v>
      </c>
      <c r="AD148" s="1">
        <v>0</v>
      </c>
      <c r="AE148" s="1">
        <v>0</v>
      </c>
      <c r="AF148" s="1">
        <v>0</v>
      </c>
      <c r="AG148" s="1">
        <v>1</v>
      </c>
      <c r="AH148" s="1">
        <v>0</v>
      </c>
      <c r="AI148" s="1">
        <v>0</v>
      </c>
      <c r="AJ148" s="1">
        <v>1</v>
      </c>
      <c r="AK148" s="1">
        <v>0</v>
      </c>
      <c r="AL148" s="1">
        <v>1481</v>
      </c>
      <c r="AM148" s="2">
        <v>42574</v>
      </c>
      <c r="AN148" t="str">
        <f t="shared" si="5"/>
        <v>73705,1588,0.0215453497049047,0,2,86,612,91,520,258,107,107,2,9,6,8,5,0,0,0,0,0,0,0,69,66+,2275,0,0,0,0,1,0,0,1,0,1481,42574</v>
      </c>
    </row>
    <row r="149" spans="1:40" ht="13" hidden="1" x14ac:dyDescent="0.15">
      <c r="A149">
        <v>1858</v>
      </c>
      <c r="B149" s="1">
        <v>61416</v>
      </c>
      <c r="C149" s="1">
        <v>1587</v>
      </c>
      <c r="D149" s="4">
        <f t="shared" si="4"/>
        <v>2.5840171942164907E-2</v>
      </c>
      <c r="E149" s="1">
        <v>0</v>
      </c>
      <c r="F149" s="1">
        <v>0</v>
      </c>
      <c r="G149" s="1">
        <v>25</v>
      </c>
      <c r="H149" s="1">
        <v>848</v>
      </c>
      <c r="I149" s="1">
        <v>154</v>
      </c>
      <c r="J149" s="1">
        <v>323</v>
      </c>
      <c r="K149" s="1">
        <v>201</v>
      </c>
      <c r="L149" s="1">
        <v>61</v>
      </c>
      <c r="M149" s="1">
        <v>78</v>
      </c>
      <c r="N149" s="1">
        <v>1</v>
      </c>
      <c r="O149" s="1">
        <v>10</v>
      </c>
      <c r="P149" s="1">
        <v>3</v>
      </c>
      <c r="Q149" s="1">
        <v>10</v>
      </c>
      <c r="R149" s="1">
        <v>6</v>
      </c>
      <c r="S149" s="1">
        <v>0</v>
      </c>
      <c r="T149" s="1">
        <v>0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38</v>
      </c>
      <c r="AA149" s="1" t="str" cm="1">
        <f t="array" ref="AA149">_xlfn.IFS(AND(Z149&lt;36, Z149&gt;23), "24-35", AND(Z149&lt;51, Z149&gt;35),"36-50", AND(Z149&lt;66, Z149&gt;50), "51-66", Z149&gt;65, "66+", TRUE, "?")</f>
        <v>36-50</v>
      </c>
      <c r="AB149" s="1">
        <v>2665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</v>
      </c>
      <c r="AJ149" s="1">
        <v>0</v>
      </c>
      <c r="AK149" s="1">
        <v>0</v>
      </c>
      <c r="AL149" s="1">
        <v>1509</v>
      </c>
      <c r="AM149" s="2">
        <v>42184</v>
      </c>
      <c r="AN149" t="str">
        <f t="shared" si="5"/>
        <v>61416,1587,0.0258401719421649,0,0,25,848,154,323,201,61,78,1,10,3,10,6,0,0,1,0,0,0,0,38,36-50,2665,0,0,0,1,0,0,1,0,0,1509,42184</v>
      </c>
    </row>
    <row r="150" spans="1:40" ht="13" hidden="1" x14ac:dyDescent="0.15">
      <c r="A150">
        <v>1875</v>
      </c>
      <c r="B150" s="1">
        <v>71128</v>
      </c>
      <c r="C150" s="1">
        <v>1584</v>
      </c>
      <c r="D150" s="4">
        <f t="shared" si="4"/>
        <v>2.2269710943650881E-2</v>
      </c>
      <c r="E150" s="1">
        <v>1</v>
      </c>
      <c r="F150" s="1">
        <v>0</v>
      </c>
      <c r="G150" s="1">
        <v>80</v>
      </c>
      <c r="H150" s="1">
        <v>958</v>
      </c>
      <c r="I150" s="1">
        <v>159</v>
      </c>
      <c r="J150" s="1">
        <v>447</v>
      </c>
      <c r="K150" s="1">
        <v>20</v>
      </c>
      <c r="L150" s="1">
        <v>0</v>
      </c>
      <c r="M150" s="1">
        <v>31</v>
      </c>
      <c r="N150" s="1">
        <v>3</v>
      </c>
      <c r="O150" s="1">
        <v>2</v>
      </c>
      <c r="P150" s="1">
        <v>10</v>
      </c>
      <c r="Q150" s="1">
        <v>12</v>
      </c>
      <c r="R150" s="1">
        <v>7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47</v>
      </c>
      <c r="AA150" s="1" t="str" cm="1">
        <f t="array" ref="AA150">_xlfn.IFS(AND(Z150&lt;36, Z150&gt;23), "24-35", AND(Z150&lt;51, Z150&gt;35),"36-50", AND(Z150&lt;66, Z150&gt;50), "51-66", Z150&gt;65, "66+", TRUE, "?")</f>
        <v>36-50</v>
      </c>
      <c r="AB150" s="1">
        <v>2790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>
        <v>0</v>
      </c>
      <c r="AL150" s="1">
        <v>1553</v>
      </c>
      <c r="AM150" s="2">
        <v>42059</v>
      </c>
      <c r="AN150" t="str">
        <f t="shared" si="5"/>
        <v>71128,1584,0.0222697109436509,1,0,80,958,159,447,20,0,31,3,2,10,12,7,0,0,0,0,0,0,0,47,36-50,2790,1,0,0,0,0,0,1,0,0,1553,42059</v>
      </c>
    </row>
    <row r="151" spans="1:40" ht="13" hidden="1" x14ac:dyDescent="0.15">
      <c r="A151">
        <v>843</v>
      </c>
      <c r="B151" s="1">
        <v>78331</v>
      </c>
      <c r="C151" s="1">
        <v>1577</v>
      </c>
      <c r="D151" s="4">
        <f t="shared" si="4"/>
        <v>2.0132514585540846E-2</v>
      </c>
      <c r="E151" s="1">
        <v>0</v>
      </c>
      <c r="F151" s="1">
        <v>1</v>
      </c>
      <c r="G151" s="1">
        <v>97</v>
      </c>
      <c r="H151" s="1">
        <v>756</v>
      </c>
      <c r="I151" s="1">
        <v>138</v>
      </c>
      <c r="J151" s="1">
        <v>354</v>
      </c>
      <c r="K151" s="1">
        <v>160</v>
      </c>
      <c r="L151" s="1">
        <v>169</v>
      </c>
      <c r="M151" s="1">
        <v>61</v>
      </c>
      <c r="N151" s="1">
        <v>2</v>
      </c>
      <c r="O151" s="1">
        <v>10</v>
      </c>
      <c r="P151" s="1">
        <v>6</v>
      </c>
      <c r="Q151" s="1">
        <v>7</v>
      </c>
      <c r="R151" s="1">
        <v>4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62</v>
      </c>
      <c r="AA151" s="1" t="str" cm="1">
        <f t="array" ref="AA151">_xlfn.IFS(AND(Z151&lt;36, Z151&gt;23), "24-35", AND(Z151&lt;51, Z151&gt;35),"36-50", AND(Z151&lt;66, Z151&gt;50), "51-66", Z151&gt;65, "66+", TRUE, "?")</f>
        <v>51-66</v>
      </c>
      <c r="AB151" s="1">
        <v>2316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1</v>
      </c>
      <c r="AJ151" s="1">
        <v>0</v>
      </c>
      <c r="AK151" s="1">
        <v>0</v>
      </c>
      <c r="AL151" s="1">
        <v>1516</v>
      </c>
      <c r="AM151" s="2">
        <v>42533</v>
      </c>
      <c r="AN151" t="str">
        <f t="shared" si="5"/>
        <v>78331,1577,0.0201325145855408,0,1,97,756,138,354,160,169,61,2,10,6,7,4,0,0,0,0,0,0,0,62,51-66,2316,1,0,0,0,0,0,1,0,0,1516,42533</v>
      </c>
    </row>
    <row r="152" spans="1:40" ht="13" x14ac:dyDescent="0.15">
      <c r="A152">
        <v>527</v>
      </c>
      <c r="B152" s="1">
        <v>90369</v>
      </c>
      <c r="C152" s="1">
        <v>1571</v>
      </c>
      <c r="D152" s="4">
        <f t="shared" si="4"/>
        <v>1.7384280007524705E-2</v>
      </c>
      <c r="E152" s="1">
        <v>0</v>
      </c>
      <c r="F152" s="1">
        <v>0</v>
      </c>
      <c r="G152" s="1">
        <v>2</v>
      </c>
      <c r="H152" s="1">
        <v>292</v>
      </c>
      <c r="I152" s="1">
        <v>51</v>
      </c>
      <c r="J152" s="1">
        <v>981</v>
      </c>
      <c r="K152" s="1">
        <v>224</v>
      </c>
      <c r="L152" s="1">
        <v>23</v>
      </c>
      <c r="M152" s="1">
        <v>17</v>
      </c>
      <c r="N152" s="1">
        <v>1</v>
      </c>
      <c r="O152" s="1">
        <v>4</v>
      </c>
      <c r="P152" s="1">
        <v>6</v>
      </c>
      <c r="Q152" s="1">
        <v>6</v>
      </c>
      <c r="R152" s="1">
        <v>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64</v>
      </c>
      <c r="AA152" s="1" t="str" cm="1">
        <f t="array" ref="AA152">_xlfn.IFS(AND(Z152&lt;36, Z152&gt;23), "24-35", AND(Z152&lt;51, Z152&gt;35),"36-50", AND(Z152&lt;66, Z152&gt;50), "51-66", Z152&gt;65, "66+", TRUE, "?")</f>
        <v>51-66</v>
      </c>
      <c r="AB152" s="1">
        <v>2221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  <c r="AH152" s="1">
        <v>0</v>
      </c>
      <c r="AI152" s="1">
        <v>1</v>
      </c>
      <c r="AJ152" s="1">
        <v>0</v>
      </c>
      <c r="AK152" s="1">
        <v>0</v>
      </c>
      <c r="AL152" s="1">
        <v>1554</v>
      </c>
      <c r="AM152" s="2">
        <v>42628</v>
      </c>
      <c r="AN152" t="str">
        <f t="shared" si="5"/>
        <v>90369,1571,0.0173842800075247,0,0,2,292,51,981,224,23,17,1,4,6,6,1,0,0,0,0,0,0,1,64,51-66,2221,0,1,0,0,0,0,1,0,0,1554,42628</v>
      </c>
    </row>
    <row r="153" spans="1:40" ht="13" hidden="1" x14ac:dyDescent="0.15">
      <c r="A153">
        <v>1570</v>
      </c>
      <c r="B153" s="1">
        <v>80398</v>
      </c>
      <c r="C153" s="1">
        <v>1571</v>
      </c>
      <c r="D153" s="4">
        <f t="shared" si="4"/>
        <v>1.9540287071817708E-2</v>
      </c>
      <c r="E153" s="1">
        <v>0</v>
      </c>
      <c r="F153" s="1">
        <v>0</v>
      </c>
      <c r="G153" s="1">
        <v>92</v>
      </c>
      <c r="H153" s="1">
        <v>342</v>
      </c>
      <c r="I153" s="1">
        <v>51</v>
      </c>
      <c r="J153" s="1">
        <v>936</v>
      </c>
      <c r="K153" s="1">
        <v>207</v>
      </c>
      <c r="L153" s="1">
        <v>35</v>
      </c>
      <c r="M153" s="1">
        <v>26</v>
      </c>
      <c r="N153" s="1">
        <v>1</v>
      </c>
      <c r="O153" s="1">
        <v>5</v>
      </c>
      <c r="P153" s="1">
        <v>8</v>
      </c>
      <c r="Q153" s="1">
        <v>12</v>
      </c>
      <c r="R153" s="1">
        <v>3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0</v>
      </c>
      <c r="Z153" s="1">
        <v>54</v>
      </c>
      <c r="AA153" s="1" t="str" cm="1">
        <f t="array" ref="AA153">_xlfn.IFS(AND(Z153&lt;36, Z153&gt;23), "24-35", AND(Z153&lt;51, Z153&gt;35),"36-50", AND(Z153&lt;66, Z153&gt;50), "51-66", Z153&gt;65, "66+", TRUE, "?")</f>
        <v>51-66</v>
      </c>
      <c r="AB153" s="1">
        <v>2755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  <c r="AH153" s="1">
        <v>0</v>
      </c>
      <c r="AI153" s="1">
        <v>1</v>
      </c>
      <c r="AJ153" s="1">
        <v>0</v>
      </c>
      <c r="AK153" s="1">
        <v>0</v>
      </c>
      <c r="AL153" s="1">
        <v>1545</v>
      </c>
      <c r="AM153" s="2">
        <v>42094</v>
      </c>
      <c r="AN153" t="str">
        <f t="shared" si="5"/>
        <v>80398,1571,0.0195402870718177,0,0,92,342,51,936,207,35,26,1,5,8,12,3,0,0,0,0,1,0,0,54,51-66,2755,0,1,0,0,0,0,1,0,0,1545,42094</v>
      </c>
    </row>
    <row r="154" spans="1:40" ht="13" hidden="1" x14ac:dyDescent="0.15">
      <c r="A154">
        <v>2001</v>
      </c>
      <c r="B154" s="1">
        <v>88325</v>
      </c>
      <c r="C154" s="1">
        <v>1570</v>
      </c>
      <c r="D154" s="4">
        <f t="shared" si="4"/>
        <v>1.7775261817152561E-2</v>
      </c>
      <c r="E154" s="1">
        <v>0</v>
      </c>
      <c r="F154" s="1">
        <v>0</v>
      </c>
      <c r="G154" s="1">
        <v>42</v>
      </c>
      <c r="H154" s="1">
        <v>519</v>
      </c>
      <c r="I154" s="1">
        <v>71</v>
      </c>
      <c r="J154" s="1">
        <v>860</v>
      </c>
      <c r="K154" s="1">
        <v>93</v>
      </c>
      <c r="L154" s="1">
        <v>27</v>
      </c>
      <c r="M154" s="1">
        <v>53</v>
      </c>
      <c r="N154" s="1">
        <v>1</v>
      </c>
      <c r="O154" s="1">
        <v>6</v>
      </c>
      <c r="P154" s="1">
        <v>2</v>
      </c>
      <c r="Q154" s="1">
        <v>9</v>
      </c>
      <c r="R154" s="1">
        <v>2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39</v>
      </c>
      <c r="AA154" s="1" t="str" cm="1">
        <f t="array" ref="AA154">_xlfn.IFS(AND(Z154&lt;36, Z154&gt;23), "24-35", AND(Z154&lt;51, Z154&gt;35),"36-50", AND(Z154&lt;66, Z154&gt;50), "51-66", Z154&gt;65, "66+", TRUE, "?")</f>
        <v>36-50</v>
      </c>
      <c r="AB154" s="1">
        <v>2303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1</v>
      </c>
      <c r="AJ154" s="1">
        <v>0</v>
      </c>
      <c r="AK154" s="1">
        <v>0</v>
      </c>
      <c r="AL154" s="1">
        <v>1517</v>
      </c>
      <c r="AM154" s="2">
        <v>42546</v>
      </c>
      <c r="AN154" t="str">
        <f t="shared" si="5"/>
        <v>88325,1570,0.0177752618171526,0,0,42,519,71,860,93,27,53,1,6,2,9,2,0,0,0,0,0,0,0,39,36-50,2303,0,0,0,1,0,0,1,0,0,1517,42546</v>
      </c>
    </row>
    <row r="155" spans="1:40" ht="13" hidden="1" x14ac:dyDescent="0.15">
      <c r="A155">
        <v>172</v>
      </c>
      <c r="B155" s="1">
        <v>74068</v>
      </c>
      <c r="C155" s="1">
        <v>1566</v>
      </c>
      <c r="D155" s="4">
        <f t="shared" si="4"/>
        <v>2.1142733704163742E-2</v>
      </c>
      <c r="E155" s="1">
        <v>0</v>
      </c>
      <c r="F155" s="1">
        <v>0</v>
      </c>
      <c r="G155" s="1">
        <v>14</v>
      </c>
      <c r="H155" s="1">
        <v>783</v>
      </c>
      <c r="I155" s="1">
        <v>30</v>
      </c>
      <c r="J155" s="1">
        <v>537</v>
      </c>
      <c r="K155" s="1">
        <v>140</v>
      </c>
      <c r="L155" s="1">
        <v>76</v>
      </c>
      <c r="M155" s="1">
        <v>15</v>
      </c>
      <c r="N155" s="1">
        <v>1</v>
      </c>
      <c r="O155" s="1">
        <v>4</v>
      </c>
      <c r="P155" s="1">
        <v>10</v>
      </c>
      <c r="Q155" s="1">
        <v>9</v>
      </c>
      <c r="R155" s="1">
        <v>2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44</v>
      </c>
      <c r="AA155" s="1" t="str" cm="1">
        <f t="array" ref="AA155">_xlfn.IFS(AND(Z155&lt;36, Z155&gt;23), "24-35", AND(Z155&lt;51, Z155&gt;35),"36-50", AND(Z155&lt;66, Z155&gt;50), "51-66", Z155&gt;65, "66+", TRUE, "?")</f>
        <v>36-50</v>
      </c>
      <c r="AB155" s="1">
        <v>2626</v>
      </c>
      <c r="AC155" s="1">
        <v>0</v>
      </c>
      <c r="AD155" s="1">
        <v>1</v>
      </c>
      <c r="AE155" s="1">
        <v>0</v>
      </c>
      <c r="AF155" s="1">
        <v>0</v>
      </c>
      <c r="AG155" s="1">
        <v>0</v>
      </c>
      <c r="AH155" s="1">
        <v>0</v>
      </c>
      <c r="AI155" s="1">
        <v>1</v>
      </c>
      <c r="AJ155" s="1">
        <v>0</v>
      </c>
      <c r="AK155" s="1">
        <v>0</v>
      </c>
      <c r="AL155" s="1">
        <v>1551</v>
      </c>
      <c r="AM155" s="2">
        <v>42223</v>
      </c>
      <c r="AN155" t="str">
        <f t="shared" si="5"/>
        <v>74068,1566,0.0211427337041637,0,0,14,783,30,537,140,76,15,1,4,10,9,2,0,0,0,0,0,0,0,44,36-50,2626,0,1,0,0,0,0,1,0,0,1551,42223</v>
      </c>
    </row>
    <row r="156" spans="1:40" ht="13" hidden="1" x14ac:dyDescent="0.15">
      <c r="A156">
        <v>749</v>
      </c>
      <c r="B156" s="1">
        <v>73926</v>
      </c>
      <c r="C156" s="1">
        <v>1565</v>
      </c>
      <c r="D156" s="4">
        <f t="shared" si="4"/>
        <v>2.1169818467115763E-2</v>
      </c>
      <c r="E156" s="1">
        <v>0</v>
      </c>
      <c r="F156" s="1">
        <v>0</v>
      </c>
      <c r="G156" s="1">
        <v>54</v>
      </c>
      <c r="H156" s="1">
        <v>627</v>
      </c>
      <c r="I156" s="1">
        <v>91</v>
      </c>
      <c r="J156" s="1">
        <v>597</v>
      </c>
      <c r="K156" s="1">
        <v>159</v>
      </c>
      <c r="L156" s="1">
        <v>91</v>
      </c>
      <c r="M156" s="1">
        <v>15</v>
      </c>
      <c r="N156" s="1">
        <v>1</v>
      </c>
      <c r="O156" s="1">
        <v>6</v>
      </c>
      <c r="P156" s="1">
        <v>5</v>
      </c>
      <c r="Q156" s="1">
        <v>12</v>
      </c>
      <c r="R156" s="1">
        <v>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47</v>
      </c>
      <c r="AA156" s="1" t="str" cm="1">
        <f t="array" ref="AA156">_xlfn.IFS(AND(Z156&lt;36, Z156&gt;23), "24-35", AND(Z156&lt;51, Z156&gt;35),"36-50", AND(Z156&lt;66, Z156&gt;50), "51-66", Z156&gt;65, "66+", TRUE, "?")</f>
        <v>36-50</v>
      </c>
      <c r="AB156" s="1">
        <v>2643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1</v>
      </c>
      <c r="AJ156" s="1">
        <v>0</v>
      </c>
      <c r="AK156" s="1">
        <v>0</v>
      </c>
      <c r="AL156" s="1">
        <v>1550</v>
      </c>
      <c r="AM156" s="2">
        <v>42206</v>
      </c>
      <c r="AN156" t="str">
        <f t="shared" si="5"/>
        <v>73926,1565,0.0211698184671158,0,0,54,627,91,597,159,91,15,1,6,5,12,3,0,0,0,0,0,0,0,47,36-50,2643,0,0,0,1,0,0,1,0,0,1550,42206</v>
      </c>
    </row>
    <row r="157" spans="1:40" ht="13" hidden="1" x14ac:dyDescent="0.15">
      <c r="A157">
        <v>213</v>
      </c>
      <c r="B157" s="1">
        <v>81975</v>
      </c>
      <c r="C157" s="1">
        <v>1561</v>
      </c>
      <c r="D157" s="4">
        <f t="shared" si="4"/>
        <v>1.9042390972857579E-2</v>
      </c>
      <c r="E157" s="1">
        <v>0</v>
      </c>
      <c r="F157" s="1">
        <v>1</v>
      </c>
      <c r="G157" s="1">
        <v>2</v>
      </c>
      <c r="H157" s="1">
        <v>983</v>
      </c>
      <c r="I157" s="1">
        <v>76</v>
      </c>
      <c r="J157" s="1">
        <v>184</v>
      </c>
      <c r="K157" s="1">
        <v>180</v>
      </c>
      <c r="L157" s="1">
        <v>138</v>
      </c>
      <c r="M157" s="1">
        <v>27</v>
      </c>
      <c r="N157" s="1">
        <v>1</v>
      </c>
      <c r="O157" s="1">
        <v>6</v>
      </c>
      <c r="P157" s="1">
        <v>3</v>
      </c>
      <c r="Q157" s="1">
        <v>4</v>
      </c>
      <c r="R157" s="1">
        <v>7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0</v>
      </c>
      <c r="Z157" s="1">
        <v>58</v>
      </c>
      <c r="AA157" s="1" t="str" cm="1">
        <f t="array" ref="AA157">_xlfn.IFS(AND(Z157&lt;36, Z157&gt;23), "24-35", AND(Z157&lt;51, Z157&gt;35),"36-50", AND(Z157&lt;66, Z157&gt;50), "51-66", Z157&gt;65, "66+", TRUE, "?")</f>
        <v>51-66</v>
      </c>
      <c r="AB157" s="1">
        <v>2699</v>
      </c>
      <c r="AC157" s="1">
        <v>1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1534</v>
      </c>
      <c r="AM157" s="2">
        <v>42150</v>
      </c>
      <c r="AN157" t="str">
        <f t="shared" si="5"/>
        <v>81975,1561,0.0190423909728576,0,1,2,983,76,184,180,138,27,1,6,3,4,7,0,0,0,0,1,0,0,58,51-66,2699,1,0,0,0,0,1,0,0,0,1534,42150</v>
      </c>
    </row>
    <row r="158" spans="1:40" ht="13" hidden="1" x14ac:dyDescent="0.15">
      <c r="A158">
        <v>594</v>
      </c>
      <c r="B158" s="1">
        <v>69084</v>
      </c>
      <c r="C158" s="1">
        <v>1556</v>
      </c>
      <c r="D158" s="4">
        <f t="shared" si="4"/>
        <v>2.2523304962075157E-2</v>
      </c>
      <c r="E158" s="1">
        <v>1</v>
      </c>
      <c r="F158" s="1">
        <v>0</v>
      </c>
      <c r="G158" s="1">
        <v>43</v>
      </c>
      <c r="H158" s="1">
        <v>1181</v>
      </c>
      <c r="I158" s="1">
        <v>107</v>
      </c>
      <c r="J158" s="1">
        <v>199</v>
      </c>
      <c r="K158" s="1">
        <v>39</v>
      </c>
      <c r="L158" s="1">
        <v>30</v>
      </c>
      <c r="M158" s="1">
        <v>30</v>
      </c>
      <c r="N158" s="1">
        <v>2</v>
      </c>
      <c r="O158" s="1">
        <v>7</v>
      </c>
      <c r="P158" s="1">
        <v>3</v>
      </c>
      <c r="Q158" s="1">
        <v>13</v>
      </c>
      <c r="R158" s="1">
        <v>8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50</v>
      </c>
      <c r="AA158" s="1" t="str" cm="1">
        <f t="array" ref="AA158">_xlfn.IFS(AND(Z158&lt;36, Z158&gt;23), "24-35", AND(Z158&lt;51, Z158&gt;35),"36-50", AND(Z158&lt;66, Z158&gt;50), "51-66", Z158&gt;65, "66+", TRUE, "?")</f>
        <v>36-50</v>
      </c>
      <c r="AB158" s="1">
        <v>2381</v>
      </c>
      <c r="AC158" s="1">
        <v>0</v>
      </c>
      <c r="AD158" s="1">
        <v>1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1</v>
      </c>
      <c r="AL158" s="1">
        <v>1526</v>
      </c>
      <c r="AM158" s="2">
        <v>42468</v>
      </c>
      <c r="AN158" t="str">
        <f t="shared" si="5"/>
        <v>69084,1556,0.0225233049620752,1,0,43,1181,107,199,39,30,30,2,7,3,13,8,0,0,0,0,0,0,0,50,36-50,2381,0,1,0,0,0,0,0,0,1,1526,42468</v>
      </c>
    </row>
    <row r="159" spans="1:40" ht="13" hidden="1" x14ac:dyDescent="0.15">
      <c r="A159">
        <v>1161</v>
      </c>
      <c r="B159" s="1">
        <v>84906</v>
      </c>
      <c r="C159" s="1">
        <v>1555</v>
      </c>
      <c r="D159" s="4">
        <f t="shared" si="4"/>
        <v>1.8314371186959697E-2</v>
      </c>
      <c r="E159" s="1">
        <v>0</v>
      </c>
      <c r="F159" s="1">
        <v>0</v>
      </c>
      <c r="G159" s="1">
        <v>98</v>
      </c>
      <c r="H159" s="1">
        <v>997</v>
      </c>
      <c r="I159" s="1">
        <v>15</v>
      </c>
      <c r="J159" s="1">
        <v>414</v>
      </c>
      <c r="K159" s="1">
        <v>99</v>
      </c>
      <c r="L159" s="1">
        <v>30</v>
      </c>
      <c r="M159" s="1">
        <v>76</v>
      </c>
      <c r="N159" s="1">
        <v>1</v>
      </c>
      <c r="O159" s="1">
        <v>5</v>
      </c>
      <c r="P159" s="1">
        <v>6</v>
      </c>
      <c r="Q159" s="1">
        <v>12</v>
      </c>
      <c r="R159" s="1">
        <v>2</v>
      </c>
      <c r="S159" s="1">
        <v>0</v>
      </c>
      <c r="T159" s="1">
        <v>1</v>
      </c>
      <c r="U159" s="1">
        <v>0</v>
      </c>
      <c r="V159" s="1">
        <v>1</v>
      </c>
      <c r="W159" s="1">
        <v>1</v>
      </c>
      <c r="X159" s="1">
        <v>0</v>
      </c>
      <c r="Y159" s="1">
        <v>0</v>
      </c>
      <c r="Z159" s="1">
        <v>48</v>
      </c>
      <c r="AA159" s="1" t="str" cm="1">
        <f t="array" ref="AA159">_xlfn.IFS(AND(Z159&lt;36, Z159&gt;23), "24-35", AND(Z159&lt;51, Z159&gt;35),"36-50", AND(Z159&lt;66, Z159&gt;50), "51-66", Z159&gt;65, "66+", TRUE, "?")</f>
        <v>36-50</v>
      </c>
      <c r="AB159" s="1">
        <v>2427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1</v>
      </c>
      <c r="AJ159" s="1">
        <v>0</v>
      </c>
      <c r="AK159" s="1">
        <v>0</v>
      </c>
      <c r="AL159" s="1">
        <v>1479</v>
      </c>
      <c r="AM159" s="2">
        <v>42422</v>
      </c>
      <c r="AN159" t="str">
        <f t="shared" si="5"/>
        <v>84906,1555,0.0183143711869597,0,0,98,997,15,414,99,30,76,1,5,6,12,2,0,1,0,1,1,0,0,48,36-50,2427,0,0,0,1,0,0,1,0,0,1479,42422</v>
      </c>
    </row>
    <row r="160" spans="1:40" ht="13" x14ac:dyDescent="0.15">
      <c r="A160">
        <v>543</v>
      </c>
      <c r="B160" s="1">
        <v>85620</v>
      </c>
      <c r="C160" s="1">
        <v>1554</v>
      </c>
      <c r="D160" s="4">
        <f t="shared" si="4"/>
        <v>1.8149964961457602E-2</v>
      </c>
      <c r="E160" s="1">
        <v>0</v>
      </c>
      <c r="F160" s="1">
        <v>0</v>
      </c>
      <c r="G160" s="1">
        <v>68</v>
      </c>
      <c r="H160" s="1">
        <v>416</v>
      </c>
      <c r="I160" s="1">
        <v>46</v>
      </c>
      <c r="J160" s="1">
        <v>925</v>
      </c>
      <c r="K160" s="1">
        <v>60</v>
      </c>
      <c r="L160" s="1">
        <v>107</v>
      </c>
      <c r="M160" s="1">
        <v>46</v>
      </c>
      <c r="N160" s="1">
        <v>1</v>
      </c>
      <c r="O160" s="1">
        <v>3</v>
      </c>
      <c r="P160" s="1">
        <v>6</v>
      </c>
      <c r="Q160" s="1">
        <v>4</v>
      </c>
      <c r="R160" s="1">
        <v>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56</v>
      </c>
      <c r="AA160" s="1" t="str" cm="1">
        <f t="array" ref="AA160">_xlfn.IFS(AND(Z160&lt;36, Z160&gt;23), "24-35", AND(Z160&lt;51, Z160&gt;35),"36-50", AND(Z160&lt;66, Z160&gt;50), "51-66", Z160&gt;65, "66+", TRUE, "?")</f>
        <v>51-66</v>
      </c>
      <c r="AB160" s="1">
        <v>2332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  <c r="AI160" s="1">
        <v>1</v>
      </c>
      <c r="AJ160" s="1">
        <v>0</v>
      </c>
      <c r="AK160" s="1">
        <v>0</v>
      </c>
      <c r="AL160" s="1">
        <v>1508</v>
      </c>
      <c r="AM160" s="2">
        <v>42517</v>
      </c>
      <c r="AN160" t="str">
        <f t="shared" si="5"/>
        <v>85620,1554,0.0181499649614576,0,0,68,416,46,925,60,107,46,1,3,6,4,1,0,0,0,0,0,0,1,56,51-66,2332,0,0,0,0,1,0,1,0,0,1508,42517</v>
      </c>
    </row>
    <row r="161" spans="1:40" ht="13" hidden="1" x14ac:dyDescent="0.15">
      <c r="A161">
        <v>368</v>
      </c>
      <c r="B161" s="1">
        <v>68682</v>
      </c>
      <c r="C161" s="1">
        <v>1553</v>
      </c>
      <c r="D161" s="4">
        <f t="shared" si="4"/>
        <v>2.2611455694359513E-2</v>
      </c>
      <c r="E161" s="1">
        <v>0</v>
      </c>
      <c r="F161" s="1">
        <v>0</v>
      </c>
      <c r="G161" s="1">
        <v>56</v>
      </c>
      <c r="H161" s="1">
        <v>919</v>
      </c>
      <c r="I161" s="1">
        <v>0</v>
      </c>
      <c r="J161" s="1">
        <v>505</v>
      </c>
      <c r="K161" s="1">
        <v>99</v>
      </c>
      <c r="L161" s="1">
        <v>30</v>
      </c>
      <c r="M161" s="1">
        <v>45</v>
      </c>
      <c r="N161" s="1">
        <v>1</v>
      </c>
      <c r="O161" s="1">
        <v>4</v>
      </c>
      <c r="P161" s="1">
        <v>9</v>
      </c>
      <c r="Q161" s="1">
        <v>10</v>
      </c>
      <c r="R161" s="1">
        <v>2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29</v>
      </c>
      <c r="AA161" s="1" t="str" cm="1">
        <f t="array" ref="AA161">_xlfn.IFS(AND(Z161&lt;36, Z161&gt;23), "24-35", AND(Z161&lt;51, Z161&gt;35),"36-50", AND(Z161&lt;66, Z161&gt;50), "51-66", Z161&gt;65, "66+", TRUE, "?")</f>
        <v>24-35</v>
      </c>
      <c r="AB161" s="1">
        <v>2425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1</v>
      </c>
      <c r="AL161" s="1">
        <v>1508</v>
      </c>
      <c r="AM161" s="2">
        <v>42424</v>
      </c>
      <c r="AN161" t="str">
        <f t="shared" si="5"/>
        <v>68682,1553,0.0226114556943595,0,0,56,919,0,505,99,30,45,1,4,9,10,2,0,0,0,0,0,0,0,29,24-35,2425,0,0,0,1,0,0,0,0,1,1508,42424</v>
      </c>
    </row>
    <row r="162" spans="1:40" ht="13" x14ac:dyDescent="0.15">
      <c r="A162">
        <v>553</v>
      </c>
      <c r="B162" s="1">
        <v>83003</v>
      </c>
      <c r="C162" s="1">
        <v>1552</v>
      </c>
      <c r="D162" s="4">
        <f t="shared" si="4"/>
        <v>1.8698119345083912E-2</v>
      </c>
      <c r="E162" s="1">
        <v>0</v>
      </c>
      <c r="F162" s="1">
        <v>0</v>
      </c>
      <c r="G162" s="1">
        <v>18</v>
      </c>
      <c r="H162" s="1">
        <v>856</v>
      </c>
      <c r="I162" s="1">
        <v>61</v>
      </c>
      <c r="J162" s="1">
        <v>570</v>
      </c>
      <c r="K162" s="1">
        <v>40</v>
      </c>
      <c r="L162" s="1">
        <v>25</v>
      </c>
      <c r="M162" s="1">
        <v>122</v>
      </c>
      <c r="N162" s="1">
        <v>1</v>
      </c>
      <c r="O162" s="1">
        <v>7</v>
      </c>
      <c r="P162" s="1">
        <v>6</v>
      </c>
      <c r="Q162" s="1">
        <v>8</v>
      </c>
      <c r="R162" s="1">
        <v>3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0</v>
      </c>
      <c r="Y162" s="1">
        <v>1</v>
      </c>
      <c r="Z162" s="1">
        <v>55</v>
      </c>
      <c r="AA162" s="1" t="str" cm="1">
        <f t="array" ref="AA162">_xlfn.IFS(AND(Z162&lt;36, Z162&gt;23), "24-35", AND(Z162&lt;51, Z162&gt;35),"36-50", AND(Z162&lt;66, Z162&gt;50), "51-66", Z162&gt;65, "66+", TRUE, "?")</f>
        <v>51-66</v>
      </c>
      <c r="AB162" s="1">
        <v>2642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1</v>
      </c>
      <c r="AJ162" s="1">
        <v>0</v>
      </c>
      <c r="AK162" s="1">
        <v>0</v>
      </c>
      <c r="AL162" s="1">
        <v>1430</v>
      </c>
      <c r="AM162" s="2">
        <v>42207</v>
      </c>
      <c r="AN162" t="str">
        <f t="shared" si="5"/>
        <v>83003,1552,0.0186981193450839,0,0,18,856,61,570,40,25,122,1,7,6,8,3,0,0,0,0,1,0,1,55,51-66,2642,0,0,0,1,0,0,1,0,0,1430,42207</v>
      </c>
    </row>
    <row r="163" spans="1:40" ht="13" hidden="1" x14ac:dyDescent="0.15">
      <c r="A163">
        <v>741</v>
      </c>
      <c r="B163" s="1">
        <v>62847</v>
      </c>
      <c r="C163" s="1">
        <v>1551</v>
      </c>
      <c r="D163" s="4">
        <f t="shared" si="4"/>
        <v>2.4678982290324121E-2</v>
      </c>
      <c r="E163" s="1">
        <v>0</v>
      </c>
      <c r="F163" s="1">
        <v>0</v>
      </c>
      <c r="G163" s="1">
        <v>45</v>
      </c>
      <c r="H163" s="1">
        <v>521</v>
      </c>
      <c r="I163" s="1">
        <v>168</v>
      </c>
      <c r="J163" s="1">
        <v>706</v>
      </c>
      <c r="K163" s="1">
        <v>80</v>
      </c>
      <c r="L163" s="1">
        <v>76</v>
      </c>
      <c r="M163" s="1">
        <v>61</v>
      </c>
      <c r="N163" s="1">
        <v>1</v>
      </c>
      <c r="O163" s="1">
        <v>3</v>
      </c>
      <c r="P163" s="1">
        <v>6</v>
      </c>
      <c r="Q163" s="1">
        <v>4</v>
      </c>
      <c r="R163" s="1">
        <v>2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75</v>
      </c>
      <c r="AA163" s="1" t="str" cm="1">
        <f t="array" ref="AA163">_xlfn.IFS(AND(Z163&lt;36, Z163&gt;23), "24-35", AND(Z163&lt;51, Z163&gt;35),"36-50", AND(Z163&lt;66, Z163&gt;50), "51-66", Z163&gt;65, "66+", TRUE, "?")</f>
        <v>66+</v>
      </c>
      <c r="AB163" s="1">
        <v>2689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1</v>
      </c>
      <c r="AK163" s="1">
        <v>0</v>
      </c>
      <c r="AL163" s="1">
        <v>1490</v>
      </c>
      <c r="AM163" s="2">
        <v>42160</v>
      </c>
      <c r="AN163" t="str">
        <f t="shared" si="5"/>
        <v>62847,1551,0.0246789822903241,0,0,45,521,168,706,80,76,61,1,3,6,4,2,0,0,0,0,0,0,0,75,66+,2689,0,0,0,1,0,0,0,1,0,1490,42160</v>
      </c>
    </row>
    <row r="164" spans="1:40" ht="13" hidden="1" x14ac:dyDescent="0.15">
      <c r="A164">
        <v>1399</v>
      </c>
      <c r="B164" s="1">
        <v>73538</v>
      </c>
      <c r="C164" s="1">
        <v>1551</v>
      </c>
      <c r="D164" s="4">
        <f t="shared" si="4"/>
        <v>2.1091136555250346E-2</v>
      </c>
      <c r="E164" s="1">
        <v>0</v>
      </c>
      <c r="F164" s="1">
        <v>1</v>
      </c>
      <c r="G164" s="1">
        <v>92</v>
      </c>
      <c r="H164" s="1">
        <v>811</v>
      </c>
      <c r="I164" s="1">
        <v>76</v>
      </c>
      <c r="J164" s="1">
        <v>428</v>
      </c>
      <c r="K164" s="1">
        <v>99</v>
      </c>
      <c r="L164" s="1">
        <v>137</v>
      </c>
      <c r="M164" s="1">
        <v>107</v>
      </c>
      <c r="N164" s="1">
        <v>3</v>
      </c>
      <c r="O164" s="1">
        <v>10</v>
      </c>
      <c r="P164" s="1">
        <v>4</v>
      </c>
      <c r="Q164" s="1">
        <v>9</v>
      </c>
      <c r="R164" s="1">
        <v>7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55</v>
      </c>
      <c r="AA164" s="1" t="str" cm="1">
        <f t="array" ref="AA164">_xlfn.IFS(AND(Z164&lt;36, Z164&gt;23), "24-35", AND(Z164&lt;51, Z164&gt;35),"36-50", AND(Z164&lt;66, Z164&gt;50), "51-66", Z164&gt;65, "66+", TRUE, "?")</f>
        <v>51-66</v>
      </c>
      <c r="AB164" s="1">
        <v>2740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  <c r="AH164" s="1">
        <v>0</v>
      </c>
      <c r="AI164" s="1">
        <v>1</v>
      </c>
      <c r="AJ164" s="1">
        <v>0</v>
      </c>
      <c r="AK164" s="1">
        <v>0</v>
      </c>
      <c r="AL164" s="1">
        <v>1444</v>
      </c>
      <c r="AM164" s="2">
        <v>42109</v>
      </c>
      <c r="AN164" t="str">
        <f t="shared" si="5"/>
        <v>73538,1551,0.0210911365552503,0,1,92,811,76,428,99,137,107,3,10,4,9,7,0,0,0,0,0,0,0,55,51-66,2740,0,1,0,0,0,0,1,0,0,1444,42109</v>
      </c>
    </row>
    <row r="165" spans="1:40" ht="13" hidden="1" x14ac:dyDescent="0.15">
      <c r="A165">
        <v>1532</v>
      </c>
      <c r="B165" s="1">
        <v>86610</v>
      </c>
      <c r="C165" s="1">
        <v>1550</v>
      </c>
      <c r="D165" s="4">
        <f t="shared" si="4"/>
        <v>1.7896316822537815E-2</v>
      </c>
      <c r="E165" s="1">
        <v>0</v>
      </c>
      <c r="F165" s="1">
        <v>0</v>
      </c>
      <c r="G165" s="1">
        <v>66</v>
      </c>
      <c r="H165" s="1">
        <v>446</v>
      </c>
      <c r="I165" s="1">
        <v>107</v>
      </c>
      <c r="J165" s="1">
        <v>768</v>
      </c>
      <c r="K165" s="1">
        <v>33</v>
      </c>
      <c r="L165" s="1">
        <v>196</v>
      </c>
      <c r="M165" s="1">
        <v>53</v>
      </c>
      <c r="N165" s="1">
        <v>1</v>
      </c>
      <c r="O165" s="1">
        <v>5</v>
      </c>
      <c r="P165" s="1">
        <v>6</v>
      </c>
      <c r="Q165" s="1">
        <v>6</v>
      </c>
      <c r="R165" s="1">
        <v>2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69</v>
      </c>
      <c r="AA165" s="1" t="str" cm="1">
        <f t="array" ref="AA165">_xlfn.IFS(AND(Z165&lt;36, Z165&gt;23), "24-35", AND(Z165&lt;51, Z165&gt;35),"36-50", AND(Z165&lt;66, Z165&gt;50), "51-66", Z165&gt;65, "66+", TRUE, "?")</f>
        <v>66+</v>
      </c>
      <c r="AB165" s="1">
        <v>2456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1</v>
      </c>
      <c r="AJ165" s="1">
        <v>0</v>
      </c>
      <c r="AK165" s="1">
        <v>0</v>
      </c>
      <c r="AL165" s="1">
        <v>1497</v>
      </c>
      <c r="AM165" s="2">
        <v>42393</v>
      </c>
      <c r="AN165" t="str">
        <f t="shared" si="5"/>
        <v>86610,1550,0.0178963168225378,0,0,66,446,107,768,33,196,53,1,5,6,6,2,0,0,0,0,0,0,0,69,66+,2456,0,0,0,1,0,0,1,0,0,1497,42393</v>
      </c>
    </row>
    <row r="166" spans="1:40" ht="13" hidden="1" x14ac:dyDescent="0.15">
      <c r="A166">
        <v>1715</v>
      </c>
      <c r="B166" s="1">
        <v>70300</v>
      </c>
      <c r="C166" s="1">
        <v>1550</v>
      </c>
      <c r="D166" s="4">
        <f t="shared" si="4"/>
        <v>2.2048364153627313E-2</v>
      </c>
      <c r="E166" s="1">
        <v>1</v>
      </c>
      <c r="F166" s="1">
        <v>0</v>
      </c>
      <c r="G166" s="1">
        <v>89</v>
      </c>
      <c r="H166" s="1">
        <v>1045</v>
      </c>
      <c r="I166" s="1">
        <v>61</v>
      </c>
      <c r="J166" s="1">
        <v>338</v>
      </c>
      <c r="K166" s="1">
        <v>60</v>
      </c>
      <c r="L166" s="1">
        <v>46</v>
      </c>
      <c r="M166" s="1">
        <v>46</v>
      </c>
      <c r="N166" s="1">
        <v>3</v>
      </c>
      <c r="O166" s="1">
        <v>5</v>
      </c>
      <c r="P166" s="1">
        <v>5</v>
      </c>
      <c r="Q166" s="1">
        <v>13</v>
      </c>
      <c r="R166" s="1">
        <v>8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45</v>
      </c>
      <c r="AA166" s="1" t="str" cm="1">
        <f t="array" ref="AA166">_xlfn.IFS(AND(Z166&lt;36, Z166&gt;23), "24-35", AND(Z166&lt;51, Z166&gt;35),"36-50", AND(Z166&lt;66, Z166&gt;50), "51-66", Z166&gt;65, "66+", TRUE, "?")</f>
        <v>36-50</v>
      </c>
      <c r="AB166" s="1">
        <v>2508</v>
      </c>
      <c r="AC166" s="1">
        <v>1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1</v>
      </c>
      <c r="AJ166" s="1">
        <v>0</v>
      </c>
      <c r="AK166" s="1">
        <v>0</v>
      </c>
      <c r="AL166" s="1">
        <v>1504</v>
      </c>
      <c r="AM166" s="2">
        <v>42341</v>
      </c>
      <c r="AN166" t="str">
        <f t="shared" si="5"/>
        <v>70300,1550,0.0220483641536273,1,0,89,1045,61,338,60,46,46,3,5,5,13,8,0,0,0,0,0,0,0,45,36-50,2508,1,0,0,0,0,0,1,0,0,1504,42341</v>
      </c>
    </row>
    <row r="167" spans="1:40" ht="13" hidden="1" x14ac:dyDescent="0.15">
      <c r="A167">
        <v>180</v>
      </c>
      <c r="B167" s="1">
        <v>80067</v>
      </c>
      <c r="C167" s="1">
        <v>1549</v>
      </c>
      <c r="D167" s="4">
        <f t="shared" si="4"/>
        <v>1.9346297475863965E-2</v>
      </c>
      <c r="E167" s="1">
        <v>0</v>
      </c>
      <c r="F167" s="1">
        <v>0</v>
      </c>
      <c r="G167" s="1">
        <v>82</v>
      </c>
      <c r="H167" s="1">
        <v>519</v>
      </c>
      <c r="I167" s="1">
        <v>17</v>
      </c>
      <c r="J167" s="1">
        <v>813</v>
      </c>
      <c r="K167" s="1">
        <v>27</v>
      </c>
      <c r="L167" s="1">
        <v>173</v>
      </c>
      <c r="M167" s="1">
        <v>51</v>
      </c>
      <c r="N167" s="1">
        <v>1</v>
      </c>
      <c r="O167" s="1">
        <v>4</v>
      </c>
      <c r="P167" s="1">
        <v>6</v>
      </c>
      <c r="Q167" s="1">
        <v>6</v>
      </c>
      <c r="R167" s="1">
        <v>2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66</v>
      </c>
      <c r="AA167" s="1" t="str" cm="1">
        <f t="array" ref="AA167">_xlfn.IFS(AND(Z167&lt;36, Z167&gt;23), "24-35", AND(Z167&lt;51, Z167&gt;35),"36-50", AND(Z167&lt;66, Z167&gt;50), "51-66", Z167&gt;65, "66+", TRUE, "?")</f>
        <v>66+</v>
      </c>
      <c r="AB167" s="1">
        <v>2442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1</v>
      </c>
      <c r="AJ167" s="1">
        <v>0</v>
      </c>
      <c r="AK167" s="1">
        <v>0</v>
      </c>
      <c r="AL167" s="1">
        <v>1498</v>
      </c>
      <c r="AM167" s="2">
        <v>42407</v>
      </c>
      <c r="AN167" t="str">
        <f t="shared" si="5"/>
        <v>80067,1549,0.019346297475864,0,0,82,519,17,813,27,173,51,1,4,6,6,2,0,0,0,0,1,0,0,66,66+,2442,0,1,0,0,0,0,1,0,0,1498,42407</v>
      </c>
    </row>
    <row r="168" spans="1:40" ht="13" hidden="1" x14ac:dyDescent="0.15">
      <c r="A168">
        <v>917</v>
      </c>
      <c r="B168" s="1">
        <v>80573</v>
      </c>
      <c r="C168" s="1">
        <v>1549</v>
      </c>
      <c r="D168" s="4">
        <f t="shared" si="4"/>
        <v>1.9224802353145595E-2</v>
      </c>
      <c r="E168" s="1">
        <v>0</v>
      </c>
      <c r="F168" s="1">
        <v>0</v>
      </c>
      <c r="G168" s="1">
        <v>85</v>
      </c>
      <c r="H168" s="1">
        <v>829</v>
      </c>
      <c r="I168" s="1">
        <v>138</v>
      </c>
      <c r="J168" s="1">
        <v>430</v>
      </c>
      <c r="K168" s="1">
        <v>60</v>
      </c>
      <c r="L168" s="1">
        <v>92</v>
      </c>
      <c r="M168" s="1">
        <v>15</v>
      </c>
      <c r="N168" s="1">
        <v>1</v>
      </c>
      <c r="O168" s="1">
        <v>4</v>
      </c>
      <c r="P168" s="1">
        <v>6</v>
      </c>
      <c r="Q168" s="1">
        <v>13</v>
      </c>
      <c r="R168" s="1">
        <v>2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49</v>
      </c>
      <c r="AA168" s="1" t="str" cm="1">
        <f t="array" ref="AA168">_xlfn.IFS(AND(Z168&lt;36, Z168&gt;23), "24-35", AND(Z168&lt;51, Z168&gt;35),"36-50", AND(Z168&lt;66, Z168&gt;50), "51-66", Z168&gt;65, "66+", TRUE, "?")</f>
        <v>36-50</v>
      </c>
      <c r="AB168" s="1">
        <v>2782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1534</v>
      </c>
      <c r="AM168" s="2">
        <v>42067</v>
      </c>
      <c r="AN168" t="str">
        <f t="shared" si="5"/>
        <v>80573,1549,0.0192248023531456,0,0,85,829,138,430,60,92,15,1,4,6,13,2,0,0,0,0,0,0,0,49,36-50,2782,0,0,0,1,0,0,0,1,0,1534,42067</v>
      </c>
    </row>
    <row r="169" spans="1:40" ht="13" x14ac:dyDescent="0.15">
      <c r="A169">
        <v>557</v>
      </c>
      <c r="B169" s="1">
        <v>60896</v>
      </c>
      <c r="C169" s="1">
        <v>1548</v>
      </c>
      <c r="D169" s="4">
        <f t="shared" si="4"/>
        <v>2.5420388859695216E-2</v>
      </c>
      <c r="E169" s="1">
        <v>0</v>
      </c>
      <c r="F169" s="1">
        <v>1</v>
      </c>
      <c r="G169" s="1">
        <v>90</v>
      </c>
      <c r="H169" s="1">
        <v>1013</v>
      </c>
      <c r="I169" s="1">
        <v>30</v>
      </c>
      <c r="J169" s="1">
        <v>399</v>
      </c>
      <c r="K169" s="1">
        <v>60</v>
      </c>
      <c r="L169" s="1">
        <v>46</v>
      </c>
      <c r="M169" s="1">
        <v>153</v>
      </c>
      <c r="N169" s="1">
        <v>3</v>
      </c>
      <c r="O169" s="1">
        <v>9</v>
      </c>
      <c r="P169" s="1">
        <v>10</v>
      </c>
      <c r="Q169" s="1">
        <v>4</v>
      </c>
      <c r="R169" s="1">
        <v>6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  <c r="Z169" s="1">
        <v>56</v>
      </c>
      <c r="AA169" s="1" t="str" cm="1">
        <f t="array" ref="AA169">_xlfn.IFS(AND(Z169&lt;36, Z169&gt;23), "24-35", AND(Z169&lt;51, Z169&gt;35),"36-50", AND(Z169&lt;66, Z169&gt;50), "51-66", Z169&gt;65, "66+", TRUE, "?")</f>
        <v>51-66</v>
      </c>
      <c r="AB169" s="1">
        <v>2785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</v>
      </c>
      <c r="AL169" s="1">
        <v>1395</v>
      </c>
      <c r="AM169" s="2">
        <v>42064</v>
      </c>
      <c r="AN169" t="str">
        <f t="shared" si="5"/>
        <v>60896,1548,0.0254203888596952,0,1,90,1013,30,399,60,46,153,3,9,10,4,6,0,0,0,0,0,0,1,56,51-66,2785,0,1,0,0,0,0,0,0,1,1395,42064</v>
      </c>
    </row>
    <row r="170" spans="1:40" ht="13" x14ac:dyDescent="0.15">
      <c r="A170">
        <v>558</v>
      </c>
      <c r="B170" s="1">
        <v>64260</v>
      </c>
      <c r="C170" s="1">
        <v>1544</v>
      </c>
      <c r="D170" s="4">
        <f t="shared" si="4"/>
        <v>2.4027388733271086E-2</v>
      </c>
      <c r="E170" s="1">
        <v>0</v>
      </c>
      <c r="F170" s="1">
        <v>0</v>
      </c>
      <c r="G170" s="1">
        <v>1</v>
      </c>
      <c r="H170" s="1">
        <v>539</v>
      </c>
      <c r="I170" s="1">
        <v>169</v>
      </c>
      <c r="J170" s="1">
        <v>816</v>
      </c>
      <c r="K170" s="1">
        <v>20</v>
      </c>
      <c r="L170" s="1">
        <v>0</v>
      </c>
      <c r="M170" s="1">
        <v>30</v>
      </c>
      <c r="N170" s="1">
        <v>1</v>
      </c>
      <c r="O170" s="1">
        <v>4</v>
      </c>
      <c r="P170" s="1">
        <v>5</v>
      </c>
      <c r="Q170" s="1">
        <v>4</v>
      </c>
      <c r="R170" s="1">
        <v>3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  <c r="Z170" s="1">
        <v>59</v>
      </c>
      <c r="AA170" s="1" t="str" cm="1">
        <f t="array" ref="AA170">_xlfn.IFS(AND(Z170&lt;36, Z170&gt;23), "24-35", AND(Z170&lt;51, Z170&gt;35),"36-50", AND(Z170&lt;66, Z170&gt;50), "51-66", Z170&gt;65, "66+", TRUE, "?")</f>
        <v>51-66</v>
      </c>
      <c r="AB170" s="1">
        <v>2693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1</v>
      </c>
      <c r="AJ170" s="1">
        <v>0</v>
      </c>
      <c r="AK170" s="1">
        <v>0</v>
      </c>
      <c r="AL170" s="1">
        <v>1514</v>
      </c>
      <c r="AM170" s="2">
        <v>42156</v>
      </c>
      <c r="AN170" t="str">
        <f t="shared" si="5"/>
        <v>64260,1544,0.0240273887332711,0,0,1,539,169,816,20,0,30,1,4,5,4,3,0,0,0,0,0,0,1,59,51-66,2693,0,0,0,1,0,0,1,0,0,1514,42156</v>
      </c>
    </row>
    <row r="171" spans="1:40" ht="13" hidden="1" x14ac:dyDescent="0.15">
      <c r="A171">
        <v>774</v>
      </c>
      <c r="B171" s="1">
        <v>78353</v>
      </c>
      <c r="C171" s="1">
        <v>1542</v>
      </c>
      <c r="D171" s="4">
        <f t="shared" si="4"/>
        <v>1.9680165405281228E-2</v>
      </c>
      <c r="E171" s="1">
        <v>0</v>
      </c>
      <c r="F171" s="1">
        <v>1</v>
      </c>
      <c r="G171" s="1">
        <v>51</v>
      </c>
      <c r="H171" s="1">
        <v>752</v>
      </c>
      <c r="I171" s="1">
        <v>122</v>
      </c>
      <c r="J171" s="1">
        <v>476</v>
      </c>
      <c r="K171" s="1">
        <v>39</v>
      </c>
      <c r="L171" s="1">
        <v>153</v>
      </c>
      <c r="M171" s="1">
        <v>34</v>
      </c>
      <c r="N171" s="1">
        <v>1</v>
      </c>
      <c r="O171" s="1">
        <v>10</v>
      </c>
      <c r="P171" s="1">
        <v>2</v>
      </c>
      <c r="Q171" s="1">
        <v>11</v>
      </c>
      <c r="R171" s="1">
        <v>8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61</v>
      </c>
      <c r="AA171" s="1" t="str" cm="1">
        <f t="array" ref="AA171">_xlfn.IFS(AND(Z171&lt;36, Z171&gt;23), "24-35", AND(Z171&lt;51, Z171&gt;35),"36-50", AND(Z171&lt;66, Z171&gt;50), "51-66", Z171&gt;65, "66+", TRUE, "?")</f>
        <v>51-66</v>
      </c>
      <c r="AB171" s="1">
        <v>2598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1508</v>
      </c>
      <c r="AM171" s="2">
        <v>42251</v>
      </c>
      <c r="AN171" t="str">
        <f t="shared" si="5"/>
        <v>78353,1542,0.0196801654052812,0,1,51,752,122,476,39,153,34,1,10,2,11,8,0,0,0,0,0,0,0,61,51-66,2598,1,0,0,0,0,1,0,0,0,1508,42251</v>
      </c>
    </row>
    <row r="172" spans="1:40" ht="13" hidden="1" x14ac:dyDescent="0.15">
      <c r="A172">
        <v>1665</v>
      </c>
      <c r="B172" s="1">
        <v>80739</v>
      </c>
      <c r="C172" s="1">
        <v>1541</v>
      </c>
      <c r="D172" s="4">
        <f t="shared" si="4"/>
        <v>1.9086191307794251E-2</v>
      </c>
      <c r="E172" s="1">
        <v>0</v>
      </c>
      <c r="F172" s="1">
        <v>0</v>
      </c>
      <c r="G172" s="1">
        <v>92</v>
      </c>
      <c r="H172" s="1">
        <v>674</v>
      </c>
      <c r="I172" s="1">
        <v>92</v>
      </c>
      <c r="J172" s="1">
        <v>736</v>
      </c>
      <c r="K172" s="1">
        <v>39</v>
      </c>
      <c r="L172" s="1">
        <v>0</v>
      </c>
      <c r="M172" s="1">
        <v>92</v>
      </c>
      <c r="N172" s="1">
        <v>1</v>
      </c>
      <c r="O172" s="1">
        <v>3</v>
      </c>
      <c r="P172" s="1">
        <v>11</v>
      </c>
      <c r="Q172" s="1">
        <v>9</v>
      </c>
      <c r="R172" s="1">
        <v>1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62</v>
      </c>
      <c r="AA172" s="1" t="str" cm="1">
        <f t="array" ref="AA172">_xlfn.IFS(AND(Z172&lt;36, Z172&gt;23), "24-35", AND(Z172&lt;51, Z172&gt;35),"36-50", AND(Z172&lt;66, Z172&gt;50), "51-66", Z172&gt;65, "66+", TRUE, "?")</f>
        <v>51-66</v>
      </c>
      <c r="AB172" s="1">
        <v>2561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0</v>
      </c>
      <c r="AL172" s="1">
        <v>1449</v>
      </c>
      <c r="AM172" s="2">
        <v>42288</v>
      </c>
      <c r="AN172" t="str">
        <f t="shared" si="5"/>
        <v>80739,1541,0.0190861913077943,0,0,92,674,92,736,39,0,92,1,3,11,9,1,0,0,0,0,0,0,0,62,51-66,2561,0,1,0,0,0,0,0,1,0,1449,42288</v>
      </c>
    </row>
    <row r="173" spans="1:40" ht="13" hidden="1" x14ac:dyDescent="0.15">
      <c r="A173">
        <v>1979</v>
      </c>
      <c r="B173" s="1">
        <v>84117</v>
      </c>
      <c r="C173" s="1">
        <v>1540</v>
      </c>
      <c r="D173" s="4">
        <f t="shared" si="4"/>
        <v>1.830783313717798E-2</v>
      </c>
      <c r="E173" s="1">
        <v>0</v>
      </c>
      <c r="F173" s="1">
        <v>0</v>
      </c>
      <c r="G173" s="1">
        <v>60</v>
      </c>
      <c r="H173" s="1">
        <v>611</v>
      </c>
      <c r="I173" s="1">
        <v>76</v>
      </c>
      <c r="J173" s="1">
        <v>749</v>
      </c>
      <c r="K173" s="1">
        <v>59</v>
      </c>
      <c r="L173" s="1">
        <v>45</v>
      </c>
      <c r="M173" s="1">
        <v>26</v>
      </c>
      <c r="N173" s="1">
        <v>1</v>
      </c>
      <c r="O173" s="1">
        <v>7</v>
      </c>
      <c r="P173" s="1">
        <v>10</v>
      </c>
      <c r="Q173" s="1">
        <v>6</v>
      </c>
      <c r="R173" s="1">
        <v>2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0</v>
      </c>
      <c r="Y173" s="1">
        <v>0</v>
      </c>
      <c r="Z173" s="1">
        <v>64</v>
      </c>
      <c r="AA173" s="1" t="str" cm="1">
        <f t="array" ref="AA173">_xlfn.IFS(AND(Z173&lt;36, Z173&gt;23), "24-35", AND(Z173&lt;51, Z173&gt;35),"36-50", AND(Z173&lt;66, Z173&gt;50), "51-66", Z173&gt;65, "66+", TRUE, "?")</f>
        <v>51-66</v>
      </c>
      <c r="AB173" s="1">
        <v>2208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1</v>
      </c>
      <c r="AL173" s="1">
        <v>1514</v>
      </c>
      <c r="AM173" s="2">
        <v>42641</v>
      </c>
      <c r="AN173" t="str">
        <f t="shared" si="5"/>
        <v>84117,1540,0.018307833137178,0,0,60,611,76,749,59,45,26,1,7,10,6,2,0,0,0,0,1,0,0,64,51-66,2208,0,1,0,0,0,0,0,0,1,1514,42641</v>
      </c>
    </row>
    <row r="174" spans="1:40" ht="13" x14ac:dyDescent="0.15">
      <c r="A174">
        <v>562</v>
      </c>
      <c r="B174" s="1">
        <v>64140</v>
      </c>
      <c r="C174" s="1">
        <v>1535</v>
      </c>
      <c r="D174" s="4">
        <f t="shared" si="4"/>
        <v>2.3932023698160273E-2</v>
      </c>
      <c r="E174" s="1">
        <v>0</v>
      </c>
      <c r="F174" s="1">
        <v>2</v>
      </c>
      <c r="G174" s="1">
        <v>71</v>
      </c>
      <c r="H174" s="1">
        <v>1459</v>
      </c>
      <c r="I174" s="1">
        <v>0</v>
      </c>
      <c r="J174" s="1">
        <v>61</v>
      </c>
      <c r="K174" s="1">
        <v>0</v>
      </c>
      <c r="L174" s="1">
        <v>15</v>
      </c>
      <c r="M174" s="1">
        <v>215</v>
      </c>
      <c r="N174" s="1">
        <v>5</v>
      </c>
      <c r="O174" s="1">
        <v>2</v>
      </c>
      <c r="P174" s="1">
        <v>5</v>
      </c>
      <c r="Q174" s="1">
        <v>6</v>
      </c>
      <c r="R174" s="1">
        <v>5</v>
      </c>
      <c r="S174" s="1">
        <v>0</v>
      </c>
      <c r="T174" s="1">
        <v>1</v>
      </c>
      <c r="U174" s="1">
        <v>1</v>
      </c>
      <c r="V174" s="1">
        <v>0</v>
      </c>
      <c r="W174" s="1">
        <v>1</v>
      </c>
      <c r="X174" s="1">
        <v>0</v>
      </c>
      <c r="Y174" s="1">
        <v>1</v>
      </c>
      <c r="Z174" s="1">
        <v>56</v>
      </c>
      <c r="AA174" s="1" t="str" cm="1">
        <f t="array" ref="AA174">_xlfn.IFS(AND(Z174&lt;36, Z174&gt;23), "24-35", AND(Z174&lt;51, Z174&gt;35),"36-50", AND(Z174&lt;66, Z174&gt;50), "51-66", Z174&gt;65, "66+", TRUE, "?")</f>
        <v>51-66</v>
      </c>
      <c r="AB174" s="1">
        <v>2438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1</v>
      </c>
      <c r="AL174" s="1">
        <v>1320</v>
      </c>
      <c r="AM174" s="2">
        <v>42411</v>
      </c>
      <c r="AN174" t="str">
        <f t="shared" si="5"/>
        <v>64140,1535,0.0239320236981603,0,2,71,1459,0,61,0,15,215,5,2,5,6,5,0,1,1,0,1,0,1,56,51-66,2438,1,0,0,0,0,0,0,0,1,1320,42411</v>
      </c>
    </row>
    <row r="175" spans="1:40" ht="13" hidden="1" x14ac:dyDescent="0.15">
      <c r="A175">
        <v>529</v>
      </c>
      <c r="B175" s="1">
        <v>81741</v>
      </c>
      <c r="C175" s="1">
        <v>1534</v>
      </c>
      <c r="D175" s="4">
        <f t="shared" si="4"/>
        <v>1.8766592040713962E-2</v>
      </c>
      <c r="E175" s="1">
        <v>0</v>
      </c>
      <c r="F175" s="1">
        <v>0</v>
      </c>
      <c r="G175" s="1">
        <v>75</v>
      </c>
      <c r="H175" s="1">
        <v>249</v>
      </c>
      <c r="I175" s="1">
        <v>153</v>
      </c>
      <c r="J175" s="1">
        <v>940</v>
      </c>
      <c r="K175" s="1">
        <v>58</v>
      </c>
      <c r="L175" s="1">
        <v>134</v>
      </c>
      <c r="M175" s="1">
        <v>38</v>
      </c>
      <c r="N175" s="1">
        <v>0</v>
      </c>
      <c r="O175" s="1">
        <v>6</v>
      </c>
      <c r="P175" s="1">
        <v>6</v>
      </c>
      <c r="Q175" s="1">
        <v>7</v>
      </c>
      <c r="R175" s="1">
        <v>2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40</v>
      </c>
      <c r="AA175" s="1" t="str" cm="1">
        <f t="array" ref="AA175">_xlfn.IFS(AND(Z175&lt;36, Z175&gt;23), "24-35", AND(Z175&lt;51, Z175&gt;35),"36-50", AND(Z175&lt;66, Z175&gt;50), "51-66", Z175&gt;65, "66+", TRUE, "?")</f>
        <v>36-50</v>
      </c>
      <c r="AB175" s="1">
        <v>2537</v>
      </c>
      <c r="AC175" s="1">
        <v>0</v>
      </c>
      <c r="AD175" s="1">
        <v>0</v>
      </c>
      <c r="AE175" s="1">
        <v>1</v>
      </c>
      <c r="AF175" s="1">
        <v>0</v>
      </c>
      <c r="AG175" s="1">
        <v>0</v>
      </c>
      <c r="AH175" s="1">
        <v>0</v>
      </c>
      <c r="AI175" s="1">
        <v>1</v>
      </c>
      <c r="AJ175" s="1">
        <v>0</v>
      </c>
      <c r="AK175" s="1">
        <v>0</v>
      </c>
      <c r="AL175" s="1">
        <v>1496</v>
      </c>
      <c r="AM175" s="2">
        <v>42312</v>
      </c>
      <c r="AN175" t="str">
        <f t="shared" si="5"/>
        <v>81741,1534,0.018766592040714,0,0,75,249,153,940,58,134,38,0,6,6,7,2,0,0,0,0,0,0,0,40,36-50,2537,0,0,1,0,0,0,1,0,0,1496,42312</v>
      </c>
    </row>
    <row r="176" spans="1:40" ht="13" x14ac:dyDescent="0.15">
      <c r="A176">
        <v>572</v>
      </c>
      <c r="B176" s="1">
        <v>58138</v>
      </c>
      <c r="C176" s="1">
        <v>1529</v>
      </c>
      <c r="D176" s="4">
        <f t="shared" si="4"/>
        <v>2.6299494306649695E-2</v>
      </c>
      <c r="E176" s="1">
        <v>0</v>
      </c>
      <c r="F176" s="1">
        <v>0</v>
      </c>
      <c r="G176" s="1">
        <v>58</v>
      </c>
      <c r="H176" s="1">
        <v>635</v>
      </c>
      <c r="I176" s="1">
        <v>88</v>
      </c>
      <c r="J176" s="1">
        <v>546</v>
      </c>
      <c r="K176" s="1">
        <v>172</v>
      </c>
      <c r="L176" s="1">
        <v>88</v>
      </c>
      <c r="M176" s="1">
        <v>88</v>
      </c>
      <c r="N176" s="1">
        <v>3</v>
      </c>
      <c r="O176" s="1">
        <v>8</v>
      </c>
      <c r="P176" s="1">
        <v>10</v>
      </c>
      <c r="Q176" s="1">
        <v>4</v>
      </c>
      <c r="R176" s="1">
        <v>7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63</v>
      </c>
      <c r="AA176" s="1" t="str" cm="1">
        <f t="array" ref="AA176">_xlfn.IFS(AND(Z176&lt;36, Z176&gt;23), "24-35", AND(Z176&lt;51, Z176&gt;35),"36-50", AND(Z176&lt;66, Z176&gt;50), "51-66", Z176&gt;65, "66+", TRUE, "?")</f>
        <v>51-66</v>
      </c>
      <c r="AB176" s="1">
        <v>2822</v>
      </c>
      <c r="AC176" s="1">
        <v>0</v>
      </c>
      <c r="AD176" s="1">
        <v>0</v>
      </c>
      <c r="AE176" s="1">
        <v>1</v>
      </c>
      <c r="AF176" s="1">
        <v>0</v>
      </c>
      <c r="AG176" s="1">
        <v>0</v>
      </c>
      <c r="AH176" s="1">
        <v>0</v>
      </c>
      <c r="AI176" s="1">
        <v>1</v>
      </c>
      <c r="AJ176" s="1">
        <v>0</v>
      </c>
      <c r="AK176" s="1">
        <v>0</v>
      </c>
      <c r="AL176" s="1">
        <v>1441</v>
      </c>
      <c r="AM176" s="2">
        <v>42027</v>
      </c>
      <c r="AN176" t="str">
        <f t="shared" si="5"/>
        <v>58138,1529,0.0262994943066497,0,0,58,635,88,546,172,88,88,3,8,10,4,7,0,0,0,0,0,0,1,63,51-66,2822,0,0,1,0,0,0,1,0,0,1441,42027</v>
      </c>
    </row>
    <row r="177" spans="1:40" ht="13" x14ac:dyDescent="0.15">
      <c r="A177">
        <v>579</v>
      </c>
      <c r="B177" s="1">
        <v>96843</v>
      </c>
      <c r="C177" s="1">
        <v>1527</v>
      </c>
      <c r="D177" s="4">
        <f t="shared" si="4"/>
        <v>1.5767789101948513E-2</v>
      </c>
      <c r="E177" s="1">
        <v>0</v>
      </c>
      <c r="F177" s="1">
        <v>0</v>
      </c>
      <c r="G177" s="1">
        <v>60</v>
      </c>
      <c r="H177" s="1">
        <v>448</v>
      </c>
      <c r="I177" s="1">
        <v>71</v>
      </c>
      <c r="J177" s="1">
        <v>951</v>
      </c>
      <c r="K177" s="1">
        <v>40</v>
      </c>
      <c r="L177" s="1">
        <v>17</v>
      </c>
      <c r="M177" s="1">
        <v>17</v>
      </c>
      <c r="N177" s="1">
        <v>1</v>
      </c>
      <c r="O177" s="1">
        <v>6</v>
      </c>
      <c r="P177" s="1">
        <v>11</v>
      </c>
      <c r="Q177" s="1">
        <v>10</v>
      </c>
      <c r="R177" s="1">
        <v>2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0</v>
      </c>
      <c r="Y177" s="1">
        <v>1</v>
      </c>
      <c r="Z177" s="1">
        <v>30</v>
      </c>
      <c r="AA177" s="1" t="str" cm="1">
        <f t="array" ref="AA177">_xlfn.IFS(AND(Z177&lt;36, Z177&gt;23), "24-35", AND(Z177&lt;51, Z177&gt;35),"36-50", AND(Z177&lt;66, Z177&gt;50), "51-66", Z177&gt;65, "66+", TRUE, "?")</f>
        <v>24-35</v>
      </c>
      <c r="AB177" s="1">
        <v>2591</v>
      </c>
      <c r="AC177" s="1">
        <v>0</v>
      </c>
      <c r="AD177" s="1">
        <v>0</v>
      </c>
      <c r="AE177" s="1">
        <v>1</v>
      </c>
      <c r="AF177" s="1">
        <v>0</v>
      </c>
      <c r="AG177" s="1">
        <v>0</v>
      </c>
      <c r="AH177" s="1">
        <v>0</v>
      </c>
      <c r="AI177" s="1">
        <v>1</v>
      </c>
      <c r="AJ177" s="1">
        <v>0</v>
      </c>
      <c r="AK177" s="1">
        <v>0</v>
      </c>
      <c r="AL177" s="1">
        <v>1510</v>
      </c>
      <c r="AM177" s="2">
        <v>42258</v>
      </c>
      <c r="AN177" t="str">
        <f t="shared" si="5"/>
        <v>96843,1527,0.0157677891019485,0,0,60,448,71,951,40,17,17,1,6,11,10,2,0,0,0,0,1,0,1,30,24-35,2591,0,0,1,0,0,0,1,0,0,1510,42258</v>
      </c>
    </row>
    <row r="178" spans="1:40" ht="13" x14ac:dyDescent="0.15">
      <c r="A178">
        <v>591</v>
      </c>
      <c r="B178" s="1">
        <v>105471</v>
      </c>
      <c r="C178" s="1">
        <v>1517</v>
      </c>
      <c r="D178" s="4">
        <f t="shared" si="4"/>
        <v>1.4383100567928625E-2</v>
      </c>
      <c r="E178" s="1">
        <v>0</v>
      </c>
      <c r="F178" s="1">
        <v>0</v>
      </c>
      <c r="G178" s="1">
        <v>36</v>
      </c>
      <c r="H178" s="1">
        <v>1009</v>
      </c>
      <c r="I178" s="1">
        <v>181</v>
      </c>
      <c r="J178" s="1">
        <v>104</v>
      </c>
      <c r="K178" s="1">
        <v>202</v>
      </c>
      <c r="L178" s="1">
        <v>21</v>
      </c>
      <c r="M178" s="1">
        <v>207</v>
      </c>
      <c r="N178" s="1">
        <v>0</v>
      </c>
      <c r="O178" s="1">
        <v>9</v>
      </c>
      <c r="P178" s="1">
        <v>8</v>
      </c>
      <c r="Q178" s="1">
        <v>13</v>
      </c>
      <c r="R178" s="1">
        <v>3</v>
      </c>
      <c r="S178" s="1">
        <v>1</v>
      </c>
      <c r="T178" s="1">
        <v>0</v>
      </c>
      <c r="U178" s="1">
        <v>0</v>
      </c>
      <c r="V178" s="1">
        <v>0</v>
      </c>
      <c r="W178" s="1">
        <v>1</v>
      </c>
      <c r="X178" s="1">
        <v>0</v>
      </c>
      <c r="Y178" s="1">
        <v>1</v>
      </c>
      <c r="Z178" s="1">
        <v>50</v>
      </c>
      <c r="AA178" s="1" t="str" cm="1">
        <f t="array" ref="AA178">_xlfn.IFS(AND(Z178&lt;36, Z178&gt;23), "24-35", AND(Z178&lt;51, Z178&gt;35),"36-50", AND(Z178&lt;66, Z178&gt;50), "51-66", Z178&gt;65, "66+", TRUE, "?")</f>
        <v>36-50</v>
      </c>
      <c r="AB178" s="1">
        <v>2683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1</v>
      </c>
      <c r="AJ178" s="1">
        <v>0</v>
      </c>
      <c r="AK178" s="1">
        <v>0</v>
      </c>
      <c r="AL178" s="1">
        <v>1310</v>
      </c>
      <c r="AM178" s="2">
        <v>42166</v>
      </c>
      <c r="AN178" t="str">
        <f t="shared" si="5"/>
        <v>105471,1517,0.0143831005679286,0,0,36,1009,181,104,202,21,207,0,9,8,13,3,1,0,0,0,1,0,1,50,36-50,2683,0,0,0,1,0,0,1,0,0,1310,42166</v>
      </c>
    </row>
    <row r="179" spans="1:40" ht="13" x14ac:dyDescent="0.15">
      <c r="A179">
        <v>596</v>
      </c>
      <c r="B179" s="1">
        <v>76467</v>
      </c>
      <c r="C179" s="1">
        <v>1517</v>
      </c>
      <c r="D179" s="4">
        <f t="shared" si="4"/>
        <v>1.9838623196934625E-2</v>
      </c>
      <c r="E179" s="1">
        <v>1</v>
      </c>
      <c r="F179" s="1">
        <v>0</v>
      </c>
      <c r="G179" s="1">
        <v>44</v>
      </c>
      <c r="H179" s="1">
        <v>676</v>
      </c>
      <c r="I179" s="1">
        <v>161</v>
      </c>
      <c r="J179" s="1">
        <v>426</v>
      </c>
      <c r="K179" s="1">
        <v>210</v>
      </c>
      <c r="L179" s="1">
        <v>44</v>
      </c>
      <c r="M179" s="1">
        <v>58</v>
      </c>
      <c r="N179" s="1">
        <v>2</v>
      </c>
      <c r="O179" s="1">
        <v>2</v>
      </c>
      <c r="P179" s="1">
        <v>5</v>
      </c>
      <c r="Q179" s="1">
        <v>5</v>
      </c>
      <c r="R179" s="1">
        <v>6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50</v>
      </c>
      <c r="AA179" s="1" t="str" cm="1">
        <f t="array" ref="AA179">_xlfn.IFS(AND(Z179&lt;36, Z179&gt;23), "24-35", AND(Z179&lt;51, Z179&gt;35),"36-50", AND(Z179&lt;66, Z179&gt;50), "51-66", Z179&gt;65, "66+", TRUE, "?")</f>
        <v>36-50</v>
      </c>
      <c r="AB179" s="1">
        <v>2840</v>
      </c>
      <c r="AC179" s="1">
        <v>0</v>
      </c>
      <c r="AD179" s="1">
        <v>0</v>
      </c>
      <c r="AE179" s="1">
        <v>1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>
        <v>0</v>
      </c>
      <c r="AL179" s="1">
        <v>1459</v>
      </c>
      <c r="AM179" s="2">
        <v>42009</v>
      </c>
      <c r="AN179" t="str">
        <f t="shared" si="5"/>
        <v>76467,1517,0.0198386231969346,1,0,44,676,161,426,210,44,58,2,2,5,5,6,0,0,0,0,0,0,1,50,36-50,2840,0,0,1,0,0,0,1,0,0,1459,42009</v>
      </c>
    </row>
    <row r="180" spans="1:40" ht="13" x14ac:dyDescent="0.15">
      <c r="A180">
        <v>597</v>
      </c>
      <c r="B180" s="1">
        <v>83917</v>
      </c>
      <c r="C180" s="1">
        <v>1508</v>
      </c>
      <c r="D180" s="4">
        <f t="shared" si="4"/>
        <v>1.797013715933601E-2</v>
      </c>
      <c r="E180" s="1">
        <v>0</v>
      </c>
      <c r="F180" s="1">
        <v>0</v>
      </c>
      <c r="G180" s="1">
        <v>12</v>
      </c>
      <c r="H180" s="1">
        <v>514</v>
      </c>
      <c r="I180" s="1">
        <v>22</v>
      </c>
      <c r="J180" s="1">
        <v>732</v>
      </c>
      <c r="K180" s="1">
        <v>42</v>
      </c>
      <c r="L180" s="1">
        <v>198</v>
      </c>
      <c r="M180" s="1">
        <v>79</v>
      </c>
      <c r="N180" s="1">
        <v>1</v>
      </c>
      <c r="O180" s="1">
        <v>6</v>
      </c>
      <c r="P180" s="1">
        <v>7</v>
      </c>
      <c r="Q180" s="1">
        <v>7</v>
      </c>
      <c r="R180" s="1">
        <v>3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47</v>
      </c>
      <c r="AA180" s="1" t="str" cm="1">
        <f t="array" ref="AA180">_xlfn.IFS(AND(Z180&lt;36, Z180&gt;23), "24-35", AND(Z180&lt;51, Z180&gt;35),"36-50", AND(Z180&lt;66, Z180&gt;50), "51-66", Z180&gt;65, "66+", TRUE, "?")</f>
        <v>36-50</v>
      </c>
      <c r="AB180" s="1">
        <v>2596</v>
      </c>
      <c r="AC180" s="1">
        <v>0</v>
      </c>
      <c r="AD180" s="1">
        <v>0</v>
      </c>
      <c r="AE180" s="1">
        <v>1</v>
      </c>
      <c r="AF180" s="1">
        <v>0</v>
      </c>
      <c r="AG180" s="1">
        <v>0</v>
      </c>
      <c r="AH180" s="1">
        <v>0</v>
      </c>
      <c r="AI180" s="1">
        <v>1</v>
      </c>
      <c r="AJ180" s="1">
        <v>0</v>
      </c>
      <c r="AK180" s="1">
        <v>0</v>
      </c>
      <c r="AL180" s="1">
        <v>1429</v>
      </c>
      <c r="AM180" s="2">
        <v>42253</v>
      </c>
      <c r="AN180" t="str">
        <f t="shared" si="5"/>
        <v>83917,1508,0.017970137159336,0,0,12,514,22,732,42,198,79,1,6,7,7,3,0,0,0,0,0,0,1,47,36-50,2596,0,0,1,0,0,0,1,0,0,1429,42253</v>
      </c>
    </row>
    <row r="181" spans="1:40" ht="13" hidden="1" x14ac:dyDescent="0.15">
      <c r="A181">
        <v>1695</v>
      </c>
      <c r="B181" s="1">
        <v>70116</v>
      </c>
      <c r="C181" s="1">
        <v>1507</v>
      </c>
      <c r="D181" s="4">
        <f t="shared" si="4"/>
        <v>2.149295453248902E-2</v>
      </c>
      <c r="E181" s="1">
        <v>0</v>
      </c>
      <c r="F181" s="1">
        <v>0</v>
      </c>
      <c r="G181" s="1">
        <v>73</v>
      </c>
      <c r="H181" s="1">
        <v>707</v>
      </c>
      <c r="I181" s="1">
        <v>44</v>
      </c>
      <c r="J181" s="1">
        <v>603</v>
      </c>
      <c r="K181" s="1">
        <v>95</v>
      </c>
      <c r="L181" s="1">
        <v>58</v>
      </c>
      <c r="M181" s="1">
        <v>29</v>
      </c>
      <c r="N181" s="1">
        <v>1</v>
      </c>
      <c r="O181" s="1">
        <v>2</v>
      </c>
      <c r="P181" s="1">
        <v>8</v>
      </c>
      <c r="Q181" s="1">
        <v>12</v>
      </c>
      <c r="R181" s="1">
        <v>1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48</v>
      </c>
      <c r="AA181" s="1" t="str" cm="1">
        <f t="array" ref="AA181">_xlfn.IFS(AND(Z181&lt;36, Z181&gt;23), "24-35", AND(Z181&lt;51, Z181&gt;35),"36-50", AND(Z181&lt;66, Z181&gt;50), "51-66", Z181&gt;65, "66+", TRUE, "?")</f>
        <v>36-50</v>
      </c>
      <c r="AB181" s="1">
        <v>2678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1</v>
      </c>
      <c r="AL181" s="1">
        <v>1478</v>
      </c>
      <c r="AM181" s="2">
        <v>42171</v>
      </c>
      <c r="AN181" t="str">
        <f t="shared" si="5"/>
        <v>70116,1507,0.021492954532489,0,0,73,707,44,603,95,58,29,1,2,8,12,1,0,0,0,0,0,0,0,48,36-50,2678,0,1,0,0,0,0,0,0,1,1478,42171</v>
      </c>
    </row>
    <row r="182" spans="1:40" ht="13" hidden="1" x14ac:dyDescent="0.15">
      <c r="A182">
        <v>1236</v>
      </c>
      <c r="B182" s="1">
        <v>81843</v>
      </c>
      <c r="C182" s="1">
        <v>1505</v>
      </c>
      <c r="D182" s="4">
        <f t="shared" si="4"/>
        <v>1.8388866488276333E-2</v>
      </c>
      <c r="E182" s="1">
        <v>0</v>
      </c>
      <c r="F182" s="1">
        <v>0</v>
      </c>
      <c r="G182" s="1">
        <v>13</v>
      </c>
      <c r="H182" s="1">
        <v>779</v>
      </c>
      <c r="I182" s="1">
        <v>86</v>
      </c>
      <c r="J182" s="1">
        <v>537</v>
      </c>
      <c r="K182" s="1">
        <v>34</v>
      </c>
      <c r="L182" s="1">
        <v>69</v>
      </c>
      <c r="M182" s="1">
        <v>138</v>
      </c>
      <c r="N182" s="1">
        <v>1</v>
      </c>
      <c r="O182" s="1">
        <v>5</v>
      </c>
      <c r="P182" s="1">
        <v>9</v>
      </c>
      <c r="Q182" s="1">
        <v>12</v>
      </c>
      <c r="R182" s="1">
        <v>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60</v>
      </c>
      <c r="AA182" s="1" t="str" cm="1">
        <f t="array" ref="AA182">_xlfn.IFS(AND(Z182&lt;36, Z182&gt;23), "24-35", AND(Z182&lt;51, Z182&gt;35),"36-50", AND(Z182&lt;66, Z182&gt;50), "51-66", Z182&gt;65, "66+", TRUE, "?")</f>
        <v>51-66</v>
      </c>
      <c r="AB182" s="1">
        <v>2592</v>
      </c>
      <c r="AC182" s="1">
        <v>0</v>
      </c>
      <c r="AD182" s="1">
        <v>1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s="1">
        <v>1367</v>
      </c>
      <c r="AM182" s="2">
        <v>42257</v>
      </c>
      <c r="AN182" t="str">
        <f t="shared" si="5"/>
        <v>81843,1505,0.0183888664882763,0,0,13,779,86,537,34,69,138,1,5,9,12,3,0,0,0,0,0,0,0,60,51-66,2592,0,1,0,0,0,0,0,1,0,1367,42257</v>
      </c>
    </row>
    <row r="183" spans="1:40" ht="13" x14ac:dyDescent="0.15">
      <c r="A183">
        <v>601</v>
      </c>
      <c r="B183" s="1">
        <v>83528</v>
      </c>
      <c r="C183" s="1">
        <v>1503</v>
      </c>
      <c r="D183" s="4">
        <f t="shared" si="4"/>
        <v>1.7993966095201611E-2</v>
      </c>
      <c r="E183" s="1">
        <v>0</v>
      </c>
      <c r="F183" s="1">
        <v>0</v>
      </c>
      <c r="G183" s="1">
        <v>7</v>
      </c>
      <c r="H183" s="1">
        <v>530</v>
      </c>
      <c r="I183" s="1">
        <v>117</v>
      </c>
      <c r="J183" s="1">
        <v>678</v>
      </c>
      <c r="K183" s="1">
        <v>134</v>
      </c>
      <c r="L183" s="1">
        <v>44</v>
      </c>
      <c r="M183" s="1">
        <v>147</v>
      </c>
      <c r="N183" s="1">
        <v>1</v>
      </c>
      <c r="O183" s="1">
        <v>4</v>
      </c>
      <c r="P183" s="1">
        <v>10</v>
      </c>
      <c r="Q183" s="1">
        <v>8</v>
      </c>
      <c r="R183" s="1">
        <v>1</v>
      </c>
      <c r="S183" s="1">
        <v>1</v>
      </c>
      <c r="T183" s="1">
        <v>0</v>
      </c>
      <c r="U183" s="1">
        <v>1</v>
      </c>
      <c r="V183" s="1">
        <v>0</v>
      </c>
      <c r="W183" s="1">
        <v>0</v>
      </c>
      <c r="X183" s="1">
        <v>0</v>
      </c>
      <c r="Y183" s="1">
        <v>1</v>
      </c>
      <c r="Z183" s="1">
        <v>28</v>
      </c>
      <c r="AA183" s="1" t="str" cm="1">
        <f t="array" ref="AA183">_xlfn.IFS(AND(Z183&lt;36, Z183&gt;23), "24-35", AND(Z183&lt;51, Z183&gt;35),"36-50", AND(Z183&lt;66, Z183&gt;50), "51-66", Z183&gt;65, "66+", TRUE, "?")</f>
        <v>24-35</v>
      </c>
      <c r="AB183" s="1">
        <v>2218</v>
      </c>
      <c r="AC183" s="1">
        <v>0</v>
      </c>
      <c r="AD183" s="1">
        <v>0</v>
      </c>
      <c r="AE183" s="1">
        <v>1</v>
      </c>
      <c r="AF183" s="1">
        <v>0</v>
      </c>
      <c r="AG183" s="1">
        <v>0</v>
      </c>
      <c r="AH183" s="1">
        <v>0</v>
      </c>
      <c r="AI183" s="1">
        <v>1</v>
      </c>
      <c r="AJ183" s="1">
        <v>0</v>
      </c>
      <c r="AK183" s="1">
        <v>0</v>
      </c>
      <c r="AL183" s="1">
        <v>1356</v>
      </c>
      <c r="AM183" s="2">
        <v>42631</v>
      </c>
      <c r="AN183" t="str">
        <f t="shared" si="5"/>
        <v>83528,1503,0.0179939660952016,0,0,7,530,117,678,134,44,147,1,4,10,8,1,1,0,1,0,0,0,1,28,24-35,2218,0,0,1,0,0,0,1,0,0,1356,42631</v>
      </c>
    </row>
    <row r="184" spans="1:40" ht="13" x14ac:dyDescent="0.15">
      <c r="A184">
        <v>606</v>
      </c>
      <c r="B184" s="1">
        <v>77766</v>
      </c>
      <c r="C184" s="1">
        <v>1502</v>
      </c>
      <c r="D184" s="4">
        <f t="shared" si="4"/>
        <v>1.9314353316359334E-2</v>
      </c>
      <c r="E184" s="1">
        <v>0</v>
      </c>
      <c r="F184" s="1">
        <v>1</v>
      </c>
      <c r="G184" s="1">
        <v>97</v>
      </c>
      <c r="H184" s="1">
        <v>1004</v>
      </c>
      <c r="I184" s="1">
        <v>59</v>
      </c>
      <c r="J184" s="1">
        <v>265</v>
      </c>
      <c r="K184" s="1">
        <v>115</v>
      </c>
      <c r="L184" s="1">
        <v>59</v>
      </c>
      <c r="M184" s="1">
        <v>27</v>
      </c>
      <c r="N184" s="1">
        <v>2</v>
      </c>
      <c r="O184" s="1">
        <v>11</v>
      </c>
      <c r="P184" s="1">
        <v>10</v>
      </c>
      <c r="Q184" s="1">
        <v>11</v>
      </c>
      <c r="R184" s="1">
        <v>6</v>
      </c>
      <c r="S184" s="1">
        <v>0</v>
      </c>
      <c r="T184" s="1">
        <v>0</v>
      </c>
      <c r="U184" s="1">
        <v>1</v>
      </c>
      <c r="V184" s="1">
        <v>0</v>
      </c>
      <c r="W184" s="1">
        <v>0</v>
      </c>
      <c r="X184" s="1">
        <v>0</v>
      </c>
      <c r="Y184" s="1">
        <v>1</v>
      </c>
      <c r="Z184" s="1">
        <v>53</v>
      </c>
      <c r="AA184" s="1" t="str" cm="1">
        <f t="array" ref="AA184">_xlfn.IFS(AND(Z184&lt;36, Z184&gt;23), "24-35", AND(Z184&lt;51, Z184&gt;35),"36-50", AND(Z184&lt;66, Z184&gt;50), "51-66", Z184&gt;65, "66+", TRUE, "?")</f>
        <v>51-66</v>
      </c>
      <c r="AB184" s="1">
        <v>2651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1</v>
      </c>
      <c r="AL184" s="1">
        <v>1475</v>
      </c>
      <c r="AM184" s="2">
        <v>42198</v>
      </c>
      <c r="AN184" t="str">
        <f t="shared" si="5"/>
        <v>77766,1502,0.0193143533163593,0,1,97,1004,59,265,115,59,27,2,11,10,11,6,0,0,1,0,0,0,1,53,51-66,2651,0,1,0,0,0,0,0,0,1,1475,42198</v>
      </c>
    </row>
    <row r="185" spans="1:40" ht="13" hidden="1" x14ac:dyDescent="0.15">
      <c r="A185">
        <v>315</v>
      </c>
      <c r="B185" s="1">
        <v>68655</v>
      </c>
      <c r="C185" s="1">
        <v>1500</v>
      </c>
      <c r="D185" s="4">
        <f t="shared" si="4"/>
        <v>2.1848372296263928E-2</v>
      </c>
      <c r="E185" s="1">
        <v>0</v>
      </c>
      <c r="F185" s="1">
        <v>0</v>
      </c>
      <c r="G185" s="1">
        <v>95</v>
      </c>
      <c r="H185" s="1">
        <v>456</v>
      </c>
      <c r="I185" s="1">
        <v>19</v>
      </c>
      <c r="J185" s="1">
        <v>832</v>
      </c>
      <c r="K185" s="1">
        <v>75</v>
      </c>
      <c r="L185" s="1">
        <v>118</v>
      </c>
      <c r="M185" s="1">
        <v>38</v>
      </c>
      <c r="N185" s="1">
        <v>1</v>
      </c>
      <c r="O185" s="1">
        <v>4</v>
      </c>
      <c r="P185" s="1">
        <v>5</v>
      </c>
      <c r="Q185" s="1">
        <v>11</v>
      </c>
      <c r="R185" s="1">
        <v>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32</v>
      </c>
      <c r="AA185" s="1" t="str" cm="1">
        <f t="array" ref="AA185">_xlfn.IFS(AND(Z185&lt;36, Z185&gt;23), "24-35", AND(Z185&lt;51, Z185&gt;35),"36-50", AND(Z185&lt;66, Z185&gt;50), "51-66", Z185&gt;65, "66+", TRUE, "?")</f>
        <v>24-35</v>
      </c>
      <c r="AB185" s="1">
        <v>2847</v>
      </c>
      <c r="AC185" s="1">
        <v>0</v>
      </c>
      <c r="AD185" s="1">
        <v>0</v>
      </c>
      <c r="AE185" s="1">
        <v>1</v>
      </c>
      <c r="AF185" s="1">
        <v>0</v>
      </c>
      <c r="AG185" s="1">
        <v>0</v>
      </c>
      <c r="AH185" s="1">
        <v>0</v>
      </c>
      <c r="AI185" s="1">
        <v>1</v>
      </c>
      <c r="AJ185" s="1">
        <v>0</v>
      </c>
      <c r="AK185" s="1">
        <v>0</v>
      </c>
      <c r="AL185" s="1">
        <v>1462</v>
      </c>
      <c r="AM185" s="2">
        <v>42002</v>
      </c>
      <c r="AN185" t="str">
        <f t="shared" si="5"/>
        <v>68655,1500,0.0218483722962639,0,0,95,456,19,832,75,118,38,1,4,5,11,3,0,0,0,0,0,0,0,32,24-35,2847,0,0,1,0,0,0,1,0,0,1462,42002</v>
      </c>
    </row>
    <row r="186" spans="1:40" ht="13" x14ac:dyDescent="0.15">
      <c r="A186">
        <v>633</v>
      </c>
      <c r="B186" s="1">
        <v>48192</v>
      </c>
      <c r="C186" s="1">
        <v>1497</v>
      </c>
      <c r="D186" s="4">
        <f t="shared" si="4"/>
        <v>3.1063247011952191E-2</v>
      </c>
      <c r="E186" s="1">
        <v>0</v>
      </c>
      <c r="F186" s="1">
        <v>0</v>
      </c>
      <c r="G186" s="1">
        <v>76</v>
      </c>
      <c r="H186" s="1">
        <v>1039</v>
      </c>
      <c r="I186" s="1">
        <v>43</v>
      </c>
      <c r="J186" s="1">
        <v>204</v>
      </c>
      <c r="K186" s="1">
        <v>153</v>
      </c>
      <c r="L186" s="1">
        <v>58</v>
      </c>
      <c r="M186" s="1">
        <v>29</v>
      </c>
      <c r="N186" s="1">
        <v>3</v>
      </c>
      <c r="O186" s="1">
        <v>2</v>
      </c>
      <c r="P186" s="1">
        <v>8</v>
      </c>
      <c r="Q186" s="1">
        <v>12</v>
      </c>
      <c r="R186" s="1">
        <v>8</v>
      </c>
      <c r="S186" s="1">
        <v>1</v>
      </c>
      <c r="T186" s="1">
        <v>1</v>
      </c>
      <c r="U186" s="1">
        <v>0</v>
      </c>
      <c r="V186" s="1">
        <v>1</v>
      </c>
      <c r="W186" s="1">
        <v>0</v>
      </c>
      <c r="X186" s="1">
        <v>0</v>
      </c>
      <c r="Y186" s="1">
        <v>1</v>
      </c>
      <c r="Z186" s="1">
        <v>62</v>
      </c>
      <c r="AA186" s="1" t="str" cm="1">
        <f t="array" ref="AA186">_xlfn.IFS(AND(Z186&lt;36, Z186&gt;23), "24-35", AND(Z186&lt;51, Z186&gt;35),"36-50", AND(Z186&lt;66, Z186&gt;50), "51-66", Z186&gt;65, "66+", TRUE, "?")</f>
        <v>51-66</v>
      </c>
      <c r="AB186" s="1">
        <v>2608</v>
      </c>
      <c r="AC186" s="1">
        <v>0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1468</v>
      </c>
      <c r="AM186" s="2">
        <v>42241</v>
      </c>
      <c r="AN186" t="str">
        <f t="shared" si="5"/>
        <v>48192,1497,0.0310632470119522,0,0,76,1039,43,204,153,58,29,3,2,8,12,8,1,1,0,1,0,0,1,62,51-66,2608,0,1,0,0,0,0,1,0,0,1468,42241</v>
      </c>
    </row>
    <row r="187" spans="1:40" ht="13" hidden="1" x14ac:dyDescent="0.15">
      <c r="A187">
        <v>1228</v>
      </c>
      <c r="B187" s="1">
        <v>64857</v>
      </c>
      <c r="C187" s="1">
        <v>1497</v>
      </c>
      <c r="D187" s="4">
        <f t="shared" si="4"/>
        <v>2.3081548637772328E-2</v>
      </c>
      <c r="E187" s="1">
        <v>0</v>
      </c>
      <c r="F187" s="1">
        <v>0</v>
      </c>
      <c r="G187" s="1">
        <v>78</v>
      </c>
      <c r="H187" s="1">
        <v>556</v>
      </c>
      <c r="I187" s="1">
        <v>14</v>
      </c>
      <c r="J187" s="1">
        <v>717</v>
      </c>
      <c r="K187" s="1">
        <v>210</v>
      </c>
      <c r="L187" s="1">
        <v>0</v>
      </c>
      <c r="M187" s="1">
        <v>43</v>
      </c>
      <c r="N187" s="1">
        <v>1</v>
      </c>
      <c r="O187" s="1">
        <v>7</v>
      </c>
      <c r="P187" s="1">
        <v>5</v>
      </c>
      <c r="Q187" s="1">
        <v>10</v>
      </c>
      <c r="R187" s="1">
        <v>4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64</v>
      </c>
      <c r="AA187" s="1" t="str" cm="1">
        <f t="array" ref="AA187">_xlfn.IFS(AND(Z187&lt;36, Z187&gt;23), "24-35", AND(Z187&lt;51, Z187&gt;35),"36-50", AND(Z187&lt;66, Z187&gt;50), "51-66", Z187&gt;65, "66+", TRUE, "?")</f>
        <v>51-66</v>
      </c>
      <c r="AB187" s="1">
        <v>2742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s="1">
        <v>1454</v>
      </c>
      <c r="AM187" s="2">
        <v>42107</v>
      </c>
      <c r="AN187" t="str">
        <f t="shared" si="5"/>
        <v>64857,1497,0.0230815486377723,0,0,78,556,14,717,210,0,43,1,7,5,10,4,0,0,0,0,0,0,0,64,51-66,2742,0,0,1,0,0,0,0,1,0,1454,42107</v>
      </c>
    </row>
    <row r="188" spans="1:40" ht="13" hidden="1" x14ac:dyDescent="0.15">
      <c r="A188">
        <v>290</v>
      </c>
      <c r="B188" s="1">
        <v>70893</v>
      </c>
      <c r="C188" s="1">
        <v>1494</v>
      </c>
      <c r="D188" s="4">
        <f t="shared" si="4"/>
        <v>2.1074012949092294E-2</v>
      </c>
      <c r="E188" s="1">
        <v>0</v>
      </c>
      <c r="F188" s="1">
        <v>0</v>
      </c>
      <c r="G188" s="1">
        <v>42</v>
      </c>
      <c r="H188" s="1">
        <v>768</v>
      </c>
      <c r="I188" s="1">
        <v>44</v>
      </c>
      <c r="J188" s="1">
        <v>561</v>
      </c>
      <c r="K188" s="1">
        <v>77</v>
      </c>
      <c r="L188" s="1">
        <v>44</v>
      </c>
      <c r="M188" s="1">
        <v>14</v>
      </c>
      <c r="N188" s="1">
        <v>1</v>
      </c>
      <c r="O188" s="1">
        <v>6</v>
      </c>
      <c r="P188" s="1">
        <v>6</v>
      </c>
      <c r="Q188" s="1">
        <v>10</v>
      </c>
      <c r="R188" s="1">
        <v>3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44</v>
      </c>
      <c r="AA188" s="1" t="str" cm="1">
        <f t="array" ref="AA188">_xlfn.IFS(AND(Z188&lt;36, Z188&gt;23), "24-35", AND(Z188&lt;51, Z188&gt;35),"36-50", AND(Z188&lt;66, Z188&gt;50), "51-66", Z188&gt;65, "66+", TRUE, "?")</f>
        <v>36-50</v>
      </c>
      <c r="AB188" s="1">
        <v>2667</v>
      </c>
      <c r="AC188" s="1">
        <v>0</v>
      </c>
      <c r="AD188" s="1">
        <v>0</v>
      </c>
      <c r="AE188" s="1">
        <v>1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0</v>
      </c>
      <c r="AL188" s="1">
        <v>1480</v>
      </c>
      <c r="AM188" s="2">
        <v>42182</v>
      </c>
      <c r="AN188" t="str">
        <f t="shared" si="5"/>
        <v>70893,1494,0.0210740129490923,0,0,42,768,44,561,77,44,14,1,6,6,10,3,0,0,0,0,0,0,0,44,36-50,2667,0,0,1,0,0,0,0,1,0,1480,42182</v>
      </c>
    </row>
    <row r="189" spans="1:40" ht="13" hidden="1" x14ac:dyDescent="0.15">
      <c r="A189">
        <v>936</v>
      </c>
      <c r="B189" s="1">
        <v>75437</v>
      </c>
      <c r="C189" s="1">
        <v>1493</v>
      </c>
      <c r="D189" s="4">
        <f t="shared" si="4"/>
        <v>1.9791349072736192E-2</v>
      </c>
      <c r="E189" s="1">
        <v>0</v>
      </c>
      <c r="F189" s="1">
        <v>0</v>
      </c>
      <c r="G189" s="1">
        <v>25</v>
      </c>
      <c r="H189" s="1">
        <v>795</v>
      </c>
      <c r="I189" s="1">
        <v>0</v>
      </c>
      <c r="J189" s="1">
        <v>545</v>
      </c>
      <c r="K189" s="1">
        <v>95</v>
      </c>
      <c r="L189" s="1">
        <v>58</v>
      </c>
      <c r="M189" s="1">
        <v>0</v>
      </c>
      <c r="N189" s="1">
        <v>1</v>
      </c>
      <c r="O189" s="1">
        <v>8</v>
      </c>
      <c r="P189" s="1">
        <v>4</v>
      </c>
      <c r="Q189" s="1">
        <v>10</v>
      </c>
      <c r="R189" s="1">
        <v>6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42</v>
      </c>
      <c r="AA189" s="1" t="str" cm="1">
        <f t="array" ref="AA189">_xlfn.IFS(AND(Z189&lt;36, Z189&gt;23), "24-35", AND(Z189&lt;51, Z189&gt;35),"36-50", AND(Z189&lt;66, Z189&gt;50), "51-66", Z189&gt;65, "66+", TRUE, "?")</f>
        <v>36-50</v>
      </c>
      <c r="AB189" s="1">
        <v>2391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1</v>
      </c>
      <c r="AJ189" s="1">
        <v>0</v>
      </c>
      <c r="AK189" s="1">
        <v>0</v>
      </c>
      <c r="AL189" s="1">
        <v>1493</v>
      </c>
      <c r="AM189" s="2">
        <v>42458</v>
      </c>
      <c r="AN189" t="str">
        <f t="shared" si="5"/>
        <v>75437,1493,0.0197913490727362,0,0,25,795,0,545,95,58,0,1,8,4,10,6,1,0,0,0,0,0,0,42,36-50,2391,0,0,0,1,0,0,1,0,0,1493,42458</v>
      </c>
    </row>
    <row r="190" spans="1:40" ht="13" x14ac:dyDescent="0.15">
      <c r="A190">
        <v>635</v>
      </c>
      <c r="B190" s="1">
        <v>69969</v>
      </c>
      <c r="C190" s="1">
        <v>1492</v>
      </c>
      <c r="D190" s="4">
        <f t="shared" si="4"/>
        <v>2.1323729080021152E-2</v>
      </c>
      <c r="E190" s="1">
        <v>0</v>
      </c>
      <c r="F190" s="1">
        <v>0</v>
      </c>
      <c r="G190" s="1">
        <v>64</v>
      </c>
      <c r="H190" s="1">
        <v>882</v>
      </c>
      <c r="I190" s="1">
        <v>29</v>
      </c>
      <c r="J190" s="1">
        <v>514</v>
      </c>
      <c r="K190" s="1">
        <v>38</v>
      </c>
      <c r="L190" s="1">
        <v>29</v>
      </c>
      <c r="M190" s="1">
        <v>44</v>
      </c>
      <c r="N190" s="1">
        <v>1</v>
      </c>
      <c r="O190" s="1">
        <v>4</v>
      </c>
      <c r="P190" s="1">
        <v>2</v>
      </c>
      <c r="Q190" s="1">
        <v>6</v>
      </c>
      <c r="R190" s="1">
        <v>3</v>
      </c>
      <c r="S190" s="1">
        <v>1</v>
      </c>
      <c r="T190" s="1">
        <v>0</v>
      </c>
      <c r="U190" s="1">
        <v>0</v>
      </c>
      <c r="V190" s="1">
        <v>0</v>
      </c>
      <c r="W190" s="1">
        <v>1</v>
      </c>
      <c r="X190" s="1">
        <v>0</v>
      </c>
      <c r="Y190" s="1">
        <v>1</v>
      </c>
      <c r="Z190" s="1">
        <v>55</v>
      </c>
      <c r="AA190" s="1" t="str" cm="1">
        <f t="array" ref="AA190">_xlfn.IFS(AND(Z190&lt;36, Z190&gt;23), "24-35", AND(Z190&lt;51, Z190&gt;35),"36-50", AND(Z190&lt;66, Z190&gt;50), "51-66", Z190&gt;65, "66+", TRUE, "?")</f>
        <v>51-66</v>
      </c>
      <c r="AB190" s="1">
        <v>2465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1</v>
      </c>
      <c r="AL190" s="1">
        <v>1448</v>
      </c>
      <c r="AM190" s="2">
        <v>42384</v>
      </c>
      <c r="AN190" t="str">
        <f t="shared" si="5"/>
        <v>69969,1492,0.0213237290800212,0,0,64,882,29,514,38,29,44,1,4,2,6,3,1,0,0,0,1,0,1,55,51-66,2465,0,1,0,0,0,0,0,0,1,1448,42384</v>
      </c>
    </row>
    <row r="191" spans="1:40" ht="13" hidden="1" x14ac:dyDescent="0.15">
      <c r="A191">
        <v>1958</v>
      </c>
      <c r="B191" s="1">
        <v>74859</v>
      </c>
      <c r="C191" s="1">
        <v>1492</v>
      </c>
      <c r="D191" s="4">
        <f t="shared" si="4"/>
        <v>1.9930803243430984E-2</v>
      </c>
      <c r="E191" s="1">
        <v>0</v>
      </c>
      <c r="F191" s="1">
        <v>0</v>
      </c>
      <c r="G191" s="1">
        <v>63</v>
      </c>
      <c r="H191" s="1">
        <v>570</v>
      </c>
      <c r="I191" s="1">
        <v>73</v>
      </c>
      <c r="J191" s="1">
        <v>614</v>
      </c>
      <c r="K191" s="1">
        <v>133</v>
      </c>
      <c r="L191" s="1">
        <v>102</v>
      </c>
      <c r="M191" s="1">
        <v>73</v>
      </c>
      <c r="N191" s="1">
        <v>1</v>
      </c>
      <c r="O191" s="1">
        <v>6</v>
      </c>
      <c r="P191" s="1">
        <v>5</v>
      </c>
      <c r="Q191" s="1">
        <v>11</v>
      </c>
      <c r="R191" s="1">
        <v>3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71</v>
      </c>
      <c r="AA191" s="1" t="str" cm="1">
        <f t="array" ref="AA191">_xlfn.IFS(AND(Z191&lt;36, Z191&gt;23), "24-35", AND(Z191&lt;51, Z191&gt;35),"36-50", AND(Z191&lt;66, Z191&gt;50), "51-66", Z191&gt;65, "66+", TRUE, "?")</f>
        <v>66+</v>
      </c>
      <c r="AB191" s="1">
        <v>2550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H191" s="1">
        <v>1</v>
      </c>
      <c r="AI191" s="1">
        <v>0</v>
      </c>
      <c r="AJ191" s="1">
        <v>0</v>
      </c>
      <c r="AK191" s="1">
        <v>0</v>
      </c>
      <c r="AL191" s="1">
        <v>1419</v>
      </c>
      <c r="AM191" s="2">
        <v>42299</v>
      </c>
      <c r="AN191" t="str">
        <f t="shared" si="5"/>
        <v>74859,1492,0.019930803243431,0,0,63,570,73,614,133,102,73,1,6,5,11,3,1,0,0,0,0,0,0,71,66+,2550,0,0,0,0,1,1,0,0,0,1419,42299</v>
      </c>
    </row>
    <row r="192" spans="1:40" ht="13" hidden="1" x14ac:dyDescent="0.15">
      <c r="A192">
        <v>1590</v>
      </c>
      <c r="B192" s="1">
        <v>70044</v>
      </c>
      <c r="C192" s="1">
        <v>1490</v>
      </c>
      <c r="D192" s="4">
        <f t="shared" si="4"/>
        <v>2.1272343098623723E-2</v>
      </c>
      <c r="E192" s="1">
        <v>0</v>
      </c>
      <c r="F192" s="1">
        <v>1</v>
      </c>
      <c r="G192" s="1">
        <v>46</v>
      </c>
      <c r="H192" s="1">
        <v>1073</v>
      </c>
      <c r="I192" s="1">
        <v>0</v>
      </c>
      <c r="J192" s="1">
        <v>250</v>
      </c>
      <c r="K192" s="1">
        <v>153</v>
      </c>
      <c r="L192" s="1">
        <v>14</v>
      </c>
      <c r="M192" s="1">
        <v>14</v>
      </c>
      <c r="N192" s="1">
        <v>4</v>
      </c>
      <c r="O192" s="1">
        <v>7</v>
      </c>
      <c r="P192" s="1">
        <v>10</v>
      </c>
      <c r="Q192" s="1">
        <v>5</v>
      </c>
      <c r="R192" s="1">
        <v>5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66</v>
      </c>
      <c r="AA192" s="1" t="str" cm="1">
        <f t="array" ref="AA192">_xlfn.IFS(AND(Z192&lt;36, Z192&gt;23), "24-35", AND(Z192&lt;51, Z192&gt;35),"36-50", AND(Z192&lt;66, Z192&gt;50), "51-66", Z192&gt;65, "66+", TRUE, "?")</f>
        <v>66+</v>
      </c>
      <c r="AB192" s="1">
        <v>2655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1</v>
      </c>
      <c r="AJ192" s="1">
        <v>0</v>
      </c>
      <c r="AK192" s="1">
        <v>0</v>
      </c>
      <c r="AL192" s="1">
        <v>1476</v>
      </c>
      <c r="AM192" s="2">
        <v>42194</v>
      </c>
      <c r="AN192" t="str">
        <f t="shared" si="5"/>
        <v>70044,1490,0.0212723430986237,0,1,46,1073,0,250,153,14,14,4,7,10,5,5,0,0,0,0,0,0,0,66,66+,2655,1,0,0,0,0,0,1,0,0,1476,42194</v>
      </c>
    </row>
    <row r="193" spans="1:40" ht="13" hidden="1" x14ac:dyDescent="0.15">
      <c r="A193">
        <v>64</v>
      </c>
      <c r="B193" s="1">
        <v>74854</v>
      </c>
      <c r="C193" s="1">
        <v>1489</v>
      </c>
      <c r="D193" s="4">
        <f t="shared" si="4"/>
        <v>1.9892056536724826E-2</v>
      </c>
      <c r="E193" s="1">
        <v>1</v>
      </c>
      <c r="F193" s="1">
        <v>2</v>
      </c>
      <c r="G193" s="1">
        <v>90</v>
      </c>
      <c r="H193" s="1">
        <v>856</v>
      </c>
      <c r="I193" s="1">
        <v>59</v>
      </c>
      <c r="J193" s="1">
        <v>487</v>
      </c>
      <c r="K193" s="1">
        <v>58</v>
      </c>
      <c r="L193" s="1">
        <v>29</v>
      </c>
      <c r="M193" s="1">
        <v>73</v>
      </c>
      <c r="N193" s="1">
        <v>7</v>
      </c>
      <c r="O193" s="1">
        <v>2</v>
      </c>
      <c r="P193" s="1">
        <v>5</v>
      </c>
      <c r="Q193" s="1">
        <v>5</v>
      </c>
      <c r="R193" s="1">
        <v>5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50</v>
      </c>
      <c r="AA193" s="1" t="str" cm="1">
        <f t="array" ref="AA193">_xlfn.IFS(AND(Z193&lt;36, Z193&gt;23), "24-35", AND(Z193&lt;51, Z193&gt;35),"36-50", AND(Z193&lt;66, Z193&gt;50), "51-66", Z193&gt;65, "66+", TRUE, "?")</f>
        <v>36-50</v>
      </c>
      <c r="AB193" s="1">
        <v>2606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1</v>
      </c>
      <c r="AJ193" s="1">
        <v>0</v>
      </c>
      <c r="AK193" s="1">
        <v>0</v>
      </c>
      <c r="AL193" s="1">
        <v>1416</v>
      </c>
      <c r="AM193" s="2">
        <v>42243</v>
      </c>
      <c r="AN193" t="str">
        <f t="shared" si="5"/>
        <v>74854,1489,0.0198920565367248,1,2,90,856,59,487,58,29,73,7,2,5,5,5,0,0,0,0,0,0,0,50,36-50,2606,0,0,0,1,0,0,1,0,0,1416,42243</v>
      </c>
    </row>
    <row r="194" spans="1:40" ht="13" x14ac:dyDescent="0.15">
      <c r="A194">
        <v>643</v>
      </c>
      <c r="B194" s="1">
        <v>69267</v>
      </c>
      <c r="C194" s="1">
        <v>1489</v>
      </c>
      <c r="D194" s="4">
        <f t="shared" ref="D194:D257" si="6">C194/B194</f>
        <v>2.1496527928162038E-2</v>
      </c>
      <c r="E194" s="1">
        <v>0</v>
      </c>
      <c r="F194" s="1">
        <v>0</v>
      </c>
      <c r="G194" s="1">
        <v>31</v>
      </c>
      <c r="H194" s="1">
        <v>778</v>
      </c>
      <c r="I194" s="1">
        <v>44</v>
      </c>
      <c r="J194" s="1">
        <v>499</v>
      </c>
      <c r="K194" s="1">
        <v>95</v>
      </c>
      <c r="L194" s="1">
        <v>73</v>
      </c>
      <c r="M194" s="1">
        <v>146</v>
      </c>
      <c r="N194" s="1">
        <v>2</v>
      </c>
      <c r="O194" s="1">
        <v>3</v>
      </c>
      <c r="P194" s="1">
        <v>4</v>
      </c>
      <c r="Q194" s="1">
        <v>5</v>
      </c>
      <c r="R194" s="1">
        <v>7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67</v>
      </c>
      <c r="AA194" s="1" t="str" cm="1">
        <f t="array" ref="AA194">_xlfn.IFS(AND(Z194&lt;36, Z194&gt;23), "24-35", AND(Z194&lt;51, Z194&gt;35),"36-50", AND(Z194&lt;66, Z194&gt;50), "51-66", Z194&gt;65, "66+", TRUE, "?")</f>
        <v>66+</v>
      </c>
      <c r="AB194" s="1">
        <v>2804</v>
      </c>
      <c r="AC194" s="1">
        <v>0</v>
      </c>
      <c r="AD194" s="1">
        <v>0</v>
      </c>
      <c r="AE194" s="1">
        <v>1</v>
      </c>
      <c r="AF194" s="1">
        <v>0</v>
      </c>
      <c r="AG194" s="1">
        <v>0</v>
      </c>
      <c r="AH194" s="1">
        <v>0</v>
      </c>
      <c r="AI194" s="1">
        <v>1</v>
      </c>
      <c r="AJ194" s="1">
        <v>0</v>
      </c>
      <c r="AK194" s="1">
        <v>0</v>
      </c>
      <c r="AL194" s="1">
        <v>1343</v>
      </c>
      <c r="AM194" s="2">
        <v>42045</v>
      </c>
      <c r="AN194" t="str">
        <f t="shared" ref="AN194:AN257" si="7">_xlfn.TEXTJOIN(",",TRUE,B194:AM194)</f>
        <v>69267,1489,0.021496527928162,0,0,31,778,44,499,95,73,146,2,3,4,5,7,0,0,0,0,0,0,1,67,66+,2804,0,0,1,0,0,0,1,0,0,1343,42045</v>
      </c>
    </row>
    <row r="195" spans="1:40" ht="13" hidden="1" x14ac:dyDescent="0.15">
      <c r="A195">
        <v>1224</v>
      </c>
      <c r="B195" s="1">
        <v>81051</v>
      </c>
      <c r="C195" s="1">
        <v>1487</v>
      </c>
      <c r="D195" s="4">
        <f t="shared" si="6"/>
        <v>1.834647320822692E-2</v>
      </c>
      <c r="E195" s="1">
        <v>0</v>
      </c>
      <c r="F195" s="1">
        <v>0</v>
      </c>
      <c r="G195" s="1">
        <v>43</v>
      </c>
      <c r="H195" s="1">
        <v>1142</v>
      </c>
      <c r="I195" s="1">
        <v>29</v>
      </c>
      <c r="J195" s="1">
        <v>249</v>
      </c>
      <c r="K195" s="1">
        <v>38</v>
      </c>
      <c r="L195" s="1">
        <v>29</v>
      </c>
      <c r="M195" s="1">
        <v>14</v>
      </c>
      <c r="N195" s="1">
        <v>1</v>
      </c>
      <c r="O195" s="1">
        <v>5</v>
      </c>
      <c r="P195" s="1">
        <v>5</v>
      </c>
      <c r="Q195" s="1">
        <v>12</v>
      </c>
      <c r="R195" s="1">
        <v>2</v>
      </c>
      <c r="S195" s="1">
        <v>0</v>
      </c>
      <c r="T195" s="1">
        <v>0</v>
      </c>
      <c r="U195" s="1">
        <v>0</v>
      </c>
      <c r="V195" s="1">
        <v>1</v>
      </c>
      <c r="W195" s="1">
        <v>1</v>
      </c>
      <c r="X195" s="1">
        <v>0</v>
      </c>
      <c r="Y195" s="1">
        <v>0</v>
      </c>
      <c r="Z195" s="1">
        <v>55</v>
      </c>
      <c r="AA195" s="1" t="str" cm="1">
        <f t="array" ref="AA195">_xlfn.IFS(AND(Z195&lt;36, Z195&gt;23), "24-35", AND(Z195&lt;51, Z195&gt;35),"36-50", AND(Z195&lt;66, Z195&gt;50), "51-66", Z195&gt;65, "66+", TRUE, "?")</f>
        <v>51-66</v>
      </c>
      <c r="AB195" s="1">
        <v>2196</v>
      </c>
      <c r="AC195" s="1">
        <v>0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1</v>
      </c>
      <c r="AL195" s="1">
        <v>1473</v>
      </c>
      <c r="AM195" s="2">
        <v>42653</v>
      </c>
      <c r="AN195" t="str">
        <f t="shared" si="7"/>
        <v>81051,1487,0.0183464732082269,0,0,43,1142,29,249,38,29,14,1,5,5,12,2,0,0,0,1,1,0,0,55,51-66,2196,0,1,0,0,0,0,0,0,1,1473,42653</v>
      </c>
    </row>
    <row r="196" spans="1:40" ht="13" x14ac:dyDescent="0.15">
      <c r="A196">
        <v>646</v>
      </c>
      <c r="B196" s="1">
        <v>57333</v>
      </c>
      <c r="C196" s="1">
        <v>1486</v>
      </c>
      <c r="D196" s="4">
        <f t="shared" si="6"/>
        <v>2.5918755341600822E-2</v>
      </c>
      <c r="E196" s="1">
        <v>0</v>
      </c>
      <c r="F196" s="1">
        <v>1</v>
      </c>
      <c r="G196" s="1">
        <v>55</v>
      </c>
      <c r="H196" s="1">
        <v>941</v>
      </c>
      <c r="I196" s="1">
        <v>14</v>
      </c>
      <c r="J196" s="1">
        <v>397</v>
      </c>
      <c r="K196" s="1">
        <v>76</v>
      </c>
      <c r="L196" s="1">
        <v>58</v>
      </c>
      <c r="M196" s="1">
        <v>176</v>
      </c>
      <c r="N196" s="1">
        <v>11</v>
      </c>
      <c r="O196" s="1">
        <v>8</v>
      </c>
      <c r="P196" s="1">
        <v>5</v>
      </c>
      <c r="Q196" s="1">
        <v>9</v>
      </c>
      <c r="R196" s="1">
        <v>6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</v>
      </c>
      <c r="Z196" s="1">
        <v>66</v>
      </c>
      <c r="AA196" s="1" t="str" cm="1">
        <f t="array" ref="AA196">_xlfn.IFS(AND(Z196&lt;36, Z196&gt;23), "24-35", AND(Z196&lt;51, Z196&gt;35),"36-50", AND(Z196&lt;66, Z196&gt;50), "51-66", Z196&gt;65, "66+", TRUE, "?")</f>
        <v>66+</v>
      </c>
      <c r="AB196" s="1">
        <v>2804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1</v>
      </c>
      <c r="AL196" s="1">
        <v>1310</v>
      </c>
      <c r="AM196" s="2">
        <v>42045</v>
      </c>
      <c r="AN196" t="str">
        <f t="shared" si="7"/>
        <v>57333,1486,0.0259187553416008,0,1,55,941,14,397,76,58,176,11,8,5,9,6,0,0,0,0,0,0,1,66,66+,2804,1,0,0,0,0,0,0,0,1,1310,42045</v>
      </c>
    </row>
    <row r="197" spans="1:40" ht="13" hidden="1" x14ac:dyDescent="0.15">
      <c r="A197">
        <v>1540</v>
      </c>
      <c r="B197" s="1">
        <v>70440</v>
      </c>
      <c r="C197" s="1">
        <v>1484</v>
      </c>
      <c r="D197" s="4">
        <f t="shared" si="6"/>
        <v>2.1067575241340147E-2</v>
      </c>
      <c r="E197" s="1">
        <v>0</v>
      </c>
      <c r="F197" s="1">
        <v>0</v>
      </c>
      <c r="G197" s="1">
        <v>49</v>
      </c>
      <c r="H197" s="1">
        <v>690</v>
      </c>
      <c r="I197" s="1">
        <v>117</v>
      </c>
      <c r="J197" s="1">
        <v>499</v>
      </c>
      <c r="K197" s="1">
        <v>76</v>
      </c>
      <c r="L197" s="1">
        <v>102</v>
      </c>
      <c r="M197" s="1">
        <v>88</v>
      </c>
      <c r="N197" s="1">
        <v>1</v>
      </c>
      <c r="O197" s="1">
        <v>5</v>
      </c>
      <c r="P197" s="1">
        <v>10</v>
      </c>
      <c r="Q197" s="1">
        <v>7</v>
      </c>
      <c r="R197" s="1">
        <v>3</v>
      </c>
      <c r="S197" s="1">
        <v>1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42</v>
      </c>
      <c r="AA197" s="1" t="str" cm="1">
        <f t="array" ref="AA197">_xlfn.IFS(AND(Z197&lt;36, Z197&gt;23), "24-35", AND(Z197&lt;51, Z197&gt;35),"36-50", AND(Z197&lt;66, Z197&gt;50), "51-66", Z197&gt;65, "66+", TRUE, "?")</f>
        <v>36-50</v>
      </c>
      <c r="AB197" s="1">
        <v>2423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1</v>
      </c>
      <c r="AJ197" s="1">
        <v>0</v>
      </c>
      <c r="AK197" s="1">
        <v>0</v>
      </c>
      <c r="AL197" s="1">
        <v>1396</v>
      </c>
      <c r="AM197" s="2">
        <v>42426</v>
      </c>
      <c r="AN197" t="str">
        <f t="shared" si="7"/>
        <v>70440,1484,0.0210675752413401,0,0,49,690,117,499,76,102,88,1,5,10,7,3,1,0,0,0,0,0,0,42,36-50,2423,0,0,0,1,0,0,1,0,0,1396,42426</v>
      </c>
    </row>
    <row r="198" spans="1:40" ht="13" hidden="1" x14ac:dyDescent="0.15">
      <c r="A198">
        <v>122</v>
      </c>
      <c r="B198" s="1">
        <v>62981</v>
      </c>
      <c r="C198" s="1">
        <v>1482</v>
      </c>
      <c r="D198" s="4">
        <f t="shared" si="6"/>
        <v>2.3530906146298089E-2</v>
      </c>
      <c r="E198" s="1">
        <v>0</v>
      </c>
      <c r="F198" s="1">
        <v>0</v>
      </c>
      <c r="G198" s="1">
        <v>21</v>
      </c>
      <c r="H198" s="1">
        <v>796</v>
      </c>
      <c r="I198" s="1">
        <v>14</v>
      </c>
      <c r="J198" s="1">
        <v>590</v>
      </c>
      <c r="K198" s="1">
        <v>38</v>
      </c>
      <c r="L198" s="1">
        <v>44</v>
      </c>
      <c r="M198" s="1">
        <v>0</v>
      </c>
      <c r="N198" s="1">
        <v>1</v>
      </c>
      <c r="O198" s="1">
        <v>4</v>
      </c>
      <c r="P198" s="1">
        <v>5</v>
      </c>
      <c r="Q198" s="1">
        <v>13</v>
      </c>
      <c r="R198" s="1">
        <v>3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0</v>
      </c>
      <c r="Y198" s="1">
        <v>0</v>
      </c>
      <c r="Z198" s="1">
        <v>53</v>
      </c>
      <c r="AA198" s="1" t="str" cm="1">
        <f t="array" ref="AA198">_xlfn.IFS(AND(Z198&lt;36, Z198&gt;23), "24-35", AND(Z198&lt;51, Z198&gt;35),"36-50", AND(Z198&lt;66, Z198&gt;50), "51-66", Z198&gt;65, "66+", TRUE, "?")</f>
        <v>51-66</v>
      </c>
      <c r="AB198" s="1">
        <v>2628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1</v>
      </c>
      <c r="AL198" s="1">
        <v>1482</v>
      </c>
      <c r="AM198" s="2">
        <v>42221</v>
      </c>
      <c r="AN198" t="str">
        <f t="shared" si="7"/>
        <v>62981,1482,0.0235309061462981,0,0,21,796,14,590,38,44,0,1,4,5,13,3,0,0,0,1,0,0,0,53,51-66,2628,0,0,0,1,0,0,0,0,1,1482,42221</v>
      </c>
    </row>
    <row r="199" spans="1:40" ht="13" x14ac:dyDescent="0.15">
      <c r="A199">
        <v>650</v>
      </c>
      <c r="B199" s="1">
        <v>82014</v>
      </c>
      <c r="C199" s="1">
        <v>1480</v>
      </c>
      <c r="D199" s="4">
        <f t="shared" si="6"/>
        <v>1.8045699514717E-2</v>
      </c>
      <c r="E199" s="1">
        <v>0</v>
      </c>
      <c r="F199" s="1">
        <v>0</v>
      </c>
      <c r="G199" s="1">
        <v>48</v>
      </c>
      <c r="H199" s="1">
        <v>980</v>
      </c>
      <c r="I199" s="1">
        <v>37</v>
      </c>
      <c r="J199" s="1">
        <v>265</v>
      </c>
      <c r="K199" s="1">
        <v>35</v>
      </c>
      <c r="L199" s="1">
        <v>163</v>
      </c>
      <c r="M199" s="1">
        <v>31</v>
      </c>
      <c r="N199" s="1">
        <v>1</v>
      </c>
      <c r="O199" s="1">
        <v>3</v>
      </c>
      <c r="P199" s="1">
        <v>6</v>
      </c>
      <c r="Q199" s="1">
        <v>12</v>
      </c>
      <c r="R199" s="1">
        <v>6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  <c r="Z199" s="1">
        <v>59</v>
      </c>
      <c r="AA199" s="1" t="str" cm="1">
        <f t="array" ref="AA199">_xlfn.IFS(AND(Z199&lt;36, Z199&gt;23), "24-35", AND(Z199&lt;51, Z199&gt;35),"36-50", AND(Z199&lt;66, Z199&gt;50), "51-66", Z199&gt;65, "66+", TRUE, "?")</f>
        <v>51-66</v>
      </c>
      <c r="AB199" s="1">
        <v>2837</v>
      </c>
      <c r="AC199" s="1">
        <v>0</v>
      </c>
      <c r="AD199" s="1">
        <v>0</v>
      </c>
      <c r="AE199" s="1">
        <v>1</v>
      </c>
      <c r="AF199" s="1">
        <v>0</v>
      </c>
      <c r="AG199" s="1">
        <v>0</v>
      </c>
      <c r="AH199" s="1">
        <v>0</v>
      </c>
      <c r="AI199" s="1">
        <v>1</v>
      </c>
      <c r="AJ199" s="1">
        <v>0</v>
      </c>
      <c r="AK199" s="1">
        <v>0</v>
      </c>
      <c r="AL199" s="1">
        <v>1449</v>
      </c>
      <c r="AM199" s="2">
        <v>42012</v>
      </c>
      <c r="AN199" t="str">
        <f t="shared" si="7"/>
        <v>82014,1480,0.018045699514717,0,0,48,980,37,265,35,163,31,1,3,6,12,6,0,0,0,0,0,0,1,59,51-66,2837,0,0,1,0,0,0,1,0,0,1449,42012</v>
      </c>
    </row>
    <row r="200" spans="1:40" ht="13" hidden="1" x14ac:dyDescent="0.15">
      <c r="A200">
        <v>490</v>
      </c>
      <c r="B200" s="1">
        <v>73454</v>
      </c>
      <c r="C200" s="1">
        <v>1476</v>
      </c>
      <c r="D200" s="4">
        <f t="shared" si="6"/>
        <v>2.0094208620361043E-2</v>
      </c>
      <c r="E200" s="1">
        <v>0</v>
      </c>
      <c r="F200" s="1">
        <v>0</v>
      </c>
      <c r="G200" s="1">
        <v>95</v>
      </c>
      <c r="H200" s="1">
        <v>982</v>
      </c>
      <c r="I200" s="1">
        <v>73</v>
      </c>
      <c r="J200" s="1">
        <v>351</v>
      </c>
      <c r="K200" s="1">
        <v>56</v>
      </c>
      <c r="L200" s="1">
        <v>14</v>
      </c>
      <c r="M200" s="1">
        <v>175</v>
      </c>
      <c r="N200" s="1">
        <v>1</v>
      </c>
      <c r="O200" s="1">
        <v>2</v>
      </c>
      <c r="P200" s="1">
        <v>4</v>
      </c>
      <c r="Q200" s="1">
        <v>6</v>
      </c>
      <c r="R200" s="1">
        <v>5</v>
      </c>
      <c r="S200" s="1">
        <v>0</v>
      </c>
      <c r="T200" s="1">
        <v>0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  <c r="Z200" s="1">
        <v>33</v>
      </c>
      <c r="AA200" s="1" t="str" cm="1">
        <f t="array" ref="AA200">_xlfn.IFS(AND(Z200&lt;36, Z200&gt;23), "24-35", AND(Z200&lt;51, Z200&gt;35),"36-50", AND(Z200&lt;66, Z200&gt;50), "51-66", Z200&gt;65, "66+", TRUE, "?")</f>
        <v>24-35</v>
      </c>
      <c r="AB200" s="1">
        <v>2279</v>
      </c>
      <c r="AC200" s="1">
        <v>0</v>
      </c>
      <c r="AD200" s="1">
        <v>0</v>
      </c>
      <c r="AE200" s="1">
        <v>1</v>
      </c>
      <c r="AF200" s="1">
        <v>0</v>
      </c>
      <c r="AG200" s="1">
        <v>0</v>
      </c>
      <c r="AH200" s="1">
        <v>0</v>
      </c>
      <c r="AI200" s="1">
        <v>0</v>
      </c>
      <c r="AJ200" s="1">
        <v>1</v>
      </c>
      <c r="AK200" s="1">
        <v>0</v>
      </c>
      <c r="AL200" s="1">
        <v>1301</v>
      </c>
      <c r="AM200" s="2">
        <v>42570</v>
      </c>
      <c r="AN200" t="str">
        <f t="shared" si="7"/>
        <v>73454,1476,0.020094208620361,0,0,95,982,73,351,56,14,175,1,2,4,6,5,0,0,1,0,0,0,0,33,24-35,2279,0,0,1,0,0,0,0,1,0,1301,42570</v>
      </c>
    </row>
    <row r="201" spans="1:40" ht="13" hidden="1" x14ac:dyDescent="0.15">
      <c r="A201">
        <v>1892</v>
      </c>
      <c r="B201" s="1">
        <v>79823</v>
      </c>
      <c r="C201" s="1">
        <v>1475</v>
      </c>
      <c r="D201" s="4">
        <f t="shared" si="6"/>
        <v>1.8478383423324106E-2</v>
      </c>
      <c r="E201" s="1">
        <v>0</v>
      </c>
      <c r="F201" s="1">
        <v>1</v>
      </c>
      <c r="G201" s="1">
        <v>6</v>
      </c>
      <c r="H201" s="1">
        <v>835</v>
      </c>
      <c r="I201" s="1">
        <v>73</v>
      </c>
      <c r="J201" s="1">
        <v>380</v>
      </c>
      <c r="K201" s="1">
        <v>114</v>
      </c>
      <c r="L201" s="1">
        <v>73</v>
      </c>
      <c r="M201" s="1">
        <v>43</v>
      </c>
      <c r="N201" s="1">
        <v>1</v>
      </c>
      <c r="O201" s="1">
        <v>6</v>
      </c>
      <c r="P201" s="1">
        <v>9</v>
      </c>
      <c r="Q201" s="1">
        <v>7</v>
      </c>
      <c r="R201" s="1">
        <v>2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61</v>
      </c>
      <c r="AA201" s="1" t="str" cm="1">
        <f t="array" ref="AA201">_xlfn.IFS(AND(Z201&lt;36, Z201&gt;23), "24-35", AND(Z201&lt;51, Z201&gt;35),"36-50", AND(Z201&lt;66, Z201&gt;50), "51-66", Z201&gt;65, "66+", TRUE, "?")</f>
        <v>51-66</v>
      </c>
      <c r="AB201" s="1">
        <v>2249</v>
      </c>
      <c r="AC201" s="1">
        <v>0</v>
      </c>
      <c r="AD201" s="1">
        <v>1</v>
      </c>
      <c r="AE201" s="1">
        <v>0</v>
      </c>
      <c r="AF201" s="1">
        <v>0</v>
      </c>
      <c r="AG201" s="1">
        <v>0</v>
      </c>
      <c r="AH201" s="1">
        <v>0</v>
      </c>
      <c r="AI201" s="1">
        <v>1</v>
      </c>
      <c r="AJ201" s="1">
        <v>0</v>
      </c>
      <c r="AK201" s="1">
        <v>0</v>
      </c>
      <c r="AL201" s="1">
        <v>1432</v>
      </c>
      <c r="AM201" s="2">
        <v>42600</v>
      </c>
      <c r="AN201" t="str">
        <f t="shared" si="7"/>
        <v>79823,1475,0.0184783834233241,0,1,6,835,73,380,114,73,43,1,6,9,7,2,0,0,0,1,0,0,0,61,51-66,2249,0,1,0,0,0,0,1,0,0,1432,42600</v>
      </c>
    </row>
    <row r="202" spans="1:40" ht="13" hidden="1" x14ac:dyDescent="0.15">
      <c r="A202">
        <v>1241</v>
      </c>
      <c r="B202" s="1">
        <v>72828</v>
      </c>
      <c r="C202" s="1">
        <v>1473</v>
      </c>
      <c r="D202" s="4">
        <f t="shared" si="6"/>
        <v>2.0225737353765035E-2</v>
      </c>
      <c r="E202" s="1">
        <v>0</v>
      </c>
      <c r="F202" s="1">
        <v>1</v>
      </c>
      <c r="G202" s="1">
        <v>17</v>
      </c>
      <c r="H202" s="1">
        <v>1205</v>
      </c>
      <c r="I202" s="1">
        <v>0</v>
      </c>
      <c r="J202" s="1">
        <v>235</v>
      </c>
      <c r="K202" s="1">
        <v>19</v>
      </c>
      <c r="L202" s="1">
        <v>14</v>
      </c>
      <c r="M202" s="1">
        <v>205</v>
      </c>
      <c r="N202" s="1">
        <v>6</v>
      </c>
      <c r="O202" s="1">
        <v>6</v>
      </c>
      <c r="P202" s="1">
        <v>3</v>
      </c>
      <c r="Q202" s="1">
        <v>13</v>
      </c>
      <c r="R202" s="1">
        <v>7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58</v>
      </c>
      <c r="AA202" s="1" t="str" cm="1">
        <f t="array" ref="AA202">_xlfn.IFS(AND(Z202&lt;36, Z202&gt;23), "24-35", AND(Z202&lt;51, Z202&gt;35),"36-50", AND(Z202&lt;66, Z202&gt;50), "51-66", Z202&gt;65, "66+", TRUE, "?")</f>
        <v>51-66</v>
      </c>
      <c r="AB202" s="1">
        <v>2659</v>
      </c>
      <c r="AC202" s="1">
        <v>0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1</v>
      </c>
      <c r="AK202" s="1">
        <v>0</v>
      </c>
      <c r="AL202" s="1">
        <v>1268</v>
      </c>
      <c r="AM202" s="2">
        <v>42190</v>
      </c>
      <c r="AN202" t="str">
        <f t="shared" si="7"/>
        <v>72828,1473,0.020225737353765,0,1,17,1205,0,235,19,14,205,6,6,3,13,7,0,0,0,0,0,0,0,58,51-66,2659,0,1,0,0,0,0,0,1,0,1268,42190</v>
      </c>
    </row>
    <row r="203" spans="1:40" ht="13" hidden="1" x14ac:dyDescent="0.15">
      <c r="A203">
        <v>385</v>
      </c>
      <c r="B203" s="1">
        <v>66465</v>
      </c>
      <c r="C203" s="1">
        <v>1471</v>
      </c>
      <c r="D203" s="4">
        <f t="shared" si="6"/>
        <v>2.2131949146167156E-2</v>
      </c>
      <c r="E203" s="1">
        <v>0</v>
      </c>
      <c r="F203" s="1">
        <v>1</v>
      </c>
      <c r="G203" s="1">
        <v>1</v>
      </c>
      <c r="H203" s="1">
        <v>1200</v>
      </c>
      <c r="I203" s="1">
        <v>0</v>
      </c>
      <c r="J203" s="1">
        <v>204</v>
      </c>
      <c r="K203" s="1">
        <v>38</v>
      </c>
      <c r="L203" s="1">
        <v>29</v>
      </c>
      <c r="M203" s="1">
        <v>14</v>
      </c>
      <c r="N203" s="1">
        <v>3</v>
      </c>
      <c r="O203" s="1">
        <v>11</v>
      </c>
      <c r="P203" s="1">
        <v>9</v>
      </c>
      <c r="Q203" s="1">
        <v>12</v>
      </c>
      <c r="R203" s="1">
        <v>6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65</v>
      </c>
      <c r="AA203" s="1" t="str" cm="1">
        <f t="array" ref="AA203">_xlfn.IFS(AND(Z203&lt;36, Z203&gt;23), "24-35", AND(Z203&lt;51, Z203&gt;35),"36-50", AND(Z203&lt;66, Z203&gt;50), "51-66", Z203&gt;65, "66+", TRUE, "?")</f>
        <v>51-66</v>
      </c>
      <c r="AB203" s="1">
        <v>2615</v>
      </c>
      <c r="AC203" s="1">
        <v>0</v>
      </c>
      <c r="AD203" s="1">
        <v>1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1</v>
      </c>
      <c r="AL203" s="1">
        <v>1457</v>
      </c>
      <c r="AM203" s="2">
        <v>42234</v>
      </c>
      <c r="AN203" t="str">
        <f t="shared" si="7"/>
        <v>66465,1471,0.0221319491461672,0,1,1,1200,0,204,38,29,14,3,11,9,12,6,1,0,0,0,0,0,0,65,51-66,2615,0,1,0,0,0,0,0,0,1,1457,42234</v>
      </c>
    </row>
    <row r="204" spans="1:40" ht="13" hidden="1" x14ac:dyDescent="0.15">
      <c r="A204">
        <v>1264</v>
      </c>
      <c r="B204" s="1">
        <v>76542</v>
      </c>
      <c r="C204" s="1">
        <v>1469</v>
      </c>
      <c r="D204" s="4">
        <f t="shared" si="6"/>
        <v>1.9192077552193567E-2</v>
      </c>
      <c r="E204" s="1">
        <v>0</v>
      </c>
      <c r="F204" s="1">
        <v>0</v>
      </c>
      <c r="G204" s="1">
        <v>91</v>
      </c>
      <c r="H204" s="1">
        <v>794</v>
      </c>
      <c r="I204" s="1">
        <v>73</v>
      </c>
      <c r="J204" s="1">
        <v>573</v>
      </c>
      <c r="K204" s="1">
        <v>0</v>
      </c>
      <c r="L204" s="1">
        <v>29</v>
      </c>
      <c r="M204" s="1">
        <v>14</v>
      </c>
      <c r="N204" s="1">
        <v>1</v>
      </c>
      <c r="O204" s="1">
        <v>4</v>
      </c>
      <c r="P204" s="1">
        <v>8</v>
      </c>
      <c r="Q204" s="1">
        <v>10</v>
      </c>
      <c r="R204" s="1">
        <v>2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64</v>
      </c>
      <c r="AA204" s="1" t="str" cm="1">
        <f t="array" ref="AA204">_xlfn.IFS(AND(Z204&lt;36, Z204&gt;23), "24-35", AND(Z204&lt;51, Z204&gt;35),"36-50", AND(Z204&lt;66, Z204&gt;50), "51-66", Z204&gt;65, "66+", TRUE, "?")</f>
        <v>51-66</v>
      </c>
      <c r="AB204" s="1">
        <v>2615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1</v>
      </c>
      <c r="AL204" s="1">
        <v>1455</v>
      </c>
      <c r="AM204" s="2">
        <v>42234</v>
      </c>
      <c r="AN204" t="str">
        <f t="shared" si="7"/>
        <v>76542,1469,0.0191920775521936,0,0,91,794,73,573,0,29,14,1,4,8,10,2,0,0,0,0,0,0,0,64,51-66,2615,0,0,0,1,0,0,0,0,1,1455,42234</v>
      </c>
    </row>
    <row r="205" spans="1:40" ht="13" x14ac:dyDescent="0.15">
      <c r="A205">
        <v>653</v>
      </c>
      <c r="B205" s="1">
        <v>77520</v>
      </c>
      <c r="C205" s="1">
        <v>1468</v>
      </c>
      <c r="D205" s="4">
        <f t="shared" si="6"/>
        <v>1.893704850361197E-2</v>
      </c>
      <c r="E205" s="1">
        <v>0</v>
      </c>
      <c r="F205" s="1">
        <v>1</v>
      </c>
      <c r="G205" s="1">
        <v>30</v>
      </c>
      <c r="H205" s="1">
        <v>940</v>
      </c>
      <c r="I205" s="1">
        <v>44</v>
      </c>
      <c r="J205" s="1">
        <v>396</v>
      </c>
      <c r="K205" s="1">
        <v>0</v>
      </c>
      <c r="L205" s="1">
        <v>88</v>
      </c>
      <c r="M205" s="1">
        <v>58</v>
      </c>
      <c r="N205" s="1">
        <v>1</v>
      </c>
      <c r="O205" s="1">
        <v>8</v>
      </c>
      <c r="P205" s="1">
        <v>7</v>
      </c>
      <c r="Q205" s="1">
        <v>7</v>
      </c>
      <c r="R205" s="1">
        <v>4</v>
      </c>
      <c r="S205" s="1">
        <v>1</v>
      </c>
      <c r="T205" s="1">
        <v>0</v>
      </c>
      <c r="U205" s="1">
        <v>1</v>
      </c>
      <c r="V205" s="1">
        <v>0</v>
      </c>
      <c r="W205" s="1">
        <v>1</v>
      </c>
      <c r="X205" s="1">
        <v>0</v>
      </c>
      <c r="Y205" s="1">
        <v>1</v>
      </c>
      <c r="Z205" s="1">
        <v>61</v>
      </c>
      <c r="AA205" s="1" t="str" cm="1">
        <f t="array" ref="AA205">_xlfn.IFS(AND(Z205&lt;36, Z205&gt;23), "24-35", AND(Z205&lt;51, Z205&gt;35),"36-50", AND(Z205&lt;66, Z205&gt;50), "51-66", Z205&gt;65, "66+", TRUE, "?")</f>
        <v>51-66</v>
      </c>
      <c r="AB205" s="1">
        <v>2464</v>
      </c>
      <c r="AC205" s="1">
        <v>0</v>
      </c>
      <c r="AD205" s="1">
        <v>1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1</v>
      </c>
      <c r="AK205" s="1">
        <v>0</v>
      </c>
      <c r="AL205" s="1">
        <v>1410</v>
      </c>
      <c r="AM205" s="2">
        <v>42385</v>
      </c>
      <c r="AN205" t="str">
        <f t="shared" si="7"/>
        <v>77520,1468,0.018937048503612,0,1,30,940,44,396,0,88,58,1,8,7,7,4,1,0,1,0,1,0,1,61,51-66,2464,0,1,0,0,0,0,0,1,0,1410,42385</v>
      </c>
    </row>
    <row r="206" spans="1:40" ht="13" hidden="1" x14ac:dyDescent="0.15">
      <c r="A206">
        <v>765</v>
      </c>
      <c r="B206" s="1">
        <v>91820</v>
      </c>
      <c r="C206" s="1">
        <v>1467</v>
      </c>
      <c r="D206" s="4">
        <f t="shared" si="6"/>
        <v>1.5976911348290133E-2</v>
      </c>
      <c r="E206" s="1">
        <v>0</v>
      </c>
      <c r="F206" s="1">
        <v>0</v>
      </c>
      <c r="G206" s="1">
        <v>72</v>
      </c>
      <c r="H206" s="1">
        <v>410</v>
      </c>
      <c r="I206" s="1">
        <v>73</v>
      </c>
      <c r="J206" s="1">
        <v>747</v>
      </c>
      <c r="K206" s="1">
        <v>76</v>
      </c>
      <c r="L206" s="1">
        <v>161</v>
      </c>
      <c r="M206" s="1">
        <v>30</v>
      </c>
      <c r="N206" s="1">
        <v>0</v>
      </c>
      <c r="O206" s="1">
        <v>5</v>
      </c>
      <c r="P206" s="1">
        <v>5</v>
      </c>
      <c r="Q206" s="1">
        <v>12</v>
      </c>
      <c r="R206" s="1">
        <v>1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34</v>
      </c>
      <c r="AA206" s="1" t="str" cm="1">
        <f t="array" ref="AA206">_xlfn.IFS(AND(Z206&lt;36, Z206&gt;23), "24-35", AND(Z206&lt;51, Z206&gt;35),"36-50", AND(Z206&lt;66, Z206&gt;50), "51-66", Z206&gt;65, "66+", TRUE, "?")</f>
        <v>24-35</v>
      </c>
      <c r="AB206" s="1">
        <v>2377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0</v>
      </c>
      <c r="AK206" s="1">
        <v>1</v>
      </c>
      <c r="AL206" s="1">
        <v>1437</v>
      </c>
      <c r="AM206" s="2">
        <v>42472</v>
      </c>
      <c r="AN206" t="str">
        <f t="shared" si="7"/>
        <v>91820,1467,0.0159769113482901,0,0,72,410,73,747,76,161,30,0,5,5,12,1,0,0,0,0,0,0,0,34,24-35,2377,0,0,0,1,0,0,0,0,1,1437,42472</v>
      </c>
    </row>
    <row r="207" spans="1:40" ht="13" hidden="1" x14ac:dyDescent="0.15">
      <c r="A207">
        <v>1407</v>
      </c>
      <c r="B207" s="1">
        <v>69930</v>
      </c>
      <c r="C207" s="1">
        <v>1466</v>
      </c>
      <c r="D207" s="4">
        <f t="shared" si="6"/>
        <v>2.0963820963820965E-2</v>
      </c>
      <c r="E207" s="1">
        <v>0</v>
      </c>
      <c r="F207" s="1">
        <v>0</v>
      </c>
      <c r="G207" s="1">
        <v>21</v>
      </c>
      <c r="H207" s="1">
        <v>252</v>
      </c>
      <c r="I207" s="1">
        <v>98</v>
      </c>
      <c r="J207" s="1">
        <v>827</v>
      </c>
      <c r="K207" s="1">
        <v>219</v>
      </c>
      <c r="L207" s="1">
        <v>70</v>
      </c>
      <c r="M207" s="1">
        <v>196</v>
      </c>
      <c r="N207" s="1">
        <v>1</v>
      </c>
      <c r="O207" s="1">
        <v>4</v>
      </c>
      <c r="P207" s="1">
        <v>5</v>
      </c>
      <c r="Q207" s="1">
        <v>12</v>
      </c>
      <c r="R207" s="1">
        <v>3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49</v>
      </c>
      <c r="AA207" s="1" t="str" cm="1">
        <f t="array" ref="AA207">_xlfn.IFS(AND(Z207&lt;36, Z207&gt;23), "24-35", AND(Z207&lt;51, Z207&gt;35),"36-50", AND(Z207&lt;66, Z207&gt;50), "51-66", Z207&gt;65, "66+", TRUE, "?")</f>
        <v>36-50</v>
      </c>
      <c r="AB207" s="1">
        <v>2558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1</v>
      </c>
      <c r="AJ207" s="1">
        <v>0</v>
      </c>
      <c r="AK207" s="1">
        <v>0</v>
      </c>
      <c r="AL207" s="1">
        <v>1270</v>
      </c>
      <c r="AM207" s="2">
        <v>42291</v>
      </c>
      <c r="AN207" t="str">
        <f t="shared" si="7"/>
        <v>69930,1466,0.020963820963821,0,0,21,252,98,827,219,70,196,1,4,5,12,3,0,0,0,0,0,0,0,49,36-50,2558,0,0,0,1,0,0,1,0,0,1270,42291</v>
      </c>
    </row>
    <row r="208" spans="1:40" ht="13" hidden="1" x14ac:dyDescent="0.15">
      <c r="A208">
        <v>1415</v>
      </c>
      <c r="B208" s="1">
        <v>57036</v>
      </c>
      <c r="C208" s="1">
        <v>1466</v>
      </c>
      <c r="D208" s="4">
        <f t="shared" si="6"/>
        <v>2.5703064731047057E-2</v>
      </c>
      <c r="E208" s="1">
        <v>0</v>
      </c>
      <c r="F208" s="1">
        <v>1</v>
      </c>
      <c r="G208" s="1">
        <v>33</v>
      </c>
      <c r="H208" s="1">
        <v>1171</v>
      </c>
      <c r="I208" s="1">
        <v>43</v>
      </c>
      <c r="J208" s="1">
        <v>219</v>
      </c>
      <c r="K208" s="1">
        <v>19</v>
      </c>
      <c r="L208" s="1">
        <v>14</v>
      </c>
      <c r="M208" s="1">
        <v>47</v>
      </c>
      <c r="N208" s="1">
        <v>4</v>
      </c>
      <c r="O208" s="1">
        <v>6</v>
      </c>
      <c r="P208" s="1">
        <v>3</v>
      </c>
      <c r="Q208" s="1">
        <v>13</v>
      </c>
      <c r="R208" s="1">
        <v>9</v>
      </c>
      <c r="S208" s="1">
        <v>0</v>
      </c>
      <c r="T208" s="1">
        <v>0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45</v>
      </c>
      <c r="AA208" s="1" t="str" cm="1">
        <f t="array" ref="AA208">_xlfn.IFS(AND(Z208&lt;36, Z208&gt;23), "24-35", AND(Z208&lt;51, Z208&gt;35),"36-50", AND(Z208&lt;66, Z208&gt;50), "51-66", Z208&gt;65, "66+", TRUE, "?")</f>
        <v>36-50</v>
      </c>
      <c r="AB208" s="1">
        <v>2724</v>
      </c>
      <c r="AC208" s="1">
        <v>0</v>
      </c>
      <c r="AD208" s="1">
        <v>1</v>
      </c>
      <c r="AE208" s="1">
        <v>0</v>
      </c>
      <c r="AF208" s="1">
        <v>0</v>
      </c>
      <c r="AG208" s="1">
        <v>0</v>
      </c>
      <c r="AH208" s="1">
        <v>1</v>
      </c>
      <c r="AI208" s="1">
        <v>0</v>
      </c>
      <c r="AJ208" s="1">
        <v>0</v>
      </c>
      <c r="AK208" s="1">
        <v>0</v>
      </c>
      <c r="AL208" s="1">
        <v>1419</v>
      </c>
      <c r="AM208" s="2">
        <v>42125</v>
      </c>
      <c r="AN208" t="str">
        <f t="shared" si="7"/>
        <v>57036,1466,0.0257030647310471,0,1,33,1171,43,219,19,14,47,4,6,3,13,9,0,0,1,0,0,0,0,45,36-50,2724,0,1,0,0,0,1,0,0,0,1419,42125</v>
      </c>
    </row>
    <row r="209" spans="1:40" ht="13" x14ac:dyDescent="0.15">
      <c r="A209">
        <v>659</v>
      </c>
      <c r="B209" s="1">
        <v>73892</v>
      </c>
      <c r="C209" s="1">
        <v>1464</v>
      </c>
      <c r="D209" s="4">
        <f t="shared" si="6"/>
        <v>1.981269961565528E-2</v>
      </c>
      <c r="E209" s="1">
        <v>0</v>
      </c>
      <c r="F209" s="1">
        <v>0</v>
      </c>
      <c r="G209" s="1">
        <v>40</v>
      </c>
      <c r="H209" s="1">
        <v>703</v>
      </c>
      <c r="I209" s="1">
        <v>102</v>
      </c>
      <c r="J209" s="1">
        <v>601</v>
      </c>
      <c r="K209" s="1">
        <v>0</v>
      </c>
      <c r="L209" s="1">
        <v>58</v>
      </c>
      <c r="M209" s="1">
        <v>43</v>
      </c>
      <c r="N209" s="1">
        <v>1</v>
      </c>
      <c r="O209" s="1">
        <v>3</v>
      </c>
      <c r="P209" s="1">
        <v>11</v>
      </c>
      <c r="Q209" s="1">
        <v>8</v>
      </c>
      <c r="R209" s="1">
        <v>1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67</v>
      </c>
      <c r="AA209" s="1" t="str" cm="1">
        <f t="array" ref="AA209">_xlfn.IFS(AND(Z209&lt;36, Z209&gt;23), "24-35", AND(Z209&lt;51, Z209&gt;35),"36-50", AND(Z209&lt;66, Z209&gt;50), "51-66", Z209&gt;65, "66+", TRUE, "?")</f>
        <v>66+</v>
      </c>
      <c r="AB209" s="1">
        <v>2387</v>
      </c>
      <c r="AC209" s="1">
        <v>0</v>
      </c>
      <c r="AD209" s="1">
        <v>0</v>
      </c>
      <c r="AE209" s="1">
        <v>1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1421</v>
      </c>
      <c r="AM209" s="2">
        <v>42462</v>
      </c>
      <c r="AN209" t="str">
        <f t="shared" si="7"/>
        <v>73892,1464,0.0198126996156553,0,0,40,703,102,601,0,58,43,1,3,11,8,1,0,0,0,0,0,0,1,67,66+,2387,0,0,1,0,0,0,1,0,0,1421,42462</v>
      </c>
    </row>
    <row r="210" spans="1:40" ht="13" hidden="1" x14ac:dyDescent="0.15">
      <c r="A210">
        <v>230</v>
      </c>
      <c r="B210" s="1">
        <v>65176</v>
      </c>
      <c r="C210" s="1">
        <v>1461</v>
      </c>
      <c r="D210" s="4">
        <f t="shared" si="6"/>
        <v>2.2416226831962687E-2</v>
      </c>
      <c r="E210" s="1">
        <v>0</v>
      </c>
      <c r="F210" s="1">
        <v>1</v>
      </c>
      <c r="G210" s="1">
        <v>57</v>
      </c>
      <c r="H210" s="1">
        <v>960</v>
      </c>
      <c r="I210" s="1">
        <v>28</v>
      </c>
      <c r="J210" s="1">
        <v>183</v>
      </c>
      <c r="K210" s="1">
        <v>220</v>
      </c>
      <c r="L210" s="1">
        <v>70</v>
      </c>
      <c r="M210" s="1">
        <v>70</v>
      </c>
      <c r="N210" s="1">
        <v>4</v>
      </c>
      <c r="O210" s="1">
        <v>9</v>
      </c>
      <c r="P210" s="1">
        <v>6</v>
      </c>
      <c r="Q210" s="1">
        <v>6</v>
      </c>
      <c r="R210" s="1">
        <v>6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51</v>
      </c>
      <c r="AA210" s="1" t="str" cm="1">
        <f t="array" ref="AA210">_xlfn.IFS(AND(Z210&lt;36, Z210&gt;23), "24-35", AND(Z210&lt;51, Z210&gt;35),"36-50", AND(Z210&lt;66, Z210&gt;50), "51-66", Z210&gt;65, "66+", TRUE, "?")</f>
        <v>51-66</v>
      </c>
      <c r="AB210" s="1">
        <v>2767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1</v>
      </c>
      <c r="AK210" s="1">
        <v>0</v>
      </c>
      <c r="AL210" s="1">
        <v>1391</v>
      </c>
      <c r="AM210" s="2">
        <v>42082</v>
      </c>
      <c r="AN210" t="str">
        <f t="shared" si="7"/>
        <v>65176,1461,0.0224162268319627,0,1,57,960,28,183,220,70,70,4,9,6,6,6,0,0,0,0,0,0,0,51,51-66,2767,0,0,0,1,0,0,0,1,0,1391,42082</v>
      </c>
    </row>
    <row r="211" spans="1:40" ht="13" x14ac:dyDescent="0.15">
      <c r="A211">
        <v>664</v>
      </c>
      <c r="B211" s="1">
        <v>69109</v>
      </c>
      <c r="C211" s="1">
        <v>1460</v>
      </c>
      <c r="D211" s="4">
        <f t="shared" si="6"/>
        <v>2.112604725867832E-2</v>
      </c>
      <c r="E211" s="1">
        <v>0</v>
      </c>
      <c r="F211" s="1">
        <v>0</v>
      </c>
      <c r="G211" s="1">
        <v>10</v>
      </c>
      <c r="H211" s="1">
        <v>823</v>
      </c>
      <c r="I211" s="1">
        <v>25</v>
      </c>
      <c r="J211" s="1">
        <v>459</v>
      </c>
      <c r="K211" s="1">
        <v>124</v>
      </c>
      <c r="L211" s="1">
        <v>29</v>
      </c>
      <c r="M211" s="1">
        <v>95</v>
      </c>
      <c r="N211" s="1">
        <v>1</v>
      </c>
      <c r="O211" s="1">
        <v>6</v>
      </c>
      <c r="P211" s="1">
        <v>6</v>
      </c>
      <c r="Q211" s="1">
        <v>7</v>
      </c>
      <c r="R211" s="1">
        <v>4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0</v>
      </c>
      <c r="Y211" s="1">
        <v>1</v>
      </c>
      <c r="Z211" s="1">
        <v>38</v>
      </c>
      <c r="AA211" s="1" t="str" cm="1">
        <f t="array" ref="AA211">_xlfn.IFS(AND(Z211&lt;36, Z211&gt;23), "24-35", AND(Z211&lt;51, Z211&gt;35),"36-50", AND(Z211&lt;66, Z211&gt;50), "51-66", Z211&gt;65, "66+", TRUE, "?")</f>
        <v>36-50</v>
      </c>
      <c r="AB211" s="1">
        <v>2756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0</v>
      </c>
      <c r="AL211" s="1">
        <v>1365</v>
      </c>
      <c r="AM211" s="2">
        <v>42093</v>
      </c>
      <c r="AN211" t="str">
        <f t="shared" si="7"/>
        <v>69109,1460,0.0211260472586783,0,0,10,823,25,459,124,29,95,1,6,6,7,4,0,0,0,0,1,0,1,38,36-50,2756,0,1,0,0,0,0,1,0,0,1365,42093</v>
      </c>
    </row>
    <row r="212" spans="1:40" ht="13" hidden="1" x14ac:dyDescent="0.15">
      <c r="A212">
        <v>266</v>
      </c>
      <c r="B212" s="1">
        <v>79946</v>
      </c>
      <c r="C212" s="1">
        <v>1450</v>
      </c>
      <c r="D212" s="4">
        <f t="shared" si="6"/>
        <v>1.8137242638781179E-2</v>
      </c>
      <c r="E212" s="1">
        <v>0</v>
      </c>
      <c r="F212" s="1">
        <v>0</v>
      </c>
      <c r="G212" s="1">
        <v>19</v>
      </c>
      <c r="H212" s="1">
        <v>395</v>
      </c>
      <c r="I212" s="1">
        <v>183</v>
      </c>
      <c r="J212" s="1">
        <v>565</v>
      </c>
      <c r="K212" s="1">
        <v>166</v>
      </c>
      <c r="L212" s="1">
        <v>141</v>
      </c>
      <c r="M212" s="1">
        <v>28</v>
      </c>
      <c r="N212" s="1">
        <v>1</v>
      </c>
      <c r="O212" s="1">
        <v>5</v>
      </c>
      <c r="P212" s="1">
        <v>11</v>
      </c>
      <c r="Q212" s="1">
        <v>5</v>
      </c>
      <c r="R212" s="1">
        <v>3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54</v>
      </c>
      <c r="AA212" s="1" t="str" cm="1">
        <f t="array" ref="AA212">_xlfn.IFS(AND(Z212&lt;36, Z212&gt;23), "24-35", AND(Z212&lt;51, Z212&gt;35),"36-50", AND(Z212&lt;66, Z212&gt;50), "51-66", Z212&gt;65, "66+", TRUE, "?")</f>
        <v>51-66</v>
      </c>
      <c r="AB212" s="1">
        <v>2207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  <c r="AI212" s="1">
        <v>1</v>
      </c>
      <c r="AJ212" s="1">
        <v>0</v>
      </c>
      <c r="AK212" s="1">
        <v>0</v>
      </c>
      <c r="AL212" s="1">
        <v>1422</v>
      </c>
      <c r="AM212" s="2">
        <v>42642</v>
      </c>
      <c r="AN212" t="str">
        <f t="shared" si="7"/>
        <v>79946,1450,0.0181372426387812,0,0,19,395,183,565,166,141,28,1,5,11,5,3,0,0,0,0,0,0,0,54,51-66,2207,0,0,0,0,1,0,1,0,0,1422,42642</v>
      </c>
    </row>
    <row r="213" spans="1:40" ht="13" x14ac:dyDescent="0.15">
      <c r="A213">
        <v>678</v>
      </c>
      <c r="B213" s="1">
        <v>73687</v>
      </c>
      <c r="C213" s="1">
        <v>1446</v>
      </c>
      <c r="D213" s="4">
        <f t="shared" si="6"/>
        <v>1.96235428230217E-2</v>
      </c>
      <c r="E213" s="1">
        <v>0</v>
      </c>
      <c r="F213" s="1">
        <v>0</v>
      </c>
      <c r="G213" s="1">
        <v>8</v>
      </c>
      <c r="H213" s="1">
        <v>559</v>
      </c>
      <c r="I213" s="1">
        <v>153</v>
      </c>
      <c r="J213" s="1">
        <v>503</v>
      </c>
      <c r="K213" s="1">
        <v>218</v>
      </c>
      <c r="L213" s="1">
        <v>13</v>
      </c>
      <c r="M213" s="1">
        <v>181</v>
      </c>
      <c r="N213" s="1">
        <v>1</v>
      </c>
      <c r="O213" s="1">
        <v>3</v>
      </c>
      <c r="P213" s="1">
        <v>9</v>
      </c>
      <c r="Q213" s="1">
        <v>9</v>
      </c>
      <c r="R213" s="1">
        <v>2</v>
      </c>
      <c r="S213" s="1">
        <v>1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30</v>
      </c>
      <c r="AA213" s="1" t="str" cm="1">
        <f t="array" ref="AA213">_xlfn.IFS(AND(Z213&lt;36, Z213&gt;23), "24-35", AND(Z213&lt;51, Z213&gt;35),"36-50", AND(Z213&lt;66, Z213&gt;50), "51-66", Z213&gt;65, "66+", TRUE, "?")</f>
        <v>24-35</v>
      </c>
      <c r="AB213" s="1">
        <v>2372</v>
      </c>
      <c r="AC213" s="1">
        <v>0</v>
      </c>
      <c r="AD213" s="1">
        <v>1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1265</v>
      </c>
      <c r="AM213" s="2">
        <v>42477</v>
      </c>
      <c r="AN213" t="str">
        <f t="shared" si="7"/>
        <v>73687,1446,0.0196235428230217,0,0,8,559,153,503,218,13,181,1,3,9,9,2,1,0,0,0,0,0,1,30,24-35,2372,0,1,0,0,0,0,1,0,0,1265,42477</v>
      </c>
    </row>
    <row r="214" spans="1:40" ht="13" hidden="1" x14ac:dyDescent="0.15">
      <c r="A214">
        <v>786</v>
      </c>
      <c r="B214" s="1">
        <v>81702</v>
      </c>
      <c r="C214" s="1">
        <v>1446</v>
      </c>
      <c r="D214" s="4">
        <f t="shared" si="6"/>
        <v>1.7698465153851803E-2</v>
      </c>
      <c r="E214" s="1">
        <v>0</v>
      </c>
      <c r="F214" s="1">
        <v>0</v>
      </c>
      <c r="G214" s="1">
        <v>98</v>
      </c>
      <c r="H214" s="1">
        <v>563</v>
      </c>
      <c r="I214" s="1">
        <v>50</v>
      </c>
      <c r="J214" s="1">
        <v>774</v>
      </c>
      <c r="K214" s="1">
        <v>28</v>
      </c>
      <c r="L214" s="1">
        <v>31</v>
      </c>
      <c r="M214" s="1">
        <v>187</v>
      </c>
      <c r="N214" s="1">
        <v>1</v>
      </c>
      <c r="O214" s="1">
        <v>7</v>
      </c>
      <c r="P214" s="1">
        <v>7</v>
      </c>
      <c r="Q214" s="1">
        <v>12</v>
      </c>
      <c r="R214" s="1">
        <v>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40</v>
      </c>
      <c r="AA214" s="1" t="str" cm="1">
        <f t="array" ref="AA214">_xlfn.IFS(AND(Z214&lt;36, Z214&gt;23), "24-35", AND(Z214&lt;51, Z214&gt;35),"36-50", AND(Z214&lt;66, Z214&gt;50), "51-66", Z214&gt;65, "66+", TRUE, "?")</f>
        <v>36-50</v>
      </c>
      <c r="AB214" s="1">
        <v>2803</v>
      </c>
      <c r="AC214" s="1">
        <v>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</v>
      </c>
      <c r="AJ214" s="1">
        <v>0</v>
      </c>
      <c r="AK214" s="1">
        <v>0</v>
      </c>
      <c r="AL214" s="1">
        <v>1259</v>
      </c>
      <c r="AM214" s="2">
        <v>42046</v>
      </c>
      <c r="AN214" t="str">
        <f t="shared" si="7"/>
        <v>81702,1446,0.0176984651538518,0,0,98,563,50,774,28,31,187,1,7,7,12,3,0,0,0,0,0,0,0,40,36-50,2803,1,0,0,0,0,0,1,0,0,1259,42046</v>
      </c>
    </row>
    <row r="215" spans="1:40" ht="13" hidden="1" x14ac:dyDescent="0.15">
      <c r="A215">
        <v>1400</v>
      </c>
      <c r="B215" s="1">
        <v>79529</v>
      </c>
      <c r="C215" s="1">
        <v>1441</v>
      </c>
      <c r="D215" s="4">
        <f t="shared" si="6"/>
        <v>1.8119176652541841E-2</v>
      </c>
      <c r="E215" s="1">
        <v>0</v>
      </c>
      <c r="F215" s="1">
        <v>0</v>
      </c>
      <c r="G215" s="1">
        <v>1</v>
      </c>
      <c r="H215" s="1">
        <v>423</v>
      </c>
      <c r="I215" s="1">
        <v>42</v>
      </c>
      <c r="J215" s="1">
        <v>706</v>
      </c>
      <c r="K215" s="1">
        <v>73</v>
      </c>
      <c r="L215" s="1">
        <v>197</v>
      </c>
      <c r="M215" s="1">
        <v>197</v>
      </c>
      <c r="N215" s="1">
        <v>1</v>
      </c>
      <c r="O215" s="1">
        <v>4</v>
      </c>
      <c r="P215" s="1">
        <v>8</v>
      </c>
      <c r="Q215" s="1">
        <v>9</v>
      </c>
      <c r="R215" s="1">
        <v>2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34</v>
      </c>
      <c r="AA215" s="1" t="str" cm="1">
        <f t="array" ref="AA215">_xlfn.IFS(AND(Z215&lt;36, Z215&gt;23), "24-35", AND(Z215&lt;51, Z215&gt;35),"36-50", AND(Z215&lt;66, Z215&gt;50), "51-66", Z215&gt;65, "66+", TRUE, "?")</f>
        <v>24-35</v>
      </c>
      <c r="AB215" s="1">
        <v>2222</v>
      </c>
      <c r="AC215" s="1">
        <v>0</v>
      </c>
      <c r="AD215" s="1">
        <v>1</v>
      </c>
      <c r="AE215" s="1">
        <v>0</v>
      </c>
      <c r="AF215" s="1">
        <v>0</v>
      </c>
      <c r="AG215" s="1">
        <v>0</v>
      </c>
      <c r="AH215" s="1">
        <v>0</v>
      </c>
      <c r="AI215" s="1">
        <v>1</v>
      </c>
      <c r="AJ215" s="1">
        <v>0</v>
      </c>
      <c r="AK215" s="1">
        <v>0</v>
      </c>
      <c r="AL215" s="1">
        <v>1244</v>
      </c>
      <c r="AM215" s="2">
        <v>42627</v>
      </c>
      <c r="AN215" t="str">
        <f t="shared" si="7"/>
        <v>79529,1441,0.0181191766525418,0,0,1,423,42,706,73,197,197,1,4,8,9,2,0,0,0,0,0,0,0,34,24-35,2222,0,1,0,0,0,0,1,0,0,1244,42627</v>
      </c>
    </row>
    <row r="216" spans="1:40" ht="13" x14ac:dyDescent="0.15">
      <c r="A216">
        <v>687</v>
      </c>
      <c r="B216" s="1">
        <v>74538</v>
      </c>
      <c r="C216" s="1">
        <v>1433</v>
      </c>
      <c r="D216" s="4">
        <f t="shared" si="6"/>
        <v>1.9225093241031419E-2</v>
      </c>
      <c r="E216" s="1">
        <v>0</v>
      </c>
      <c r="F216" s="1">
        <v>0</v>
      </c>
      <c r="G216" s="1">
        <v>21</v>
      </c>
      <c r="H216" s="1">
        <v>380</v>
      </c>
      <c r="I216" s="1">
        <v>98</v>
      </c>
      <c r="J216" s="1">
        <v>733</v>
      </c>
      <c r="K216" s="1">
        <v>110</v>
      </c>
      <c r="L216" s="1">
        <v>112</v>
      </c>
      <c r="M216" s="1">
        <v>28</v>
      </c>
      <c r="N216" s="1">
        <v>1</v>
      </c>
      <c r="O216" s="1">
        <v>8</v>
      </c>
      <c r="P216" s="1">
        <v>8</v>
      </c>
      <c r="Q216" s="1">
        <v>5</v>
      </c>
      <c r="R216" s="1">
        <v>3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0</v>
      </c>
      <c r="Y216" s="1">
        <v>1</v>
      </c>
      <c r="Z216" s="1">
        <v>49</v>
      </c>
      <c r="AA216" s="1" t="str" cm="1">
        <f t="array" ref="AA216">_xlfn.IFS(AND(Z216&lt;36, Z216&gt;23), "24-35", AND(Z216&lt;51, Z216&gt;35),"36-50", AND(Z216&lt;66, Z216&gt;50), "51-66", Z216&gt;65, "66+", TRUE, "?")</f>
        <v>36-50</v>
      </c>
      <c r="AB216" s="1">
        <v>2524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1</v>
      </c>
      <c r="AJ216" s="1">
        <v>0</v>
      </c>
      <c r="AK216" s="1">
        <v>0</v>
      </c>
      <c r="AL216" s="1">
        <v>1405</v>
      </c>
      <c r="AM216" s="2">
        <v>42325</v>
      </c>
      <c r="AN216" t="str">
        <f t="shared" si="7"/>
        <v>74538,1433,0.0192250932410314,0,0,21,380,98,733,110,112,28,1,8,8,5,3,0,0,0,0,1,0,1,49,36-50,2524,0,0,0,1,0,0,1,0,0,1405,42325</v>
      </c>
    </row>
    <row r="217" spans="1:40" ht="13" hidden="1" x14ac:dyDescent="0.15">
      <c r="A217">
        <v>1651</v>
      </c>
      <c r="B217" s="1">
        <v>63207</v>
      </c>
      <c r="C217" s="1">
        <v>1432</v>
      </c>
      <c r="D217" s="4">
        <f t="shared" si="6"/>
        <v>2.2655718512190105E-2</v>
      </c>
      <c r="E217" s="1">
        <v>0</v>
      </c>
      <c r="F217" s="1">
        <v>0</v>
      </c>
      <c r="G217" s="1">
        <v>68</v>
      </c>
      <c r="H217" s="1">
        <v>438</v>
      </c>
      <c r="I217" s="1">
        <v>169</v>
      </c>
      <c r="J217" s="1">
        <v>565</v>
      </c>
      <c r="K217" s="1">
        <v>91</v>
      </c>
      <c r="L217" s="1">
        <v>169</v>
      </c>
      <c r="M217" s="1">
        <v>70</v>
      </c>
      <c r="N217" s="1">
        <v>1</v>
      </c>
      <c r="O217" s="1">
        <v>2</v>
      </c>
      <c r="P217" s="1">
        <v>3</v>
      </c>
      <c r="Q217" s="1">
        <v>6</v>
      </c>
      <c r="R217" s="1">
        <v>7</v>
      </c>
      <c r="S217" s="1">
        <v>1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28</v>
      </c>
      <c r="AA217" s="1" t="str" cm="1">
        <f t="array" ref="AA217">_xlfn.IFS(AND(Z217&lt;36, Z217&gt;23), "24-35", AND(Z217&lt;51, Z217&gt;35),"36-50", AND(Z217&lt;66, Z217&gt;50), "51-66", Z217&gt;65, "66+", TRUE, "?")</f>
        <v>24-35</v>
      </c>
      <c r="AB217" s="1">
        <v>2684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1</v>
      </c>
      <c r="AJ217" s="1">
        <v>0</v>
      </c>
      <c r="AK217" s="1">
        <v>0</v>
      </c>
      <c r="AL217" s="1">
        <v>1362</v>
      </c>
      <c r="AM217" s="2">
        <v>42165</v>
      </c>
      <c r="AN217" t="str">
        <f t="shared" si="7"/>
        <v>63207,1432,0.0226557185121901,0,0,68,438,169,565,91,169,70,1,2,3,6,7,1,0,0,0,0,0,0,28,24-35,2684,0,0,0,1,0,0,1,0,0,1362,42165</v>
      </c>
    </row>
    <row r="218" spans="1:40" ht="13" hidden="1" x14ac:dyDescent="0.15">
      <c r="A218">
        <v>686</v>
      </c>
      <c r="B218" s="1">
        <v>89694</v>
      </c>
      <c r="C218" s="1">
        <v>1430</v>
      </c>
      <c r="D218" s="4">
        <f t="shared" si="6"/>
        <v>1.5943095413294087E-2</v>
      </c>
      <c r="E218" s="1">
        <v>1</v>
      </c>
      <c r="F218" s="1">
        <v>1</v>
      </c>
      <c r="G218" s="1">
        <v>22</v>
      </c>
      <c r="H218" s="1">
        <v>1126</v>
      </c>
      <c r="I218" s="1">
        <v>28</v>
      </c>
      <c r="J218" s="1">
        <v>211</v>
      </c>
      <c r="K218" s="1">
        <v>37</v>
      </c>
      <c r="L218" s="1">
        <v>28</v>
      </c>
      <c r="M218" s="1">
        <v>42</v>
      </c>
      <c r="N218" s="1">
        <v>3</v>
      </c>
      <c r="O218" s="1">
        <v>4</v>
      </c>
      <c r="P218" s="1">
        <v>3</v>
      </c>
      <c r="Q218" s="1">
        <v>4</v>
      </c>
      <c r="R218" s="1">
        <v>5</v>
      </c>
      <c r="S218" s="1">
        <v>1</v>
      </c>
      <c r="T218" s="1">
        <v>0</v>
      </c>
      <c r="U218" s="1">
        <v>0</v>
      </c>
      <c r="V218" s="1">
        <v>1</v>
      </c>
      <c r="W218" s="1">
        <v>1</v>
      </c>
      <c r="X218" s="1">
        <v>0</v>
      </c>
      <c r="Y218" s="1">
        <v>0</v>
      </c>
      <c r="Z218" s="1">
        <v>47</v>
      </c>
      <c r="AA218" s="1" t="str" cm="1">
        <f t="array" ref="AA218">_xlfn.IFS(AND(Z218&lt;36, Z218&gt;23), "24-35", AND(Z218&lt;51, Z218&gt;35),"36-50", AND(Z218&lt;66, Z218&gt;50), "51-66", Z218&gt;65, "66+", TRUE, "?")</f>
        <v>36-50</v>
      </c>
      <c r="AB218" s="1">
        <v>2422</v>
      </c>
      <c r="AC218" s="1">
        <v>1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</v>
      </c>
      <c r="AJ218" s="1">
        <v>0</v>
      </c>
      <c r="AK218" s="1">
        <v>0</v>
      </c>
      <c r="AL218" s="1">
        <v>1388</v>
      </c>
      <c r="AM218" s="2">
        <v>42427</v>
      </c>
      <c r="AN218" t="str">
        <f t="shared" si="7"/>
        <v>89694,1430,0.0159430954132941,1,1,22,1126,28,211,37,28,42,3,4,3,4,5,1,0,0,1,1,0,0,47,36-50,2422,1,0,0,0,0,0,1,0,0,1388,42427</v>
      </c>
    </row>
    <row r="219" spans="1:40" ht="13" hidden="1" x14ac:dyDescent="0.15">
      <c r="A219">
        <v>1362</v>
      </c>
      <c r="B219" s="1">
        <v>67419</v>
      </c>
      <c r="C219" s="1">
        <v>1429</v>
      </c>
      <c r="D219" s="4">
        <f t="shared" si="6"/>
        <v>2.1195805336774499E-2</v>
      </c>
      <c r="E219" s="1">
        <v>0</v>
      </c>
      <c r="F219" s="1">
        <v>1</v>
      </c>
      <c r="G219" s="1">
        <v>29</v>
      </c>
      <c r="H219" s="1">
        <v>846</v>
      </c>
      <c r="I219" s="1">
        <v>84</v>
      </c>
      <c r="J219" s="1">
        <v>352</v>
      </c>
      <c r="K219" s="1">
        <v>91</v>
      </c>
      <c r="L219" s="1">
        <v>56</v>
      </c>
      <c r="M219" s="1">
        <v>42</v>
      </c>
      <c r="N219" s="1">
        <v>4</v>
      </c>
      <c r="O219" s="1">
        <v>9</v>
      </c>
      <c r="P219" s="1">
        <v>4</v>
      </c>
      <c r="Q219" s="1">
        <v>8</v>
      </c>
      <c r="R219" s="1">
        <v>5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50</v>
      </c>
      <c r="AA219" s="1" t="str" cm="1">
        <f t="array" ref="AA219">_xlfn.IFS(AND(Z219&lt;36, Z219&gt;23), "24-35", AND(Z219&lt;51, Z219&gt;35),"36-50", AND(Z219&lt;66, Z219&gt;50), "51-66", Z219&gt;65, "66+", TRUE, "?")</f>
        <v>36-50</v>
      </c>
      <c r="AB219" s="1">
        <v>2688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1</v>
      </c>
      <c r="AJ219" s="1">
        <v>0</v>
      </c>
      <c r="AK219" s="1">
        <v>0</v>
      </c>
      <c r="AL219" s="1">
        <v>1387</v>
      </c>
      <c r="AM219" s="2">
        <v>42161</v>
      </c>
      <c r="AN219" t="str">
        <f t="shared" si="7"/>
        <v>67419,1429,0.0211958053367745,0,1,29,846,84,352,91,56,42,4,9,4,8,5,0,0,0,0,0,0,0,50,36-50,2688,0,0,0,1,0,0,1,0,0,1387,42161</v>
      </c>
    </row>
    <row r="220" spans="1:40" ht="13" hidden="1" x14ac:dyDescent="0.15">
      <c r="A220">
        <v>1388</v>
      </c>
      <c r="B220" s="1">
        <v>71706</v>
      </c>
      <c r="C220" s="1">
        <v>1429</v>
      </c>
      <c r="D220" s="4">
        <f t="shared" si="6"/>
        <v>1.9928597327978134E-2</v>
      </c>
      <c r="E220" s="1">
        <v>0</v>
      </c>
      <c r="F220" s="1">
        <v>1</v>
      </c>
      <c r="G220" s="1">
        <v>16</v>
      </c>
      <c r="H220" s="1">
        <v>931</v>
      </c>
      <c r="I220" s="1">
        <v>56</v>
      </c>
      <c r="J220" s="1">
        <v>253</v>
      </c>
      <c r="K220" s="1">
        <v>91</v>
      </c>
      <c r="L220" s="1">
        <v>98</v>
      </c>
      <c r="M220" s="1">
        <v>14</v>
      </c>
      <c r="N220" s="1">
        <v>4</v>
      </c>
      <c r="O220" s="1">
        <v>9</v>
      </c>
      <c r="P220" s="1">
        <v>5</v>
      </c>
      <c r="Q220" s="1">
        <v>7</v>
      </c>
      <c r="R220" s="1">
        <v>5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61</v>
      </c>
      <c r="AA220" s="1" t="str" cm="1">
        <f t="array" ref="AA220">_xlfn.IFS(AND(Z220&lt;36, Z220&gt;23), "24-35", AND(Z220&lt;51, Z220&gt;35),"36-50", AND(Z220&lt;66, Z220&gt;50), "51-66", Z220&gt;65, "66+", TRUE, "?")</f>
        <v>51-66</v>
      </c>
      <c r="AB220" s="1">
        <v>2752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1</v>
      </c>
      <c r="AJ220" s="1">
        <v>0</v>
      </c>
      <c r="AK220" s="1">
        <v>0</v>
      </c>
      <c r="AL220" s="1">
        <v>1415</v>
      </c>
      <c r="AM220" s="2">
        <v>42097</v>
      </c>
      <c r="AN220" t="str">
        <f t="shared" si="7"/>
        <v>71706,1429,0.0199285973279781,0,1,16,931,56,253,91,98,14,4,9,5,7,5,0,0,0,0,0,0,0,61,51-66,2752,0,0,0,1,0,0,1,0,0,1415,42097</v>
      </c>
    </row>
    <row r="221" spans="1:40" ht="13" hidden="1" x14ac:dyDescent="0.15">
      <c r="A221">
        <v>777</v>
      </c>
      <c r="B221" s="1">
        <v>80995</v>
      </c>
      <c r="C221" s="1">
        <v>1426</v>
      </c>
      <c r="D221" s="4">
        <f t="shared" si="6"/>
        <v>1.7606025063275511E-2</v>
      </c>
      <c r="E221" s="1">
        <v>0</v>
      </c>
      <c r="F221" s="1">
        <v>1</v>
      </c>
      <c r="G221" s="1">
        <v>83</v>
      </c>
      <c r="H221" s="1">
        <v>860</v>
      </c>
      <c r="I221" s="1">
        <v>28</v>
      </c>
      <c r="J221" s="1">
        <v>409</v>
      </c>
      <c r="K221" s="1">
        <v>73</v>
      </c>
      <c r="L221" s="1">
        <v>56</v>
      </c>
      <c r="M221" s="1">
        <v>56</v>
      </c>
      <c r="N221" s="1">
        <v>1</v>
      </c>
      <c r="O221" s="1">
        <v>8</v>
      </c>
      <c r="P221" s="1">
        <v>9</v>
      </c>
      <c r="Q221" s="1">
        <v>4</v>
      </c>
      <c r="R221" s="1">
        <v>4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62</v>
      </c>
      <c r="AA221" s="1" t="str" cm="1">
        <f t="array" ref="AA221">_xlfn.IFS(AND(Z221&lt;36, Z221&gt;23), "24-35", AND(Z221&lt;51, Z221&gt;35),"36-50", AND(Z221&lt;66, Z221&gt;50), "51-66", Z221&gt;65, "66+", TRUE, "?")</f>
        <v>51-66</v>
      </c>
      <c r="AB221" s="1">
        <v>2573</v>
      </c>
      <c r="AC221" s="1">
        <v>0</v>
      </c>
      <c r="AD221" s="1">
        <v>0</v>
      </c>
      <c r="AE221" s="1">
        <v>0</v>
      </c>
      <c r="AF221" s="1">
        <v>0</v>
      </c>
      <c r="AG221" s="1">
        <v>1</v>
      </c>
      <c r="AH221" s="1">
        <v>0</v>
      </c>
      <c r="AI221" s="1">
        <v>0</v>
      </c>
      <c r="AJ221" s="1">
        <v>0</v>
      </c>
      <c r="AK221" s="1">
        <v>1</v>
      </c>
      <c r="AL221" s="1">
        <v>1370</v>
      </c>
      <c r="AM221" s="2">
        <v>42276</v>
      </c>
      <c r="AN221" t="str">
        <f t="shared" si="7"/>
        <v>80995,1426,0.0176060250632755,0,1,83,860,28,409,73,56,56,1,8,9,4,4,0,0,0,0,0,0,0,62,51-66,2573,0,0,0,0,1,0,0,0,1,1370,42276</v>
      </c>
    </row>
    <row r="222" spans="1:40" ht="13" hidden="1" x14ac:dyDescent="0.15">
      <c r="A222">
        <v>856</v>
      </c>
      <c r="B222" s="1">
        <v>78420</v>
      </c>
      <c r="C222" s="1">
        <v>1425</v>
      </c>
      <c r="D222" s="4">
        <f t="shared" si="6"/>
        <v>1.8171384850803367E-2</v>
      </c>
      <c r="E222" s="1">
        <v>0</v>
      </c>
      <c r="F222" s="1">
        <v>0</v>
      </c>
      <c r="G222" s="1">
        <v>75</v>
      </c>
      <c r="H222" s="1">
        <v>604</v>
      </c>
      <c r="I222" s="1">
        <v>28</v>
      </c>
      <c r="J222" s="1">
        <v>674</v>
      </c>
      <c r="K222" s="1">
        <v>91</v>
      </c>
      <c r="L222" s="1">
        <v>28</v>
      </c>
      <c r="M222" s="1">
        <v>28</v>
      </c>
      <c r="N222" s="1">
        <v>1</v>
      </c>
      <c r="O222" s="1">
        <v>3</v>
      </c>
      <c r="P222" s="1">
        <v>10</v>
      </c>
      <c r="Q222" s="1">
        <v>8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54</v>
      </c>
      <c r="AA222" s="1" t="str" cm="1">
        <f t="array" ref="AA222">_xlfn.IFS(AND(Z222&lt;36, Z222&gt;23), "24-35", AND(Z222&lt;51, Z222&gt;35),"36-50", AND(Z222&lt;66, Z222&gt;50), "51-66", Z222&gt;65, "66+", TRUE, "?")</f>
        <v>51-66</v>
      </c>
      <c r="AB222" s="1">
        <v>2524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1</v>
      </c>
      <c r="AL222" s="1">
        <v>1397</v>
      </c>
      <c r="AM222" s="2">
        <v>42325</v>
      </c>
      <c r="AN222" t="str">
        <f t="shared" si="7"/>
        <v>78420,1425,0.0181713848508034,0,0,75,604,28,674,91,28,28,1,3,10,8,1,0,0,0,0,0,0,0,54,51-66,2524,0,0,1,0,0,0,0,0,1,1397,42325</v>
      </c>
    </row>
    <row r="223" spans="1:40" ht="13" hidden="1" x14ac:dyDescent="0.15">
      <c r="A223">
        <v>1081</v>
      </c>
      <c r="B223" s="1">
        <v>68142</v>
      </c>
      <c r="C223" s="1">
        <v>1422</v>
      </c>
      <c r="D223" s="4">
        <f t="shared" si="6"/>
        <v>2.0868187021220393E-2</v>
      </c>
      <c r="E223" s="1">
        <v>0</v>
      </c>
      <c r="F223" s="1">
        <v>1</v>
      </c>
      <c r="G223" s="1">
        <v>96</v>
      </c>
      <c r="H223" s="1">
        <v>897</v>
      </c>
      <c r="I223" s="1">
        <v>126</v>
      </c>
      <c r="J223" s="1">
        <v>196</v>
      </c>
      <c r="K223" s="1">
        <v>91</v>
      </c>
      <c r="L223" s="1">
        <v>112</v>
      </c>
      <c r="M223" s="1">
        <v>37</v>
      </c>
      <c r="N223" s="1">
        <v>3</v>
      </c>
      <c r="O223" s="1">
        <v>10</v>
      </c>
      <c r="P223" s="1">
        <v>4</v>
      </c>
      <c r="Q223" s="1">
        <v>7</v>
      </c>
      <c r="R223" s="1">
        <v>6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56</v>
      </c>
      <c r="AA223" s="1" t="str" cm="1">
        <f t="array" ref="AA223">_xlfn.IFS(AND(Z223&lt;36, Z223&gt;23), "24-35", AND(Z223&lt;51, Z223&gt;35),"36-50", AND(Z223&lt;66, Z223&gt;50), "51-66", Z223&gt;65, "66+", TRUE, "?")</f>
        <v>51-66</v>
      </c>
      <c r="AB223" s="1">
        <v>2828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1</v>
      </c>
      <c r="AJ223" s="1">
        <v>0</v>
      </c>
      <c r="AK223" s="1">
        <v>0</v>
      </c>
      <c r="AL223" s="1">
        <v>1385</v>
      </c>
      <c r="AM223" s="2">
        <v>42021</v>
      </c>
      <c r="AN223" t="str">
        <f t="shared" si="7"/>
        <v>68142,1422,0.0208681870212204,0,1,96,897,126,196,91,112,37,3,10,4,7,6,0,0,0,0,0,0,0,56,51-66,2828,0,0,0,1,0,0,1,0,0,1385,42021</v>
      </c>
    </row>
    <row r="224" spans="1:40" ht="13" x14ac:dyDescent="0.15">
      <c r="A224">
        <v>701</v>
      </c>
      <c r="B224" s="1">
        <v>67369</v>
      </c>
      <c r="C224" s="1">
        <v>1419</v>
      </c>
      <c r="D224" s="4">
        <f t="shared" si="6"/>
        <v>2.1063100238982321E-2</v>
      </c>
      <c r="E224" s="1">
        <v>0</v>
      </c>
      <c r="F224" s="1">
        <v>1</v>
      </c>
      <c r="G224" s="1">
        <v>81</v>
      </c>
      <c r="H224" s="1">
        <v>1298</v>
      </c>
      <c r="I224" s="1">
        <v>0</v>
      </c>
      <c r="J224" s="1">
        <v>70</v>
      </c>
      <c r="K224" s="1">
        <v>37</v>
      </c>
      <c r="L224" s="1">
        <v>14</v>
      </c>
      <c r="M224" s="1">
        <v>42</v>
      </c>
      <c r="N224" s="1">
        <v>4</v>
      </c>
      <c r="O224" s="1">
        <v>7</v>
      </c>
      <c r="P224" s="1">
        <v>4</v>
      </c>
      <c r="Q224" s="1">
        <v>10</v>
      </c>
      <c r="R224" s="1">
        <v>4</v>
      </c>
      <c r="S224" s="1">
        <v>0</v>
      </c>
      <c r="T224" s="1">
        <v>0</v>
      </c>
      <c r="U224" s="1">
        <v>0</v>
      </c>
      <c r="V224" s="1">
        <v>1</v>
      </c>
      <c r="W224" s="1">
        <v>1</v>
      </c>
      <c r="X224" s="1">
        <v>0</v>
      </c>
      <c r="Y224" s="1">
        <v>1</v>
      </c>
      <c r="Z224" s="1">
        <v>51</v>
      </c>
      <c r="AA224" s="1" t="str" cm="1">
        <f t="array" ref="AA224">_xlfn.IFS(AND(Z224&lt;36, Z224&gt;23), "24-35", AND(Z224&lt;51, Z224&gt;35),"36-50", AND(Z224&lt;66, Z224&gt;50), "51-66", Z224&gt;65, "66+", TRUE, "?")</f>
        <v>51-66</v>
      </c>
      <c r="AB224" s="1">
        <v>2748</v>
      </c>
      <c r="AC224" s="1">
        <v>0</v>
      </c>
      <c r="AD224" s="1">
        <v>0</v>
      </c>
      <c r="AE224" s="1">
        <v>0</v>
      </c>
      <c r="AF224" s="1">
        <v>0</v>
      </c>
      <c r="AG224" s="1">
        <v>1</v>
      </c>
      <c r="AH224" s="1">
        <v>0</v>
      </c>
      <c r="AI224" s="1">
        <v>0</v>
      </c>
      <c r="AJ224" s="1">
        <v>1</v>
      </c>
      <c r="AK224" s="1">
        <v>0</v>
      </c>
      <c r="AL224" s="1">
        <v>1377</v>
      </c>
      <c r="AM224" s="2">
        <v>42101</v>
      </c>
      <c r="AN224" t="str">
        <f t="shared" si="7"/>
        <v>67369,1419,0.0210631002389823,0,1,81,1298,0,70,37,14,42,4,7,4,10,4,0,0,0,1,1,0,1,51,51-66,2748,0,0,0,0,1,0,0,1,0,1377,42101</v>
      </c>
    </row>
    <row r="225" spans="1:40" ht="13" hidden="1" x14ac:dyDescent="0.15">
      <c r="A225">
        <v>1920</v>
      </c>
      <c r="B225" s="1">
        <v>72217</v>
      </c>
      <c r="C225" s="1">
        <v>1419</v>
      </c>
      <c r="D225" s="4">
        <f t="shared" si="6"/>
        <v>1.9649113089715717E-2</v>
      </c>
      <c r="E225" s="1">
        <v>0</v>
      </c>
      <c r="F225" s="1">
        <v>0</v>
      </c>
      <c r="G225" s="1">
        <v>93</v>
      </c>
      <c r="H225" s="1">
        <v>816</v>
      </c>
      <c r="I225" s="1">
        <v>42</v>
      </c>
      <c r="J225" s="1">
        <v>450</v>
      </c>
      <c r="K225" s="1">
        <v>55</v>
      </c>
      <c r="L225" s="1">
        <v>56</v>
      </c>
      <c r="M225" s="1">
        <v>154</v>
      </c>
      <c r="N225" s="1">
        <v>1</v>
      </c>
      <c r="O225" s="1">
        <v>3</v>
      </c>
      <c r="P225" s="1">
        <v>10</v>
      </c>
      <c r="Q225" s="1">
        <v>8</v>
      </c>
      <c r="R225" s="1">
        <v>2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58</v>
      </c>
      <c r="AA225" s="1" t="str" cm="1">
        <f t="array" ref="AA225">_xlfn.IFS(AND(Z225&lt;36, Z225&gt;23), "24-35", AND(Z225&lt;51, Z225&gt;35),"36-50", AND(Z225&lt;66, Z225&gt;50), "51-66", Z225&gt;65, "66+", TRUE, "?")</f>
        <v>51-66</v>
      </c>
      <c r="AB225" s="1">
        <v>2604</v>
      </c>
      <c r="AC225" s="1">
        <v>0</v>
      </c>
      <c r="AD225" s="1">
        <v>0</v>
      </c>
      <c r="AE225" s="1">
        <v>1</v>
      </c>
      <c r="AF225" s="1">
        <v>0</v>
      </c>
      <c r="AG225" s="1">
        <v>0</v>
      </c>
      <c r="AH225" s="1">
        <v>0</v>
      </c>
      <c r="AI225" s="1">
        <v>0</v>
      </c>
      <c r="AJ225" s="1">
        <v>1</v>
      </c>
      <c r="AK225" s="1">
        <v>0</v>
      </c>
      <c r="AL225" s="1">
        <v>1265</v>
      </c>
      <c r="AM225" s="2">
        <v>42245</v>
      </c>
      <c r="AN225" t="str">
        <f t="shared" si="7"/>
        <v>72217,1419,0.0196491130897157,0,0,93,816,42,450,55,56,154,1,3,10,8,2,0,0,0,0,0,0,0,58,51-66,2604,0,0,1,0,0,0,0,1,0,1265,42245</v>
      </c>
    </row>
    <row r="226" spans="1:40" ht="13" hidden="1" x14ac:dyDescent="0.15">
      <c r="A226">
        <v>702</v>
      </c>
      <c r="B226" s="1">
        <v>83443</v>
      </c>
      <c r="C226" s="1">
        <v>1413</v>
      </c>
      <c r="D226" s="4">
        <f t="shared" si="6"/>
        <v>1.6933715230756326E-2</v>
      </c>
      <c r="E226" s="1">
        <v>0</v>
      </c>
      <c r="F226" s="1">
        <v>0</v>
      </c>
      <c r="G226" s="1">
        <v>89</v>
      </c>
      <c r="H226" s="1">
        <v>518</v>
      </c>
      <c r="I226" s="1">
        <v>42</v>
      </c>
      <c r="J226" s="1">
        <v>742</v>
      </c>
      <c r="K226" s="1">
        <v>55</v>
      </c>
      <c r="L226" s="1">
        <v>56</v>
      </c>
      <c r="M226" s="1">
        <v>84</v>
      </c>
      <c r="N226" s="1">
        <v>1</v>
      </c>
      <c r="O226" s="1">
        <v>6</v>
      </c>
      <c r="P226" s="1">
        <v>10</v>
      </c>
      <c r="Q226" s="1">
        <v>5</v>
      </c>
      <c r="R226" s="1">
        <v>2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48</v>
      </c>
      <c r="AA226" s="1" t="str" cm="1">
        <f t="array" ref="AA226">_xlfn.IFS(AND(Z226&lt;36, Z226&gt;23), "24-35", AND(Z226&lt;51, Z226&gt;35),"36-50", AND(Z226&lt;66, Z226&gt;50), "51-66", Z226&gt;65, "66+", TRUE, "?")</f>
        <v>36-50</v>
      </c>
      <c r="AB226" s="1">
        <v>2339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0</v>
      </c>
      <c r="AK226" s="1">
        <v>1</v>
      </c>
      <c r="AL226" s="1">
        <v>1329</v>
      </c>
      <c r="AM226" s="2">
        <v>42510</v>
      </c>
      <c r="AN226" t="str">
        <f t="shared" si="7"/>
        <v>83443,1413,0.0169337152307563,0,0,89,518,42,742,55,56,84,1,6,10,5,2,0,0,0,0,0,0,0,48,36-50,2339,0,0,0,1,0,0,0,0,1,1329,42510</v>
      </c>
    </row>
    <row r="227" spans="1:40" ht="13" x14ac:dyDescent="0.15">
      <c r="A227">
        <v>707</v>
      </c>
      <c r="B227" s="1">
        <v>86429</v>
      </c>
      <c r="C227" s="1">
        <v>1412</v>
      </c>
      <c r="D227" s="4">
        <f t="shared" si="6"/>
        <v>1.6337109072186419E-2</v>
      </c>
      <c r="E227" s="1">
        <v>0</v>
      </c>
      <c r="F227" s="1">
        <v>0</v>
      </c>
      <c r="G227" s="1">
        <v>10</v>
      </c>
      <c r="H227" s="1">
        <v>464</v>
      </c>
      <c r="I227" s="1">
        <v>28</v>
      </c>
      <c r="J227" s="1">
        <v>873</v>
      </c>
      <c r="K227" s="1">
        <v>29</v>
      </c>
      <c r="L227" s="1">
        <v>18</v>
      </c>
      <c r="M227" s="1">
        <v>37</v>
      </c>
      <c r="N227" s="1">
        <v>0</v>
      </c>
      <c r="O227" s="1">
        <v>7</v>
      </c>
      <c r="P227" s="1">
        <v>4</v>
      </c>
      <c r="Q227" s="1">
        <v>7</v>
      </c>
      <c r="R227" s="1">
        <v>2</v>
      </c>
      <c r="S227" s="1">
        <v>1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59</v>
      </c>
      <c r="AA227" s="1" t="str" cm="1">
        <f t="array" ref="AA227">_xlfn.IFS(AND(Z227&lt;36, Z227&gt;23), "24-35", AND(Z227&lt;51, Z227&gt;35),"36-50", AND(Z227&lt;66, Z227&gt;50), "51-66", Z227&gt;65, "66+", TRUE, "?")</f>
        <v>51-66</v>
      </c>
      <c r="AB227" s="1">
        <v>2379</v>
      </c>
      <c r="AC227" s="1">
        <v>0</v>
      </c>
      <c r="AD227" s="1">
        <v>0</v>
      </c>
      <c r="AE227" s="1">
        <v>1</v>
      </c>
      <c r="AF227" s="1">
        <v>0</v>
      </c>
      <c r="AG227" s="1">
        <v>0</v>
      </c>
      <c r="AH227" s="1">
        <v>0</v>
      </c>
      <c r="AI227" s="1">
        <v>1</v>
      </c>
      <c r="AJ227" s="1">
        <v>0</v>
      </c>
      <c r="AK227" s="1">
        <v>0</v>
      </c>
      <c r="AL227" s="1">
        <v>1375</v>
      </c>
      <c r="AM227" s="2">
        <v>42470</v>
      </c>
      <c r="AN227" t="str">
        <f t="shared" si="7"/>
        <v>86429,1412,0.0163371090721864,0,0,10,464,28,873,29,18,37,0,7,4,7,2,1,0,0,0,0,0,1,59,51-66,2379,0,0,1,0,0,0,1,0,0,1375,42470</v>
      </c>
    </row>
    <row r="228" spans="1:40" ht="13" x14ac:dyDescent="0.15">
      <c r="A228">
        <v>704</v>
      </c>
      <c r="B228" s="1">
        <v>75693</v>
      </c>
      <c r="C228" s="1">
        <v>1412</v>
      </c>
      <c r="D228" s="4">
        <f t="shared" si="6"/>
        <v>1.8654300926109417E-2</v>
      </c>
      <c r="E228" s="1">
        <v>0</v>
      </c>
      <c r="F228" s="1">
        <v>0</v>
      </c>
      <c r="G228" s="1">
        <v>10</v>
      </c>
      <c r="H228" s="1">
        <v>797</v>
      </c>
      <c r="I228" s="1">
        <v>153</v>
      </c>
      <c r="J228" s="1">
        <v>293</v>
      </c>
      <c r="K228" s="1">
        <v>72</v>
      </c>
      <c r="L228" s="1">
        <v>97</v>
      </c>
      <c r="M228" s="1">
        <v>30</v>
      </c>
      <c r="N228" s="1">
        <v>1</v>
      </c>
      <c r="O228" s="1">
        <v>11</v>
      </c>
      <c r="P228" s="1">
        <v>4</v>
      </c>
      <c r="Q228" s="1">
        <v>6</v>
      </c>
      <c r="R228" s="1">
        <v>4</v>
      </c>
      <c r="S228" s="1">
        <v>1</v>
      </c>
      <c r="T228" s="1">
        <v>0</v>
      </c>
      <c r="U228" s="1">
        <v>0</v>
      </c>
      <c r="V228" s="1">
        <v>1</v>
      </c>
      <c r="W228" s="1">
        <v>1</v>
      </c>
      <c r="X228" s="1">
        <v>0</v>
      </c>
      <c r="Y228" s="1">
        <v>1</v>
      </c>
      <c r="Z228" s="1">
        <v>52</v>
      </c>
      <c r="AA228" s="1" t="str" cm="1">
        <f t="array" ref="AA228">_xlfn.IFS(AND(Z228&lt;36, Z228&gt;23), "24-35", AND(Z228&lt;51, Z228&gt;35),"36-50", AND(Z228&lt;66, Z228&gt;50), "51-66", Z228&gt;65, "66+", TRUE, "?")</f>
        <v>51-66</v>
      </c>
      <c r="AB228" s="1">
        <v>2729</v>
      </c>
      <c r="AC228" s="1">
        <v>1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1</v>
      </c>
      <c r="AJ228" s="1">
        <v>0</v>
      </c>
      <c r="AK228" s="1">
        <v>0</v>
      </c>
      <c r="AL228" s="1">
        <v>1382</v>
      </c>
      <c r="AM228" s="2">
        <v>42120</v>
      </c>
      <c r="AN228" t="str">
        <f t="shared" si="7"/>
        <v>75693,1412,0.0186543009261094,0,0,10,797,153,293,72,97,30,1,11,4,6,4,1,0,0,1,1,0,1,52,51-66,2729,1,0,0,0,0,0,1,0,0,1382,42120</v>
      </c>
    </row>
    <row r="229" spans="1:40" ht="13" x14ac:dyDescent="0.15">
      <c r="A229">
        <v>714</v>
      </c>
      <c r="B229" s="1">
        <v>63120</v>
      </c>
      <c r="C229" s="1">
        <v>1408</v>
      </c>
      <c r="D229" s="4">
        <f t="shared" si="6"/>
        <v>2.2306717363751585E-2</v>
      </c>
      <c r="E229" s="1">
        <v>0</v>
      </c>
      <c r="F229" s="1">
        <v>1</v>
      </c>
      <c r="G229" s="1">
        <v>53</v>
      </c>
      <c r="H229" s="1">
        <v>965</v>
      </c>
      <c r="I229" s="1">
        <v>69</v>
      </c>
      <c r="J229" s="1">
        <v>279</v>
      </c>
      <c r="K229" s="1">
        <v>54</v>
      </c>
      <c r="L229" s="1">
        <v>41</v>
      </c>
      <c r="M229" s="1">
        <v>69</v>
      </c>
      <c r="N229" s="1">
        <v>5</v>
      </c>
      <c r="O229" s="1">
        <v>8</v>
      </c>
      <c r="P229" s="1">
        <v>4</v>
      </c>
      <c r="Q229" s="1">
        <v>9</v>
      </c>
      <c r="R229" s="1">
        <v>7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  <c r="Z229" s="1">
        <v>70</v>
      </c>
      <c r="AA229" s="1" t="str" cm="1">
        <f t="array" ref="AA229">_xlfn.IFS(AND(Z229&lt;36, Z229&gt;23), "24-35", AND(Z229&lt;51, Z229&gt;35),"36-50", AND(Z229&lt;66, Z229&gt;50), "51-66", Z229&gt;65, "66+", TRUE, "?")</f>
        <v>66+</v>
      </c>
      <c r="AB229" s="1">
        <v>2798</v>
      </c>
      <c r="AC229" s="1">
        <v>1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1</v>
      </c>
      <c r="AK229" s="1">
        <v>0</v>
      </c>
      <c r="AL229" s="1">
        <v>1339</v>
      </c>
      <c r="AM229" s="2">
        <v>42051</v>
      </c>
      <c r="AN229" t="str">
        <f t="shared" si="7"/>
        <v>63120,1408,0.0223067173637516,0,1,53,965,69,279,54,41,69,5,8,4,9,7,0,0,0,0,0,0,1,70,66+,2798,1,0,0,0,0,0,0,1,0,1339,42051</v>
      </c>
    </row>
    <row r="230" spans="1:40" ht="13" hidden="1" x14ac:dyDescent="0.15">
      <c r="A230">
        <v>1047</v>
      </c>
      <c r="B230" s="1">
        <v>71819</v>
      </c>
      <c r="C230" s="1">
        <v>1406</v>
      </c>
      <c r="D230" s="4">
        <f t="shared" si="6"/>
        <v>1.9576992160848801E-2</v>
      </c>
      <c r="E230" s="1">
        <v>0</v>
      </c>
      <c r="F230" s="1">
        <v>1</v>
      </c>
      <c r="G230" s="1">
        <v>70</v>
      </c>
      <c r="H230" s="1">
        <v>1224</v>
      </c>
      <c r="I230" s="1">
        <v>28</v>
      </c>
      <c r="J230" s="1">
        <v>140</v>
      </c>
      <c r="K230" s="1">
        <v>0</v>
      </c>
      <c r="L230" s="1">
        <v>14</v>
      </c>
      <c r="M230" s="1">
        <v>168</v>
      </c>
      <c r="N230" s="1">
        <v>3</v>
      </c>
      <c r="O230" s="1">
        <v>3</v>
      </c>
      <c r="P230" s="1">
        <v>3</v>
      </c>
      <c r="Q230" s="1">
        <v>5</v>
      </c>
      <c r="R230" s="1">
        <v>6</v>
      </c>
      <c r="S230" s="1">
        <v>0</v>
      </c>
      <c r="T230" s="1">
        <v>0</v>
      </c>
      <c r="U230" s="1">
        <v>0</v>
      </c>
      <c r="V230" s="1">
        <v>1</v>
      </c>
      <c r="W230" s="1">
        <v>1</v>
      </c>
      <c r="X230" s="1">
        <v>0</v>
      </c>
      <c r="Y230" s="1">
        <v>0</v>
      </c>
      <c r="Z230" s="1">
        <v>49</v>
      </c>
      <c r="AA230" s="1" t="str" cm="1">
        <f t="array" ref="AA230">_xlfn.IFS(AND(Z230&lt;36, Z230&gt;23), "24-35", AND(Z230&lt;51, Z230&gt;35),"36-50", AND(Z230&lt;66, Z230&gt;50), "51-66", Z230&gt;65, "66+", TRUE, "?")</f>
        <v>36-50</v>
      </c>
      <c r="AB230" s="1">
        <v>2464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1</v>
      </c>
      <c r="AJ230" s="1">
        <v>0</v>
      </c>
      <c r="AK230" s="1">
        <v>0</v>
      </c>
      <c r="AL230" s="1">
        <v>1238</v>
      </c>
      <c r="AM230" s="2">
        <v>42385</v>
      </c>
      <c r="AN230" t="str">
        <f t="shared" si="7"/>
        <v>71819,1406,0.0195769921608488,0,1,70,1224,28,140,0,14,168,3,3,3,5,6,0,0,0,1,1,0,0,49,36-50,2464,0,0,0,1,0,0,1,0,0,1238,42385</v>
      </c>
    </row>
    <row r="231" spans="1:40" ht="13" hidden="1" x14ac:dyDescent="0.15">
      <c r="A231">
        <v>2003</v>
      </c>
      <c r="B231" s="1">
        <v>80617</v>
      </c>
      <c r="C231" s="1">
        <v>1403</v>
      </c>
      <c r="D231" s="4">
        <f t="shared" si="6"/>
        <v>1.7403277224406762E-2</v>
      </c>
      <c r="E231" s="1">
        <v>0</v>
      </c>
      <c r="F231" s="1">
        <v>0</v>
      </c>
      <c r="G231" s="1">
        <v>42</v>
      </c>
      <c r="H231" s="1">
        <v>594</v>
      </c>
      <c r="I231" s="1">
        <v>51</v>
      </c>
      <c r="J231" s="1">
        <v>631</v>
      </c>
      <c r="K231" s="1">
        <v>72</v>
      </c>
      <c r="L231" s="1">
        <v>55</v>
      </c>
      <c r="M231" s="1">
        <v>32</v>
      </c>
      <c r="N231" s="1">
        <v>1</v>
      </c>
      <c r="O231" s="1">
        <v>4</v>
      </c>
      <c r="P231" s="1">
        <v>6</v>
      </c>
      <c r="Q231" s="1">
        <v>8</v>
      </c>
      <c r="R231" s="1">
        <v>2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25</v>
      </c>
      <c r="AA231" s="1" t="str" cm="1">
        <f t="array" ref="AA231">_xlfn.IFS(AND(Z231&lt;36, Z231&gt;23), "24-35", AND(Z231&lt;51, Z231&gt;35),"36-50", AND(Z231&lt;66, Z231&gt;50), "51-66", Z231&gt;65, "66+", TRUE, "?")</f>
        <v>24-35</v>
      </c>
      <c r="AB231" s="1">
        <v>2784</v>
      </c>
      <c r="AC231" s="1">
        <v>0</v>
      </c>
      <c r="AD231" s="1">
        <v>0</v>
      </c>
      <c r="AE231" s="1">
        <v>1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v>0</v>
      </c>
      <c r="AL231" s="1">
        <v>1371</v>
      </c>
      <c r="AM231" s="2">
        <v>42065</v>
      </c>
      <c r="AN231" t="str">
        <f t="shared" si="7"/>
        <v>80617,1403,0.0174032772244068,0,0,42,594,51,631,72,55,32,1,4,6,8,2,0,0,0,0,0,0,0,25,24-35,2784,0,0,1,0,0,1,0,0,0,1371,42065</v>
      </c>
    </row>
    <row r="232" spans="1:40" ht="13" x14ac:dyDescent="0.15">
      <c r="A232">
        <v>723</v>
      </c>
      <c r="B232" s="1">
        <v>80589</v>
      </c>
      <c r="C232" s="1">
        <v>1402</v>
      </c>
      <c r="D232" s="4">
        <f t="shared" si="6"/>
        <v>1.7396915211753464E-2</v>
      </c>
      <c r="E232" s="1">
        <v>0</v>
      </c>
      <c r="F232" s="1">
        <v>0</v>
      </c>
      <c r="G232" s="1">
        <v>25</v>
      </c>
      <c r="H232" s="1">
        <v>507</v>
      </c>
      <c r="I232" s="1">
        <v>93</v>
      </c>
      <c r="J232" s="1">
        <v>520</v>
      </c>
      <c r="K232" s="1">
        <v>242</v>
      </c>
      <c r="L232" s="1">
        <v>40</v>
      </c>
      <c r="M232" s="1">
        <v>26</v>
      </c>
      <c r="N232" s="1">
        <v>1</v>
      </c>
      <c r="O232" s="1">
        <v>5</v>
      </c>
      <c r="P232" s="1">
        <v>10</v>
      </c>
      <c r="Q232" s="1">
        <v>5</v>
      </c>
      <c r="R232" s="1">
        <v>1</v>
      </c>
      <c r="S232" s="1">
        <v>1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  <c r="Z232" s="1">
        <v>76</v>
      </c>
      <c r="AA232" s="1" t="str" cm="1">
        <f t="array" ref="AA232">_xlfn.IFS(AND(Z232&lt;36, Z232&gt;23), "24-35", AND(Z232&lt;51, Z232&gt;35),"36-50", AND(Z232&lt;66, Z232&gt;50), "51-66", Z232&gt;65, "66+", TRUE, "?")</f>
        <v>66+</v>
      </c>
      <c r="AB232" s="1">
        <v>2317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1</v>
      </c>
      <c r="AJ232" s="1">
        <v>0</v>
      </c>
      <c r="AK232" s="1">
        <v>0</v>
      </c>
      <c r="AL232" s="1">
        <v>1376</v>
      </c>
      <c r="AM232" s="2">
        <v>42532</v>
      </c>
      <c r="AN232" t="str">
        <f t="shared" si="7"/>
        <v>80589,1402,0.0173969152117535,0,0,25,507,93,520,242,40,26,1,5,10,5,1,1,0,0,0,0,0,1,76,66+,2317,0,1,0,0,0,0,1,0,0,1376,42532</v>
      </c>
    </row>
    <row r="233" spans="1:40" ht="13" x14ac:dyDescent="0.15">
      <c r="A233">
        <v>738</v>
      </c>
      <c r="B233" s="1">
        <v>73356</v>
      </c>
      <c r="C233" s="1">
        <v>1400</v>
      </c>
      <c r="D233" s="4">
        <f t="shared" si="6"/>
        <v>1.9085010087791045E-2</v>
      </c>
      <c r="E233" s="1">
        <v>0</v>
      </c>
      <c r="F233" s="1">
        <v>0</v>
      </c>
      <c r="G233" s="1">
        <v>56</v>
      </c>
      <c r="H233" s="1">
        <v>1050</v>
      </c>
      <c r="I233" s="1">
        <v>14</v>
      </c>
      <c r="J233" s="1">
        <v>322</v>
      </c>
      <c r="K233" s="1">
        <v>0</v>
      </c>
      <c r="L233" s="1">
        <v>14</v>
      </c>
      <c r="M233" s="1">
        <v>112</v>
      </c>
      <c r="N233" s="1">
        <v>1</v>
      </c>
      <c r="O233" s="1">
        <v>5</v>
      </c>
      <c r="P233" s="1">
        <v>11</v>
      </c>
      <c r="Q233" s="1">
        <v>5</v>
      </c>
      <c r="R233" s="1">
        <v>2</v>
      </c>
      <c r="S233" s="1">
        <v>1</v>
      </c>
      <c r="T233" s="1">
        <v>0</v>
      </c>
      <c r="U233" s="1">
        <v>1</v>
      </c>
      <c r="V233" s="1">
        <v>0</v>
      </c>
      <c r="W233" s="1">
        <v>1</v>
      </c>
      <c r="X233" s="1">
        <v>0</v>
      </c>
      <c r="Y233" s="1">
        <v>1</v>
      </c>
      <c r="Z233" s="1">
        <v>36</v>
      </c>
      <c r="AA233" s="1" t="str" cm="1">
        <f t="array" ref="AA233">_xlfn.IFS(AND(Z233&lt;36, Z233&gt;23), "24-35", AND(Z233&lt;51, Z233&gt;35),"36-50", AND(Z233&lt;66, Z233&gt;50), "51-66", Z233&gt;65, "66+", TRUE, "?")</f>
        <v>36-50</v>
      </c>
      <c r="AB233" s="1">
        <v>2302</v>
      </c>
      <c r="AC233" s="1">
        <v>0</v>
      </c>
      <c r="AD233" s="1">
        <v>1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1</v>
      </c>
      <c r="AL233" s="1">
        <v>1288</v>
      </c>
      <c r="AM233" s="2">
        <v>42547</v>
      </c>
      <c r="AN233" t="str">
        <f t="shared" si="7"/>
        <v>73356,1400,0.019085010087791,0,0,56,1050,14,322,0,14,112,1,5,11,5,2,1,0,1,0,1,0,1,36,36-50,2302,0,1,0,0,0,0,0,0,1,1288,42547</v>
      </c>
    </row>
    <row r="234" spans="1:40" ht="13" hidden="1" x14ac:dyDescent="0.15">
      <c r="A234">
        <v>730</v>
      </c>
      <c r="B234" s="1">
        <v>72258</v>
      </c>
      <c r="C234" s="1">
        <v>1391</v>
      </c>
      <c r="D234" s="4">
        <f t="shared" si="6"/>
        <v>1.9250463616485372E-2</v>
      </c>
      <c r="E234" s="1">
        <v>0</v>
      </c>
      <c r="F234" s="1">
        <v>1</v>
      </c>
      <c r="G234" s="1">
        <v>28</v>
      </c>
      <c r="H234" s="1">
        <v>522</v>
      </c>
      <c r="I234" s="1">
        <v>0</v>
      </c>
      <c r="J234" s="1">
        <v>522</v>
      </c>
      <c r="K234" s="1">
        <v>227</v>
      </c>
      <c r="L234" s="1">
        <v>120</v>
      </c>
      <c r="M234" s="1">
        <v>134</v>
      </c>
      <c r="N234" s="1">
        <v>2</v>
      </c>
      <c r="O234" s="1">
        <v>6</v>
      </c>
      <c r="P234" s="1">
        <v>9</v>
      </c>
      <c r="Q234" s="1">
        <v>5</v>
      </c>
      <c r="R234" s="1">
        <v>2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49</v>
      </c>
      <c r="AA234" s="1" t="str" cm="1">
        <f t="array" ref="AA234">_xlfn.IFS(AND(Z234&lt;36, Z234&gt;23), "24-35", AND(Z234&lt;51, Z234&gt;35),"36-50", AND(Z234&lt;66, Z234&gt;50), "51-66", Z234&gt;65, "66+", TRUE, "?")</f>
        <v>36-50</v>
      </c>
      <c r="AB234" s="1">
        <v>2449</v>
      </c>
      <c r="AC234" s="1">
        <v>0</v>
      </c>
      <c r="AD234" s="1">
        <v>0</v>
      </c>
      <c r="AE234" s="1">
        <v>1</v>
      </c>
      <c r="AF234" s="1">
        <v>0</v>
      </c>
      <c r="AG234" s="1">
        <v>0</v>
      </c>
      <c r="AH234" s="1">
        <v>0</v>
      </c>
      <c r="AI234" s="1">
        <v>1</v>
      </c>
      <c r="AJ234" s="1">
        <v>0</v>
      </c>
      <c r="AK234" s="1">
        <v>0</v>
      </c>
      <c r="AL234" s="1">
        <v>1257</v>
      </c>
      <c r="AM234" s="2">
        <v>42400</v>
      </c>
      <c r="AN234" t="str">
        <f t="shared" si="7"/>
        <v>72258,1391,0.0192504636164854,0,1,28,522,0,522,227,120,134,2,6,9,5,2,0,0,0,0,0,0,0,49,36-50,2449,0,0,1,0,0,0,1,0,0,1257,42400</v>
      </c>
    </row>
    <row r="235" spans="1:40" ht="13" hidden="1" x14ac:dyDescent="0.15">
      <c r="A235">
        <v>713</v>
      </c>
      <c r="B235" s="1">
        <v>78285</v>
      </c>
      <c r="C235" s="1">
        <v>1387</v>
      </c>
      <c r="D235" s="4">
        <f t="shared" si="6"/>
        <v>1.7717314939004917E-2</v>
      </c>
      <c r="E235" s="1">
        <v>0</v>
      </c>
      <c r="F235" s="1">
        <v>0</v>
      </c>
      <c r="G235" s="1">
        <v>13</v>
      </c>
      <c r="H235" s="1">
        <v>647</v>
      </c>
      <c r="I235" s="1">
        <v>107</v>
      </c>
      <c r="J235" s="1">
        <v>391</v>
      </c>
      <c r="K235" s="1">
        <v>175</v>
      </c>
      <c r="L235" s="1">
        <v>67</v>
      </c>
      <c r="M235" s="1">
        <v>40</v>
      </c>
      <c r="N235" s="1">
        <v>1</v>
      </c>
      <c r="O235" s="1">
        <v>6</v>
      </c>
      <c r="P235" s="1">
        <v>4</v>
      </c>
      <c r="Q235" s="1">
        <v>10</v>
      </c>
      <c r="R235" s="1">
        <v>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32</v>
      </c>
      <c r="AA235" s="1" t="str" cm="1">
        <f t="array" ref="AA235">_xlfn.IFS(AND(Z235&lt;36, Z235&gt;23), "24-35", AND(Z235&lt;51, Z235&gt;35),"36-50", AND(Z235&lt;66, Z235&gt;50), "51-66", Z235&gt;65, "66+", TRUE, "?")</f>
        <v>24-35</v>
      </c>
      <c r="AB235" s="1">
        <v>2403</v>
      </c>
      <c r="AC235" s="1">
        <v>0</v>
      </c>
      <c r="AD235" s="1">
        <v>1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1</v>
      </c>
      <c r="AK235" s="1">
        <v>0</v>
      </c>
      <c r="AL235" s="1">
        <v>1347</v>
      </c>
      <c r="AM235" s="2">
        <v>42446</v>
      </c>
      <c r="AN235" t="str">
        <f t="shared" si="7"/>
        <v>78285,1387,0.0177173149390049,0,0,13,647,107,391,175,67,40,1,6,4,10,3,0,0,0,0,0,0,0,32,24-35,2403,0,1,0,0,0,0,0,1,0,1347,42446</v>
      </c>
    </row>
    <row r="236" spans="1:40" ht="13" hidden="1" x14ac:dyDescent="0.15">
      <c r="A236">
        <v>760</v>
      </c>
      <c r="B236" s="1">
        <v>72504</v>
      </c>
      <c r="C236" s="1">
        <v>1384</v>
      </c>
      <c r="D236" s="4">
        <f t="shared" si="6"/>
        <v>1.9088602008165065E-2</v>
      </c>
      <c r="E236" s="1">
        <v>0</v>
      </c>
      <c r="F236" s="1">
        <v>1</v>
      </c>
      <c r="G236" s="1">
        <v>43</v>
      </c>
      <c r="H236" s="1">
        <v>604</v>
      </c>
      <c r="I236" s="1">
        <v>26</v>
      </c>
      <c r="J236" s="1">
        <v>470</v>
      </c>
      <c r="K236" s="1">
        <v>123</v>
      </c>
      <c r="L236" s="1">
        <v>161</v>
      </c>
      <c r="M236" s="1">
        <v>94</v>
      </c>
      <c r="N236" s="1">
        <v>2</v>
      </c>
      <c r="O236" s="1">
        <v>5</v>
      </c>
      <c r="P236" s="1">
        <v>9</v>
      </c>
      <c r="Q236" s="1">
        <v>6</v>
      </c>
      <c r="R236" s="1">
        <v>2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48</v>
      </c>
      <c r="AA236" s="1" t="str" cm="1">
        <f t="array" ref="AA236">_xlfn.IFS(AND(Z236&lt;36, Z236&gt;23), "24-35", AND(Z236&lt;51, Z236&gt;35),"36-50", AND(Z236&lt;66, Z236&gt;50), "51-66", Z236&gt;65, "66+", TRUE, "?")</f>
        <v>36-50</v>
      </c>
      <c r="AB236" s="1">
        <v>2608</v>
      </c>
      <c r="AC236" s="1">
        <v>0</v>
      </c>
      <c r="AD236" s="1">
        <v>0</v>
      </c>
      <c r="AE236" s="1">
        <v>1</v>
      </c>
      <c r="AF236" s="1">
        <v>0</v>
      </c>
      <c r="AG236" s="1">
        <v>0</v>
      </c>
      <c r="AH236" s="1">
        <v>0</v>
      </c>
      <c r="AI236" s="1">
        <v>1</v>
      </c>
      <c r="AJ236" s="1">
        <v>0</v>
      </c>
      <c r="AK236" s="1">
        <v>0</v>
      </c>
      <c r="AL236" s="1">
        <v>1290</v>
      </c>
      <c r="AM236" s="2">
        <v>42241</v>
      </c>
      <c r="AN236" t="str">
        <f t="shared" si="7"/>
        <v>72504,1384,0.0190886020081651,0,1,43,604,26,470,123,161,94,2,5,9,6,2,0,0,0,0,0,0,0,48,36-50,2608,0,0,1,0,0,0,1,0,0,1290,42241</v>
      </c>
    </row>
    <row r="237" spans="1:40" ht="13" hidden="1" x14ac:dyDescent="0.15">
      <c r="A237">
        <v>1827</v>
      </c>
      <c r="B237" s="1">
        <v>63684</v>
      </c>
      <c r="C237" s="1">
        <v>1384</v>
      </c>
      <c r="D237" s="4">
        <f t="shared" si="6"/>
        <v>2.1732303247283462E-2</v>
      </c>
      <c r="E237" s="1">
        <v>0</v>
      </c>
      <c r="F237" s="1">
        <v>1</v>
      </c>
      <c r="G237" s="1">
        <v>61</v>
      </c>
      <c r="H237" s="1">
        <v>575</v>
      </c>
      <c r="I237" s="1">
        <v>80</v>
      </c>
      <c r="J237" s="1">
        <v>428</v>
      </c>
      <c r="K237" s="1">
        <v>208</v>
      </c>
      <c r="L237" s="1">
        <v>93</v>
      </c>
      <c r="M237" s="1">
        <v>80</v>
      </c>
      <c r="N237" s="1">
        <v>3</v>
      </c>
      <c r="O237" s="1">
        <v>8</v>
      </c>
      <c r="P237" s="1">
        <v>4</v>
      </c>
      <c r="Q237" s="1">
        <v>8</v>
      </c>
      <c r="R237" s="1">
        <v>5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50</v>
      </c>
      <c r="AA237" s="1" t="str" cm="1">
        <f t="array" ref="AA237">_xlfn.IFS(AND(Z237&lt;36, Z237&gt;23), "24-35", AND(Z237&lt;51, Z237&gt;35),"36-50", AND(Z237&lt;66, Z237&gt;50), "51-66", Z237&gt;65, "66+", TRUE, "?")</f>
        <v>36-50</v>
      </c>
      <c r="AB237" s="1">
        <v>2739</v>
      </c>
      <c r="AC237" s="1">
        <v>0</v>
      </c>
      <c r="AD237" s="1">
        <v>1</v>
      </c>
      <c r="AE237" s="1">
        <v>0</v>
      </c>
      <c r="AF237" s="1">
        <v>0</v>
      </c>
      <c r="AG237" s="1">
        <v>0</v>
      </c>
      <c r="AH237" s="1">
        <v>0</v>
      </c>
      <c r="AI237" s="1">
        <v>1</v>
      </c>
      <c r="AJ237" s="1">
        <v>0</v>
      </c>
      <c r="AK237" s="1">
        <v>0</v>
      </c>
      <c r="AL237" s="1">
        <v>1304</v>
      </c>
      <c r="AM237" s="2">
        <v>42110</v>
      </c>
      <c r="AN237" t="str">
        <f t="shared" si="7"/>
        <v>63684,1384,0.0217323032472835,0,1,61,575,80,428,208,93,80,3,8,4,8,5,0,0,0,0,0,0,0,50,36-50,2739,0,1,0,0,0,0,1,0,0,1304,42110</v>
      </c>
    </row>
    <row r="238" spans="1:40" ht="13" hidden="1" x14ac:dyDescent="0.15">
      <c r="A238">
        <v>697</v>
      </c>
      <c r="B238" s="1">
        <v>83844</v>
      </c>
      <c r="C238" s="1">
        <v>1383</v>
      </c>
      <c r="D238" s="4">
        <f t="shared" si="6"/>
        <v>1.6494919135537425E-2</v>
      </c>
      <c r="E238" s="1">
        <v>0</v>
      </c>
      <c r="F238" s="1">
        <v>0</v>
      </c>
      <c r="G238" s="1">
        <v>57</v>
      </c>
      <c r="H238" s="1">
        <v>901</v>
      </c>
      <c r="I238" s="1">
        <v>31</v>
      </c>
      <c r="J238" s="1">
        <v>345</v>
      </c>
      <c r="K238" s="1">
        <v>75</v>
      </c>
      <c r="L238" s="1">
        <v>31</v>
      </c>
      <c r="M238" s="1">
        <v>191</v>
      </c>
      <c r="N238" s="1">
        <v>1</v>
      </c>
      <c r="O238" s="1">
        <v>4</v>
      </c>
      <c r="P238" s="1">
        <v>4</v>
      </c>
      <c r="Q238" s="1">
        <v>11</v>
      </c>
      <c r="R238" s="1">
        <v>1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0</v>
      </c>
      <c r="Y238" s="1">
        <v>0</v>
      </c>
      <c r="Z238" s="1">
        <v>68</v>
      </c>
      <c r="AA238" s="1" t="str" cm="1">
        <f t="array" ref="AA238">_xlfn.IFS(AND(Z238&lt;36, Z238&gt;23), "24-35", AND(Z238&lt;51, Z238&gt;35),"36-50", AND(Z238&lt;66, Z238&gt;50), "51-66", Z238&gt;65, "66+", TRUE, "?")</f>
        <v>66+</v>
      </c>
      <c r="AB238" s="1">
        <v>2572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1</v>
      </c>
      <c r="AJ238" s="1">
        <v>0</v>
      </c>
      <c r="AK238" s="1">
        <v>0</v>
      </c>
      <c r="AL238" s="1">
        <v>1192</v>
      </c>
      <c r="AM238" s="2">
        <v>42277</v>
      </c>
      <c r="AN238" t="str">
        <f t="shared" si="7"/>
        <v>83844,1383,0.0164949191355374,0,0,57,901,31,345,75,31,191,1,4,4,11,1,0,0,0,0,1,0,0,68,66+,2572,0,0,0,1,0,0,1,0,0,1192,42277</v>
      </c>
    </row>
    <row r="239" spans="1:40" ht="13" hidden="1" x14ac:dyDescent="0.15">
      <c r="A239">
        <v>1741</v>
      </c>
      <c r="B239" s="1">
        <v>67384</v>
      </c>
      <c r="C239" s="1">
        <v>1383</v>
      </c>
      <c r="D239" s="4">
        <f t="shared" si="6"/>
        <v>2.0524160037991214E-2</v>
      </c>
      <c r="E239" s="1">
        <v>0</v>
      </c>
      <c r="F239" s="1">
        <v>1</v>
      </c>
      <c r="G239" s="1">
        <v>32</v>
      </c>
      <c r="H239" s="1">
        <v>957</v>
      </c>
      <c r="I239" s="1">
        <v>40</v>
      </c>
      <c r="J239" s="1">
        <v>175</v>
      </c>
      <c r="K239" s="1">
        <v>158</v>
      </c>
      <c r="L239" s="1">
        <v>53</v>
      </c>
      <c r="M239" s="1">
        <v>107</v>
      </c>
      <c r="N239" s="1">
        <v>2</v>
      </c>
      <c r="O239" s="1">
        <v>7</v>
      </c>
      <c r="P239" s="1">
        <v>8</v>
      </c>
      <c r="Q239" s="1">
        <v>5</v>
      </c>
      <c r="R239" s="1">
        <v>5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  <c r="Y239" s="1">
        <v>0</v>
      </c>
      <c r="Z239" s="1">
        <v>50</v>
      </c>
      <c r="AA239" s="1" t="str" cm="1">
        <f t="array" ref="AA239">_xlfn.IFS(AND(Z239&lt;36, Z239&gt;23), "24-35", AND(Z239&lt;51, Z239&gt;35),"36-50", AND(Z239&lt;66, Z239&gt;50), "51-66", Z239&gt;65, "66+", TRUE, "?")</f>
        <v>36-50</v>
      </c>
      <c r="AB239" s="1">
        <v>2755</v>
      </c>
      <c r="AC239" s="1">
        <v>0</v>
      </c>
      <c r="AD239" s="1">
        <v>0</v>
      </c>
      <c r="AE239" s="1">
        <v>1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>
        <v>0</v>
      </c>
      <c r="AL239" s="1">
        <v>1276</v>
      </c>
      <c r="AM239" s="2">
        <v>42094</v>
      </c>
      <c r="AN239" t="str">
        <f t="shared" si="7"/>
        <v>67384,1383,0.0205241600379912,0,1,32,957,40,175,158,53,107,2,7,8,5,5,0,0,0,1,0,0,0,50,36-50,2755,0,0,1,0,0,0,1,0,0,1276,42094</v>
      </c>
    </row>
    <row r="240" spans="1:40" ht="13" x14ac:dyDescent="0.15">
      <c r="A240">
        <v>742</v>
      </c>
      <c r="B240" s="1">
        <v>82582</v>
      </c>
      <c r="C240" s="1">
        <v>1376</v>
      </c>
      <c r="D240" s="4">
        <f t="shared" si="6"/>
        <v>1.6662226635344266E-2</v>
      </c>
      <c r="E240" s="1">
        <v>0</v>
      </c>
      <c r="F240" s="1">
        <v>0</v>
      </c>
      <c r="G240" s="1">
        <v>54</v>
      </c>
      <c r="H240" s="1">
        <v>510</v>
      </c>
      <c r="I240" s="1">
        <v>120</v>
      </c>
      <c r="J240" s="1">
        <v>550</v>
      </c>
      <c r="K240" s="1">
        <v>156</v>
      </c>
      <c r="L240" s="1">
        <v>40</v>
      </c>
      <c r="M240" s="1">
        <v>241</v>
      </c>
      <c r="N240" s="1">
        <v>1</v>
      </c>
      <c r="O240" s="1">
        <v>4</v>
      </c>
      <c r="P240" s="1">
        <v>9</v>
      </c>
      <c r="Q240" s="1">
        <v>7</v>
      </c>
      <c r="R240" s="1">
        <v>1</v>
      </c>
      <c r="S240" s="1">
        <v>1</v>
      </c>
      <c r="T240" s="1">
        <v>0</v>
      </c>
      <c r="U240" s="1">
        <v>1</v>
      </c>
      <c r="V240" s="1">
        <v>0</v>
      </c>
      <c r="W240" s="1">
        <v>0</v>
      </c>
      <c r="X240" s="1">
        <v>0</v>
      </c>
      <c r="Y240" s="1">
        <v>1</v>
      </c>
      <c r="Z240" s="1">
        <v>43</v>
      </c>
      <c r="AA240" s="1" t="str" cm="1">
        <f t="array" ref="AA240">_xlfn.IFS(AND(Z240&lt;36, Z240&gt;23), "24-35", AND(Z240&lt;51, Z240&gt;35),"36-50", AND(Z240&lt;66, Z240&gt;50), "51-66", Z240&gt;65, "66+", TRUE, "?")</f>
        <v>36-50</v>
      </c>
      <c r="AB240" s="1">
        <v>2181</v>
      </c>
      <c r="AC240" s="1">
        <v>1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1135</v>
      </c>
      <c r="AM240" s="2">
        <v>42668</v>
      </c>
      <c r="AN240" t="str">
        <f t="shared" si="7"/>
        <v>82582,1376,0.0166622266353443,0,0,54,510,120,550,156,40,241,1,4,9,7,1,1,0,1,0,0,0,1,43,36-50,2181,1,0,0,0,0,0,1,0,0,1135,42668</v>
      </c>
    </row>
    <row r="241" spans="1:40" ht="13" x14ac:dyDescent="0.15">
      <c r="A241">
        <v>755</v>
      </c>
      <c r="B241" s="1">
        <v>72643</v>
      </c>
      <c r="C241" s="1">
        <v>1376</v>
      </c>
      <c r="D241" s="4">
        <f t="shared" si="6"/>
        <v>1.8941948983384495E-2</v>
      </c>
      <c r="E241" s="1">
        <v>0</v>
      </c>
      <c r="F241" s="1">
        <v>0</v>
      </c>
      <c r="G241" s="1">
        <v>60</v>
      </c>
      <c r="H241" s="1">
        <v>526</v>
      </c>
      <c r="I241" s="1">
        <v>80</v>
      </c>
      <c r="J241" s="1">
        <v>553</v>
      </c>
      <c r="K241" s="1">
        <v>123</v>
      </c>
      <c r="L241" s="1">
        <v>94</v>
      </c>
      <c r="M241" s="1">
        <v>53</v>
      </c>
      <c r="N241" s="1">
        <v>1</v>
      </c>
      <c r="O241" s="1">
        <v>3</v>
      </c>
      <c r="P241" s="1">
        <v>10</v>
      </c>
      <c r="Q241" s="1">
        <v>7</v>
      </c>
      <c r="R241" s="1">
        <v>2</v>
      </c>
      <c r="S241" s="1">
        <v>1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  <c r="Z241" s="1">
        <v>71</v>
      </c>
      <c r="AA241" s="1" t="str" cm="1">
        <f t="array" ref="AA241">_xlfn.IFS(AND(Z241&lt;36, Z241&gt;23), "24-35", AND(Z241&lt;51, Z241&gt;35),"36-50", AND(Z241&lt;66, Z241&gt;50), "51-66", Z241&gt;65, "66+", TRUE, "?")</f>
        <v>66+</v>
      </c>
      <c r="AB241" s="1">
        <v>2646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>
        <v>1</v>
      </c>
      <c r="AJ241" s="1">
        <v>0</v>
      </c>
      <c r="AK241" s="1">
        <v>0</v>
      </c>
      <c r="AL241" s="1">
        <v>1323</v>
      </c>
      <c r="AM241" s="2">
        <v>42203</v>
      </c>
      <c r="AN241" t="str">
        <f t="shared" si="7"/>
        <v>72643,1376,0.0189419489833845,0,0,60,526,80,553,123,94,53,1,3,10,7,2,1,0,0,0,0,0,1,71,66+,2646,0,0,0,0,1,0,1,0,0,1323,42203</v>
      </c>
    </row>
    <row r="242" spans="1:40" ht="13" hidden="1" x14ac:dyDescent="0.15">
      <c r="A242">
        <v>1470</v>
      </c>
      <c r="B242" s="1">
        <v>76445</v>
      </c>
      <c r="C242" s="1">
        <v>1375</v>
      </c>
      <c r="D242" s="4">
        <f t="shared" si="6"/>
        <v>1.7986787886715941E-2</v>
      </c>
      <c r="E242" s="1">
        <v>1</v>
      </c>
      <c r="F242" s="1">
        <v>0</v>
      </c>
      <c r="G242" s="1">
        <v>2</v>
      </c>
      <c r="H242" s="1">
        <v>739</v>
      </c>
      <c r="I242" s="1">
        <v>107</v>
      </c>
      <c r="J242" s="1">
        <v>309</v>
      </c>
      <c r="K242" s="1">
        <v>140</v>
      </c>
      <c r="L242" s="1">
        <v>80</v>
      </c>
      <c r="M242" s="1">
        <v>35</v>
      </c>
      <c r="N242" s="1">
        <v>1</v>
      </c>
      <c r="O242" s="1">
        <v>2</v>
      </c>
      <c r="P242" s="1">
        <v>5</v>
      </c>
      <c r="Q242" s="1">
        <v>13</v>
      </c>
      <c r="R242" s="1">
        <v>6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49</v>
      </c>
      <c r="AA242" s="1" t="str" cm="1">
        <f t="array" ref="AA242">_xlfn.IFS(AND(Z242&lt;36, Z242&gt;23), "24-35", AND(Z242&lt;51, Z242&gt;35),"36-50", AND(Z242&lt;66, Z242&gt;50), "51-66", Z242&gt;65, "66+", TRUE, "?")</f>
        <v>36-50</v>
      </c>
      <c r="AB242" s="1">
        <v>2798</v>
      </c>
      <c r="AC242" s="1">
        <v>0</v>
      </c>
      <c r="AD242" s="1">
        <v>1</v>
      </c>
      <c r="AE242" s="1">
        <v>0</v>
      </c>
      <c r="AF242" s="1">
        <v>0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1340</v>
      </c>
      <c r="AM242" s="2">
        <v>42051</v>
      </c>
      <c r="AN242" t="str">
        <f t="shared" si="7"/>
        <v>76445,1375,0.0179867878867159,1,0,2,739,107,309,140,80,35,1,2,5,13,6,0,0,0,0,0,0,0,49,36-50,2798,0,1,0,0,0,0,1,0,0,1340,42051</v>
      </c>
    </row>
    <row r="243" spans="1:40" ht="13" hidden="1" x14ac:dyDescent="0.15">
      <c r="A243">
        <v>1534</v>
      </c>
      <c r="B243" s="1">
        <v>69016</v>
      </c>
      <c r="C243" s="1">
        <v>1372</v>
      </c>
      <c r="D243" s="4">
        <f t="shared" si="6"/>
        <v>1.9879448243885475E-2</v>
      </c>
      <c r="E243" s="1">
        <v>0</v>
      </c>
      <c r="F243" s="1">
        <v>1</v>
      </c>
      <c r="G243" s="1">
        <v>61</v>
      </c>
      <c r="H243" s="1">
        <v>726</v>
      </c>
      <c r="I243" s="1">
        <v>53</v>
      </c>
      <c r="J243" s="1">
        <v>363</v>
      </c>
      <c r="K243" s="1">
        <v>123</v>
      </c>
      <c r="L243" s="1">
        <v>107</v>
      </c>
      <c r="M243" s="1">
        <v>161</v>
      </c>
      <c r="N243" s="1">
        <v>4</v>
      </c>
      <c r="O243" s="1">
        <v>8</v>
      </c>
      <c r="P243" s="1">
        <v>9</v>
      </c>
      <c r="Q243" s="1">
        <v>13</v>
      </c>
      <c r="R243" s="1">
        <v>5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50</v>
      </c>
      <c r="AA243" s="1" t="str" cm="1">
        <f t="array" ref="AA243">_xlfn.IFS(AND(Z243&lt;36, Z243&gt;23), "24-35", AND(Z243&lt;51, Z243&gt;35),"36-50", AND(Z243&lt;66, Z243&gt;50), "51-66", Z243&gt;65, "66+", TRUE, "?")</f>
        <v>36-50</v>
      </c>
      <c r="AB243" s="1">
        <v>2743</v>
      </c>
      <c r="AC243" s="1">
        <v>0</v>
      </c>
      <c r="AD243" s="1">
        <v>1</v>
      </c>
      <c r="AE243" s="1">
        <v>0</v>
      </c>
      <c r="AF243" s="1">
        <v>0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1211</v>
      </c>
      <c r="AM243" s="2">
        <v>42106</v>
      </c>
      <c r="AN243" t="str">
        <f t="shared" si="7"/>
        <v>69016,1372,0.0198794482438855,0,1,61,726,53,363,123,107,161,4,8,9,13,5,0,0,0,0,0,0,0,50,36-50,2743,0,1,0,0,0,0,1,0,0,1211,42106</v>
      </c>
    </row>
    <row r="244" spans="1:40" ht="13" x14ac:dyDescent="0.15">
      <c r="A244">
        <v>762</v>
      </c>
      <c r="B244" s="1">
        <v>82584</v>
      </c>
      <c r="C244" s="1">
        <v>1367</v>
      </c>
      <c r="D244" s="4">
        <f t="shared" si="6"/>
        <v>1.655284316574639E-2</v>
      </c>
      <c r="E244" s="1">
        <v>0</v>
      </c>
      <c r="F244" s="1">
        <v>0</v>
      </c>
      <c r="G244" s="1">
        <v>26</v>
      </c>
      <c r="H244" s="1">
        <v>1076</v>
      </c>
      <c r="I244" s="1">
        <v>68</v>
      </c>
      <c r="J244" s="1">
        <v>103</v>
      </c>
      <c r="K244" s="1">
        <v>29</v>
      </c>
      <c r="L244" s="1">
        <v>91</v>
      </c>
      <c r="M244" s="1">
        <v>68</v>
      </c>
      <c r="N244" s="1">
        <v>1</v>
      </c>
      <c r="O244" s="1">
        <v>3</v>
      </c>
      <c r="P244" s="1">
        <v>4</v>
      </c>
      <c r="Q244" s="1">
        <v>8</v>
      </c>
      <c r="R244" s="1">
        <v>1</v>
      </c>
      <c r="S244" s="1">
        <v>0</v>
      </c>
      <c r="T244" s="1">
        <v>0</v>
      </c>
      <c r="U244" s="1">
        <v>0</v>
      </c>
      <c r="V244" s="1">
        <v>1</v>
      </c>
      <c r="W244" s="1">
        <v>1</v>
      </c>
      <c r="X244" s="1">
        <v>0</v>
      </c>
      <c r="Y244" s="1">
        <v>1</v>
      </c>
      <c r="Z244" s="1">
        <v>46</v>
      </c>
      <c r="AA244" s="1" t="str" cm="1">
        <f t="array" ref="AA244">_xlfn.IFS(AND(Z244&lt;36, Z244&gt;23), "24-35", AND(Z244&lt;51, Z244&gt;35),"36-50", AND(Z244&lt;66, Z244&gt;50), "51-66", Z244&gt;65, "66+", TRUE, "?")</f>
        <v>36-50</v>
      </c>
      <c r="AB244" s="1">
        <v>2549</v>
      </c>
      <c r="AC244" s="1">
        <v>0</v>
      </c>
      <c r="AD244" s="1">
        <v>1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0</v>
      </c>
      <c r="AL244" s="1">
        <v>1299</v>
      </c>
      <c r="AM244" s="2">
        <v>42300</v>
      </c>
      <c r="AN244" t="str">
        <f t="shared" si="7"/>
        <v>82584,1367,0.0165528431657464,0,0,26,1076,68,103,29,91,68,1,3,4,8,1,0,0,0,1,1,0,1,46,36-50,2549,0,1,0,0,0,0,0,1,0,1299,42300</v>
      </c>
    </row>
    <row r="245" spans="1:40" ht="13" hidden="1" x14ac:dyDescent="0.15">
      <c r="A245">
        <v>670</v>
      </c>
      <c r="B245" s="1">
        <v>76618</v>
      </c>
      <c r="C245" s="1">
        <v>1364</v>
      </c>
      <c r="D245" s="4">
        <f t="shared" si="6"/>
        <v>1.7802605131953326E-2</v>
      </c>
      <c r="E245" s="1">
        <v>0</v>
      </c>
      <c r="F245" s="1">
        <v>0</v>
      </c>
      <c r="G245" s="1">
        <v>64</v>
      </c>
      <c r="H245" s="1">
        <v>749</v>
      </c>
      <c r="I245" s="1">
        <v>40</v>
      </c>
      <c r="J245" s="1">
        <v>294</v>
      </c>
      <c r="K245" s="1">
        <v>121</v>
      </c>
      <c r="L245" s="1">
        <v>160</v>
      </c>
      <c r="M245" s="1">
        <v>147</v>
      </c>
      <c r="N245" s="1">
        <v>1</v>
      </c>
      <c r="O245" s="1">
        <v>3</v>
      </c>
      <c r="P245" s="1">
        <v>2</v>
      </c>
      <c r="Q245" s="1">
        <v>5</v>
      </c>
      <c r="R245" s="1">
        <v>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45</v>
      </c>
      <c r="AA245" s="1" t="str" cm="1">
        <f t="array" ref="AA245">_xlfn.IFS(AND(Z245&lt;36, Z245&gt;23), "24-35", AND(Z245&lt;51, Z245&gt;35),"36-50", AND(Z245&lt;66, Z245&gt;50), "51-66", Z245&gt;65, "66+", TRUE, "?")</f>
        <v>36-50</v>
      </c>
      <c r="AB245" s="1">
        <v>2728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1</v>
      </c>
      <c r="AL245" s="1">
        <v>1217</v>
      </c>
      <c r="AM245" s="2">
        <v>42121</v>
      </c>
      <c r="AN245" t="str">
        <f t="shared" si="7"/>
        <v>76618,1364,0.0178026051319533,0,0,64,749,40,294,121,160,147,1,3,2,5,1,0,0,0,0,0,0,0,45,36-50,2728,0,1,0,0,0,0,0,0,1,1217,42121</v>
      </c>
    </row>
    <row r="246" spans="1:40" ht="13" hidden="1" x14ac:dyDescent="0.15">
      <c r="A246">
        <v>1886</v>
      </c>
      <c r="B246" s="1">
        <v>69520</v>
      </c>
      <c r="C246" s="1">
        <v>1362</v>
      </c>
      <c r="D246" s="4">
        <f t="shared" si="6"/>
        <v>1.9591484464902185E-2</v>
      </c>
      <c r="E246" s="1">
        <v>0</v>
      </c>
      <c r="F246" s="1">
        <v>0</v>
      </c>
      <c r="G246" s="1">
        <v>95</v>
      </c>
      <c r="H246" s="1">
        <v>627</v>
      </c>
      <c r="I246" s="1">
        <v>120</v>
      </c>
      <c r="J246" s="1">
        <v>414</v>
      </c>
      <c r="K246" s="1">
        <v>121</v>
      </c>
      <c r="L246" s="1">
        <v>80</v>
      </c>
      <c r="M246" s="1">
        <v>93</v>
      </c>
      <c r="N246" s="1">
        <v>1</v>
      </c>
      <c r="O246" s="1">
        <v>9</v>
      </c>
      <c r="P246" s="1">
        <v>6</v>
      </c>
      <c r="Q246" s="1">
        <v>5</v>
      </c>
      <c r="R246" s="1">
        <v>5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37</v>
      </c>
      <c r="AA246" s="1" t="str" cm="1">
        <f t="array" ref="AA246">_xlfn.IFS(AND(Z246&lt;36, Z246&gt;23), "24-35", AND(Z246&lt;51, Z246&gt;35),"36-50", AND(Z246&lt;66, Z246&gt;50), "51-66", Z246&gt;65, "66+", TRUE, "?")</f>
        <v>36-50</v>
      </c>
      <c r="AB246" s="1">
        <v>2516</v>
      </c>
      <c r="AC246" s="1">
        <v>0</v>
      </c>
      <c r="AD246" s="1">
        <v>1</v>
      </c>
      <c r="AE246" s="1">
        <v>0</v>
      </c>
      <c r="AF246" s="1">
        <v>0</v>
      </c>
      <c r="AG246" s="1">
        <v>0</v>
      </c>
      <c r="AH246" s="1">
        <v>0</v>
      </c>
      <c r="AI246" s="1">
        <v>1</v>
      </c>
      <c r="AJ246" s="1">
        <v>0</v>
      </c>
      <c r="AK246" s="1">
        <v>0</v>
      </c>
      <c r="AL246" s="1">
        <v>1269</v>
      </c>
      <c r="AM246" s="2">
        <v>42333</v>
      </c>
      <c r="AN246" t="str">
        <f t="shared" si="7"/>
        <v>69520,1362,0.0195914844649022,0,0,95,627,120,414,121,80,93,1,9,6,5,5,0,0,0,0,0,0,0,37,36-50,2516,0,1,0,0,0,0,1,0,0,1269,42333</v>
      </c>
    </row>
    <row r="247" spans="1:40" ht="13" hidden="1" x14ac:dyDescent="0.15">
      <c r="A247">
        <v>705</v>
      </c>
      <c r="B247" s="1">
        <v>75507</v>
      </c>
      <c r="C247" s="1">
        <v>1360</v>
      </c>
      <c r="D247" s="4">
        <f t="shared" si="6"/>
        <v>1.8011575085753639E-2</v>
      </c>
      <c r="E247" s="1">
        <v>0</v>
      </c>
      <c r="F247" s="1">
        <v>0</v>
      </c>
      <c r="G247" s="1">
        <v>56</v>
      </c>
      <c r="H247" s="1">
        <v>709</v>
      </c>
      <c r="I247" s="1">
        <v>93</v>
      </c>
      <c r="J247" s="1">
        <v>374</v>
      </c>
      <c r="K247" s="1">
        <v>104</v>
      </c>
      <c r="L247" s="1">
        <v>80</v>
      </c>
      <c r="M247" s="1">
        <v>80</v>
      </c>
      <c r="N247" s="1">
        <v>1</v>
      </c>
      <c r="O247" s="1">
        <v>8</v>
      </c>
      <c r="P247" s="1">
        <v>6</v>
      </c>
      <c r="Q247" s="1">
        <v>6</v>
      </c>
      <c r="R247" s="1">
        <v>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41</v>
      </c>
      <c r="AA247" s="1" t="str" cm="1">
        <f t="array" ref="AA247">_xlfn.IFS(AND(Z247&lt;36, Z247&gt;23), "24-35", AND(Z247&lt;51, Z247&gt;35),"36-50", AND(Z247&lt;66, Z247&gt;50), "51-66", Z247&gt;65, "66+", TRUE, "?")</f>
        <v>36-50</v>
      </c>
      <c r="AB247" s="1">
        <v>2217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1</v>
      </c>
      <c r="AJ247" s="1">
        <v>0</v>
      </c>
      <c r="AK247" s="1">
        <v>0</v>
      </c>
      <c r="AL247" s="1">
        <v>1280</v>
      </c>
      <c r="AM247" s="2">
        <v>42632</v>
      </c>
      <c r="AN247" t="str">
        <f t="shared" si="7"/>
        <v>75507,1360,0.0180115750857536,0,0,56,709,93,374,104,80,80,1,8,6,6,3,0,0,0,0,0,0,0,41,36-50,2217,0,0,0,1,0,0,1,0,0,1280,42632</v>
      </c>
    </row>
    <row r="248" spans="1:40" ht="13" x14ac:dyDescent="0.15">
      <c r="A248">
        <v>771</v>
      </c>
      <c r="B248" s="1">
        <v>91065</v>
      </c>
      <c r="C248" s="1">
        <v>1360</v>
      </c>
      <c r="D248" s="4">
        <f t="shared" si="6"/>
        <v>1.4934387525393949E-2</v>
      </c>
      <c r="E248" s="1">
        <v>0</v>
      </c>
      <c r="F248" s="1">
        <v>0</v>
      </c>
      <c r="G248" s="1">
        <v>33</v>
      </c>
      <c r="H248" s="1">
        <v>822</v>
      </c>
      <c r="I248" s="1">
        <v>114</v>
      </c>
      <c r="J248" s="1">
        <v>108</v>
      </c>
      <c r="K248" s="1">
        <v>179</v>
      </c>
      <c r="L248" s="1">
        <v>137</v>
      </c>
      <c r="M248" s="1">
        <v>114</v>
      </c>
      <c r="N248" s="1">
        <v>1</v>
      </c>
      <c r="O248" s="1">
        <v>7</v>
      </c>
      <c r="P248" s="1">
        <v>9</v>
      </c>
      <c r="Q248" s="1">
        <v>9</v>
      </c>
      <c r="R248" s="1">
        <v>3</v>
      </c>
      <c r="S248" s="1">
        <v>1</v>
      </c>
      <c r="T248" s="1">
        <v>0</v>
      </c>
      <c r="U248" s="1">
        <v>0</v>
      </c>
      <c r="V248" s="1">
        <v>0</v>
      </c>
      <c r="W248" s="1">
        <v>1</v>
      </c>
      <c r="X248" s="1">
        <v>0</v>
      </c>
      <c r="Y248" s="1">
        <v>1</v>
      </c>
      <c r="Z248" s="1">
        <v>39</v>
      </c>
      <c r="AA248" s="1" t="str" cm="1">
        <f t="array" ref="AA248">_xlfn.IFS(AND(Z248&lt;36, Z248&gt;23), "24-35", AND(Z248&lt;51, Z248&gt;35),"36-50", AND(Z248&lt;66, Z248&gt;50), "51-66", Z248&gt;65, "66+", TRUE, "?")</f>
        <v>36-50</v>
      </c>
      <c r="AB248" s="1">
        <v>2651</v>
      </c>
      <c r="AC248" s="1">
        <v>0</v>
      </c>
      <c r="AD248" s="1">
        <v>0</v>
      </c>
      <c r="AE248" s="1">
        <v>1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0</v>
      </c>
      <c r="AL248" s="1">
        <v>1246</v>
      </c>
      <c r="AM248" s="2">
        <v>42198</v>
      </c>
      <c r="AN248" t="str">
        <f t="shared" si="7"/>
        <v>91065,1360,0.0149343875253939,0,0,33,822,114,108,179,137,114,1,7,9,9,3,1,0,0,0,1,0,1,39,36-50,2651,0,0,1,0,0,0,1,0,0,1246,42198</v>
      </c>
    </row>
    <row r="249" spans="1:40" ht="13" x14ac:dyDescent="0.15">
      <c r="A249">
        <v>773</v>
      </c>
      <c r="B249" s="1">
        <v>75777</v>
      </c>
      <c r="C249" s="1">
        <v>1358</v>
      </c>
      <c r="D249" s="4">
        <f t="shared" si="6"/>
        <v>1.7921005054304075E-2</v>
      </c>
      <c r="E249" s="1">
        <v>0</v>
      </c>
      <c r="F249" s="1">
        <v>0</v>
      </c>
      <c r="G249" s="1">
        <v>12</v>
      </c>
      <c r="H249" s="1">
        <v>712</v>
      </c>
      <c r="I249" s="1">
        <v>26</v>
      </c>
      <c r="J249" s="1">
        <v>538</v>
      </c>
      <c r="K249" s="1">
        <v>69</v>
      </c>
      <c r="L249" s="1">
        <v>13</v>
      </c>
      <c r="M249" s="1">
        <v>80</v>
      </c>
      <c r="N249" s="1">
        <v>1</v>
      </c>
      <c r="O249" s="1">
        <v>3</v>
      </c>
      <c r="P249" s="1">
        <v>6</v>
      </c>
      <c r="Q249" s="1">
        <v>11</v>
      </c>
      <c r="R249" s="1">
        <v>1</v>
      </c>
      <c r="S249" s="1">
        <v>0</v>
      </c>
      <c r="T249" s="1">
        <v>0</v>
      </c>
      <c r="U249" s="1">
        <v>0</v>
      </c>
      <c r="V249" s="1">
        <v>1</v>
      </c>
      <c r="W249" s="1">
        <v>1</v>
      </c>
      <c r="X249" s="1">
        <v>0</v>
      </c>
      <c r="Y249" s="1">
        <v>1</v>
      </c>
      <c r="Z249" s="1">
        <v>38</v>
      </c>
      <c r="AA249" s="1" t="str" cm="1">
        <f t="array" ref="AA249">_xlfn.IFS(AND(Z249&lt;36, Z249&gt;23), "24-35", AND(Z249&lt;51, Z249&gt;35),"36-50", AND(Z249&lt;66, Z249&gt;50), "51-66", Z249&gt;65, "66+", TRUE, "?")</f>
        <v>36-50</v>
      </c>
      <c r="AB249" s="1">
        <v>2519</v>
      </c>
      <c r="AC249" s="1">
        <v>0</v>
      </c>
      <c r="AD249" s="1">
        <v>0</v>
      </c>
      <c r="AE249" s="1">
        <v>1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1278</v>
      </c>
      <c r="AM249" s="2">
        <v>42330</v>
      </c>
      <c r="AN249" t="str">
        <f t="shared" si="7"/>
        <v>75777,1358,0.0179210050543041,0,0,12,712,26,538,69,13,80,1,3,6,11,1,0,0,0,1,1,0,1,38,36-50,2519,0,0,1,0,0,0,0,1,0,1278,42330</v>
      </c>
    </row>
    <row r="250" spans="1:40" ht="13" hidden="1" x14ac:dyDescent="0.15">
      <c r="A250">
        <v>1793</v>
      </c>
      <c r="B250" s="1">
        <v>85738</v>
      </c>
      <c r="C250" s="1">
        <v>1358</v>
      </c>
      <c r="D250" s="4">
        <f t="shared" si="6"/>
        <v>1.5838951223494834E-2</v>
      </c>
      <c r="E250" s="1">
        <v>0</v>
      </c>
      <c r="F250" s="1">
        <v>0</v>
      </c>
      <c r="G250" s="1">
        <v>41</v>
      </c>
      <c r="H250" s="1">
        <v>913</v>
      </c>
      <c r="I250" s="1">
        <v>26</v>
      </c>
      <c r="J250" s="1">
        <v>376</v>
      </c>
      <c r="K250" s="1">
        <v>17</v>
      </c>
      <c r="L250" s="1">
        <v>26</v>
      </c>
      <c r="M250" s="1">
        <v>13</v>
      </c>
      <c r="N250" s="1">
        <v>1</v>
      </c>
      <c r="O250" s="1">
        <v>3</v>
      </c>
      <c r="P250" s="1">
        <v>6</v>
      </c>
      <c r="Q250" s="1">
        <v>11</v>
      </c>
      <c r="R250" s="1">
        <v>1</v>
      </c>
      <c r="S250" s="1">
        <v>0</v>
      </c>
      <c r="T250" s="1">
        <v>0</v>
      </c>
      <c r="U250" s="1">
        <v>0</v>
      </c>
      <c r="V250" s="1">
        <v>1</v>
      </c>
      <c r="W250" s="1">
        <v>1</v>
      </c>
      <c r="X250" s="1">
        <v>0</v>
      </c>
      <c r="Y250" s="1">
        <v>0</v>
      </c>
      <c r="Z250" s="1">
        <v>42</v>
      </c>
      <c r="AA250" s="1" t="str" cm="1">
        <f t="array" ref="AA250">_xlfn.IFS(AND(Z250&lt;36, Z250&gt;23), "24-35", AND(Z250&lt;51, Z250&gt;35),"36-50", AND(Z250&lt;66, Z250&gt;50), "51-66", Z250&gt;65, "66+", TRUE, "?")</f>
        <v>36-50</v>
      </c>
      <c r="AB250" s="1">
        <v>2316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1</v>
      </c>
      <c r="AK250" s="1">
        <v>0</v>
      </c>
      <c r="AL250" s="1">
        <v>1345</v>
      </c>
      <c r="AM250" s="2">
        <v>42533</v>
      </c>
      <c r="AN250" t="str">
        <f t="shared" si="7"/>
        <v>85738,1358,0.0158389512234948,0,0,41,913,26,376,17,26,13,1,3,6,11,1,0,0,0,1,1,0,0,42,36-50,2316,0,0,0,1,0,0,0,1,0,1345,42533</v>
      </c>
    </row>
    <row r="251" spans="1:40" ht="13" x14ac:dyDescent="0.15">
      <c r="A251">
        <v>793</v>
      </c>
      <c r="B251" s="1">
        <v>49667</v>
      </c>
      <c r="C251" s="1">
        <v>1357</v>
      </c>
      <c r="D251" s="4">
        <f t="shared" si="6"/>
        <v>2.7321964282118912E-2</v>
      </c>
      <c r="E251" s="1">
        <v>0</v>
      </c>
      <c r="F251" s="1">
        <v>0</v>
      </c>
      <c r="G251" s="1">
        <v>35</v>
      </c>
      <c r="H251" s="1">
        <v>1181</v>
      </c>
      <c r="I251" s="1">
        <v>26</v>
      </c>
      <c r="J251" s="1">
        <v>120</v>
      </c>
      <c r="K251" s="1">
        <v>17</v>
      </c>
      <c r="L251" s="1">
        <v>13</v>
      </c>
      <c r="M251" s="1">
        <v>39</v>
      </c>
      <c r="N251" s="1">
        <v>2</v>
      </c>
      <c r="O251" s="1">
        <v>5</v>
      </c>
      <c r="P251" s="1">
        <v>10</v>
      </c>
      <c r="Q251" s="1">
        <v>5</v>
      </c>
      <c r="R251" s="1">
        <v>8</v>
      </c>
      <c r="S251" s="1">
        <v>0</v>
      </c>
      <c r="T251" s="1">
        <v>0</v>
      </c>
      <c r="U251" s="1">
        <v>1</v>
      </c>
      <c r="V251" s="1">
        <v>0</v>
      </c>
      <c r="W251" s="1">
        <v>0</v>
      </c>
      <c r="X251" s="1">
        <v>0</v>
      </c>
      <c r="Y251" s="1">
        <v>1</v>
      </c>
      <c r="Z251" s="1">
        <v>65</v>
      </c>
      <c r="AA251" s="1" t="str" cm="1">
        <f t="array" ref="AA251">_xlfn.IFS(AND(Z251&lt;36, Z251&gt;23), "24-35", AND(Z251&lt;51, Z251&gt;35),"36-50", AND(Z251&lt;66, Z251&gt;50), "51-66", Z251&gt;65, "66+", TRUE, "?")</f>
        <v>51-66</v>
      </c>
      <c r="AB251" s="1">
        <v>2837</v>
      </c>
      <c r="AC251" s="1">
        <v>0</v>
      </c>
      <c r="AD251" s="1">
        <v>0</v>
      </c>
      <c r="AE251" s="1">
        <v>1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1</v>
      </c>
      <c r="AL251" s="1">
        <v>1318</v>
      </c>
      <c r="AM251" s="2">
        <v>42012</v>
      </c>
      <c r="AN251" t="str">
        <f t="shared" si="7"/>
        <v>49667,1357,0.0273219642821189,0,0,35,1181,26,120,17,13,39,2,5,10,5,8,0,0,1,0,0,0,1,65,51-66,2837,0,0,1,0,0,0,0,0,1,1318,42012</v>
      </c>
    </row>
    <row r="252" spans="1:40" ht="13" hidden="1" x14ac:dyDescent="0.15">
      <c r="A252">
        <v>1088</v>
      </c>
      <c r="B252" s="1">
        <v>79410</v>
      </c>
      <c r="C252" s="1">
        <v>1357</v>
      </c>
      <c r="D252" s="4">
        <f t="shared" si="6"/>
        <v>1.7088527893212441E-2</v>
      </c>
      <c r="E252" s="1">
        <v>0</v>
      </c>
      <c r="F252" s="1">
        <v>0</v>
      </c>
      <c r="G252" s="1">
        <v>19</v>
      </c>
      <c r="H252" s="1">
        <v>658</v>
      </c>
      <c r="I252" s="1">
        <v>80</v>
      </c>
      <c r="J252" s="1">
        <v>483</v>
      </c>
      <c r="K252" s="1">
        <v>123</v>
      </c>
      <c r="L252" s="1">
        <v>13</v>
      </c>
      <c r="M252" s="1">
        <v>13</v>
      </c>
      <c r="N252" s="1">
        <v>1</v>
      </c>
      <c r="O252" s="1">
        <v>3</v>
      </c>
      <c r="P252" s="1">
        <v>2</v>
      </c>
      <c r="Q252" s="1">
        <v>5</v>
      </c>
      <c r="R252" s="1">
        <v>1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59</v>
      </c>
      <c r="AA252" s="1" t="str" cm="1">
        <f t="array" ref="AA252">_xlfn.IFS(AND(Z252&lt;36, Z252&gt;23), "24-35", AND(Z252&lt;51, Z252&gt;35),"36-50", AND(Z252&lt;66, Z252&gt;50), "51-66", Z252&gt;65, "66+", TRUE, "?")</f>
        <v>51-66</v>
      </c>
      <c r="AB252" s="1">
        <v>2190</v>
      </c>
      <c r="AC252" s="1">
        <v>0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1</v>
      </c>
      <c r="AJ252" s="1">
        <v>0</v>
      </c>
      <c r="AK252" s="1">
        <v>0</v>
      </c>
      <c r="AL252" s="1">
        <v>1344</v>
      </c>
      <c r="AM252" s="2">
        <v>42659</v>
      </c>
      <c r="AN252" t="str">
        <f t="shared" si="7"/>
        <v>79410,1357,0.0170885278932124,0,0,19,658,80,483,123,13,13,1,3,2,5,1,0,0,0,0,0,0,0,59,51-66,2190,0,1,0,0,0,0,1,0,0,1344,42659</v>
      </c>
    </row>
    <row r="253" spans="1:40" ht="13" x14ac:dyDescent="0.15">
      <c r="A253">
        <v>801</v>
      </c>
      <c r="B253" s="1">
        <v>73803</v>
      </c>
      <c r="C253" s="1">
        <v>1354</v>
      </c>
      <c r="D253" s="4">
        <f t="shared" si="6"/>
        <v>1.8346137690879775E-2</v>
      </c>
      <c r="E253" s="1">
        <v>0</v>
      </c>
      <c r="F253" s="1">
        <v>1</v>
      </c>
      <c r="G253" s="1">
        <v>61</v>
      </c>
      <c r="H253" s="1">
        <v>833</v>
      </c>
      <c r="I253" s="1">
        <v>80</v>
      </c>
      <c r="J253" s="1">
        <v>363</v>
      </c>
      <c r="K253" s="1">
        <v>52</v>
      </c>
      <c r="L253" s="1">
        <v>26</v>
      </c>
      <c r="M253" s="1">
        <v>174</v>
      </c>
      <c r="N253" s="1">
        <v>2</v>
      </c>
      <c r="O253" s="1">
        <v>9</v>
      </c>
      <c r="P253" s="1">
        <v>5</v>
      </c>
      <c r="Q253" s="1">
        <v>6</v>
      </c>
      <c r="R253" s="1">
        <v>6</v>
      </c>
      <c r="S253" s="1">
        <v>0</v>
      </c>
      <c r="T253" s="1">
        <v>0</v>
      </c>
      <c r="U253" s="1">
        <v>1</v>
      </c>
      <c r="V253" s="1">
        <v>0</v>
      </c>
      <c r="W253" s="1">
        <v>0</v>
      </c>
      <c r="X253" s="1">
        <v>0</v>
      </c>
      <c r="Y253" s="1">
        <v>1</v>
      </c>
      <c r="Z253" s="1">
        <v>63</v>
      </c>
      <c r="AA253" s="1" t="str" cm="1">
        <f t="array" ref="AA253">_xlfn.IFS(AND(Z253&lt;36, Z253&gt;23), "24-35", AND(Z253&lt;51, Z253&gt;35),"36-50", AND(Z253&lt;66, Z253&gt;50), "51-66", Z253&gt;65, "66+", TRUE, "?")</f>
        <v>51-66</v>
      </c>
      <c r="AB253" s="1">
        <v>2856</v>
      </c>
      <c r="AC253" s="1">
        <v>0</v>
      </c>
      <c r="AD253" s="1">
        <v>1</v>
      </c>
      <c r="AE253" s="1">
        <v>0</v>
      </c>
      <c r="AF253" s="1">
        <v>0</v>
      </c>
      <c r="AG253" s="1">
        <v>0</v>
      </c>
      <c r="AH253" s="1">
        <v>0</v>
      </c>
      <c r="AI253" s="1">
        <v>1</v>
      </c>
      <c r="AJ253" s="1">
        <v>0</v>
      </c>
      <c r="AK253" s="1">
        <v>0</v>
      </c>
      <c r="AL253" s="1">
        <v>1180</v>
      </c>
      <c r="AM253" s="2">
        <v>41993</v>
      </c>
      <c r="AN253" t="str">
        <f t="shared" si="7"/>
        <v>73803,1354,0.0183461376908798,0,1,61,833,80,363,52,26,174,2,9,5,6,6,0,0,1,0,0,0,1,63,51-66,2856,0,1,0,0,0,0,1,0,0,1180,41993</v>
      </c>
    </row>
    <row r="254" spans="1:40" ht="13" hidden="1" x14ac:dyDescent="0.15">
      <c r="A254">
        <v>390</v>
      </c>
      <c r="B254" s="1">
        <v>80134</v>
      </c>
      <c r="C254" s="1">
        <v>1352</v>
      </c>
      <c r="D254" s="4">
        <f t="shared" si="6"/>
        <v>1.6871739835775078E-2</v>
      </c>
      <c r="E254" s="1">
        <v>0</v>
      </c>
      <c r="F254" s="1">
        <v>0</v>
      </c>
      <c r="G254" s="1">
        <v>11</v>
      </c>
      <c r="H254" s="1">
        <v>966</v>
      </c>
      <c r="I254" s="1">
        <v>26</v>
      </c>
      <c r="J254" s="1">
        <v>282</v>
      </c>
      <c r="K254" s="1">
        <v>52</v>
      </c>
      <c r="L254" s="1">
        <v>26</v>
      </c>
      <c r="M254" s="1">
        <v>26</v>
      </c>
      <c r="N254" s="1">
        <v>1</v>
      </c>
      <c r="O254" s="1">
        <v>2</v>
      </c>
      <c r="P254" s="1">
        <v>7</v>
      </c>
      <c r="Q254" s="1">
        <v>11</v>
      </c>
      <c r="R254" s="1">
        <v>5</v>
      </c>
      <c r="S254" s="1">
        <v>1</v>
      </c>
      <c r="T254" s="1">
        <v>1</v>
      </c>
      <c r="U254" s="1">
        <v>0</v>
      </c>
      <c r="V254" s="1">
        <v>1</v>
      </c>
      <c r="W254" s="1">
        <v>1</v>
      </c>
      <c r="X254" s="1">
        <v>0</v>
      </c>
      <c r="Y254" s="1">
        <v>0</v>
      </c>
      <c r="Z254" s="1">
        <v>26</v>
      </c>
      <c r="AA254" s="1" t="str" cm="1">
        <f t="array" ref="AA254">_xlfn.IFS(AND(Z254&lt;36, Z254&gt;23), "24-35", AND(Z254&lt;51, Z254&gt;35),"36-50", AND(Z254&lt;66, Z254&gt;50), "51-66", Z254&gt;65, "66+", TRUE, "?")</f>
        <v>24-35</v>
      </c>
      <c r="AB254" s="1">
        <v>2294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1</v>
      </c>
      <c r="AJ254" s="1">
        <v>0</v>
      </c>
      <c r="AK254" s="1">
        <v>0</v>
      </c>
      <c r="AL254" s="1">
        <v>1326</v>
      </c>
      <c r="AM254" s="2">
        <v>42555</v>
      </c>
      <c r="AN254" t="str">
        <f t="shared" si="7"/>
        <v>80134,1352,0.0168717398357751,0,0,11,966,26,282,52,26,26,1,2,7,11,5,1,1,0,1,1,0,0,26,24-35,2294,0,0,0,1,0,0,1,0,0,1326,42555</v>
      </c>
    </row>
    <row r="255" spans="1:40" ht="13" hidden="1" x14ac:dyDescent="0.15">
      <c r="A255">
        <v>326</v>
      </c>
      <c r="B255" s="1">
        <v>71952</v>
      </c>
      <c r="C255" s="1">
        <v>1350</v>
      </c>
      <c r="D255" s="4">
        <f t="shared" si="6"/>
        <v>1.8762508338892595E-2</v>
      </c>
      <c r="E255" s="1">
        <v>1</v>
      </c>
      <c r="F255" s="1">
        <v>0</v>
      </c>
      <c r="G255" s="1">
        <v>93</v>
      </c>
      <c r="H255" s="1">
        <v>656</v>
      </c>
      <c r="I255" s="1">
        <v>80</v>
      </c>
      <c r="J255" s="1">
        <v>455</v>
      </c>
      <c r="K255" s="1">
        <v>52</v>
      </c>
      <c r="L255" s="1">
        <v>107</v>
      </c>
      <c r="M255" s="1">
        <v>93</v>
      </c>
      <c r="N255" s="1">
        <v>2</v>
      </c>
      <c r="O255" s="1">
        <v>8</v>
      </c>
      <c r="P255" s="1">
        <v>4</v>
      </c>
      <c r="Q255" s="1">
        <v>8</v>
      </c>
      <c r="R255" s="1">
        <v>4</v>
      </c>
      <c r="S255" s="1">
        <v>0</v>
      </c>
      <c r="T255" s="1">
        <v>0</v>
      </c>
      <c r="U255" s="1">
        <v>1</v>
      </c>
      <c r="V255" s="1">
        <v>0</v>
      </c>
      <c r="W255" s="1">
        <v>1</v>
      </c>
      <c r="X255" s="1">
        <v>0</v>
      </c>
      <c r="Y255" s="1">
        <v>0</v>
      </c>
      <c r="Z255" s="1">
        <v>34</v>
      </c>
      <c r="AA255" s="1" t="str" cm="1">
        <f t="array" ref="AA255">_xlfn.IFS(AND(Z255&lt;36, Z255&gt;23), "24-35", AND(Z255&lt;51, Z255&gt;35),"36-50", AND(Z255&lt;66, Z255&gt;50), "51-66", Z255&gt;65, "66+", TRUE, "?")</f>
        <v>24-35</v>
      </c>
      <c r="AB255" s="1">
        <v>2694</v>
      </c>
      <c r="AC255" s="1">
        <v>0</v>
      </c>
      <c r="AD255" s="1">
        <v>1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1257</v>
      </c>
      <c r="AM255" s="2">
        <v>42155</v>
      </c>
      <c r="AN255" t="str">
        <f t="shared" si="7"/>
        <v>71952,1350,0.0187625083388926,1,0,93,656,80,455,52,107,93,2,8,4,8,4,0,0,1,0,1,0,0,34,24-35,2694,0,1,0,0,0,0,1,0,0,1257,42155</v>
      </c>
    </row>
    <row r="256" spans="1:40" ht="13" hidden="1" x14ac:dyDescent="0.15">
      <c r="A256">
        <v>1588</v>
      </c>
      <c r="B256" s="1">
        <v>82427</v>
      </c>
      <c r="C256" s="1">
        <v>1349</v>
      </c>
      <c r="D256" s="4">
        <f t="shared" si="6"/>
        <v>1.6365996578790929E-2</v>
      </c>
      <c r="E256" s="1">
        <v>0</v>
      </c>
      <c r="F256" s="1">
        <v>0</v>
      </c>
      <c r="G256" s="1">
        <v>35</v>
      </c>
      <c r="H256" s="1">
        <v>482</v>
      </c>
      <c r="I256" s="1">
        <v>147</v>
      </c>
      <c r="J256" s="1">
        <v>509</v>
      </c>
      <c r="K256" s="1">
        <v>104</v>
      </c>
      <c r="L256" s="1">
        <v>107</v>
      </c>
      <c r="M256" s="1">
        <v>107</v>
      </c>
      <c r="N256" s="1">
        <v>1</v>
      </c>
      <c r="O256" s="1">
        <v>3</v>
      </c>
      <c r="P256" s="1">
        <v>5</v>
      </c>
      <c r="Q256" s="1">
        <v>12</v>
      </c>
      <c r="R256" s="1">
        <v>1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0</v>
      </c>
      <c r="Y256" s="1">
        <v>0</v>
      </c>
      <c r="Z256" s="1">
        <v>54</v>
      </c>
      <c r="AA256" s="1" t="str" cm="1">
        <f t="array" ref="AA256">_xlfn.IFS(AND(Z256&lt;36, Z256&gt;23), "24-35", AND(Z256&lt;51, Z256&gt;35),"36-50", AND(Z256&lt;66, Z256&gt;50), "51-66", Z256&gt;65, "66+", TRUE, "?")</f>
        <v>51-66</v>
      </c>
      <c r="AB256" s="1">
        <v>2268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1242</v>
      </c>
      <c r="AM256" s="2">
        <v>42581</v>
      </c>
      <c r="AN256" t="str">
        <f t="shared" si="7"/>
        <v>82427,1349,0.0163659965787909,0,0,35,482,147,509,104,107,107,1,3,5,12,1,0,0,0,0,1,0,0,54,51-66,2268,0,0,0,1,0,0,1,0,0,1242,42581</v>
      </c>
    </row>
    <row r="257" spans="1:40" ht="13" hidden="1" x14ac:dyDescent="0.15">
      <c r="A257">
        <v>1689</v>
      </c>
      <c r="B257" s="1">
        <v>72159</v>
      </c>
      <c r="C257" s="1">
        <v>1348</v>
      </c>
      <c r="D257" s="4">
        <f t="shared" si="6"/>
        <v>1.8680968416968084E-2</v>
      </c>
      <c r="E257" s="1">
        <v>0</v>
      </c>
      <c r="F257" s="1">
        <v>0</v>
      </c>
      <c r="G257" s="1">
        <v>62</v>
      </c>
      <c r="H257" s="1">
        <v>322</v>
      </c>
      <c r="I257" s="1">
        <v>53</v>
      </c>
      <c r="J257" s="1">
        <v>899</v>
      </c>
      <c r="K257" s="1">
        <v>34</v>
      </c>
      <c r="L257" s="1">
        <v>40</v>
      </c>
      <c r="M257" s="1">
        <v>53</v>
      </c>
      <c r="N257" s="1">
        <v>1</v>
      </c>
      <c r="O257" s="1">
        <v>4</v>
      </c>
      <c r="P257" s="1">
        <v>6</v>
      </c>
      <c r="Q257" s="1">
        <v>10</v>
      </c>
      <c r="R257" s="1">
        <v>2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42</v>
      </c>
      <c r="AA257" s="1" t="str" cm="1">
        <f t="array" ref="AA257">_xlfn.IFS(AND(Z257&lt;36, Z257&gt;23), "24-35", AND(Z257&lt;51, Z257&gt;35),"36-50", AND(Z257&lt;66, Z257&gt;50), "51-66", Z257&gt;65, "66+", TRUE, "?")</f>
        <v>36-50</v>
      </c>
      <c r="AB257" s="1">
        <v>2767</v>
      </c>
      <c r="AC257" s="1">
        <v>0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1</v>
      </c>
      <c r="AL257" s="1">
        <v>1295</v>
      </c>
      <c r="AM257" s="2">
        <v>42082</v>
      </c>
      <c r="AN257" t="str">
        <f t="shared" si="7"/>
        <v>72159,1348,0.0186809684169681,0,0,62,322,53,899,34,40,53,1,4,6,10,2,0,0,0,0,0,0,0,42,36-50,2767,0,1,0,0,0,0,0,0,1,1295,42082</v>
      </c>
    </row>
    <row r="258" spans="1:40" ht="13" hidden="1" x14ac:dyDescent="0.15">
      <c r="A258">
        <v>418</v>
      </c>
      <c r="B258" s="1">
        <v>81246</v>
      </c>
      <c r="C258" s="1">
        <v>1342</v>
      </c>
      <c r="D258" s="4">
        <f t="shared" ref="D258:D321" si="8">C258/B258</f>
        <v>1.6517736257785E-2</v>
      </c>
      <c r="E258" s="1">
        <v>0</v>
      </c>
      <c r="F258" s="1">
        <v>0</v>
      </c>
      <c r="G258" s="1">
        <v>87</v>
      </c>
      <c r="H258" s="1">
        <v>398</v>
      </c>
      <c r="I258" s="1">
        <v>190</v>
      </c>
      <c r="J258" s="1">
        <v>537</v>
      </c>
      <c r="K258" s="1">
        <v>61</v>
      </c>
      <c r="L258" s="1">
        <v>156</v>
      </c>
      <c r="M258" s="1">
        <v>37</v>
      </c>
      <c r="N258" s="1">
        <v>1</v>
      </c>
      <c r="O258" s="1">
        <v>4</v>
      </c>
      <c r="P258" s="1">
        <v>5</v>
      </c>
      <c r="Q258" s="1">
        <v>7</v>
      </c>
      <c r="R258" s="1">
        <v>1</v>
      </c>
      <c r="S258" s="1">
        <v>1</v>
      </c>
      <c r="T258" s="1">
        <v>0</v>
      </c>
      <c r="U258" s="1">
        <v>1</v>
      </c>
      <c r="V258" s="1">
        <v>0</v>
      </c>
      <c r="W258" s="1">
        <v>0</v>
      </c>
      <c r="X258" s="1">
        <v>0</v>
      </c>
      <c r="Y258" s="1">
        <v>0</v>
      </c>
      <c r="Z258" s="1">
        <v>56</v>
      </c>
      <c r="AA258" s="1" t="str" cm="1">
        <f t="array" ref="AA258">_xlfn.IFS(AND(Z258&lt;36, Z258&gt;23), "24-35", AND(Z258&lt;51, Z258&gt;35),"36-50", AND(Z258&lt;66, Z258&gt;50), "51-66", Z258&gt;65, "66+", TRUE, "?")</f>
        <v>51-66</v>
      </c>
      <c r="AB258" s="1">
        <v>2341</v>
      </c>
      <c r="AC258" s="1">
        <v>0</v>
      </c>
      <c r="AD258" s="1">
        <v>0</v>
      </c>
      <c r="AE258" s="1">
        <v>1</v>
      </c>
      <c r="AF258" s="1">
        <v>0</v>
      </c>
      <c r="AG258" s="1">
        <v>0</v>
      </c>
      <c r="AH258" s="1">
        <v>0</v>
      </c>
      <c r="AI258" s="1">
        <v>1</v>
      </c>
      <c r="AJ258" s="1">
        <v>0</v>
      </c>
      <c r="AK258" s="1">
        <v>0</v>
      </c>
      <c r="AL258" s="1">
        <v>1305</v>
      </c>
      <c r="AM258" s="2">
        <v>42508</v>
      </c>
      <c r="AN258" t="str">
        <f t="shared" ref="AN258:AN321" si="9">_xlfn.TEXTJOIN(",",TRUE,B258:AM258)</f>
        <v>81246,1342,0.016517736257785,0,0,87,398,190,537,61,156,37,1,4,5,7,1,1,0,1,0,0,0,0,56,51-66,2341,0,0,1,0,0,0,1,0,0,1305,42508</v>
      </c>
    </row>
    <row r="259" spans="1:40" ht="13" x14ac:dyDescent="0.15">
      <c r="A259">
        <v>827</v>
      </c>
      <c r="B259" s="1">
        <v>69372</v>
      </c>
      <c r="C259" s="1">
        <v>1339</v>
      </c>
      <c r="D259" s="4">
        <f t="shared" si="8"/>
        <v>1.9301735570547193E-2</v>
      </c>
      <c r="E259" s="1">
        <v>0</v>
      </c>
      <c r="F259" s="1">
        <v>0</v>
      </c>
      <c r="G259" s="1">
        <v>10</v>
      </c>
      <c r="H259" s="1">
        <v>997</v>
      </c>
      <c r="I259" s="1">
        <v>26</v>
      </c>
      <c r="J259" s="1">
        <v>269</v>
      </c>
      <c r="K259" s="1">
        <v>34</v>
      </c>
      <c r="L259" s="1">
        <v>13</v>
      </c>
      <c r="M259" s="1">
        <v>42</v>
      </c>
      <c r="N259" s="1">
        <v>1</v>
      </c>
      <c r="O259" s="1">
        <v>10</v>
      </c>
      <c r="P259" s="1">
        <v>4</v>
      </c>
      <c r="Q259" s="1">
        <v>6</v>
      </c>
      <c r="R259" s="1">
        <v>4</v>
      </c>
      <c r="S259" s="1">
        <v>0</v>
      </c>
      <c r="T259" s="1">
        <v>0</v>
      </c>
      <c r="U259" s="1">
        <v>0</v>
      </c>
      <c r="V259" s="1">
        <v>1</v>
      </c>
      <c r="W259" s="1">
        <v>1</v>
      </c>
      <c r="X259" s="1">
        <v>0</v>
      </c>
      <c r="Y259" s="1">
        <v>1</v>
      </c>
      <c r="Z259" s="1">
        <v>71</v>
      </c>
      <c r="AA259" s="1" t="str" cm="1">
        <f t="array" ref="AA259">_xlfn.IFS(AND(Z259&lt;36, Z259&gt;23), "24-35", AND(Z259&lt;51, Z259&gt;35),"36-50", AND(Z259&lt;66, Z259&gt;50), "51-66", Z259&gt;65, "66+", TRUE, "?")</f>
        <v>66+</v>
      </c>
      <c r="AB259" s="1">
        <v>2654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1</v>
      </c>
      <c r="AJ259" s="1">
        <v>0</v>
      </c>
      <c r="AK259" s="1">
        <v>0</v>
      </c>
      <c r="AL259" s="1">
        <v>1297</v>
      </c>
      <c r="AM259" s="2">
        <v>42195</v>
      </c>
      <c r="AN259" t="str">
        <f t="shared" si="9"/>
        <v>69372,1339,0.0193017355705472,0,0,10,997,26,269,34,13,42,1,10,4,6,4,0,0,0,1,1,0,1,71,66+,2654,0,0,0,1,0,0,1,0,0,1297,42195</v>
      </c>
    </row>
    <row r="260" spans="1:40" ht="13" hidden="1" x14ac:dyDescent="0.15">
      <c r="A260">
        <v>873</v>
      </c>
      <c r="B260" s="1">
        <v>68397</v>
      </c>
      <c r="C260" s="1">
        <v>1336</v>
      </c>
      <c r="D260" s="4">
        <f t="shared" si="8"/>
        <v>1.9533020454113485E-2</v>
      </c>
      <c r="E260" s="1">
        <v>0</v>
      </c>
      <c r="F260" s="1">
        <v>1</v>
      </c>
      <c r="G260" s="1">
        <v>6</v>
      </c>
      <c r="H260" s="1">
        <v>760</v>
      </c>
      <c r="I260" s="1">
        <v>80</v>
      </c>
      <c r="J260" s="1">
        <v>466</v>
      </c>
      <c r="K260" s="1">
        <v>17</v>
      </c>
      <c r="L260" s="1">
        <v>13</v>
      </c>
      <c r="M260" s="1">
        <v>80</v>
      </c>
      <c r="N260" s="1">
        <v>1</v>
      </c>
      <c r="O260" s="1">
        <v>6</v>
      </c>
      <c r="P260" s="1">
        <v>9</v>
      </c>
      <c r="Q260" s="1">
        <v>5</v>
      </c>
      <c r="R260" s="1">
        <v>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44</v>
      </c>
      <c r="AA260" s="1" t="str" cm="1">
        <f t="array" ref="AA260">_xlfn.IFS(AND(Z260&lt;36, Z260&gt;23), "24-35", AND(Z260&lt;51, Z260&gt;35),"36-50", AND(Z260&lt;66, Z260&gt;50), "51-66", Z260&gt;65, "66+", TRUE, "?")</f>
        <v>36-50</v>
      </c>
      <c r="AB260" s="1">
        <v>2383</v>
      </c>
      <c r="AC260" s="1">
        <v>0</v>
      </c>
      <c r="AD260" s="1">
        <v>1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1</v>
      </c>
      <c r="AL260" s="1">
        <v>1256</v>
      </c>
      <c r="AM260" s="2">
        <v>42466</v>
      </c>
      <c r="AN260" t="str">
        <f t="shared" si="9"/>
        <v>68397,1336,0.0195330204541135,0,1,6,760,80,466,17,13,80,1,6,9,5,3,0,0,0,0,0,0,0,44,36-50,2383,0,1,0,0,0,0,0,0,1,1256,42466</v>
      </c>
    </row>
    <row r="261" spans="1:40" ht="13" hidden="1" x14ac:dyDescent="0.15">
      <c r="A261">
        <v>273</v>
      </c>
      <c r="B261" s="1">
        <v>55951</v>
      </c>
      <c r="C261" s="1">
        <v>1334</v>
      </c>
      <c r="D261" s="4">
        <f t="shared" si="8"/>
        <v>2.3842290575682292E-2</v>
      </c>
      <c r="E261" s="1">
        <v>0</v>
      </c>
      <c r="F261" s="1">
        <v>1</v>
      </c>
      <c r="G261" s="1">
        <v>62</v>
      </c>
      <c r="H261" s="1">
        <v>1241</v>
      </c>
      <c r="I261" s="1">
        <v>0</v>
      </c>
      <c r="J261" s="1">
        <v>80</v>
      </c>
      <c r="K261" s="1">
        <v>0</v>
      </c>
      <c r="L261" s="1">
        <v>13</v>
      </c>
      <c r="M261" s="1">
        <v>40</v>
      </c>
      <c r="N261" s="1">
        <v>3</v>
      </c>
      <c r="O261" s="1">
        <v>3</v>
      </c>
      <c r="P261" s="1">
        <v>6</v>
      </c>
      <c r="Q261" s="1">
        <v>11</v>
      </c>
      <c r="R261" s="1">
        <v>8</v>
      </c>
      <c r="S261" s="1">
        <v>0</v>
      </c>
      <c r="T261" s="1">
        <v>1</v>
      </c>
      <c r="U261" s="1">
        <v>0</v>
      </c>
      <c r="V261" s="1">
        <v>1</v>
      </c>
      <c r="W261" s="1">
        <v>0</v>
      </c>
      <c r="X261" s="1">
        <v>0</v>
      </c>
      <c r="Y261" s="1">
        <v>0</v>
      </c>
      <c r="Z261" s="1">
        <v>68</v>
      </c>
      <c r="AA261" s="1" t="str" cm="1">
        <f t="array" ref="AA261">_xlfn.IFS(AND(Z261&lt;36, Z261&gt;23), "24-35", AND(Z261&lt;51, Z261&gt;35),"36-50", AND(Z261&lt;66, Z261&gt;50), "51-66", Z261&gt;65, "66+", TRUE, "?")</f>
        <v>66+</v>
      </c>
      <c r="AB261" s="1">
        <v>2834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1</v>
      </c>
      <c r="AK261" s="1">
        <v>0</v>
      </c>
      <c r="AL261" s="1">
        <v>1294</v>
      </c>
      <c r="AM261" s="2">
        <v>42015</v>
      </c>
      <c r="AN261" t="str">
        <f t="shared" si="9"/>
        <v>55951,1334,0.0238422905756823,0,1,62,1241,0,80,0,13,40,3,3,6,11,8,0,1,0,1,0,0,0,68,66+,2834,0,0,0,1,0,0,0,1,0,1294,42015</v>
      </c>
    </row>
    <row r="262" spans="1:40" ht="13" hidden="1" x14ac:dyDescent="0.15">
      <c r="A262">
        <v>679</v>
      </c>
      <c r="B262" s="1">
        <v>80395</v>
      </c>
      <c r="C262" s="1">
        <v>1332</v>
      </c>
      <c r="D262" s="4">
        <f t="shared" si="8"/>
        <v>1.6568194539461411E-2</v>
      </c>
      <c r="E262" s="1">
        <v>0</v>
      </c>
      <c r="F262" s="1">
        <v>0</v>
      </c>
      <c r="G262" s="1">
        <v>62</v>
      </c>
      <c r="H262" s="1">
        <v>445</v>
      </c>
      <c r="I262" s="1">
        <v>25</v>
      </c>
      <c r="J262" s="1">
        <v>706</v>
      </c>
      <c r="K262" s="1">
        <v>80</v>
      </c>
      <c r="L262" s="1">
        <v>76</v>
      </c>
      <c r="M262" s="1">
        <v>48</v>
      </c>
      <c r="N262" s="1">
        <v>1</v>
      </c>
      <c r="O262" s="1">
        <v>6</v>
      </c>
      <c r="P262" s="1">
        <v>5</v>
      </c>
      <c r="Q262" s="1">
        <v>12</v>
      </c>
      <c r="R262" s="1">
        <v>2</v>
      </c>
      <c r="S262" s="1">
        <v>1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65</v>
      </c>
      <c r="AA262" s="1" t="str" cm="1">
        <f t="array" ref="AA262">_xlfn.IFS(AND(Z262&lt;36, Z262&gt;23), "24-35", AND(Z262&lt;51, Z262&gt;35),"36-50", AND(Z262&lt;66, Z262&gt;50), "51-66", Z262&gt;65, "66+", TRUE, "?")</f>
        <v>51-66</v>
      </c>
      <c r="AB262" s="1">
        <v>2377</v>
      </c>
      <c r="AC262" s="1">
        <v>0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1</v>
      </c>
      <c r="AJ262" s="1">
        <v>0</v>
      </c>
      <c r="AK262" s="1">
        <v>0</v>
      </c>
      <c r="AL262" s="1">
        <v>1284</v>
      </c>
      <c r="AM262" s="2">
        <v>42472</v>
      </c>
      <c r="AN262" t="str">
        <f t="shared" si="9"/>
        <v>80395,1332,0.0165681945394614,0,0,62,445,25,706,80,76,48,1,6,5,12,2,1,0,0,0,0,0,0,65,51-66,2377,0,1,0,0,0,0,1,0,0,1284,42472</v>
      </c>
    </row>
    <row r="263" spans="1:40" ht="13" hidden="1" x14ac:dyDescent="0.15">
      <c r="A263">
        <v>1249</v>
      </c>
      <c r="B263" s="1">
        <v>90842</v>
      </c>
      <c r="C263" s="1">
        <v>1331</v>
      </c>
      <c r="D263" s="4">
        <f t="shared" si="8"/>
        <v>1.4651813038022061E-2</v>
      </c>
      <c r="E263" s="1">
        <v>0</v>
      </c>
      <c r="F263" s="1">
        <v>0</v>
      </c>
      <c r="G263" s="1">
        <v>57</v>
      </c>
      <c r="H263" s="1">
        <v>774</v>
      </c>
      <c r="I263" s="1">
        <v>70</v>
      </c>
      <c r="J263" s="1">
        <v>118</v>
      </c>
      <c r="K263" s="1">
        <v>182</v>
      </c>
      <c r="L263" s="1">
        <v>187</v>
      </c>
      <c r="M263" s="1">
        <v>93</v>
      </c>
      <c r="N263" s="1">
        <v>1</v>
      </c>
      <c r="O263" s="1">
        <v>4</v>
      </c>
      <c r="P263" s="1">
        <v>9</v>
      </c>
      <c r="Q263" s="1">
        <v>13</v>
      </c>
      <c r="R263" s="1">
        <v>1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72</v>
      </c>
      <c r="AA263" s="1" t="str" cm="1">
        <f t="array" ref="AA263">_xlfn.IFS(AND(Z263&lt;36, Z263&gt;23), "24-35", AND(Z263&lt;51, Z263&gt;35),"36-50", AND(Z263&lt;66, Z263&gt;50), "51-66", Z263&gt;65, "66+", TRUE, "?")</f>
        <v>66+</v>
      </c>
      <c r="AB263" s="1">
        <v>2494</v>
      </c>
      <c r="AC263" s="1">
        <v>0</v>
      </c>
      <c r="AD263" s="1">
        <v>0</v>
      </c>
      <c r="AE263" s="1">
        <v>1</v>
      </c>
      <c r="AF263" s="1">
        <v>0</v>
      </c>
      <c r="AG263" s="1">
        <v>0</v>
      </c>
      <c r="AH263" s="1">
        <v>0</v>
      </c>
      <c r="AI263" s="1">
        <v>1</v>
      </c>
      <c r="AJ263" s="1">
        <v>0</v>
      </c>
      <c r="AK263" s="1">
        <v>0</v>
      </c>
      <c r="AL263" s="1">
        <v>1238</v>
      </c>
      <c r="AM263" s="2">
        <v>42355</v>
      </c>
      <c r="AN263" t="str">
        <f t="shared" si="9"/>
        <v>90842,1331,0.0146518130380221,0,0,57,774,70,118,182,187,93,1,4,9,13,1,0,0,0,0,0,0,0,72,66+,2494,0,0,1,0,0,0,1,0,0,1238,42355</v>
      </c>
    </row>
    <row r="264" spans="1:40" ht="13" hidden="1" x14ac:dyDescent="0.15">
      <c r="A264">
        <v>1189</v>
      </c>
      <c r="B264" s="1">
        <v>85485</v>
      </c>
      <c r="C264" s="1">
        <v>1329</v>
      </c>
      <c r="D264" s="4">
        <f t="shared" si="8"/>
        <v>1.5546587120547465E-2</v>
      </c>
      <c r="E264" s="1">
        <v>0</v>
      </c>
      <c r="F264" s="1">
        <v>0</v>
      </c>
      <c r="G264" s="1">
        <v>73</v>
      </c>
      <c r="H264" s="1">
        <v>630</v>
      </c>
      <c r="I264" s="1">
        <v>26</v>
      </c>
      <c r="J264" s="1">
        <v>611</v>
      </c>
      <c r="K264" s="1">
        <v>44</v>
      </c>
      <c r="L264" s="1">
        <v>18</v>
      </c>
      <c r="M264" s="1">
        <v>54</v>
      </c>
      <c r="N264" s="1">
        <v>1</v>
      </c>
      <c r="O264" s="1">
        <v>6</v>
      </c>
      <c r="P264" s="1">
        <v>6</v>
      </c>
      <c r="Q264" s="1">
        <v>6</v>
      </c>
      <c r="R264" s="1">
        <v>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62</v>
      </c>
      <c r="AA264" s="1" t="str" cm="1">
        <f t="array" ref="AA264">_xlfn.IFS(AND(Z264&lt;36, Z264&gt;23), "24-35", AND(Z264&lt;51, Z264&gt;35),"36-50", AND(Z264&lt;66, Z264&gt;50), "51-66", Z264&gt;65, "66+", TRUE, "?")</f>
        <v>51-66</v>
      </c>
      <c r="AB264" s="1">
        <v>2167</v>
      </c>
      <c r="AC264" s="1">
        <v>0</v>
      </c>
      <c r="AD264" s="1">
        <v>0</v>
      </c>
      <c r="AE264" s="1">
        <v>1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1275</v>
      </c>
      <c r="AM264" s="2">
        <v>42682</v>
      </c>
      <c r="AN264" t="str">
        <f t="shared" si="9"/>
        <v>85485,1329,0.0155465871205475,0,0,73,630,26,611,44,18,54,1,6,6,6,2,0,0,0,0,0,0,0,62,51-66,2167,0,0,1,0,0,1,0,0,0,1275,42682</v>
      </c>
    </row>
    <row r="265" spans="1:40" ht="13" hidden="1" x14ac:dyDescent="0.15">
      <c r="A265">
        <v>1039</v>
      </c>
      <c r="B265" s="1">
        <v>76045</v>
      </c>
      <c r="C265" s="1">
        <v>1323</v>
      </c>
      <c r="D265" s="4">
        <f t="shared" si="8"/>
        <v>1.7397593530146624E-2</v>
      </c>
      <c r="E265" s="1">
        <v>0</v>
      </c>
      <c r="F265" s="1">
        <v>0</v>
      </c>
      <c r="G265" s="1">
        <v>78</v>
      </c>
      <c r="H265" s="1">
        <v>760</v>
      </c>
      <c r="I265" s="1">
        <v>53</v>
      </c>
      <c r="J265" s="1">
        <v>400</v>
      </c>
      <c r="K265" s="1">
        <v>17</v>
      </c>
      <c r="L265" s="1">
        <v>93</v>
      </c>
      <c r="M265" s="1">
        <v>0</v>
      </c>
      <c r="N265" s="1">
        <v>1</v>
      </c>
      <c r="O265" s="1">
        <v>4</v>
      </c>
      <c r="P265" s="1">
        <v>5</v>
      </c>
      <c r="Q265" s="1">
        <v>11</v>
      </c>
      <c r="R265" s="1">
        <v>2</v>
      </c>
      <c r="S265" s="1">
        <v>1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60</v>
      </c>
      <c r="AA265" s="1" t="str" cm="1">
        <f t="array" ref="AA265">_xlfn.IFS(AND(Z265&lt;36, Z265&gt;23), "24-35", AND(Z265&lt;51, Z265&gt;35),"36-50", AND(Z265&lt;66, Z265&gt;50), "51-66", Z265&gt;65, "66+", TRUE, "?")</f>
        <v>51-66</v>
      </c>
      <c r="AB265" s="1">
        <v>2385</v>
      </c>
      <c r="AC265" s="1">
        <v>0</v>
      </c>
      <c r="AD265" s="1">
        <v>0</v>
      </c>
      <c r="AE265" s="1">
        <v>1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1</v>
      </c>
      <c r="AL265" s="1">
        <v>1323</v>
      </c>
      <c r="AM265" s="2">
        <v>42464</v>
      </c>
      <c r="AN265" t="str">
        <f t="shared" si="9"/>
        <v>76045,1323,0.0173975935301466,0,0,78,760,53,400,17,93,0,1,4,5,11,2,1,0,0,0,0,0,0,60,51-66,2385,0,0,1,0,0,0,0,0,1,1323,42464</v>
      </c>
    </row>
    <row r="266" spans="1:40" ht="13" hidden="1" x14ac:dyDescent="0.15">
      <c r="A266">
        <v>603</v>
      </c>
      <c r="B266" s="1">
        <v>76140</v>
      </c>
      <c r="C266" s="1">
        <v>1322</v>
      </c>
      <c r="D266" s="4">
        <f t="shared" si="8"/>
        <v>1.736275282374573E-2</v>
      </c>
      <c r="E266" s="1">
        <v>0</v>
      </c>
      <c r="F266" s="1">
        <v>0</v>
      </c>
      <c r="G266" s="1">
        <v>57</v>
      </c>
      <c r="H266" s="1">
        <v>586</v>
      </c>
      <c r="I266" s="1">
        <v>66</v>
      </c>
      <c r="J266" s="1">
        <v>653</v>
      </c>
      <c r="K266" s="1">
        <v>17</v>
      </c>
      <c r="L266" s="1">
        <v>0</v>
      </c>
      <c r="M266" s="1">
        <v>26</v>
      </c>
      <c r="N266" s="1">
        <v>1</v>
      </c>
      <c r="O266" s="1">
        <v>5</v>
      </c>
      <c r="P266" s="1">
        <v>9</v>
      </c>
      <c r="Q266" s="1">
        <v>6</v>
      </c>
      <c r="R266" s="1">
        <v>2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72</v>
      </c>
      <c r="AA266" s="1" t="str" cm="1">
        <f t="array" ref="AA266">_xlfn.IFS(AND(Z266&lt;36, Z266&gt;23), "24-35", AND(Z266&lt;51, Z266&gt;35),"36-50", AND(Z266&lt;66, Z266&gt;50), "51-66", Z266&gt;65, "66+", TRUE, "?")</f>
        <v>66+</v>
      </c>
      <c r="AB266" s="1">
        <v>2206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1</v>
      </c>
      <c r="AL266" s="1">
        <v>1296</v>
      </c>
      <c r="AM266" s="2">
        <v>42643</v>
      </c>
      <c r="AN266" t="str">
        <f t="shared" si="9"/>
        <v>76140,1322,0.0173627528237457,0,0,57,586,66,653,17,0,26,1,5,9,6,2,0,0,0,0,0,0,0,72,66+,2206,0,0,0,1,0,0,0,0,1,1296,42643</v>
      </c>
    </row>
    <row r="267" spans="1:40" ht="13" hidden="1" x14ac:dyDescent="0.15">
      <c r="A267">
        <v>644</v>
      </c>
      <c r="B267" s="1">
        <v>77845</v>
      </c>
      <c r="C267" s="1">
        <v>1320</v>
      </c>
      <c r="D267" s="4">
        <f t="shared" si="8"/>
        <v>1.6956773074699723E-2</v>
      </c>
      <c r="E267" s="1">
        <v>0</v>
      </c>
      <c r="F267" s="1">
        <v>0</v>
      </c>
      <c r="G267" s="1">
        <v>40</v>
      </c>
      <c r="H267" s="1">
        <v>760</v>
      </c>
      <c r="I267" s="1">
        <v>40</v>
      </c>
      <c r="J267" s="1">
        <v>480</v>
      </c>
      <c r="K267" s="1">
        <v>0</v>
      </c>
      <c r="L267" s="1">
        <v>40</v>
      </c>
      <c r="M267" s="1">
        <v>26</v>
      </c>
      <c r="N267" s="1">
        <v>1</v>
      </c>
      <c r="O267" s="1">
        <v>3</v>
      </c>
      <c r="P267" s="1">
        <v>5</v>
      </c>
      <c r="Q267" s="1">
        <v>12</v>
      </c>
      <c r="R267" s="1">
        <v>1</v>
      </c>
      <c r="S267" s="1">
        <v>1</v>
      </c>
      <c r="T267" s="1">
        <v>0</v>
      </c>
      <c r="U267" s="1">
        <v>0</v>
      </c>
      <c r="V267" s="1">
        <v>0</v>
      </c>
      <c r="W267" s="1">
        <v>1</v>
      </c>
      <c r="X267" s="1">
        <v>0</v>
      </c>
      <c r="Y267" s="1">
        <v>0</v>
      </c>
      <c r="Z267" s="1">
        <v>31</v>
      </c>
      <c r="AA267" s="1" t="str" cm="1">
        <f t="array" ref="AA267">_xlfn.IFS(AND(Z267&lt;36, Z267&gt;23), "24-35", AND(Z267&lt;51, Z267&gt;35),"36-50", AND(Z267&lt;66, Z267&gt;50), "51-66", Z267&gt;65, "66+", TRUE, "?")</f>
        <v>24-35</v>
      </c>
      <c r="AB267" s="1">
        <v>2203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0</v>
      </c>
      <c r="AJ267" s="1">
        <v>0</v>
      </c>
      <c r="AK267" s="1">
        <v>1</v>
      </c>
      <c r="AL267" s="1">
        <v>1294</v>
      </c>
      <c r="AM267" s="2">
        <v>42646</v>
      </c>
      <c r="AN267" t="str">
        <f t="shared" si="9"/>
        <v>77845,1320,0.0169567730746997,0,0,40,760,40,480,0,40,26,1,3,5,12,1,1,0,0,0,1,0,0,31,24-35,2203,0,0,0,1,0,0,0,0,1,1294,42646</v>
      </c>
    </row>
    <row r="268" spans="1:40" ht="13" hidden="1" x14ac:dyDescent="0.15">
      <c r="A268">
        <v>1426</v>
      </c>
      <c r="B268" s="1">
        <v>65819</v>
      </c>
      <c r="C268" s="1">
        <v>1320</v>
      </c>
      <c r="D268" s="4">
        <f t="shared" si="8"/>
        <v>2.0054999316306842E-2</v>
      </c>
      <c r="E268" s="1">
        <v>0</v>
      </c>
      <c r="F268" s="1">
        <v>0</v>
      </c>
      <c r="G268" s="1">
        <v>99</v>
      </c>
      <c r="H268" s="1">
        <v>267</v>
      </c>
      <c r="I268" s="1">
        <v>38</v>
      </c>
      <c r="J268" s="1">
        <v>701</v>
      </c>
      <c r="K268" s="1">
        <v>149</v>
      </c>
      <c r="L268" s="1">
        <v>165</v>
      </c>
      <c r="M268" s="1">
        <v>63</v>
      </c>
      <c r="N268" s="1">
        <v>1</v>
      </c>
      <c r="O268" s="1">
        <v>5</v>
      </c>
      <c r="P268" s="1">
        <v>4</v>
      </c>
      <c r="Q268" s="1">
        <v>10</v>
      </c>
      <c r="R268" s="1">
        <v>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42</v>
      </c>
      <c r="AA268" s="1" t="str" cm="1">
        <f t="array" ref="AA268">_xlfn.IFS(AND(Z268&lt;36, Z268&gt;23), "24-35", AND(Z268&lt;51, Z268&gt;35),"36-50", AND(Z268&lt;66, Z268&gt;50), "51-66", Z268&gt;65, "66+", TRUE, "?")</f>
        <v>36-50</v>
      </c>
      <c r="AB268" s="1">
        <v>2736</v>
      </c>
      <c r="AC268" s="1">
        <v>0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1257</v>
      </c>
      <c r="AM268" s="2">
        <v>42113</v>
      </c>
      <c r="AN268" t="str">
        <f t="shared" si="9"/>
        <v>65819,1320,0.0200549993163068,0,0,99,267,38,701,149,165,63,1,5,4,10,3,0,0,0,0,0,0,0,42,36-50,2736,0,1,0,0,0,0,1,0,0,1257,42113</v>
      </c>
    </row>
    <row r="269" spans="1:40" ht="13" hidden="1" x14ac:dyDescent="0.15">
      <c r="A269">
        <v>340</v>
      </c>
      <c r="B269" s="1">
        <v>79530</v>
      </c>
      <c r="C269" s="1">
        <v>1319</v>
      </c>
      <c r="D269" s="4">
        <f t="shared" si="8"/>
        <v>1.6584936501948949E-2</v>
      </c>
      <c r="E269" s="1">
        <v>0</v>
      </c>
      <c r="F269" s="1">
        <v>0</v>
      </c>
      <c r="G269" s="1">
        <v>64</v>
      </c>
      <c r="H269" s="1">
        <v>333</v>
      </c>
      <c r="I269" s="1">
        <v>0</v>
      </c>
      <c r="J269" s="1">
        <v>815</v>
      </c>
      <c r="K269" s="1">
        <v>129</v>
      </c>
      <c r="L269" s="1">
        <v>42</v>
      </c>
      <c r="M269" s="1">
        <v>29</v>
      </c>
      <c r="N269" s="1">
        <v>1</v>
      </c>
      <c r="O269" s="1">
        <v>4</v>
      </c>
      <c r="P269" s="1">
        <v>10</v>
      </c>
      <c r="Q269" s="1">
        <v>11</v>
      </c>
      <c r="R269" s="1">
        <v>2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60</v>
      </c>
      <c r="AA269" s="1" t="str" cm="1">
        <f t="array" ref="AA269">_xlfn.IFS(AND(Z269&lt;36, Z269&gt;23), "24-35", AND(Z269&lt;51, Z269&gt;35),"36-50", AND(Z269&lt;66, Z269&gt;50), "51-66", Z269&gt;65, "66+", TRUE, "?")</f>
        <v>51-66</v>
      </c>
      <c r="AB269" s="1">
        <v>2567</v>
      </c>
      <c r="AC269" s="1">
        <v>0</v>
      </c>
      <c r="AD269" s="1">
        <v>1</v>
      </c>
      <c r="AE269" s="1">
        <v>0</v>
      </c>
      <c r="AF269" s="1">
        <v>0</v>
      </c>
      <c r="AG269" s="1">
        <v>0</v>
      </c>
      <c r="AH269" s="1">
        <v>0</v>
      </c>
      <c r="AI269" s="1">
        <v>1</v>
      </c>
      <c r="AJ269" s="1">
        <v>0</v>
      </c>
      <c r="AK269" s="1">
        <v>0</v>
      </c>
      <c r="AL269" s="1">
        <v>1290</v>
      </c>
      <c r="AM269" s="2">
        <v>42282</v>
      </c>
      <c r="AN269" t="str">
        <f t="shared" si="9"/>
        <v>79530,1319,0.0165849365019489,0,0,64,333,0,815,129,42,29,1,4,10,11,2,0,0,0,0,0,0,0,60,51-66,2567,0,1,0,0,0,0,1,0,0,1290,42282</v>
      </c>
    </row>
    <row r="270" spans="1:40" ht="13" hidden="1" x14ac:dyDescent="0.15">
      <c r="A270">
        <v>228</v>
      </c>
      <c r="B270" s="1">
        <v>75027</v>
      </c>
      <c r="C270" s="1">
        <v>1313</v>
      </c>
      <c r="D270" s="4">
        <f t="shared" si="8"/>
        <v>1.7500366534714169E-2</v>
      </c>
      <c r="E270" s="1">
        <v>0</v>
      </c>
      <c r="F270" s="1">
        <v>1</v>
      </c>
      <c r="G270" s="1">
        <v>74</v>
      </c>
      <c r="H270" s="1">
        <v>925</v>
      </c>
      <c r="I270" s="1">
        <v>64</v>
      </c>
      <c r="J270" s="1">
        <v>179</v>
      </c>
      <c r="K270" s="1">
        <v>133</v>
      </c>
      <c r="L270" s="1">
        <v>12</v>
      </c>
      <c r="M270" s="1">
        <v>77</v>
      </c>
      <c r="N270" s="1">
        <v>2</v>
      </c>
      <c r="O270" s="1">
        <v>9</v>
      </c>
      <c r="P270" s="1">
        <v>4</v>
      </c>
      <c r="Q270" s="1">
        <v>6</v>
      </c>
      <c r="R270" s="1">
        <v>5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67</v>
      </c>
      <c r="AA270" s="1" t="str" cm="1">
        <f t="array" ref="AA270">_xlfn.IFS(AND(Z270&lt;36, Z270&gt;23), "24-35", AND(Z270&lt;51, Z270&gt;35),"36-50", AND(Z270&lt;66, Z270&gt;50), "51-66", Z270&gt;65, "66+", TRUE, "?")</f>
        <v>66+</v>
      </c>
      <c r="AB270" s="1">
        <v>2695</v>
      </c>
      <c r="AC270" s="1">
        <v>0</v>
      </c>
      <c r="AD270" s="1">
        <v>1</v>
      </c>
      <c r="AE270" s="1">
        <v>0</v>
      </c>
      <c r="AF270" s="1">
        <v>0</v>
      </c>
      <c r="AG270" s="1">
        <v>0</v>
      </c>
      <c r="AH270" s="1">
        <v>0</v>
      </c>
      <c r="AI270" s="1">
        <v>1</v>
      </c>
      <c r="AJ270" s="1">
        <v>0</v>
      </c>
      <c r="AK270" s="1">
        <v>0</v>
      </c>
      <c r="AL270" s="1">
        <v>1236</v>
      </c>
      <c r="AM270" s="2">
        <v>42154</v>
      </c>
      <c r="AN270" t="str">
        <f t="shared" si="9"/>
        <v>75027,1313,0.0175003665347142,0,1,74,925,64,179,133,12,77,2,9,4,6,5,0,0,0,0,0,0,0,67,66+,2695,0,1,0,0,0,0,1,0,0,1236,42154</v>
      </c>
    </row>
    <row r="271" spans="1:40" ht="13" hidden="1" x14ac:dyDescent="0.15">
      <c r="A271">
        <v>559</v>
      </c>
      <c r="B271" s="1">
        <v>69882</v>
      </c>
      <c r="C271" s="1">
        <v>1313</v>
      </c>
      <c r="D271" s="4">
        <f t="shared" si="8"/>
        <v>1.8788815431727768E-2</v>
      </c>
      <c r="E271" s="1">
        <v>0</v>
      </c>
      <c r="F271" s="1">
        <v>0</v>
      </c>
      <c r="G271" s="1">
        <v>94</v>
      </c>
      <c r="H271" s="1">
        <v>292</v>
      </c>
      <c r="I271" s="1">
        <v>127</v>
      </c>
      <c r="J271" s="1">
        <v>635</v>
      </c>
      <c r="K271" s="1">
        <v>132</v>
      </c>
      <c r="L271" s="1">
        <v>127</v>
      </c>
      <c r="M271" s="1">
        <v>165</v>
      </c>
      <c r="N271" s="1">
        <v>1</v>
      </c>
      <c r="O271" s="1">
        <v>3</v>
      </c>
      <c r="P271" s="1">
        <v>7</v>
      </c>
      <c r="Q271" s="1">
        <v>9</v>
      </c>
      <c r="R271" s="1">
        <v>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55</v>
      </c>
      <c r="AA271" s="1" t="str" cm="1">
        <f t="array" ref="AA271">_xlfn.IFS(AND(Z271&lt;36, Z271&gt;23), "24-35", AND(Z271&lt;51, Z271&gt;35),"36-50", AND(Z271&lt;66, Z271&gt;50), "51-66", Z271&gt;65, "66+", TRUE, "?")</f>
        <v>51-66</v>
      </c>
      <c r="AB271" s="1">
        <v>2390</v>
      </c>
      <c r="AC271" s="1">
        <v>0</v>
      </c>
      <c r="AD271" s="1">
        <v>0</v>
      </c>
      <c r="AE271" s="1">
        <v>1</v>
      </c>
      <c r="AF271" s="1">
        <v>0</v>
      </c>
      <c r="AG271" s="1">
        <v>0</v>
      </c>
      <c r="AH271" s="1">
        <v>0</v>
      </c>
      <c r="AI271" s="1">
        <v>0</v>
      </c>
      <c r="AJ271" s="1">
        <v>1</v>
      </c>
      <c r="AK271" s="1">
        <v>0</v>
      </c>
      <c r="AL271" s="1">
        <v>1148</v>
      </c>
      <c r="AM271" s="2">
        <v>42459</v>
      </c>
      <c r="AN271" t="str">
        <f t="shared" si="9"/>
        <v>69882,1313,0.0187888154317278,0,0,94,292,127,635,132,127,165,1,3,7,9,1,0,0,0,0,0,0,0,55,51-66,2390,0,0,1,0,0,0,0,1,0,1148,42459</v>
      </c>
    </row>
    <row r="272" spans="1:40" ht="13" hidden="1" x14ac:dyDescent="0.15">
      <c r="A272">
        <v>1713</v>
      </c>
      <c r="B272" s="1">
        <v>72905</v>
      </c>
      <c r="C272" s="1">
        <v>1312</v>
      </c>
      <c r="D272" s="4">
        <f t="shared" si="8"/>
        <v>1.7996022220698168E-2</v>
      </c>
      <c r="E272" s="1">
        <v>0</v>
      </c>
      <c r="F272" s="1">
        <v>0</v>
      </c>
      <c r="G272" s="1">
        <v>52</v>
      </c>
      <c r="H272" s="1">
        <v>407</v>
      </c>
      <c r="I272" s="1">
        <v>114</v>
      </c>
      <c r="J272" s="1">
        <v>445</v>
      </c>
      <c r="K272" s="1">
        <v>181</v>
      </c>
      <c r="L272" s="1">
        <v>165</v>
      </c>
      <c r="M272" s="1">
        <v>203</v>
      </c>
      <c r="N272" s="1">
        <v>1</v>
      </c>
      <c r="O272" s="1">
        <v>3</v>
      </c>
      <c r="P272" s="1">
        <v>7</v>
      </c>
      <c r="Q272" s="1">
        <v>9</v>
      </c>
      <c r="R272" s="1">
        <v>1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62</v>
      </c>
      <c r="AA272" s="1" t="str" cm="1">
        <f t="array" ref="AA272">_xlfn.IFS(AND(Z272&lt;36, Z272&gt;23), "24-35", AND(Z272&lt;51, Z272&gt;35),"36-50", AND(Z272&lt;66, Z272&gt;50), "51-66", Z272&gt;65, "66+", TRUE, "?")</f>
        <v>51-66</v>
      </c>
      <c r="AB272" s="1">
        <v>2318</v>
      </c>
      <c r="AC272" s="1">
        <v>0</v>
      </c>
      <c r="AD272" s="1">
        <v>1</v>
      </c>
      <c r="AE272" s="1">
        <v>0</v>
      </c>
      <c r="AF272" s="1">
        <v>0</v>
      </c>
      <c r="AG272" s="1">
        <v>0</v>
      </c>
      <c r="AH272" s="1">
        <v>0</v>
      </c>
      <c r="AI272" s="1">
        <v>1</v>
      </c>
      <c r="AJ272" s="1">
        <v>0</v>
      </c>
      <c r="AK272" s="1">
        <v>0</v>
      </c>
      <c r="AL272" s="1">
        <v>1109</v>
      </c>
      <c r="AM272" s="2">
        <v>42531</v>
      </c>
      <c r="AN272" t="str">
        <f t="shared" si="9"/>
        <v>72905,1312,0.0179960222206982,0,0,52,407,114,445,181,165,203,1,3,7,9,1,1,0,0,0,0,0,0,62,51-66,2318,0,1,0,0,0,0,1,0,0,1109,42531</v>
      </c>
    </row>
    <row r="273" spans="1:40" ht="13" hidden="1" x14ac:dyDescent="0.15">
      <c r="A273">
        <v>1628</v>
      </c>
      <c r="B273" s="1">
        <v>64590</v>
      </c>
      <c r="C273" s="1">
        <v>1308</v>
      </c>
      <c r="D273" s="4">
        <f t="shared" si="8"/>
        <v>2.0250812819321878E-2</v>
      </c>
      <c r="E273" s="1">
        <v>0</v>
      </c>
      <c r="F273" s="1">
        <v>0</v>
      </c>
      <c r="G273" s="1">
        <v>98</v>
      </c>
      <c r="H273" s="1">
        <v>920</v>
      </c>
      <c r="I273" s="1">
        <v>138</v>
      </c>
      <c r="J273" s="1">
        <v>168</v>
      </c>
      <c r="K273" s="1">
        <v>36</v>
      </c>
      <c r="L273" s="1">
        <v>46</v>
      </c>
      <c r="M273" s="1">
        <v>30</v>
      </c>
      <c r="N273" s="1">
        <v>1</v>
      </c>
      <c r="O273" s="1">
        <v>9</v>
      </c>
      <c r="P273" s="1">
        <v>4</v>
      </c>
      <c r="Q273" s="1">
        <v>10</v>
      </c>
      <c r="R273" s="1">
        <v>6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52</v>
      </c>
      <c r="AA273" s="1" t="str" cm="1">
        <f t="array" ref="AA273">_xlfn.IFS(AND(Z273&lt;36, Z273&gt;23), "24-35", AND(Z273&lt;51, Z273&gt;35),"36-50", AND(Z273&lt;66, Z273&gt;50), "51-66", Z273&gt;65, "66+", TRUE, "?")</f>
        <v>51-66</v>
      </c>
      <c r="AB273" s="1">
        <v>2782</v>
      </c>
      <c r="AC273" s="1">
        <v>0</v>
      </c>
      <c r="AD273" s="1">
        <v>1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0</v>
      </c>
      <c r="AL273" s="1">
        <v>1278</v>
      </c>
      <c r="AM273" s="2">
        <v>42067</v>
      </c>
      <c r="AN273" t="str">
        <f t="shared" si="9"/>
        <v>64590,1308,0.0202508128193219,0,0,98,920,138,168,36,46,30,1,9,4,10,6,0,0,0,0,0,0,0,52,51-66,2782,0,1,0,0,0,0,1,0,0,1278,42067</v>
      </c>
    </row>
    <row r="274" spans="1:40" ht="13" hidden="1" x14ac:dyDescent="0.15">
      <c r="A274">
        <v>722</v>
      </c>
      <c r="B274" s="1">
        <v>78939</v>
      </c>
      <c r="C274" s="1">
        <v>1302</v>
      </c>
      <c r="D274" s="4">
        <f t="shared" si="8"/>
        <v>1.6493748337323755E-2</v>
      </c>
      <c r="E274" s="1">
        <v>0</v>
      </c>
      <c r="F274" s="1">
        <v>0</v>
      </c>
      <c r="G274" s="1">
        <v>57</v>
      </c>
      <c r="H274" s="1">
        <v>794</v>
      </c>
      <c r="I274" s="1">
        <v>115</v>
      </c>
      <c r="J274" s="1">
        <v>243</v>
      </c>
      <c r="K274" s="1">
        <v>150</v>
      </c>
      <c r="L274" s="1">
        <v>0</v>
      </c>
      <c r="M274" s="1">
        <v>205</v>
      </c>
      <c r="N274" s="1">
        <v>1</v>
      </c>
      <c r="O274" s="1">
        <v>8</v>
      </c>
      <c r="P274" s="1">
        <v>5</v>
      </c>
      <c r="Q274" s="1">
        <v>6</v>
      </c>
      <c r="R274" s="1">
        <v>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69</v>
      </c>
      <c r="AA274" s="1" t="str" cm="1">
        <f t="array" ref="AA274">_xlfn.IFS(AND(Z274&lt;36, Z274&gt;23), "24-35", AND(Z274&lt;51, Z274&gt;35),"36-50", AND(Z274&lt;66, Z274&gt;50), "51-66", Z274&gt;65, "66+", TRUE, "?")</f>
        <v>66+</v>
      </c>
      <c r="AB274" s="1">
        <v>2358</v>
      </c>
      <c r="AC274" s="1">
        <v>0</v>
      </c>
      <c r="AD274" s="1">
        <v>1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1</v>
      </c>
      <c r="AL274" s="1">
        <v>1097</v>
      </c>
      <c r="AM274" s="2">
        <v>42491</v>
      </c>
      <c r="AN274" t="str">
        <f t="shared" si="9"/>
        <v>78939,1302,0.0164937483373238,0,0,57,794,115,243,150,0,205,1,8,5,6,3,0,0,0,0,0,0,0,69,66+,2358,0,1,0,0,0,0,0,0,1,1097,42491</v>
      </c>
    </row>
    <row r="275" spans="1:40" ht="13" x14ac:dyDescent="0.15">
      <c r="A275">
        <v>831</v>
      </c>
      <c r="B275" s="1">
        <v>79456</v>
      </c>
      <c r="C275" s="1">
        <v>1302</v>
      </c>
      <c r="D275" s="4">
        <f t="shared" si="8"/>
        <v>1.6386427708417237E-2</v>
      </c>
      <c r="E275" s="1">
        <v>0</v>
      </c>
      <c r="F275" s="1">
        <v>0</v>
      </c>
      <c r="G275" s="1">
        <v>12</v>
      </c>
      <c r="H275" s="1">
        <v>565</v>
      </c>
      <c r="I275" s="1">
        <v>42</v>
      </c>
      <c r="J275" s="1">
        <v>548</v>
      </c>
      <c r="K275" s="1">
        <v>64</v>
      </c>
      <c r="L275" s="1">
        <v>83</v>
      </c>
      <c r="M275" s="1">
        <v>99</v>
      </c>
      <c r="N275" s="1">
        <v>1</v>
      </c>
      <c r="O275" s="1">
        <v>5</v>
      </c>
      <c r="P275" s="1">
        <v>6</v>
      </c>
      <c r="Q275" s="1">
        <v>4</v>
      </c>
      <c r="R275" s="1">
        <v>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  <c r="Z275" s="1">
        <v>64</v>
      </c>
      <c r="AA275" s="1" t="str" cm="1">
        <f t="array" ref="AA275">_xlfn.IFS(AND(Z275&lt;36, Z275&gt;23), "24-35", AND(Z275&lt;51, Z275&gt;35),"36-50", AND(Z275&lt;66, Z275&gt;50), "51-66", Z275&gt;65, "66+", TRUE, "?")</f>
        <v>51-66</v>
      </c>
      <c r="AB275" s="1">
        <v>2835</v>
      </c>
      <c r="AC275" s="1">
        <v>0</v>
      </c>
      <c r="AD275" s="1">
        <v>1</v>
      </c>
      <c r="AE275" s="1">
        <v>0</v>
      </c>
      <c r="AF275" s="1">
        <v>0</v>
      </c>
      <c r="AG275" s="1">
        <v>0</v>
      </c>
      <c r="AH275" s="1">
        <v>0</v>
      </c>
      <c r="AI275" s="1">
        <v>1</v>
      </c>
      <c r="AJ275" s="1">
        <v>0</v>
      </c>
      <c r="AK275" s="1">
        <v>0</v>
      </c>
      <c r="AL275" s="1">
        <v>1203</v>
      </c>
      <c r="AM275" s="2">
        <v>42014</v>
      </c>
      <c r="AN275" t="str">
        <f t="shared" si="9"/>
        <v>79456,1302,0.0163864277084172,0,0,12,565,42,548,64,83,99,1,5,6,4,3,0,0,0,0,0,0,1,64,51-66,2835,0,1,0,0,0,0,1,0,0,1203,42014</v>
      </c>
    </row>
    <row r="276" spans="1:40" ht="13" hidden="1" x14ac:dyDescent="0.15">
      <c r="A276">
        <v>1342</v>
      </c>
      <c r="B276" s="1">
        <v>78041</v>
      </c>
      <c r="C276" s="1">
        <v>1302</v>
      </c>
      <c r="D276" s="4">
        <f t="shared" si="8"/>
        <v>1.6683538140208353E-2</v>
      </c>
      <c r="E276" s="1">
        <v>0</v>
      </c>
      <c r="F276" s="1">
        <v>0</v>
      </c>
      <c r="G276" s="1">
        <v>93</v>
      </c>
      <c r="H276" s="1">
        <v>482</v>
      </c>
      <c r="I276" s="1">
        <v>35</v>
      </c>
      <c r="J276" s="1">
        <v>553</v>
      </c>
      <c r="K276" s="1">
        <v>72</v>
      </c>
      <c r="L276" s="1">
        <v>160</v>
      </c>
      <c r="M276" s="1">
        <v>17</v>
      </c>
      <c r="N276" s="1">
        <v>1</v>
      </c>
      <c r="O276" s="1">
        <v>4</v>
      </c>
      <c r="P276" s="1">
        <v>4</v>
      </c>
      <c r="Q276" s="1">
        <v>9</v>
      </c>
      <c r="R276" s="1">
        <v>2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49</v>
      </c>
      <c r="AA276" s="1" t="str" cm="1">
        <f t="array" ref="AA276">_xlfn.IFS(AND(Z276&lt;36, Z276&gt;23), "24-35", AND(Z276&lt;51, Z276&gt;35),"36-50", AND(Z276&lt;66, Z276&gt;50), "51-66", Z276&gt;65, "66+", TRUE, "?")</f>
        <v>36-50</v>
      </c>
      <c r="AB276" s="1">
        <v>2719</v>
      </c>
      <c r="AC276" s="1">
        <v>0</v>
      </c>
      <c r="AD276" s="1">
        <v>1</v>
      </c>
      <c r="AE276" s="1">
        <v>0</v>
      </c>
      <c r="AF276" s="1">
        <v>0</v>
      </c>
      <c r="AG276" s="1">
        <v>0</v>
      </c>
      <c r="AH276" s="1">
        <v>1</v>
      </c>
      <c r="AI276" s="1">
        <v>0</v>
      </c>
      <c r="AJ276" s="1">
        <v>0</v>
      </c>
      <c r="AK276" s="1">
        <v>0</v>
      </c>
      <c r="AL276" s="1">
        <v>1285</v>
      </c>
      <c r="AM276" s="2">
        <v>42130</v>
      </c>
      <c r="AN276" t="str">
        <f t="shared" si="9"/>
        <v>78041,1302,0.0166835381402084,0,0,93,482,35,553,72,160,17,1,4,4,9,2,0,0,0,0,0,0,0,49,36-50,2719,0,1,0,0,0,1,0,0,0,1285,42130</v>
      </c>
    </row>
    <row r="277" spans="1:40" ht="13" x14ac:dyDescent="0.15">
      <c r="A277">
        <v>841</v>
      </c>
      <c r="B277" s="1">
        <v>85696</v>
      </c>
      <c r="C277" s="1">
        <v>1301</v>
      </c>
      <c r="D277" s="4">
        <f t="shared" si="8"/>
        <v>1.5181572068707992E-2</v>
      </c>
      <c r="E277" s="1">
        <v>0</v>
      </c>
      <c r="F277" s="1">
        <v>0</v>
      </c>
      <c r="G277" s="1">
        <v>88</v>
      </c>
      <c r="H277" s="1">
        <v>714</v>
      </c>
      <c r="I277" s="1">
        <v>76</v>
      </c>
      <c r="J277" s="1">
        <v>395</v>
      </c>
      <c r="K277" s="1">
        <v>116</v>
      </c>
      <c r="L277" s="1">
        <v>0</v>
      </c>
      <c r="M277" s="1">
        <v>12</v>
      </c>
      <c r="N277" s="1">
        <v>1</v>
      </c>
      <c r="O277" s="1">
        <v>4</v>
      </c>
      <c r="P277" s="1">
        <v>6</v>
      </c>
      <c r="Q277" s="1">
        <v>9</v>
      </c>
      <c r="R277" s="1">
        <v>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58</v>
      </c>
      <c r="AA277" s="1" t="str" cm="1">
        <f t="array" ref="AA277">_xlfn.IFS(AND(Z277&lt;36, Z277&gt;23), "24-35", AND(Z277&lt;51, Z277&gt;35),"36-50", AND(Z277&lt;66, Z277&gt;50), "51-66", Z277&gt;65, "66+", TRUE, "?")</f>
        <v>51-66</v>
      </c>
      <c r="AB277" s="1">
        <v>2581</v>
      </c>
      <c r="AC277" s="1">
        <v>1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1289</v>
      </c>
      <c r="AM277" s="2">
        <v>42268</v>
      </c>
      <c r="AN277" t="str">
        <f t="shared" si="9"/>
        <v>85696,1301,0.015181572068708,0,0,88,714,76,395,116,0,12,1,4,6,9,1,0,0,0,0,0,0,1,58,51-66,2581,1,0,0,0,0,0,0,0,1,1289,42268</v>
      </c>
    </row>
    <row r="278" spans="1:40" ht="13" hidden="1" x14ac:dyDescent="0.15">
      <c r="A278">
        <v>1904</v>
      </c>
      <c r="B278" s="1">
        <v>76068</v>
      </c>
      <c r="C278" s="1">
        <v>1300</v>
      </c>
      <c r="D278" s="4">
        <f t="shared" si="8"/>
        <v>1.7089972130199294E-2</v>
      </c>
      <c r="E278" s="1">
        <v>0</v>
      </c>
      <c r="F278" s="1">
        <v>1</v>
      </c>
      <c r="G278" s="1">
        <v>67</v>
      </c>
      <c r="H278" s="1">
        <v>1115</v>
      </c>
      <c r="I278" s="1">
        <v>12</v>
      </c>
      <c r="J278" s="1">
        <v>128</v>
      </c>
      <c r="K278" s="1">
        <v>33</v>
      </c>
      <c r="L278" s="1">
        <v>12</v>
      </c>
      <c r="M278" s="1">
        <v>76</v>
      </c>
      <c r="N278" s="1">
        <v>1</v>
      </c>
      <c r="O278" s="1">
        <v>2</v>
      </c>
      <c r="P278" s="1">
        <v>3</v>
      </c>
      <c r="Q278" s="1">
        <v>4</v>
      </c>
      <c r="R278" s="1">
        <v>6</v>
      </c>
      <c r="S278" s="1">
        <v>0</v>
      </c>
      <c r="T278" s="1">
        <v>1</v>
      </c>
      <c r="U278" s="1">
        <v>0</v>
      </c>
      <c r="V278" s="1">
        <v>1</v>
      </c>
      <c r="W278" s="1">
        <v>0</v>
      </c>
      <c r="X278" s="1">
        <v>0</v>
      </c>
      <c r="Y278" s="1">
        <v>0</v>
      </c>
      <c r="Z278" s="1">
        <v>45</v>
      </c>
      <c r="AA278" s="1" t="str" cm="1">
        <f t="array" ref="AA278">_xlfn.IFS(AND(Z278&lt;36, Z278&gt;23), "24-35", AND(Z278&lt;51, Z278&gt;35),"36-50", AND(Z278&lt;66, Z278&gt;50), "51-66", Z278&gt;65, "66+", TRUE, "?")</f>
        <v>36-50</v>
      </c>
      <c r="AB278" s="1">
        <v>2736</v>
      </c>
      <c r="AC278" s="1">
        <v>0</v>
      </c>
      <c r="AD278" s="1">
        <v>1</v>
      </c>
      <c r="AE278" s="1">
        <v>0</v>
      </c>
      <c r="AF278" s="1">
        <v>0</v>
      </c>
      <c r="AG278" s="1">
        <v>0</v>
      </c>
      <c r="AH278" s="1">
        <v>0</v>
      </c>
      <c r="AI278" s="1">
        <v>1</v>
      </c>
      <c r="AJ278" s="1">
        <v>0</v>
      </c>
      <c r="AK278" s="1">
        <v>0</v>
      </c>
      <c r="AL278" s="1">
        <v>1224</v>
      </c>
      <c r="AM278" s="2">
        <v>42113</v>
      </c>
      <c r="AN278" t="str">
        <f t="shared" si="9"/>
        <v>76068,1300,0.0170899721301993,0,1,67,1115,12,128,33,12,76,1,2,3,4,6,0,1,0,1,0,0,0,45,36-50,2736,0,1,0,0,0,0,1,0,0,1224,42113</v>
      </c>
    </row>
    <row r="279" spans="1:40" ht="13" hidden="1" x14ac:dyDescent="0.15">
      <c r="A279">
        <v>440</v>
      </c>
      <c r="B279" s="1">
        <v>61456</v>
      </c>
      <c r="C279" s="1">
        <v>1299</v>
      </c>
      <c r="D279" s="4">
        <f t="shared" si="8"/>
        <v>2.1137073678729499E-2</v>
      </c>
      <c r="E279" s="1">
        <v>0</v>
      </c>
      <c r="F279" s="1">
        <v>1</v>
      </c>
      <c r="G279" s="1">
        <v>47</v>
      </c>
      <c r="H279" s="1">
        <v>563</v>
      </c>
      <c r="I279" s="1">
        <v>76</v>
      </c>
      <c r="J279" s="1">
        <v>384</v>
      </c>
      <c r="K279" s="1">
        <v>84</v>
      </c>
      <c r="L279" s="1">
        <v>192</v>
      </c>
      <c r="M279" s="1">
        <v>89</v>
      </c>
      <c r="N279" s="1">
        <v>4</v>
      </c>
      <c r="O279" s="1">
        <v>6</v>
      </c>
      <c r="P279" s="1">
        <v>10</v>
      </c>
      <c r="Q279" s="1">
        <v>13</v>
      </c>
      <c r="R279" s="1">
        <v>4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45</v>
      </c>
      <c r="AA279" s="1" t="str" cm="1">
        <f t="array" ref="AA279">_xlfn.IFS(AND(Z279&lt;36, Z279&gt;23), "24-35", AND(Z279&lt;51, Z279&gt;35),"36-50", AND(Z279&lt;66, Z279&gt;50), "51-66", Z279&gt;65, "66+", TRUE, "?")</f>
        <v>36-50</v>
      </c>
      <c r="AB279" s="1">
        <v>2618</v>
      </c>
      <c r="AC279" s="1">
        <v>0</v>
      </c>
      <c r="AD279" s="1">
        <v>1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>
        <v>0</v>
      </c>
      <c r="AK279" s="1">
        <v>0</v>
      </c>
      <c r="AL279" s="1">
        <v>1210</v>
      </c>
      <c r="AM279" s="2">
        <v>42231</v>
      </c>
      <c r="AN279" t="str">
        <f t="shared" si="9"/>
        <v>61456,1299,0.0211370736787295,0,1,47,563,76,384,84,192,89,4,6,10,13,4,0,0,0,0,0,0,0,45,36-50,2618,0,1,0,0,0,0,1,0,0,1210,42231</v>
      </c>
    </row>
    <row r="280" spans="1:40" ht="13" x14ac:dyDescent="0.15">
      <c r="A280">
        <v>852</v>
      </c>
      <c r="B280" s="1">
        <v>83257</v>
      </c>
      <c r="C280" s="1">
        <v>1298</v>
      </c>
      <c r="D280" s="4">
        <f t="shared" si="8"/>
        <v>1.5590280697118561E-2</v>
      </c>
      <c r="E280" s="1">
        <v>0</v>
      </c>
      <c r="F280" s="1">
        <v>0</v>
      </c>
      <c r="G280" s="1">
        <v>56</v>
      </c>
      <c r="H280" s="1">
        <v>536</v>
      </c>
      <c r="I280" s="1">
        <v>27</v>
      </c>
      <c r="J280" s="1">
        <v>590</v>
      </c>
      <c r="K280" s="1">
        <v>38</v>
      </c>
      <c r="L280" s="1">
        <v>107</v>
      </c>
      <c r="M280" s="1">
        <v>67</v>
      </c>
      <c r="N280" s="1">
        <v>1</v>
      </c>
      <c r="O280" s="1">
        <v>5</v>
      </c>
      <c r="P280" s="1">
        <v>10</v>
      </c>
      <c r="Q280" s="1">
        <v>12</v>
      </c>
      <c r="R280" s="1">
        <v>6</v>
      </c>
      <c r="S280" s="1">
        <v>0</v>
      </c>
      <c r="T280" s="1">
        <v>0</v>
      </c>
      <c r="U280" s="1">
        <v>1</v>
      </c>
      <c r="V280" s="1">
        <v>0</v>
      </c>
      <c r="W280" s="1">
        <v>1</v>
      </c>
      <c r="X280" s="1">
        <v>1</v>
      </c>
      <c r="Y280" s="1">
        <v>1</v>
      </c>
      <c r="Z280" s="1">
        <v>25</v>
      </c>
      <c r="AA280" s="1" t="str" cm="1">
        <f t="array" ref="AA280">_xlfn.IFS(AND(Z280&lt;36, Z280&gt;23), "24-35", AND(Z280&lt;51, Z280&gt;35),"36-50", AND(Z280&lt;66, Z280&gt;50), "51-66", Z280&gt;65, "66+", TRUE, "?")</f>
        <v>24-35</v>
      </c>
      <c r="AB280" s="1">
        <v>2808</v>
      </c>
      <c r="AC280" s="1">
        <v>0</v>
      </c>
      <c r="AD280" s="1">
        <v>0</v>
      </c>
      <c r="AE280" s="1">
        <v>1</v>
      </c>
      <c r="AF280" s="1">
        <v>0</v>
      </c>
      <c r="AG280" s="1">
        <v>0</v>
      </c>
      <c r="AH280" s="1">
        <v>1</v>
      </c>
      <c r="AI280" s="1">
        <v>0</v>
      </c>
      <c r="AJ280" s="1">
        <v>0</v>
      </c>
      <c r="AK280" s="1">
        <v>0</v>
      </c>
      <c r="AL280" s="1">
        <v>1231</v>
      </c>
      <c r="AM280" s="2">
        <v>42041</v>
      </c>
      <c r="AN280" t="str">
        <f t="shared" si="9"/>
        <v>83257,1298,0.0155902806971186,0,0,56,536,27,590,38,107,67,1,5,10,12,6,0,0,1,0,1,1,1,25,24-35,2808,0,0,1,0,0,1,0,0,0,1231,42041</v>
      </c>
    </row>
    <row r="281" spans="1:40" ht="13" hidden="1" x14ac:dyDescent="0.15">
      <c r="A281">
        <v>1599</v>
      </c>
      <c r="B281" s="1">
        <v>81795</v>
      </c>
      <c r="C281" s="1">
        <v>1294</v>
      </c>
      <c r="D281" s="4">
        <f t="shared" si="8"/>
        <v>1.5820037899627118E-2</v>
      </c>
      <c r="E281" s="1">
        <v>0</v>
      </c>
      <c r="F281" s="1">
        <v>0</v>
      </c>
      <c r="G281" s="1">
        <v>74</v>
      </c>
      <c r="H281" s="1">
        <v>324</v>
      </c>
      <c r="I281" s="1">
        <v>132</v>
      </c>
      <c r="J281" s="1">
        <v>693</v>
      </c>
      <c r="K281" s="1">
        <v>27</v>
      </c>
      <c r="L281" s="1">
        <v>118</v>
      </c>
      <c r="M281" s="1">
        <v>88</v>
      </c>
      <c r="N281" s="1">
        <v>1</v>
      </c>
      <c r="O281" s="1">
        <v>4</v>
      </c>
      <c r="P281" s="1">
        <v>11</v>
      </c>
      <c r="Q281" s="1">
        <v>7</v>
      </c>
      <c r="R281" s="1">
        <v>2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68</v>
      </c>
      <c r="AA281" s="1" t="str" cm="1">
        <f t="array" ref="AA281">_xlfn.IFS(AND(Z281&lt;36, Z281&gt;23), "24-35", AND(Z281&lt;51, Z281&gt;35),"36-50", AND(Z281&lt;66, Z281&gt;50), "51-66", Z281&gt;65, "66+", TRUE, "?")</f>
        <v>66+</v>
      </c>
      <c r="AB281" s="1">
        <v>2770</v>
      </c>
      <c r="AC281" s="1">
        <v>0</v>
      </c>
      <c r="AD281" s="1">
        <v>1</v>
      </c>
      <c r="AE281" s="1">
        <v>0</v>
      </c>
      <c r="AF281" s="1">
        <v>0</v>
      </c>
      <c r="AG281" s="1">
        <v>0</v>
      </c>
      <c r="AH281" s="1">
        <v>0</v>
      </c>
      <c r="AI281" s="1">
        <v>1</v>
      </c>
      <c r="AJ281" s="1">
        <v>0</v>
      </c>
      <c r="AK281" s="1">
        <v>0</v>
      </c>
      <c r="AL281" s="1">
        <v>1206</v>
      </c>
      <c r="AM281" s="2">
        <v>42079</v>
      </c>
      <c r="AN281" t="str">
        <f t="shared" si="9"/>
        <v>81795,1294,0.0158200378996271,0,0,74,324,132,693,27,118,88,1,4,11,7,2,0,0,0,0,0,0,0,68,66+,2770,0,1,0,0,0,0,1,0,0,1206,42079</v>
      </c>
    </row>
    <row r="282" spans="1:40" ht="13" hidden="1" x14ac:dyDescent="0.15">
      <c r="A282">
        <v>39</v>
      </c>
      <c r="B282" s="1">
        <v>80011</v>
      </c>
      <c r="C282" s="1">
        <v>1293</v>
      </c>
      <c r="D282" s="4">
        <f t="shared" si="8"/>
        <v>1.6160277961780257E-2</v>
      </c>
      <c r="E282" s="1">
        <v>0</v>
      </c>
      <c r="F282" s="1">
        <v>1</v>
      </c>
      <c r="G282" s="1">
        <v>3</v>
      </c>
      <c r="H282" s="1">
        <v>421</v>
      </c>
      <c r="I282" s="1">
        <v>76</v>
      </c>
      <c r="J282" s="1">
        <v>536</v>
      </c>
      <c r="K282" s="1">
        <v>82</v>
      </c>
      <c r="L282" s="1">
        <v>178</v>
      </c>
      <c r="M282" s="1">
        <v>102</v>
      </c>
      <c r="N282" s="1">
        <v>2</v>
      </c>
      <c r="O282" s="1">
        <v>8</v>
      </c>
      <c r="P282" s="1">
        <v>6</v>
      </c>
      <c r="Q282" s="1">
        <v>5</v>
      </c>
      <c r="R282" s="1">
        <v>4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40</v>
      </c>
      <c r="AA282" s="1" t="str" cm="1">
        <f t="array" ref="AA282">_xlfn.IFS(AND(Z282&lt;36, Z282&gt;23), "24-35", AND(Z282&lt;51, Z282&gt;35),"36-50", AND(Z282&lt;66, Z282&gt;50), "51-66", Z282&gt;65, "66+", TRUE, "?")</f>
        <v>36-50</v>
      </c>
      <c r="AB282" s="1">
        <v>2585</v>
      </c>
      <c r="AC282" s="1">
        <v>0</v>
      </c>
      <c r="AD282" s="1">
        <v>1</v>
      </c>
      <c r="AE282" s="1">
        <v>0</v>
      </c>
      <c r="AF282" s="1">
        <v>0</v>
      </c>
      <c r="AG282" s="1">
        <v>0</v>
      </c>
      <c r="AH282" s="1">
        <v>0</v>
      </c>
      <c r="AI282" s="1">
        <v>1</v>
      </c>
      <c r="AJ282" s="1">
        <v>0</v>
      </c>
      <c r="AK282" s="1">
        <v>0</v>
      </c>
      <c r="AL282" s="1">
        <v>1191</v>
      </c>
      <c r="AM282" s="2">
        <v>42264</v>
      </c>
      <c r="AN282" t="str">
        <f t="shared" si="9"/>
        <v>80011,1293,0.0161602779617803,0,1,3,421,76,536,82,178,102,2,8,6,5,4,0,0,0,0,0,0,0,40,36-50,2585,0,1,0,0,0,0,1,0,0,1191,42264</v>
      </c>
    </row>
    <row r="283" spans="1:40" ht="13" hidden="1" x14ac:dyDescent="0.15">
      <c r="A283">
        <v>473</v>
      </c>
      <c r="B283" s="1">
        <v>64355</v>
      </c>
      <c r="C283" s="1">
        <v>1292</v>
      </c>
      <c r="D283" s="4">
        <f t="shared" si="8"/>
        <v>2.0076140160049723E-2</v>
      </c>
      <c r="E283" s="1">
        <v>1</v>
      </c>
      <c r="F283" s="1">
        <v>0</v>
      </c>
      <c r="G283" s="1">
        <v>66</v>
      </c>
      <c r="H283" s="1">
        <v>1047</v>
      </c>
      <c r="I283" s="1">
        <v>0</v>
      </c>
      <c r="J283" s="1">
        <v>140</v>
      </c>
      <c r="K283" s="1">
        <v>67</v>
      </c>
      <c r="L283" s="1">
        <v>38</v>
      </c>
      <c r="M283" s="1">
        <v>153</v>
      </c>
      <c r="N283" s="1">
        <v>2</v>
      </c>
      <c r="O283" s="1">
        <v>4</v>
      </c>
      <c r="P283" s="1">
        <v>3</v>
      </c>
      <c r="Q283" s="1">
        <v>12</v>
      </c>
      <c r="R283" s="1">
        <v>8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35</v>
      </c>
      <c r="AA283" s="1" t="str" cm="1">
        <f t="array" ref="AA283">_xlfn.IFS(AND(Z283&lt;36, Z283&gt;23), "24-35", AND(Z283&lt;51, Z283&gt;35),"36-50", AND(Z283&lt;66, Z283&gt;50), "51-66", Z283&gt;65, "66+", TRUE, "?")</f>
        <v>24-35</v>
      </c>
      <c r="AB283" s="1">
        <v>2833</v>
      </c>
      <c r="AC283" s="1">
        <v>0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1</v>
      </c>
      <c r="AL283" s="1">
        <v>1139</v>
      </c>
      <c r="AM283" s="2">
        <v>42016</v>
      </c>
      <c r="AN283" t="str">
        <f t="shared" si="9"/>
        <v>64355,1292,0.0200761401600497,1,0,66,1047,0,140,67,38,153,2,4,3,12,8,0,0,0,0,0,0,0,35,24-35,2833,0,1,0,0,0,0,0,0,1,1139,42016</v>
      </c>
    </row>
    <row r="284" spans="1:40" ht="13" hidden="1" x14ac:dyDescent="0.15">
      <c r="A284">
        <v>1860</v>
      </c>
      <c r="B284" s="1">
        <v>83273</v>
      </c>
      <c r="C284" s="1">
        <v>1290</v>
      </c>
      <c r="D284" s="4">
        <f t="shared" si="8"/>
        <v>1.549121564012345E-2</v>
      </c>
      <c r="E284" s="1">
        <v>1</v>
      </c>
      <c r="F284" s="1">
        <v>2</v>
      </c>
      <c r="G284" s="1">
        <v>98</v>
      </c>
      <c r="H284" s="1">
        <v>433</v>
      </c>
      <c r="I284" s="1">
        <v>89</v>
      </c>
      <c r="J284" s="1">
        <v>650</v>
      </c>
      <c r="K284" s="1">
        <v>16</v>
      </c>
      <c r="L284" s="1">
        <v>102</v>
      </c>
      <c r="M284" s="1">
        <v>102</v>
      </c>
      <c r="N284" s="1">
        <v>10</v>
      </c>
      <c r="O284" s="1">
        <v>4</v>
      </c>
      <c r="P284" s="1">
        <v>6</v>
      </c>
      <c r="Q284" s="1">
        <v>9</v>
      </c>
      <c r="R284" s="1">
        <v>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50</v>
      </c>
      <c r="AA284" s="1" t="str" cm="1">
        <f t="array" ref="AA284">_xlfn.IFS(AND(Z284&lt;36, Z284&gt;23), "24-35", AND(Z284&lt;51, Z284&gt;35),"36-50", AND(Z284&lt;66, Z284&gt;50), "51-66", Z284&gt;65, "66+", TRUE, "?")</f>
        <v>36-50</v>
      </c>
      <c r="AB284" s="1">
        <v>2801</v>
      </c>
      <c r="AC284" s="1">
        <v>0</v>
      </c>
      <c r="AD284" s="1">
        <v>0</v>
      </c>
      <c r="AE284" s="1">
        <v>1</v>
      </c>
      <c r="AF284" s="1">
        <v>0</v>
      </c>
      <c r="AG284" s="1">
        <v>0</v>
      </c>
      <c r="AH284" s="1">
        <v>0</v>
      </c>
      <c r="AI284" s="1">
        <v>1</v>
      </c>
      <c r="AJ284" s="1">
        <v>0</v>
      </c>
      <c r="AK284" s="1">
        <v>0</v>
      </c>
      <c r="AL284" s="1">
        <v>1188</v>
      </c>
      <c r="AM284" s="2">
        <v>42048</v>
      </c>
      <c r="AN284" t="str">
        <f t="shared" si="9"/>
        <v>83273,1290,0.0154912156401234,1,2,98,433,89,650,16,102,102,10,4,6,9,7,0,0,0,0,0,0,0,50,36-50,2801,0,0,1,0,0,0,1,0,0,1188,42048</v>
      </c>
    </row>
    <row r="285" spans="1:40" ht="13" hidden="1" x14ac:dyDescent="0.15">
      <c r="A285">
        <v>435</v>
      </c>
      <c r="B285" s="1">
        <v>66582</v>
      </c>
      <c r="C285" s="1">
        <v>1288</v>
      </c>
      <c r="D285" s="4">
        <f t="shared" si="8"/>
        <v>1.9344567600853083E-2</v>
      </c>
      <c r="E285" s="1">
        <v>0</v>
      </c>
      <c r="F285" s="1">
        <v>0</v>
      </c>
      <c r="G285" s="1">
        <v>83</v>
      </c>
      <c r="H285" s="1">
        <v>789</v>
      </c>
      <c r="I285" s="1">
        <v>25</v>
      </c>
      <c r="J285" s="1">
        <v>420</v>
      </c>
      <c r="K285" s="1">
        <v>16</v>
      </c>
      <c r="L285" s="1">
        <v>38</v>
      </c>
      <c r="M285" s="1">
        <v>0</v>
      </c>
      <c r="N285" s="1">
        <v>1</v>
      </c>
      <c r="O285" s="1">
        <v>2</v>
      </c>
      <c r="P285" s="1">
        <v>8</v>
      </c>
      <c r="Q285" s="1">
        <v>9</v>
      </c>
      <c r="R285" s="1">
        <v>1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51</v>
      </c>
      <c r="AA285" s="1" t="str" cm="1">
        <f t="array" ref="AA285">_xlfn.IFS(AND(Z285&lt;36, Z285&gt;23), "24-35", AND(Z285&lt;51, Z285&gt;35),"36-50", AND(Z285&lt;66, Z285&gt;50), "51-66", Z285&gt;65, "66+", TRUE, "?")</f>
        <v>51-66</v>
      </c>
      <c r="AB285" s="1">
        <v>2277</v>
      </c>
      <c r="AC285" s="1">
        <v>0</v>
      </c>
      <c r="AD285" s="1">
        <v>0</v>
      </c>
      <c r="AE285" s="1">
        <v>1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1</v>
      </c>
      <c r="AL285" s="1">
        <v>1288</v>
      </c>
      <c r="AM285" s="2">
        <v>42572</v>
      </c>
      <c r="AN285" t="str">
        <f t="shared" si="9"/>
        <v>66582,1288,0.0193445676008531,0,0,83,789,25,420,16,38,0,1,2,8,9,1,0,0,0,0,0,0,0,51,51-66,2277,0,0,1,0,0,0,0,0,1,1288,42572</v>
      </c>
    </row>
    <row r="286" spans="1:40" ht="13" hidden="1" x14ac:dyDescent="0.15">
      <c r="A286">
        <v>954</v>
      </c>
      <c r="B286" s="1">
        <v>70924</v>
      </c>
      <c r="C286" s="1">
        <v>1287</v>
      </c>
      <c r="D286" s="4">
        <f t="shared" si="8"/>
        <v>1.8146184648355986E-2</v>
      </c>
      <c r="E286" s="1">
        <v>0</v>
      </c>
      <c r="F286" s="1">
        <v>0</v>
      </c>
      <c r="G286" s="1">
        <v>41</v>
      </c>
      <c r="H286" s="1">
        <v>635</v>
      </c>
      <c r="I286" s="1">
        <v>114</v>
      </c>
      <c r="J286" s="1">
        <v>254</v>
      </c>
      <c r="K286" s="1">
        <v>132</v>
      </c>
      <c r="L286" s="1">
        <v>152</v>
      </c>
      <c r="M286" s="1">
        <v>76</v>
      </c>
      <c r="N286" s="1">
        <v>1</v>
      </c>
      <c r="O286" s="1">
        <v>6</v>
      </c>
      <c r="P286" s="1">
        <v>6</v>
      </c>
      <c r="Q286" s="1">
        <v>7</v>
      </c>
      <c r="R286" s="1">
        <v>3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55</v>
      </c>
      <c r="AA286" s="1" t="str" cm="1">
        <f t="array" ref="AA286">_xlfn.IFS(AND(Z286&lt;36, Z286&gt;23), "24-35", AND(Z286&lt;51, Z286&gt;35),"36-50", AND(Z286&lt;66, Z286&gt;50), "51-66", Z286&gt;65, "66+", TRUE, "?")</f>
        <v>51-66</v>
      </c>
      <c r="AB286" s="1">
        <v>2242</v>
      </c>
      <c r="AC286" s="1">
        <v>0</v>
      </c>
      <c r="AD286" s="1">
        <v>1</v>
      </c>
      <c r="AE286" s="1">
        <v>0</v>
      </c>
      <c r="AF286" s="1">
        <v>0</v>
      </c>
      <c r="AG286" s="1">
        <v>0</v>
      </c>
      <c r="AH286" s="1">
        <v>1</v>
      </c>
      <c r="AI286" s="1">
        <v>0</v>
      </c>
      <c r="AJ286" s="1">
        <v>0</v>
      </c>
      <c r="AK286" s="1">
        <v>0</v>
      </c>
      <c r="AL286" s="1">
        <v>1211</v>
      </c>
      <c r="AM286" s="2">
        <v>42607</v>
      </c>
      <c r="AN286" t="str">
        <f t="shared" si="9"/>
        <v>70924,1287,0.018146184648356,0,0,41,635,114,254,132,152,76,1,6,6,7,3,0,0,0,0,1,0,0,55,51-66,2242,0,1,0,0,0,1,0,0,0,1211,42607</v>
      </c>
    </row>
    <row r="287" spans="1:40" ht="13" hidden="1" x14ac:dyDescent="0.15">
      <c r="A287">
        <v>1006</v>
      </c>
      <c r="B287" s="1">
        <v>70713</v>
      </c>
      <c r="C287" s="1">
        <v>1287</v>
      </c>
      <c r="D287" s="4">
        <f t="shared" si="8"/>
        <v>1.8200330915107546E-2</v>
      </c>
      <c r="E287" s="1">
        <v>0</v>
      </c>
      <c r="F287" s="1">
        <v>1</v>
      </c>
      <c r="G287" s="1">
        <v>23</v>
      </c>
      <c r="H287" s="1">
        <v>736</v>
      </c>
      <c r="I287" s="1">
        <v>114</v>
      </c>
      <c r="J287" s="1">
        <v>279</v>
      </c>
      <c r="K287" s="1">
        <v>82</v>
      </c>
      <c r="L287" s="1">
        <v>76</v>
      </c>
      <c r="M287" s="1">
        <v>190</v>
      </c>
      <c r="N287" s="1">
        <v>6</v>
      </c>
      <c r="O287" s="1">
        <v>5</v>
      </c>
      <c r="P287" s="1">
        <v>6</v>
      </c>
      <c r="Q287" s="1">
        <v>8</v>
      </c>
      <c r="R287" s="1">
        <v>3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54</v>
      </c>
      <c r="AA287" s="1" t="str" cm="1">
        <f t="array" ref="AA287">_xlfn.IFS(AND(Z287&lt;36, Z287&gt;23), "24-35", AND(Z287&lt;51, Z287&gt;35),"36-50", AND(Z287&lt;66, Z287&gt;50), "51-66", Z287&gt;65, "66+", TRUE, "?")</f>
        <v>51-66</v>
      </c>
      <c r="AB287" s="1">
        <v>2732</v>
      </c>
      <c r="AC287" s="1">
        <v>0</v>
      </c>
      <c r="AD287" s="1">
        <v>0</v>
      </c>
      <c r="AE287" s="1">
        <v>0</v>
      </c>
      <c r="AF287" s="1">
        <v>1</v>
      </c>
      <c r="AG287" s="1">
        <v>0</v>
      </c>
      <c r="AH287" s="1">
        <v>0</v>
      </c>
      <c r="AI287" s="1">
        <v>1</v>
      </c>
      <c r="AJ287" s="1">
        <v>0</v>
      </c>
      <c r="AK287" s="1">
        <v>0</v>
      </c>
      <c r="AL287" s="1">
        <v>1097</v>
      </c>
      <c r="AM287" s="2">
        <v>42117</v>
      </c>
      <c r="AN287" t="str">
        <f t="shared" si="9"/>
        <v>70713,1287,0.0182003309151075,0,1,23,736,114,279,82,76,190,6,5,6,8,3,0,0,0,0,0,0,0,54,51-66,2732,0,0,0,1,0,0,1,0,0,1097,42117</v>
      </c>
    </row>
    <row r="288" spans="1:40" ht="13" x14ac:dyDescent="0.15">
      <c r="A288">
        <v>858</v>
      </c>
      <c r="B288" s="1">
        <v>82733</v>
      </c>
      <c r="C288" s="1">
        <v>1285</v>
      </c>
      <c r="D288" s="4">
        <f t="shared" si="8"/>
        <v>1.55318917481537E-2</v>
      </c>
      <c r="E288" s="1">
        <v>0</v>
      </c>
      <c r="F288" s="1">
        <v>0</v>
      </c>
      <c r="G288" s="1">
        <v>28</v>
      </c>
      <c r="H288" s="1">
        <v>712</v>
      </c>
      <c r="I288" s="1">
        <v>50</v>
      </c>
      <c r="J288" s="1">
        <v>420</v>
      </c>
      <c r="K288" s="1">
        <v>65</v>
      </c>
      <c r="L288" s="1">
        <v>38</v>
      </c>
      <c r="M288" s="1">
        <v>38</v>
      </c>
      <c r="N288" s="1">
        <v>1</v>
      </c>
      <c r="O288" s="1">
        <v>8</v>
      </c>
      <c r="P288" s="1">
        <v>4</v>
      </c>
      <c r="Q288" s="1">
        <v>7</v>
      </c>
      <c r="R288" s="1">
        <v>4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1">
        <v>36</v>
      </c>
      <c r="AA288" s="1" t="str" cm="1">
        <f t="array" ref="AA288">_xlfn.IFS(AND(Z288&lt;36, Z288&gt;23), "24-35", AND(Z288&lt;51, Z288&gt;35),"36-50", AND(Z288&lt;66, Z288&gt;50), "51-66", Z288&gt;65, "66+", TRUE, "?")</f>
        <v>36-50</v>
      </c>
      <c r="AB288" s="1">
        <v>2451</v>
      </c>
      <c r="AC288" s="1">
        <v>0</v>
      </c>
      <c r="AD288" s="1">
        <v>0</v>
      </c>
      <c r="AE288" s="1">
        <v>1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1</v>
      </c>
      <c r="AL288" s="1">
        <v>1247</v>
      </c>
      <c r="AM288" s="2">
        <v>42398</v>
      </c>
      <c r="AN288" t="str">
        <f t="shared" si="9"/>
        <v>82733,1285,0.0155318917481537,0,0,28,712,50,420,65,38,38,1,8,4,7,4,0,0,0,0,0,0,1,36,36-50,2451,0,0,1,0,0,0,0,0,1,1247,42398</v>
      </c>
    </row>
    <row r="289" spans="1:40" ht="13" hidden="1" x14ac:dyDescent="0.15">
      <c r="A289">
        <v>604</v>
      </c>
      <c r="B289" s="1">
        <v>62859</v>
      </c>
      <c r="C289" s="1">
        <v>1282</v>
      </c>
      <c r="D289" s="4">
        <f t="shared" si="8"/>
        <v>2.0394851970282697E-2</v>
      </c>
      <c r="E289" s="1">
        <v>0</v>
      </c>
      <c r="F289" s="1">
        <v>1</v>
      </c>
      <c r="G289" s="1">
        <v>37</v>
      </c>
      <c r="H289" s="1">
        <v>1063</v>
      </c>
      <c r="I289" s="1">
        <v>89</v>
      </c>
      <c r="J289" s="1">
        <v>102</v>
      </c>
      <c r="K289" s="1">
        <v>16</v>
      </c>
      <c r="L289" s="1">
        <v>12</v>
      </c>
      <c r="M289" s="1">
        <v>25</v>
      </c>
      <c r="N289" s="1">
        <v>4</v>
      </c>
      <c r="O289" s="1">
        <v>9</v>
      </c>
      <c r="P289" s="1">
        <v>4</v>
      </c>
      <c r="Q289" s="1">
        <v>6</v>
      </c>
      <c r="R289" s="1">
        <v>6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61</v>
      </c>
      <c r="AA289" s="1" t="str" cm="1">
        <f t="array" ref="AA289">_xlfn.IFS(AND(Z289&lt;36, Z289&gt;23), "24-35", AND(Z289&lt;51, Z289&gt;35),"36-50", AND(Z289&lt;66, Z289&gt;50), "51-66", Z289&gt;65, "66+", TRUE, "?")</f>
        <v>51-66</v>
      </c>
      <c r="AB289" s="1">
        <v>2705</v>
      </c>
      <c r="AC289" s="1">
        <v>1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1</v>
      </c>
      <c r="AL289" s="1">
        <v>1257</v>
      </c>
      <c r="AM289" s="2">
        <v>42144</v>
      </c>
      <c r="AN289" t="str">
        <f t="shared" si="9"/>
        <v>62859,1282,0.0203948519702827,0,1,37,1063,89,102,16,12,25,4,9,4,6,6,0,0,0,0,0,0,0,61,51-66,2705,1,0,0,0,0,0,0,0,1,1257,42144</v>
      </c>
    </row>
    <row r="290" spans="1:40" ht="13" hidden="1" x14ac:dyDescent="0.15">
      <c r="A290">
        <v>1635</v>
      </c>
      <c r="B290" s="1">
        <v>82122</v>
      </c>
      <c r="C290" s="1">
        <v>1282</v>
      </c>
      <c r="D290" s="4">
        <f t="shared" si="8"/>
        <v>1.5610920338033657E-2</v>
      </c>
      <c r="E290" s="1">
        <v>0</v>
      </c>
      <c r="F290" s="1">
        <v>0</v>
      </c>
      <c r="G290" s="1">
        <v>89</v>
      </c>
      <c r="H290" s="1">
        <v>734</v>
      </c>
      <c r="I290" s="1">
        <v>22</v>
      </c>
      <c r="J290" s="1">
        <v>350</v>
      </c>
      <c r="K290" s="1">
        <v>151</v>
      </c>
      <c r="L290" s="1">
        <v>25</v>
      </c>
      <c r="M290" s="1">
        <v>100</v>
      </c>
      <c r="N290" s="1">
        <v>1</v>
      </c>
      <c r="O290" s="1">
        <v>3</v>
      </c>
      <c r="P290" s="1">
        <v>9</v>
      </c>
      <c r="Q290" s="1">
        <v>13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0</v>
      </c>
      <c r="Y290" s="1">
        <v>0</v>
      </c>
      <c r="Z290" s="1">
        <v>58</v>
      </c>
      <c r="AA290" s="1" t="str" cm="1">
        <f t="array" ref="AA290">_xlfn.IFS(AND(Z290&lt;36, Z290&gt;23), "24-35", AND(Z290&lt;51, Z290&gt;35),"36-50", AND(Z290&lt;66, Z290&gt;50), "51-66", Z290&gt;65, "66+", TRUE, "?")</f>
        <v>51-66</v>
      </c>
      <c r="AB290" s="1">
        <v>2477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1</v>
      </c>
      <c r="AI290" s="1">
        <v>0</v>
      </c>
      <c r="AJ290" s="1">
        <v>0</v>
      </c>
      <c r="AK290" s="1">
        <v>0</v>
      </c>
      <c r="AL290" s="1">
        <v>1182</v>
      </c>
      <c r="AM290" s="2">
        <v>42372</v>
      </c>
      <c r="AN290" t="str">
        <f t="shared" si="9"/>
        <v>82122,1282,0.0156109203380337,0,0,89,734,22,350,151,25,100,1,3,9,13,1,0,0,0,0,1,0,0,58,51-66,2477,0,0,0,1,0,1,0,0,0,1182,42372</v>
      </c>
    </row>
    <row r="291" spans="1:40" ht="13" hidden="1" x14ac:dyDescent="0.15">
      <c r="A291">
        <v>46</v>
      </c>
      <c r="B291" s="1">
        <v>72550</v>
      </c>
      <c r="C291" s="1">
        <v>1281</v>
      </c>
      <c r="D291" s="4">
        <f t="shared" si="8"/>
        <v>1.7656788421778084E-2</v>
      </c>
      <c r="E291" s="1">
        <v>1</v>
      </c>
      <c r="F291" s="1">
        <v>1</v>
      </c>
      <c r="G291" s="1">
        <v>39</v>
      </c>
      <c r="H291" s="1">
        <v>826</v>
      </c>
      <c r="I291" s="1">
        <v>50</v>
      </c>
      <c r="J291" s="1">
        <v>317</v>
      </c>
      <c r="K291" s="1">
        <v>50</v>
      </c>
      <c r="L291" s="1">
        <v>38</v>
      </c>
      <c r="M291" s="1">
        <v>38</v>
      </c>
      <c r="N291" s="1">
        <v>9</v>
      </c>
      <c r="O291" s="1">
        <v>5</v>
      </c>
      <c r="P291" s="1">
        <v>2</v>
      </c>
      <c r="Q291" s="1">
        <v>12</v>
      </c>
      <c r="R291" s="1">
        <v>8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66</v>
      </c>
      <c r="AA291" s="1" t="str" cm="1">
        <f t="array" ref="AA291">_xlfn.IFS(AND(Z291&lt;36, Z291&gt;23), "24-35", AND(Z291&lt;51, Z291&gt;35),"36-50", AND(Z291&lt;66, Z291&gt;50), "51-66", Z291&gt;65, "66+", TRUE, "?")</f>
        <v>66+</v>
      </c>
      <c r="AB291" s="1">
        <v>2757</v>
      </c>
      <c r="AC291" s="1">
        <v>0</v>
      </c>
      <c r="AD291" s="1">
        <v>1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1</v>
      </c>
      <c r="AL291" s="1">
        <v>1243</v>
      </c>
      <c r="AM291" s="2">
        <v>42092</v>
      </c>
      <c r="AN291" t="str">
        <f t="shared" si="9"/>
        <v>72550,1281,0.0176567884217781,1,1,39,826,50,317,50,38,38,9,5,2,12,8,0,0,0,0,0,0,0,66,66+,2757,0,1,0,0,0,0,0,0,1,1243,42092</v>
      </c>
    </row>
    <row r="292" spans="1:40" ht="13" hidden="1" x14ac:dyDescent="0.15">
      <c r="A292">
        <v>150</v>
      </c>
      <c r="B292" s="1">
        <v>74165</v>
      </c>
      <c r="C292" s="1">
        <v>1281</v>
      </c>
      <c r="D292" s="4">
        <f t="shared" si="8"/>
        <v>1.7272298253893346E-2</v>
      </c>
      <c r="E292" s="1">
        <v>0</v>
      </c>
      <c r="F292" s="1">
        <v>0</v>
      </c>
      <c r="G292" s="1">
        <v>9</v>
      </c>
      <c r="H292" s="1">
        <v>1001</v>
      </c>
      <c r="I292" s="1">
        <v>12</v>
      </c>
      <c r="J292" s="1">
        <v>240</v>
      </c>
      <c r="K292" s="1">
        <v>16</v>
      </c>
      <c r="L292" s="1">
        <v>12</v>
      </c>
      <c r="M292" s="1">
        <v>12</v>
      </c>
      <c r="N292" s="1">
        <v>1</v>
      </c>
      <c r="O292" s="1">
        <v>5</v>
      </c>
      <c r="P292" s="1">
        <v>4</v>
      </c>
      <c r="Q292" s="1">
        <v>10</v>
      </c>
      <c r="R292" s="1">
        <v>2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45</v>
      </c>
      <c r="AA292" s="1" t="str" cm="1">
        <f t="array" ref="AA292">_xlfn.IFS(AND(Z292&lt;36, Z292&gt;23), "24-35", AND(Z292&lt;51, Z292&gt;35),"36-50", AND(Z292&lt;66, Z292&gt;50), "51-66", Z292&gt;65, "66+", TRUE, "?")</f>
        <v>36-50</v>
      </c>
      <c r="AB292" s="1">
        <v>2583</v>
      </c>
      <c r="AC292" s="1">
        <v>1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1</v>
      </c>
      <c r="AL292" s="1">
        <v>1269</v>
      </c>
      <c r="AM292" s="2">
        <v>42266</v>
      </c>
      <c r="AN292" t="str">
        <f t="shared" si="9"/>
        <v>74165,1281,0.0172722982538933,0,0,9,1001,12,240,16,12,12,1,5,4,10,2,0,0,0,0,0,0,0,45,36-50,2583,1,0,0,0,0,0,0,0,1,1269,42266</v>
      </c>
    </row>
    <row r="293" spans="1:40" ht="13" hidden="1" x14ac:dyDescent="0.15">
      <c r="A293">
        <v>495</v>
      </c>
      <c r="B293" s="1">
        <v>77863</v>
      </c>
      <c r="C293" s="1">
        <v>1279</v>
      </c>
      <c r="D293" s="4">
        <f t="shared" si="8"/>
        <v>1.6426287196742998E-2</v>
      </c>
      <c r="E293" s="1">
        <v>0</v>
      </c>
      <c r="F293" s="1">
        <v>0</v>
      </c>
      <c r="G293" s="1">
        <v>20</v>
      </c>
      <c r="H293" s="1">
        <v>881</v>
      </c>
      <c r="I293" s="1">
        <v>38</v>
      </c>
      <c r="J293" s="1">
        <v>319</v>
      </c>
      <c r="K293" s="1">
        <v>16</v>
      </c>
      <c r="L293" s="1">
        <v>25</v>
      </c>
      <c r="M293" s="1">
        <v>12</v>
      </c>
      <c r="N293" s="1">
        <v>1</v>
      </c>
      <c r="O293" s="1">
        <v>4</v>
      </c>
      <c r="P293" s="1">
        <v>5</v>
      </c>
      <c r="Q293" s="1">
        <v>10</v>
      </c>
      <c r="R293" s="1">
        <v>2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62</v>
      </c>
      <c r="AA293" s="1" t="str" cm="1">
        <f t="array" ref="AA293">_xlfn.IFS(AND(Z293&lt;36, Z293&gt;23), "24-35", AND(Z293&lt;51, Z293&gt;35),"36-50", AND(Z293&lt;66, Z293&gt;50), "51-66", Z293&gt;65, "66+", TRUE, "?")</f>
        <v>51-66</v>
      </c>
      <c r="AB293" s="1">
        <v>2373</v>
      </c>
      <c r="AC293" s="1">
        <v>0</v>
      </c>
      <c r="AD293" s="1">
        <v>0</v>
      </c>
      <c r="AE293" s="1">
        <v>0</v>
      </c>
      <c r="AF293" s="1">
        <v>1</v>
      </c>
      <c r="AG293" s="1">
        <v>0</v>
      </c>
      <c r="AH293" s="1">
        <v>0</v>
      </c>
      <c r="AI293" s="1">
        <v>0</v>
      </c>
      <c r="AJ293" s="1">
        <v>0</v>
      </c>
      <c r="AK293" s="1">
        <v>1</v>
      </c>
      <c r="AL293" s="1">
        <v>1267</v>
      </c>
      <c r="AM293" s="2">
        <v>42476</v>
      </c>
      <c r="AN293" t="str">
        <f t="shared" si="9"/>
        <v>77863,1279,0.016426287196743,0,0,20,881,38,319,16,25,12,1,4,5,10,2,0,0,0,0,0,0,0,62,51-66,2373,0,0,0,1,0,0,0,0,1,1267,42476</v>
      </c>
    </row>
    <row r="294" spans="1:40" ht="13" hidden="1" x14ac:dyDescent="0.15">
      <c r="A294">
        <v>1389</v>
      </c>
      <c r="B294" s="1">
        <v>68487</v>
      </c>
      <c r="C294" s="1">
        <v>1277</v>
      </c>
      <c r="D294" s="4">
        <f t="shared" si="8"/>
        <v>1.8645874399521076E-2</v>
      </c>
      <c r="E294" s="1">
        <v>0</v>
      </c>
      <c r="F294" s="1">
        <v>0</v>
      </c>
      <c r="G294" s="1">
        <v>48</v>
      </c>
      <c r="H294" s="1">
        <v>758</v>
      </c>
      <c r="I294" s="1">
        <v>12</v>
      </c>
      <c r="J294" s="1">
        <v>385</v>
      </c>
      <c r="K294" s="1">
        <v>33</v>
      </c>
      <c r="L294" s="1">
        <v>89</v>
      </c>
      <c r="M294" s="1">
        <v>89</v>
      </c>
      <c r="N294" s="1">
        <v>1</v>
      </c>
      <c r="O294" s="1">
        <v>9</v>
      </c>
      <c r="P294" s="1">
        <v>7</v>
      </c>
      <c r="Q294" s="1">
        <v>13</v>
      </c>
      <c r="R294" s="1">
        <v>4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32</v>
      </c>
      <c r="AA294" s="1" t="str" cm="1">
        <f t="array" ref="AA294">_xlfn.IFS(AND(Z294&lt;36, Z294&gt;23), "24-35", AND(Z294&lt;51, Z294&gt;35),"36-50", AND(Z294&lt;66, Z294&gt;50), "51-66", Z294&gt;65, "66+", TRUE, "?")</f>
        <v>24-35</v>
      </c>
      <c r="AB294" s="1">
        <v>2691</v>
      </c>
      <c r="AC294" s="1">
        <v>0</v>
      </c>
      <c r="AD294" s="1">
        <v>1</v>
      </c>
      <c r="AE294" s="1">
        <v>0</v>
      </c>
      <c r="AF294" s="1">
        <v>0</v>
      </c>
      <c r="AG294" s="1">
        <v>0</v>
      </c>
      <c r="AH294" s="1">
        <v>0</v>
      </c>
      <c r="AI294" s="1">
        <v>1</v>
      </c>
      <c r="AJ294" s="1">
        <v>0</v>
      </c>
      <c r="AK294" s="1">
        <v>0</v>
      </c>
      <c r="AL294" s="1">
        <v>1188</v>
      </c>
      <c r="AM294" s="2">
        <v>42158</v>
      </c>
      <c r="AN294" t="str">
        <f t="shared" si="9"/>
        <v>68487,1277,0.0186458743995211,0,0,48,758,12,385,33,89,89,1,9,7,13,4,0,0,0,0,0,0,0,32,24-35,2691,0,1,0,0,0,0,1,0,0,1188,42158</v>
      </c>
    </row>
    <row r="295" spans="1:40" ht="13" hidden="1" x14ac:dyDescent="0.15">
      <c r="A295">
        <v>1474</v>
      </c>
      <c r="B295" s="1">
        <v>70638</v>
      </c>
      <c r="C295" s="1">
        <v>1271</v>
      </c>
      <c r="D295" s="4">
        <f t="shared" si="8"/>
        <v>1.7993148163877801E-2</v>
      </c>
      <c r="E295" s="1">
        <v>0</v>
      </c>
      <c r="F295" s="1">
        <v>0</v>
      </c>
      <c r="G295" s="1">
        <v>69</v>
      </c>
      <c r="H295" s="1">
        <v>1016</v>
      </c>
      <c r="I295" s="1">
        <v>12</v>
      </c>
      <c r="J295" s="1">
        <v>215</v>
      </c>
      <c r="K295" s="1">
        <v>16</v>
      </c>
      <c r="L295" s="1">
        <v>12</v>
      </c>
      <c r="M295" s="1">
        <v>63</v>
      </c>
      <c r="N295" s="1">
        <v>1</v>
      </c>
      <c r="O295" s="1">
        <v>4</v>
      </c>
      <c r="P295" s="1">
        <v>5</v>
      </c>
      <c r="Q295" s="1">
        <v>10</v>
      </c>
      <c r="R295" s="1">
        <v>3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65</v>
      </c>
      <c r="AA295" s="1" t="str" cm="1">
        <f t="array" ref="AA295">_xlfn.IFS(AND(Z295&lt;36, Z295&gt;23), "24-35", AND(Z295&lt;51, Z295&gt;35),"36-50", AND(Z295&lt;66, Z295&gt;50), "51-66", Z295&gt;65, "66+", TRUE, "?")</f>
        <v>51-66</v>
      </c>
      <c r="AB295" s="1">
        <v>2552</v>
      </c>
      <c r="AC295" s="1">
        <v>1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s="1">
        <v>1208</v>
      </c>
      <c r="AM295" s="2">
        <v>42297</v>
      </c>
      <c r="AN295" t="str">
        <f t="shared" si="9"/>
        <v>70638,1271,0.0179931481638778,0,0,69,1016,12,215,16,12,63,1,4,5,10,3,0,0,0,1,0,0,0,65,51-66,2552,1,0,0,0,0,0,0,1,0,1208,42297</v>
      </c>
    </row>
    <row r="296" spans="1:40" ht="13" hidden="1" x14ac:dyDescent="0.15">
      <c r="A296">
        <v>347</v>
      </c>
      <c r="B296" s="1">
        <v>63810</v>
      </c>
      <c r="C296" s="1">
        <v>1270</v>
      </c>
      <c r="D296" s="4">
        <f t="shared" si="8"/>
        <v>1.9902836545995926E-2</v>
      </c>
      <c r="E296" s="1">
        <v>0</v>
      </c>
      <c r="F296" s="1">
        <v>1</v>
      </c>
      <c r="G296" s="1">
        <v>45</v>
      </c>
      <c r="H296" s="1">
        <v>977</v>
      </c>
      <c r="I296" s="1">
        <v>12</v>
      </c>
      <c r="J296" s="1">
        <v>253</v>
      </c>
      <c r="K296" s="1">
        <v>16</v>
      </c>
      <c r="L296" s="1">
        <v>12</v>
      </c>
      <c r="M296" s="1">
        <v>101</v>
      </c>
      <c r="N296" s="1">
        <v>4</v>
      </c>
      <c r="O296" s="1">
        <v>4</v>
      </c>
      <c r="P296" s="1">
        <v>3</v>
      </c>
      <c r="Q296" s="1">
        <v>12</v>
      </c>
      <c r="R296" s="1">
        <v>8</v>
      </c>
      <c r="S296" s="1">
        <v>0</v>
      </c>
      <c r="T296" s="1">
        <v>0</v>
      </c>
      <c r="U296" s="1">
        <v>0</v>
      </c>
      <c r="V296" s="1">
        <v>1</v>
      </c>
      <c r="W296" s="1">
        <v>0</v>
      </c>
      <c r="X296" s="1">
        <v>0</v>
      </c>
      <c r="Y296" s="1">
        <v>0</v>
      </c>
      <c r="Z296" s="1">
        <v>54</v>
      </c>
      <c r="AA296" s="1" t="str" cm="1">
        <f t="array" ref="AA296">_xlfn.IFS(AND(Z296&lt;36, Z296&gt;23), "24-35", AND(Z296&lt;51, Z296&gt;35),"36-50", AND(Z296&lt;66, Z296&gt;50), "51-66", Z296&gt;65, "66+", TRUE, "?")</f>
        <v>51-66</v>
      </c>
      <c r="AB296" s="1">
        <v>2754</v>
      </c>
      <c r="AC296" s="1">
        <v>0</v>
      </c>
      <c r="AD296" s="1">
        <v>0</v>
      </c>
      <c r="AE296" s="1">
        <v>1</v>
      </c>
      <c r="AF296" s="1">
        <v>0</v>
      </c>
      <c r="AG296" s="1">
        <v>0</v>
      </c>
      <c r="AH296" s="1">
        <v>0</v>
      </c>
      <c r="AI296" s="1">
        <v>1</v>
      </c>
      <c r="AJ296" s="1">
        <v>0</v>
      </c>
      <c r="AK296" s="1">
        <v>0</v>
      </c>
      <c r="AL296" s="1">
        <v>1169</v>
      </c>
      <c r="AM296" s="2">
        <v>42095</v>
      </c>
      <c r="AN296" t="str">
        <f t="shared" si="9"/>
        <v>63810,1270,0.0199028365459959,0,1,45,977,12,253,16,12,101,4,4,3,12,8,0,0,0,1,0,0,0,54,51-66,2754,0,0,1,0,0,0,1,0,0,1169,42095</v>
      </c>
    </row>
    <row r="297" spans="1:40" ht="13" x14ac:dyDescent="0.15">
      <c r="A297">
        <v>859</v>
      </c>
      <c r="B297" s="1">
        <v>82800</v>
      </c>
      <c r="C297" s="1">
        <v>1270</v>
      </c>
      <c r="D297" s="4">
        <f t="shared" si="8"/>
        <v>1.533816425120773E-2</v>
      </c>
      <c r="E297" s="1">
        <v>0</v>
      </c>
      <c r="F297" s="1">
        <v>0</v>
      </c>
      <c r="G297" s="1">
        <v>23</v>
      </c>
      <c r="H297" s="1">
        <v>1006</v>
      </c>
      <c r="I297" s="1">
        <v>22</v>
      </c>
      <c r="J297" s="1">
        <v>115</v>
      </c>
      <c r="K297" s="1">
        <v>59</v>
      </c>
      <c r="L297" s="1">
        <v>68</v>
      </c>
      <c r="M297" s="1">
        <v>45</v>
      </c>
      <c r="N297" s="1">
        <v>1</v>
      </c>
      <c r="O297" s="1">
        <v>7</v>
      </c>
      <c r="P297" s="1">
        <v>6</v>
      </c>
      <c r="Q297" s="1">
        <v>12</v>
      </c>
      <c r="R297" s="1">
        <v>3</v>
      </c>
      <c r="S297" s="1">
        <v>1</v>
      </c>
      <c r="T297" s="1">
        <v>0</v>
      </c>
      <c r="U297" s="1">
        <v>0</v>
      </c>
      <c r="V297" s="1">
        <v>0</v>
      </c>
      <c r="W297" s="1">
        <v>1</v>
      </c>
      <c r="X297" s="1">
        <v>0</v>
      </c>
      <c r="Y297" s="1">
        <v>1</v>
      </c>
      <c r="Z297" s="1">
        <v>74</v>
      </c>
      <c r="AA297" s="1" t="str" cm="1">
        <f t="array" ref="AA297">_xlfn.IFS(AND(Z297&lt;36, Z297&gt;23), "24-35", AND(Z297&lt;51, Z297&gt;35),"36-50", AND(Z297&lt;66, Z297&gt;50), "51-66", Z297&gt;65, "66+", TRUE, "?")</f>
        <v>66+</v>
      </c>
      <c r="AB297" s="1">
        <v>2741</v>
      </c>
      <c r="AC297" s="1">
        <v>0</v>
      </c>
      <c r="AD297" s="1">
        <v>0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1</v>
      </c>
      <c r="AL297" s="1">
        <v>1225</v>
      </c>
      <c r="AM297" s="2">
        <v>42108</v>
      </c>
      <c r="AN297" t="str">
        <f t="shared" si="9"/>
        <v>82800,1270,0.0153381642512077,0,0,23,1006,22,115,59,68,45,1,7,6,12,3,1,0,0,0,1,0,1,74,66+,2741,0,0,1,0,0,0,0,0,1,1225,42108</v>
      </c>
    </row>
    <row r="298" spans="1:40" ht="13" x14ac:dyDescent="0.15">
      <c r="A298">
        <v>862</v>
      </c>
      <c r="B298" s="1">
        <v>65220</v>
      </c>
      <c r="C298" s="1">
        <v>1270</v>
      </c>
      <c r="D298" s="4">
        <f t="shared" si="8"/>
        <v>1.9472554431156086E-2</v>
      </c>
      <c r="E298" s="1">
        <v>0</v>
      </c>
      <c r="F298" s="1">
        <v>0</v>
      </c>
      <c r="G298" s="1">
        <v>3</v>
      </c>
      <c r="H298" s="1">
        <v>890</v>
      </c>
      <c r="I298" s="1">
        <v>63</v>
      </c>
      <c r="J298" s="1">
        <v>292</v>
      </c>
      <c r="K298" s="1">
        <v>0</v>
      </c>
      <c r="L298" s="1">
        <v>25</v>
      </c>
      <c r="M298" s="1">
        <v>12</v>
      </c>
      <c r="N298" s="1">
        <v>4</v>
      </c>
      <c r="O298" s="1">
        <v>8</v>
      </c>
      <c r="P298" s="1">
        <v>4</v>
      </c>
      <c r="Q298" s="1">
        <v>7</v>
      </c>
      <c r="R298" s="1">
        <v>6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55</v>
      </c>
      <c r="AA298" s="1" t="str" cm="1">
        <f t="array" ref="AA298">_xlfn.IFS(AND(Z298&lt;36, Z298&gt;23), "24-35", AND(Z298&lt;51, Z298&gt;35),"36-50", AND(Z298&lt;66, Z298&gt;50), "51-66", Z298&gt;65, "66+", TRUE, "?")</f>
        <v>51-66</v>
      </c>
      <c r="AB298" s="1">
        <v>2823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0</v>
      </c>
      <c r="AJ298" s="1">
        <v>0</v>
      </c>
      <c r="AK298" s="1">
        <v>1</v>
      </c>
      <c r="AL298" s="1">
        <v>1258</v>
      </c>
      <c r="AM298" s="2">
        <v>42026</v>
      </c>
      <c r="AN298" t="str">
        <f t="shared" si="9"/>
        <v>65220,1270,0.0194725544311561,0,0,3,890,63,292,0,25,12,4,8,4,7,6,0,0,0,0,0,0,1,55,51-66,2823,0,0,0,1,0,0,0,0,1,1258,42026</v>
      </c>
    </row>
    <row r="299" spans="1:40" ht="13" hidden="1" x14ac:dyDescent="0.15">
      <c r="A299">
        <v>329</v>
      </c>
      <c r="B299" s="1">
        <v>60000</v>
      </c>
      <c r="C299" s="1">
        <v>1265</v>
      </c>
      <c r="D299" s="4">
        <f t="shared" si="8"/>
        <v>2.1083333333333332E-2</v>
      </c>
      <c r="E299" s="1">
        <v>0</v>
      </c>
      <c r="F299" s="1">
        <v>1</v>
      </c>
      <c r="G299" s="1">
        <v>57</v>
      </c>
      <c r="H299" s="1">
        <v>1048</v>
      </c>
      <c r="I299" s="1">
        <v>0</v>
      </c>
      <c r="J299" s="1">
        <v>217</v>
      </c>
      <c r="K299" s="1">
        <v>0</v>
      </c>
      <c r="L299" s="1">
        <v>0</v>
      </c>
      <c r="M299" s="1">
        <v>12</v>
      </c>
      <c r="N299" s="1">
        <v>5</v>
      </c>
      <c r="O299" s="1">
        <v>11</v>
      </c>
      <c r="P299" s="1">
        <v>3</v>
      </c>
      <c r="Q299" s="1">
        <v>5</v>
      </c>
      <c r="R299" s="1">
        <v>6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44</v>
      </c>
      <c r="AA299" s="1" t="str" cm="1">
        <f t="array" ref="AA299">_xlfn.IFS(AND(Z299&lt;36, Z299&gt;23), "24-35", AND(Z299&lt;51, Z299&gt;35),"36-50", AND(Z299&lt;66, Z299&gt;50), "51-66", Z299&gt;65, "66+", TRUE, "?")</f>
        <v>36-50</v>
      </c>
      <c r="AB299" s="1">
        <v>2713</v>
      </c>
      <c r="AC299" s="1">
        <v>0</v>
      </c>
      <c r="AD299" s="1">
        <v>0</v>
      </c>
      <c r="AE299" s="1">
        <v>1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1</v>
      </c>
      <c r="AL299" s="1">
        <v>1253</v>
      </c>
      <c r="AM299" s="2">
        <v>42136</v>
      </c>
      <c r="AN299" t="str">
        <f t="shared" si="9"/>
        <v>60000,1265,0.0210833333333333,0,1,57,1048,0,217,0,0,12,5,11,3,5,6,0,0,0,0,0,0,0,44,36-50,2713,0,0,1,0,0,0,0,0,1,1253,42136</v>
      </c>
    </row>
    <row r="300" spans="1:40" ht="13" x14ac:dyDescent="0.15">
      <c r="A300">
        <v>867</v>
      </c>
      <c r="B300" s="1">
        <v>78394</v>
      </c>
      <c r="C300" s="1">
        <v>1262</v>
      </c>
      <c r="D300" s="4">
        <f t="shared" si="8"/>
        <v>1.6098170778375897E-2</v>
      </c>
      <c r="E300" s="1">
        <v>0</v>
      </c>
      <c r="F300" s="1">
        <v>0</v>
      </c>
      <c r="G300" s="1">
        <v>13</v>
      </c>
      <c r="H300" s="1">
        <v>298</v>
      </c>
      <c r="I300" s="1">
        <v>27</v>
      </c>
      <c r="J300" s="1">
        <v>697</v>
      </c>
      <c r="K300" s="1">
        <v>216</v>
      </c>
      <c r="L300" s="1">
        <v>24</v>
      </c>
      <c r="M300" s="1">
        <v>166</v>
      </c>
      <c r="N300" s="1">
        <v>1</v>
      </c>
      <c r="O300" s="1">
        <v>4</v>
      </c>
      <c r="P300" s="1">
        <v>6</v>
      </c>
      <c r="Q300" s="1">
        <v>5</v>
      </c>
      <c r="R300" s="1">
        <v>2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34</v>
      </c>
      <c r="AA300" s="1" t="str" cm="1">
        <f t="array" ref="AA300">_xlfn.IFS(AND(Z300&lt;36, Z300&gt;23), "24-35", AND(Z300&lt;51, Z300&gt;35),"36-50", AND(Z300&lt;66, Z300&gt;50), "51-66", Z300&gt;65, "66+", TRUE, "?")</f>
        <v>24-35</v>
      </c>
      <c r="AB300" s="1">
        <v>2658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1</v>
      </c>
      <c r="AJ300" s="1">
        <v>0</v>
      </c>
      <c r="AK300" s="1">
        <v>0</v>
      </c>
      <c r="AL300" s="1">
        <v>1096</v>
      </c>
      <c r="AM300" s="2">
        <v>42191</v>
      </c>
      <c r="AN300" t="str">
        <f t="shared" si="9"/>
        <v>78394,1262,0.0160981707783759,0,0,13,298,27,697,216,24,166,1,4,6,5,2,0,0,0,0,0,0,1,34,24-35,2658,0,0,0,1,0,0,1,0,0,1096,42191</v>
      </c>
    </row>
    <row r="301" spans="1:40" ht="13" hidden="1" x14ac:dyDescent="0.15">
      <c r="A301">
        <v>129</v>
      </c>
      <c r="B301" s="1">
        <v>86111</v>
      </c>
      <c r="C301" s="1">
        <v>1259</v>
      </c>
      <c r="D301" s="4">
        <f t="shared" si="8"/>
        <v>1.462066402666326E-2</v>
      </c>
      <c r="E301" s="1">
        <v>0</v>
      </c>
      <c r="F301" s="1">
        <v>0</v>
      </c>
      <c r="G301" s="1">
        <v>73</v>
      </c>
      <c r="H301" s="1">
        <v>399</v>
      </c>
      <c r="I301" s="1">
        <v>28</v>
      </c>
      <c r="J301" s="1">
        <v>756</v>
      </c>
      <c r="K301" s="1">
        <v>36</v>
      </c>
      <c r="L301" s="1">
        <v>40</v>
      </c>
      <c r="M301" s="1">
        <v>126</v>
      </c>
      <c r="N301" s="1">
        <v>1</v>
      </c>
      <c r="O301" s="1">
        <v>5</v>
      </c>
      <c r="P301" s="1">
        <v>7</v>
      </c>
      <c r="Q301" s="1">
        <v>10</v>
      </c>
      <c r="R301" s="1">
        <v>2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58</v>
      </c>
      <c r="AA301" s="1" t="str" cm="1">
        <f t="array" ref="AA301">_xlfn.IFS(AND(Z301&lt;36, Z301&gt;23), "24-35", AND(Z301&lt;51, Z301&gt;35),"36-50", AND(Z301&lt;66, Z301&gt;50), "51-66", Z301&gt;65, "66+", TRUE, "?")</f>
        <v>51-66</v>
      </c>
      <c r="AB301" s="1">
        <v>2595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>
        <v>1</v>
      </c>
      <c r="AJ301" s="1">
        <v>0</v>
      </c>
      <c r="AK301" s="1">
        <v>0</v>
      </c>
      <c r="AL301" s="1">
        <v>1133</v>
      </c>
      <c r="AM301" s="2">
        <v>42254</v>
      </c>
      <c r="AN301" t="str">
        <f t="shared" si="9"/>
        <v>86111,1259,0.0146206640266633,0,0,73,399,28,756,36,40,126,1,5,7,10,2,0,0,0,0,0,0,0,58,51-66,2595,0,1,0,0,0,0,1,0,0,1133,42254</v>
      </c>
    </row>
    <row r="302" spans="1:40" ht="13" hidden="1" x14ac:dyDescent="0.15">
      <c r="A302">
        <v>1901</v>
      </c>
      <c r="B302" s="1">
        <v>80144</v>
      </c>
      <c r="C302" s="1">
        <v>1259</v>
      </c>
      <c r="D302" s="4">
        <f t="shared" si="8"/>
        <v>1.5709223397883811E-2</v>
      </c>
      <c r="E302" s="1">
        <v>0</v>
      </c>
      <c r="F302" s="1">
        <v>0</v>
      </c>
      <c r="G302" s="1">
        <v>47</v>
      </c>
      <c r="H302" s="1">
        <v>240</v>
      </c>
      <c r="I302" s="1">
        <v>132</v>
      </c>
      <c r="J302" s="1">
        <v>445</v>
      </c>
      <c r="K302" s="1">
        <v>250</v>
      </c>
      <c r="L302" s="1">
        <v>192</v>
      </c>
      <c r="M302" s="1">
        <v>108</v>
      </c>
      <c r="N302" s="1">
        <v>1</v>
      </c>
      <c r="O302" s="1">
        <v>3</v>
      </c>
      <c r="P302" s="1">
        <v>7</v>
      </c>
      <c r="Q302" s="1">
        <v>8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45</v>
      </c>
      <c r="AA302" s="1" t="str" cm="1">
        <f t="array" ref="AA302">_xlfn.IFS(AND(Z302&lt;36, Z302&gt;23), "24-35", AND(Z302&lt;51, Z302&gt;35),"36-50", AND(Z302&lt;66, Z302&gt;50), "51-66", Z302&gt;65, "66+", TRUE, "?")</f>
        <v>36-50</v>
      </c>
      <c r="AB302" s="1">
        <v>2431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1</v>
      </c>
      <c r="AJ302" s="1">
        <v>0</v>
      </c>
      <c r="AK302" s="1">
        <v>0</v>
      </c>
      <c r="AL302" s="1">
        <v>1151</v>
      </c>
      <c r="AM302" s="2">
        <v>42418</v>
      </c>
      <c r="AN302" t="str">
        <f t="shared" si="9"/>
        <v>80144,1259,0.0157092233978838,0,0,47,240,132,445,250,192,108,1,3,7,8,1,0,0,0,0,0,0,0,45,36-50,2431,0,0,0,1,0,0,1,0,0,1151,42418</v>
      </c>
    </row>
    <row r="303" spans="1:40" ht="13" hidden="1" x14ac:dyDescent="0.15">
      <c r="A303">
        <v>430</v>
      </c>
      <c r="B303" s="1">
        <v>66664</v>
      </c>
      <c r="C303" s="1">
        <v>1257</v>
      </c>
      <c r="D303" s="4">
        <f t="shared" si="8"/>
        <v>1.8855754230169205E-2</v>
      </c>
      <c r="E303" s="1">
        <v>0</v>
      </c>
      <c r="F303" s="1">
        <v>0</v>
      </c>
      <c r="G303" s="1">
        <v>78</v>
      </c>
      <c r="H303" s="1">
        <v>398</v>
      </c>
      <c r="I303" s="1">
        <v>96</v>
      </c>
      <c r="J303" s="1">
        <v>447</v>
      </c>
      <c r="K303" s="1">
        <v>220</v>
      </c>
      <c r="L303" s="1">
        <v>96</v>
      </c>
      <c r="M303" s="1">
        <v>32</v>
      </c>
      <c r="N303" s="1">
        <v>1</v>
      </c>
      <c r="O303" s="1">
        <v>5</v>
      </c>
      <c r="P303" s="1">
        <v>7</v>
      </c>
      <c r="Q303" s="1">
        <v>6</v>
      </c>
      <c r="R303" s="1">
        <v>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38</v>
      </c>
      <c r="AA303" s="1" t="str" cm="1">
        <f t="array" ref="AA303">_xlfn.IFS(AND(Z303&lt;36, Z303&gt;23), "24-35", AND(Z303&lt;51, Z303&gt;35),"36-50", AND(Z303&lt;66, Z303&gt;50), "51-66", Z303&gt;65, "66+", TRUE, "?")</f>
        <v>36-50</v>
      </c>
      <c r="AB303" s="1">
        <v>2801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1</v>
      </c>
      <c r="AI303" s="1">
        <v>0</v>
      </c>
      <c r="AJ303" s="1">
        <v>0</v>
      </c>
      <c r="AK303" s="1">
        <v>0</v>
      </c>
      <c r="AL303" s="1">
        <v>1225</v>
      </c>
      <c r="AM303" s="2">
        <v>42048</v>
      </c>
      <c r="AN303" t="str">
        <f t="shared" si="9"/>
        <v>66664,1257,0.0188557542301692,0,0,78,398,96,447,220,96,32,1,5,7,6,3,0,0,0,0,0,0,0,38,36-50,2801,0,0,0,1,0,1,0,0,0,1225,42048</v>
      </c>
    </row>
    <row r="304" spans="1:40" ht="13" hidden="1" x14ac:dyDescent="0.15">
      <c r="A304">
        <v>1445</v>
      </c>
      <c r="B304" s="1">
        <v>63972</v>
      </c>
      <c r="C304" s="1">
        <v>1257</v>
      </c>
      <c r="D304" s="4">
        <f t="shared" si="8"/>
        <v>1.9649221534421311E-2</v>
      </c>
      <c r="E304" s="1">
        <v>0</v>
      </c>
      <c r="F304" s="1">
        <v>1</v>
      </c>
      <c r="G304" s="1">
        <v>93</v>
      </c>
      <c r="H304" s="1">
        <v>928</v>
      </c>
      <c r="I304" s="1">
        <v>63</v>
      </c>
      <c r="J304" s="1">
        <v>254</v>
      </c>
      <c r="K304" s="1">
        <v>0</v>
      </c>
      <c r="L304" s="1">
        <v>12</v>
      </c>
      <c r="M304" s="1">
        <v>12</v>
      </c>
      <c r="N304" s="1">
        <v>4</v>
      </c>
      <c r="O304" s="1">
        <v>5</v>
      </c>
      <c r="P304" s="1">
        <v>4</v>
      </c>
      <c r="Q304" s="1">
        <v>10</v>
      </c>
      <c r="R304" s="1">
        <v>4</v>
      </c>
      <c r="S304" s="1">
        <v>0</v>
      </c>
      <c r="T304" s="1">
        <v>0</v>
      </c>
      <c r="U304" s="1">
        <v>0</v>
      </c>
      <c r="V304" s="1">
        <v>1</v>
      </c>
      <c r="W304" s="1">
        <v>0</v>
      </c>
      <c r="X304" s="1">
        <v>0</v>
      </c>
      <c r="Y304" s="1">
        <v>0</v>
      </c>
      <c r="Z304" s="1">
        <v>56</v>
      </c>
      <c r="AA304" s="1" t="str" cm="1">
        <f t="array" ref="AA304">_xlfn.IFS(AND(Z304&lt;36, Z304&gt;23), "24-35", AND(Z304&lt;51, Z304&gt;35),"36-50", AND(Z304&lt;66, Z304&gt;50), "51-66", Z304&gt;65, "66+", TRUE, "?")</f>
        <v>51-66</v>
      </c>
      <c r="AB304" s="1">
        <v>2733</v>
      </c>
      <c r="AC304" s="1">
        <v>0</v>
      </c>
      <c r="AD304" s="1">
        <v>0</v>
      </c>
      <c r="AE304" s="1">
        <v>1</v>
      </c>
      <c r="AF304" s="1">
        <v>0</v>
      </c>
      <c r="AG304" s="1">
        <v>0</v>
      </c>
      <c r="AH304" s="1">
        <v>0</v>
      </c>
      <c r="AI304" s="1">
        <v>0</v>
      </c>
      <c r="AJ304" s="1">
        <v>1</v>
      </c>
      <c r="AK304" s="1">
        <v>0</v>
      </c>
      <c r="AL304" s="1">
        <v>1245</v>
      </c>
      <c r="AM304" s="2">
        <v>42116</v>
      </c>
      <c r="AN304" t="str">
        <f t="shared" si="9"/>
        <v>63972,1257,0.0196492215344213,0,1,93,928,63,254,0,12,12,4,5,4,10,4,0,0,0,1,0,0,0,56,51-66,2733,0,0,1,0,0,0,0,1,0,1245,42116</v>
      </c>
    </row>
    <row r="305" spans="1:40" ht="13" hidden="1" x14ac:dyDescent="0.15">
      <c r="A305">
        <v>247</v>
      </c>
      <c r="B305" s="1">
        <v>80124</v>
      </c>
      <c r="C305" s="1">
        <v>1254</v>
      </c>
      <c r="D305" s="4">
        <f t="shared" si="8"/>
        <v>1.5650741350906095E-2</v>
      </c>
      <c r="E305" s="1">
        <v>0</v>
      </c>
      <c r="F305" s="1">
        <v>0</v>
      </c>
      <c r="G305" s="1">
        <v>47</v>
      </c>
      <c r="H305" s="1">
        <v>483</v>
      </c>
      <c r="I305" s="1">
        <v>84</v>
      </c>
      <c r="J305" s="1">
        <v>398</v>
      </c>
      <c r="K305" s="1">
        <v>205</v>
      </c>
      <c r="L305" s="1">
        <v>84</v>
      </c>
      <c r="M305" s="1">
        <v>241</v>
      </c>
      <c r="N305" s="1">
        <v>1</v>
      </c>
      <c r="O305" s="1">
        <v>3</v>
      </c>
      <c r="P305" s="1">
        <v>7</v>
      </c>
      <c r="Q305" s="1">
        <v>8</v>
      </c>
      <c r="R305" s="1">
        <v>1</v>
      </c>
      <c r="S305" s="1">
        <v>0</v>
      </c>
      <c r="T305" s="1">
        <v>0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1">
        <v>57</v>
      </c>
      <c r="AA305" s="1" t="str" cm="1">
        <f t="array" ref="AA305">_xlfn.IFS(AND(Z305&lt;36, Z305&gt;23), "24-35", AND(Z305&lt;51, Z305&gt;35),"36-50", AND(Z305&lt;66, Z305&gt;50), "51-66", Z305&gt;65, "66+", TRUE, "?")</f>
        <v>51-66</v>
      </c>
      <c r="AB305" s="1">
        <v>2162</v>
      </c>
      <c r="AC305" s="1">
        <v>0</v>
      </c>
      <c r="AD305" s="1">
        <v>1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0</v>
      </c>
      <c r="AK305" s="1">
        <v>0</v>
      </c>
      <c r="AL305" s="1">
        <v>1013</v>
      </c>
      <c r="AM305" s="2">
        <v>42687</v>
      </c>
      <c r="AN305" t="str">
        <f t="shared" si="9"/>
        <v>80124,1254,0.0156507413509061,0,0,47,483,84,398,205,84,241,1,3,7,8,1,0,0,1,0,0,0,0,57,51-66,2162,0,1,0,0,0,0,1,0,0,1013,42687</v>
      </c>
    </row>
    <row r="306" spans="1:40" ht="13" hidden="1" x14ac:dyDescent="0.15">
      <c r="A306">
        <v>1011</v>
      </c>
      <c r="B306" s="1">
        <v>87171</v>
      </c>
      <c r="C306" s="1">
        <v>1254</v>
      </c>
      <c r="D306" s="4">
        <f t="shared" si="8"/>
        <v>1.438551811955811E-2</v>
      </c>
      <c r="E306" s="1">
        <v>0</v>
      </c>
      <c r="F306" s="1">
        <v>0</v>
      </c>
      <c r="G306" s="1">
        <v>27</v>
      </c>
      <c r="H306" s="1">
        <v>1001</v>
      </c>
      <c r="I306" s="1">
        <v>44</v>
      </c>
      <c r="J306" s="1">
        <v>107</v>
      </c>
      <c r="K306" s="1">
        <v>58</v>
      </c>
      <c r="L306" s="1">
        <v>44</v>
      </c>
      <c r="M306" s="1">
        <v>44</v>
      </c>
      <c r="N306" s="1">
        <v>1</v>
      </c>
      <c r="O306" s="1">
        <v>6</v>
      </c>
      <c r="P306" s="1">
        <v>7</v>
      </c>
      <c r="Q306" s="1">
        <v>11</v>
      </c>
      <c r="R306" s="1">
        <v>2</v>
      </c>
      <c r="S306" s="1">
        <v>0</v>
      </c>
      <c r="T306" s="1">
        <v>0</v>
      </c>
      <c r="U306" s="1">
        <v>1</v>
      </c>
      <c r="V306" s="1">
        <v>0</v>
      </c>
      <c r="W306" s="1">
        <v>1</v>
      </c>
      <c r="X306" s="1">
        <v>0</v>
      </c>
      <c r="Y306" s="1">
        <v>0</v>
      </c>
      <c r="Z306" s="1">
        <v>39</v>
      </c>
      <c r="AA306" s="1" t="str" cm="1">
        <f t="array" ref="AA306">_xlfn.IFS(AND(Z306&lt;36, Z306&gt;23), "24-35", AND(Z306&lt;51, Z306&gt;35),"36-50", AND(Z306&lt;66, Z306&gt;50), "51-66", Z306&gt;65, "66+", TRUE, "?")</f>
        <v>36-50</v>
      </c>
      <c r="AB306" s="1">
        <v>2583</v>
      </c>
      <c r="AC306" s="1">
        <v>0</v>
      </c>
      <c r="AD306" s="1">
        <v>1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1</v>
      </c>
      <c r="AL306" s="1">
        <v>1210</v>
      </c>
      <c r="AM306" s="2">
        <v>42266</v>
      </c>
      <c r="AN306" t="str">
        <f t="shared" si="9"/>
        <v>87171,1254,0.0143855181195581,0,0,27,1001,44,107,58,44,44,1,6,7,11,2,0,0,1,0,1,0,0,39,36-50,2583,0,1,0,0,0,0,0,0,1,1210,42266</v>
      </c>
    </row>
    <row r="307" spans="1:40" ht="13" hidden="1" x14ac:dyDescent="0.15">
      <c r="A307">
        <v>1753</v>
      </c>
      <c r="B307" s="1">
        <v>70617</v>
      </c>
      <c r="C307" s="1">
        <v>1253</v>
      </c>
      <c r="D307" s="4">
        <f t="shared" si="8"/>
        <v>1.7743602815186145E-2</v>
      </c>
      <c r="E307" s="1">
        <v>0</v>
      </c>
      <c r="F307" s="1">
        <v>0</v>
      </c>
      <c r="G307" s="1">
        <v>45</v>
      </c>
      <c r="H307" s="1">
        <v>353</v>
      </c>
      <c r="I307" s="1">
        <v>61</v>
      </c>
      <c r="J307" s="1">
        <v>753</v>
      </c>
      <c r="K307" s="1">
        <v>40</v>
      </c>
      <c r="L307" s="1">
        <v>46</v>
      </c>
      <c r="M307" s="1">
        <v>27</v>
      </c>
      <c r="N307" s="1">
        <v>1</v>
      </c>
      <c r="O307" s="1">
        <v>3</v>
      </c>
      <c r="P307" s="1">
        <v>3</v>
      </c>
      <c r="Q307" s="1">
        <v>7</v>
      </c>
      <c r="R307" s="1">
        <v>2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50</v>
      </c>
      <c r="AA307" s="1" t="str" cm="1">
        <f t="array" ref="AA307">_xlfn.IFS(AND(Z307&lt;36, Z307&gt;23), "24-35", AND(Z307&lt;51, Z307&gt;35),"36-50", AND(Z307&lt;66, Z307&gt;50), "51-66", Z307&gt;65, "66+", TRUE, "?")</f>
        <v>36-50</v>
      </c>
      <c r="AB307" s="1">
        <v>2530</v>
      </c>
      <c r="AC307" s="1">
        <v>0</v>
      </c>
      <c r="AD307" s="1">
        <v>1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0</v>
      </c>
      <c r="AL307" s="1">
        <v>1226</v>
      </c>
      <c r="AM307" s="2">
        <v>42319</v>
      </c>
      <c r="AN307" t="str">
        <f t="shared" si="9"/>
        <v>70617,1253,0.0177436028151861,0,0,45,353,61,753,40,46,27,1,3,3,7,2,0,0,0,0,0,0,0,50,36-50,2530,0,1,0,0,0,0,1,0,0,1226,42319</v>
      </c>
    </row>
    <row r="308" spans="1:40" ht="13" hidden="1" x14ac:dyDescent="0.15">
      <c r="A308">
        <v>718</v>
      </c>
      <c r="B308" s="1">
        <v>67430</v>
      </c>
      <c r="C308" s="1">
        <v>1243</v>
      </c>
      <c r="D308" s="4">
        <f t="shared" si="8"/>
        <v>1.8433931484502446E-2</v>
      </c>
      <c r="E308" s="1">
        <v>0</v>
      </c>
      <c r="F308" s="1">
        <v>0</v>
      </c>
      <c r="G308" s="1">
        <v>6</v>
      </c>
      <c r="H308" s="1">
        <v>595</v>
      </c>
      <c r="I308" s="1">
        <v>97</v>
      </c>
      <c r="J308" s="1">
        <v>291</v>
      </c>
      <c r="K308" s="1">
        <v>127</v>
      </c>
      <c r="L308" s="1">
        <v>133</v>
      </c>
      <c r="M308" s="1">
        <v>121</v>
      </c>
      <c r="N308" s="1">
        <v>1</v>
      </c>
      <c r="O308" s="1">
        <v>11</v>
      </c>
      <c r="P308" s="1">
        <v>5</v>
      </c>
      <c r="Q308" s="1">
        <v>12</v>
      </c>
      <c r="R308" s="1">
        <v>6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33</v>
      </c>
      <c r="AA308" s="1" t="str" cm="1">
        <f t="array" ref="AA308">_xlfn.IFS(AND(Z308&lt;36, Z308&gt;23), "24-35", AND(Z308&lt;51, Z308&gt;35),"36-50", AND(Z308&lt;66, Z308&gt;50), "51-66", Z308&gt;65, "66+", TRUE, "?")</f>
        <v>24-35</v>
      </c>
      <c r="AB308" s="1">
        <v>2821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1</v>
      </c>
      <c r="AJ308" s="1">
        <v>0</v>
      </c>
      <c r="AK308" s="1">
        <v>0</v>
      </c>
      <c r="AL308" s="1">
        <v>1122</v>
      </c>
      <c r="AM308" s="2">
        <v>42028</v>
      </c>
      <c r="AN308" t="str">
        <f t="shared" si="9"/>
        <v>67430,1243,0.0184339314845024,0,0,6,595,97,291,127,133,121,1,11,5,12,6,0,0,0,0,0,0,0,33,24-35,2821,0,0,0,1,0,0,1,0,0,1122,42028</v>
      </c>
    </row>
    <row r="309" spans="1:40" ht="13" hidden="1" x14ac:dyDescent="0.15">
      <c r="A309">
        <v>65</v>
      </c>
      <c r="B309" s="1">
        <v>66991</v>
      </c>
      <c r="C309" s="1">
        <v>1241</v>
      </c>
      <c r="D309" s="4">
        <f t="shared" si="8"/>
        <v>1.8524876475944529E-2</v>
      </c>
      <c r="E309" s="1">
        <v>0</v>
      </c>
      <c r="F309" s="1">
        <v>0</v>
      </c>
      <c r="G309" s="1">
        <v>1</v>
      </c>
      <c r="H309" s="1">
        <v>496</v>
      </c>
      <c r="I309" s="1">
        <v>36</v>
      </c>
      <c r="J309" s="1">
        <v>460</v>
      </c>
      <c r="K309" s="1">
        <v>189</v>
      </c>
      <c r="L309" s="1">
        <v>60</v>
      </c>
      <c r="M309" s="1">
        <v>12</v>
      </c>
      <c r="N309" s="1">
        <v>3</v>
      </c>
      <c r="O309" s="1">
        <v>4</v>
      </c>
      <c r="P309" s="1">
        <v>8</v>
      </c>
      <c r="Q309" s="1">
        <v>6</v>
      </c>
      <c r="R309" s="1">
        <v>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66</v>
      </c>
      <c r="AA309" s="1" t="str" cm="1">
        <f t="array" ref="AA309">_xlfn.IFS(AND(Z309&lt;36, Z309&gt;23), "24-35", AND(Z309&lt;51, Z309&gt;35),"36-50", AND(Z309&lt;66, Z309&gt;50), "51-66", Z309&gt;65, "66+", TRUE, "?")</f>
        <v>66+</v>
      </c>
      <c r="AB309" s="1">
        <v>2815</v>
      </c>
      <c r="AC309" s="1">
        <v>0</v>
      </c>
      <c r="AD309" s="1">
        <v>1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1</v>
      </c>
      <c r="AK309" s="1">
        <v>0</v>
      </c>
      <c r="AL309" s="1">
        <v>1229</v>
      </c>
      <c r="AM309" s="2">
        <v>42034</v>
      </c>
      <c r="AN309" t="str">
        <f t="shared" si="9"/>
        <v>66991,1241,0.0185248764759445,0,0,1,496,36,460,189,60,12,3,4,8,6,3,0,0,0,0,0,0,0,66,66+,2815,0,1,0,0,0,0,0,1,0,1229,42034</v>
      </c>
    </row>
    <row r="310" spans="1:40" ht="13" hidden="1" x14ac:dyDescent="0.15">
      <c r="A310">
        <v>691</v>
      </c>
      <c r="B310" s="1">
        <v>62882</v>
      </c>
      <c r="C310" s="1">
        <v>1241</v>
      </c>
      <c r="D310" s="4">
        <f t="shared" si="8"/>
        <v>1.973537737349321E-2</v>
      </c>
      <c r="E310" s="1">
        <v>0</v>
      </c>
      <c r="F310" s="1">
        <v>1</v>
      </c>
      <c r="G310" s="1">
        <v>26</v>
      </c>
      <c r="H310" s="1">
        <v>509</v>
      </c>
      <c r="I310" s="1">
        <v>133</v>
      </c>
      <c r="J310" s="1">
        <v>497</v>
      </c>
      <c r="K310" s="1">
        <v>78</v>
      </c>
      <c r="L310" s="1">
        <v>24</v>
      </c>
      <c r="M310" s="1">
        <v>97</v>
      </c>
      <c r="N310" s="1">
        <v>2</v>
      </c>
      <c r="O310" s="1">
        <v>7</v>
      </c>
      <c r="P310" s="1">
        <v>5</v>
      </c>
      <c r="Q310" s="1">
        <v>6</v>
      </c>
      <c r="R310" s="1">
        <v>4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51</v>
      </c>
      <c r="AA310" s="1" t="str" cm="1">
        <f t="array" ref="AA310">_xlfn.IFS(AND(Z310&lt;36, Z310&gt;23), "24-35", AND(Z310&lt;51, Z310&gt;35),"36-50", AND(Z310&lt;66, Z310&gt;50), "51-66", Z310&gt;65, "66+", TRUE, "?")</f>
        <v>51-66</v>
      </c>
      <c r="AB310" s="1">
        <v>2848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1</v>
      </c>
      <c r="AJ310" s="1">
        <v>0</v>
      </c>
      <c r="AK310" s="1">
        <v>0</v>
      </c>
      <c r="AL310" s="1">
        <v>1144</v>
      </c>
      <c r="AM310" s="2">
        <v>42001</v>
      </c>
      <c r="AN310" t="str">
        <f t="shared" si="9"/>
        <v>62882,1241,0.0197353773734932,0,1,26,509,133,497,78,24,97,2,7,5,6,4,0,0,0,0,0,0,0,51,51-66,2848,0,0,0,1,0,0,1,0,0,1144,42001</v>
      </c>
    </row>
    <row r="311" spans="1:40" ht="13" hidden="1" x14ac:dyDescent="0.15">
      <c r="A311">
        <v>1962</v>
      </c>
      <c r="B311" s="1">
        <v>90000</v>
      </c>
      <c r="C311" s="1">
        <v>1238</v>
      </c>
      <c r="D311" s="4">
        <f t="shared" si="8"/>
        <v>1.3755555555555556E-2</v>
      </c>
      <c r="E311" s="1">
        <v>0</v>
      </c>
      <c r="F311" s="1">
        <v>0</v>
      </c>
      <c r="G311" s="1">
        <v>91</v>
      </c>
      <c r="H311" s="1">
        <v>675</v>
      </c>
      <c r="I311" s="1">
        <v>144</v>
      </c>
      <c r="J311" s="1">
        <v>133</v>
      </c>
      <c r="K311" s="1">
        <v>94</v>
      </c>
      <c r="L311" s="1">
        <v>192</v>
      </c>
      <c r="M311" s="1">
        <v>241</v>
      </c>
      <c r="N311" s="1">
        <v>1</v>
      </c>
      <c r="O311" s="1">
        <v>4</v>
      </c>
      <c r="P311" s="1">
        <v>8</v>
      </c>
      <c r="Q311" s="1">
        <v>5</v>
      </c>
      <c r="R311" s="1">
        <v>1</v>
      </c>
      <c r="S311" s="1">
        <v>1</v>
      </c>
      <c r="T311" s="1">
        <v>0</v>
      </c>
      <c r="U311" s="1">
        <v>1</v>
      </c>
      <c r="V311" s="1">
        <v>0</v>
      </c>
      <c r="W311" s="1">
        <v>1</v>
      </c>
      <c r="X311" s="1">
        <v>0</v>
      </c>
      <c r="Y311" s="1">
        <v>0</v>
      </c>
      <c r="Z311" s="1">
        <v>36</v>
      </c>
      <c r="AA311" s="1" t="str" cm="1">
        <f t="array" ref="AA311">_xlfn.IFS(AND(Z311&lt;36, Z311&gt;23), "24-35", AND(Z311&lt;51, Z311&gt;35),"36-50", AND(Z311&lt;66, Z311&gt;50), "51-66", Z311&gt;65, "66+", TRUE, "?")</f>
        <v>36-50</v>
      </c>
      <c r="AB311" s="1">
        <v>2347</v>
      </c>
      <c r="AC311" s="1">
        <v>0</v>
      </c>
      <c r="AD311" s="1">
        <v>1</v>
      </c>
      <c r="AE311" s="1">
        <v>0</v>
      </c>
      <c r="AF311" s="1">
        <v>0</v>
      </c>
      <c r="AG311" s="1">
        <v>0</v>
      </c>
      <c r="AH311" s="1">
        <v>0</v>
      </c>
      <c r="AI311" s="1">
        <v>1</v>
      </c>
      <c r="AJ311" s="1">
        <v>0</v>
      </c>
      <c r="AK311" s="1">
        <v>0</v>
      </c>
      <c r="AL311" s="1">
        <v>997</v>
      </c>
      <c r="AM311" s="2">
        <v>42502</v>
      </c>
      <c r="AN311" t="str">
        <f t="shared" si="9"/>
        <v>90000,1238,0.0137555555555556,0,0,91,675,144,133,94,192,241,1,4,8,5,1,1,0,1,0,1,0,0,36,36-50,2347,0,1,0,0,0,0,1,0,0,997,42502</v>
      </c>
    </row>
    <row r="312" spans="1:40" ht="13" x14ac:dyDescent="0.15">
      <c r="A312">
        <v>885</v>
      </c>
      <c r="B312" s="1">
        <v>78499</v>
      </c>
      <c r="C312" s="1">
        <v>1237</v>
      </c>
      <c r="D312" s="4">
        <f t="shared" si="8"/>
        <v>1.5758162524363368E-2</v>
      </c>
      <c r="E312" s="1">
        <v>0</v>
      </c>
      <c r="F312" s="1">
        <v>0</v>
      </c>
      <c r="G312" s="1">
        <v>12</v>
      </c>
      <c r="H312" s="1">
        <v>912</v>
      </c>
      <c r="I312" s="1">
        <v>72</v>
      </c>
      <c r="J312" s="1">
        <v>170</v>
      </c>
      <c r="K312" s="1">
        <v>47</v>
      </c>
      <c r="L312" s="1">
        <v>36</v>
      </c>
      <c r="M312" s="1">
        <v>97</v>
      </c>
      <c r="N312" s="1">
        <v>1</v>
      </c>
      <c r="O312" s="1">
        <v>11</v>
      </c>
      <c r="P312" s="1">
        <v>3</v>
      </c>
      <c r="Q312" s="1">
        <v>4</v>
      </c>
      <c r="R312" s="1">
        <v>4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0</v>
      </c>
      <c r="Y312" s="1">
        <v>1</v>
      </c>
      <c r="Z312" s="1">
        <v>63</v>
      </c>
      <c r="AA312" s="1" t="str" cm="1">
        <f t="array" ref="AA312">_xlfn.IFS(AND(Z312&lt;36, Z312&gt;23), "24-35", AND(Z312&lt;51, Z312&gt;35),"36-50", AND(Z312&lt;66, Z312&gt;50), "51-66", Z312&gt;65, "66+", TRUE, "?")</f>
        <v>51-66</v>
      </c>
      <c r="AB312" s="1">
        <v>2377</v>
      </c>
      <c r="AC312" s="1">
        <v>0</v>
      </c>
      <c r="AD312" s="1">
        <v>0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0</v>
      </c>
      <c r="AL312" s="1">
        <v>1140</v>
      </c>
      <c r="AM312" s="2">
        <v>42472</v>
      </c>
      <c r="AN312" t="str">
        <f t="shared" si="9"/>
        <v>78499,1237,0.0157581625243634,0,0,12,912,72,170,47,36,97,1,11,3,4,4,0,0,0,0,1,0,1,63,51-66,2377,0,0,1,0,0,0,1,0,0,1140,42472</v>
      </c>
    </row>
    <row r="313" spans="1:40" ht="13" x14ac:dyDescent="0.15">
      <c r="A313">
        <v>886</v>
      </c>
      <c r="B313" s="1">
        <v>88194</v>
      </c>
      <c r="C313" s="1">
        <v>1236</v>
      </c>
      <c r="D313" s="4">
        <f t="shared" si="8"/>
        <v>1.401455881352473E-2</v>
      </c>
      <c r="E313" s="1">
        <v>0</v>
      </c>
      <c r="F313" s="1">
        <v>1</v>
      </c>
      <c r="G313" s="1">
        <v>19</v>
      </c>
      <c r="H313" s="1">
        <v>688</v>
      </c>
      <c r="I313" s="1">
        <v>14</v>
      </c>
      <c r="J313" s="1">
        <v>309</v>
      </c>
      <c r="K313" s="1">
        <v>201</v>
      </c>
      <c r="L313" s="1">
        <v>24</v>
      </c>
      <c r="M313" s="1">
        <v>38</v>
      </c>
      <c r="N313" s="1">
        <v>1</v>
      </c>
      <c r="O313" s="1">
        <v>11</v>
      </c>
      <c r="P313" s="1">
        <v>10</v>
      </c>
      <c r="Q313" s="1">
        <v>10</v>
      </c>
      <c r="R313" s="1">
        <v>5</v>
      </c>
      <c r="S313" s="1">
        <v>1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1</v>
      </c>
      <c r="Z313" s="1">
        <v>41</v>
      </c>
      <c r="AA313" s="1" t="str" cm="1">
        <f t="array" ref="AA313">_xlfn.IFS(AND(Z313&lt;36, Z313&gt;23), "24-35", AND(Z313&lt;51, Z313&gt;35),"36-50", AND(Z313&lt;66, Z313&gt;50), "51-66", Z313&gt;65, "66+", TRUE, "?")</f>
        <v>36-50</v>
      </c>
      <c r="AB313" s="1">
        <v>2261</v>
      </c>
      <c r="AC313" s="1">
        <v>0</v>
      </c>
      <c r="AD313" s="1">
        <v>0</v>
      </c>
      <c r="AE313" s="1">
        <v>1</v>
      </c>
      <c r="AF313" s="1">
        <v>0</v>
      </c>
      <c r="AG313" s="1">
        <v>0</v>
      </c>
      <c r="AH313" s="1">
        <v>1</v>
      </c>
      <c r="AI313" s="1">
        <v>0</v>
      </c>
      <c r="AJ313" s="1">
        <v>0</v>
      </c>
      <c r="AK313" s="1">
        <v>0</v>
      </c>
      <c r="AL313" s="1">
        <v>1198</v>
      </c>
      <c r="AM313" s="2">
        <v>42588</v>
      </c>
      <c r="AN313" t="str">
        <f t="shared" si="9"/>
        <v>88194,1236,0.0140145588135247,0,1,19,688,14,309,201,24,38,1,11,10,10,5,1,0,1,0,0,0,1,41,36-50,2261,0,0,1,0,0,1,0,0,0,1198,42588</v>
      </c>
    </row>
    <row r="314" spans="1:40" ht="13" hidden="1" x14ac:dyDescent="0.15">
      <c r="A314">
        <v>1740</v>
      </c>
      <c r="B314" s="1">
        <v>92556</v>
      </c>
      <c r="C314" s="1">
        <v>1235</v>
      </c>
      <c r="D314" s="4">
        <f t="shared" si="8"/>
        <v>1.3343273261592981E-2</v>
      </c>
      <c r="E314" s="1">
        <v>0</v>
      </c>
      <c r="F314" s="1">
        <v>0</v>
      </c>
      <c r="G314" s="1">
        <v>32</v>
      </c>
      <c r="H314" s="1">
        <v>493</v>
      </c>
      <c r="I314" s="1">
        <v>183</v>
      </c>
      <c r="J314" s="1">
        <v>352</v>
      </c>
      <c r="K314" s="1">
        <v>184</v>
      </c>
      <c r="L314" s="1">
        <v>23</v>
      </c>
      <c r="M314" s="1">
        <v>28</v>
      </c>
      <c r="N314" s="1">
        <v>0</v>
      </c>
      <c r="O314" s="1">
        <v>3</v>
      </c>
      <c r="P314" s="1">
        <v>5</v>
      </c>
      <c r="Q314" s="1">
        <v>13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60</v>
      </c>
      <c r="AA314" s="1" t="str" cm="1">
        <f t="array" ref="AA314">_xlfn.IFS(AND(Z314&lt;36, Z314&gt;23), "24-35", AND(Z314&lt;51, Z314&gt;35),"36-50", AND(Z314&lt;66, Z314&gt;50), "51-66", Z314&gt;65, "66+", TRUE, "?")</f>
        <v>51-66</v>
      </c>
      <c r="AB314" s="1">
        <v>2229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1</v>
      </c>
      <c r="AI314" s="1">
        <v>0</v>
      </c>
      <c r="AJ314" s="1">
        <v>0</v>
      </c>
      <c r="AK314" s="1">
        <v>0</v>
      </c>
      <c r="AL314" s="1">
        <v>1207</v>
      </c>
      <c r="AM314" s="2">
        <v>42620</v>
      </c>
      <c r="AN314" t="str">
        <f t="shared" si="9"/>
        <v>92556,1235,0.013343273261593,0,0,32,493,183,352,184,23,28,0,3,5,13,0,0,0,0,0,0,0,0,60,51-66,2229,0,0,0,1,0,1,0,0,0,1207,42620</v>
      </c>
    </row>
    <row r="315" spans="1:40" ht="13" hidden="1" x14ac:dyDescent="0.15">
      <c r="A315">
        <v>299</v>
      </c>
      <c r="B315" s="1">
        <v>64325</v>
      </c>
      <c r="C315" s="1">
        <v>1234</v>
      </c>
      <c r="D315" s="4">
        <f t="shared" si="8"/>
        <v>1.9183832102603965E-2</v>
      </c>
      <c r="E315" s="1">
        <v>0</v>
      </c>
      <c r="F315" s="1">
        <v>1</v>
      </c>
      <c r="G315" s="1">
        <v>41</v>
      </c>
      <c r="H315" s="1">
        <v>731</v>
      </c>
      <c r="I315" s="1">
        <v>60</v>
      </c>
      <c r="J315" s="1">
        <v>353</v>
      </c>
      <c r="K315" s="1">
        <v>78</v>
      </c>
      <c r="L315" s="1">
        <v>12</v>
      </c>
      <c r="M315" s="1">
        <v>73</v>
      </c>
      <c r="N315" s="1">
        <v>5</v>
      </c>
      <c r="O315" s="1">
        <v>10</v>
      </c>
      <c r="P315" s="1">
        <v>3</v>
      </c>
      <c r="Q315" s="1">
        <v>5</v>
      </c>
      <c r="R315" s="1">
        <v>7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59</v>
      </c>
      <c r="AA315" s="1" t="str" cm="1">
        <f t="array" ref="AA315">_xlfn.IFS(AND(Z315&lt;36, Z315&gt;23), "24-35", AND(Z315&lt;51, Z315&gt;35),"36-50", AND(Z315&lt;66, Z315&gt;50), "51-66", Z315&gt;65, "66+", TRUE, "?")</f>
        <v>51-66</v>
      </c>
      <c r="AB315" s="1">
        <v>2666</v>
      </c>
      <c r="AC315" s="1">
        <v>1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1</v>
      </c>
      <c r="AL315" s="1">
        <v>1161</v>
      </c>
      <c r="AM315" s="2">
        <v>42183</v>
      </c>
      <c r="AN315" t="str">
        <f t="shared" si="9"/>
        <v>64325,1234,0.019183832102604,0,1,41,731,60,353,78,12,73,5,10,3,5,7,0,0,0,0,0,0,0,59,51-66,2666,1,0,0,0,0,0,0,0,1,1161,42183</v>
      </c>
    </row>
    <row r="316" spans="1:40" ht="13" hidden="1" x14ac:dyDescent="0.15">
      <c r="A316">
        <v>1550</v>
      </c>
      <c r="B316" s="1">
        <v>61787</v>
      </c>
      <c r="C316" s="1">
        <v>1234</v>
      </c>
      <c r="D316" s="4">
        <f t="shared" si="8"/>
        <v>1.9971838736303753E-2</v>
      </c>
      <c r="E316" s="1">
        <v>0</v>
      </c>
      <c r="F316" s="1">
        <v>0</v>
      </c>
      <c r="G316" s="1">
        <v>71</v>
      </c>
      <c r="H316" s="1">
        <v>621</v>
      </c>
      <c r="I316" s="1">
        <v>73</v>
      </c>
      <c r="J316" s="1">
        <v>414</v>
      </c>
      <c r="K316" s="1">
        <v>78</v>
      </c>
      <c r="L316" s="1">
        <v>48</v>
      </c>
      <c r="M316" s="1">
        <v>85</v>
      </c>
      <c r="N316" s="1">
        <v>1</v>
      </c>
      <c r="O316" s="1">
        <v>8</v>
      </c>
      <c r="P316" s="1">
        <v>4</v>
      </c>
      <c r="Q316" s="1">
        <v>6</v>
      </c>
      <c r="R316" s="1">
        <v>5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33</v>
      </c>
      <c r="AA316" s="1" t="str" cm="1">
        <f t="array" ref="AA316">_xlfn.IFS(AND(Z316&lt;36, Z316&gt;23), "24-35", AND(Z316&lt;51, Z316&gt;35),"36-50", AND(Z316&lt;66, Z316&gt;50), "51-66", Z316&gt;65, "66+", TRUE, "?")</f>
        <v>24-35</v>
      </c>
      <c r="AB316" s="1">
        <v>2517</v>
      </c>
      <c r="AC316" s="1">
        <v>1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</v>
      </c>
      <c r="AK316" s="1">
        <v>0</v>
      </c>
      <c r="AL316" s="1">
        <v>1149</v>
      </c>
      <c r="AM316" s="2">
        <v>42332</v>
      </c>
      <c r="AN316" t="str">
        <f t="shared" si="9"/>
        <v>61787,1234,0.0199718387363038,0,0,71,621,73,414,78,48,85,1,8,4,6,5,0,0,0,0,0,0,0,33,24-35,2517,1,0,0,0,0,0,0,1,0,1149,42332</v>
      </c>
    </row>
    <row r="317" spans="1:40" ht="13" hidden="1" x14ac:dyDescent="0.15">
      <c r="A317">
        <v>836</v>
      </c>
      <c r="B317" s="1">
        <v>68092</v>
      </c>
      <c r="C317" s="1">
        <v>1233</v>
      </c>
      <c r="D317" s="4">
        <f t="shared" si="8"/>
        <v>1.8107854079774423E-2</v>
      </c>
      <c r="E317" s="1">
        <v>0</v>
      </c>
      <c r="F317" s="1">
        <v>0</v>
      </c>
      <c r="G317" s="1">
        <v>7</v>
      </c>
      <c r="H317" s="1">
        <v>852</v>
      </c>
      <c r="I317" s="1">
        <v>60</v>
      </c>
      <c r="J317" s="1">
        <v>207</v>
      </c>
      <c r="K317" s="1">
        <v>78</v>
      </c>
      <c r="L317" s="1">
        <v>36</v>
      </c>
      <c r="M317" s="1">
        <v>48</v>
      </c>
      <c r="N317" s="1">
        <v>2</v>
      </c>
      <c r="O317" s="1">
        <v>2</v>
      </c>
      <c r="P317" s="1">
        <v>6</v>
      </c>
      <c r="Q317" s="1">
        <v>10</v>
      </c>
      <c r="R317" s="1">
        <v>5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42</v>
      </c>
      <c r="AA317" s="1" t="str" cm="1">
        <f t="array" ref="AA317">_xlfn.IFS(AND(Z317&lt;36, Z317&gt;23), "24-35", AND(Z317&lt;51, Z317&gt;35),"36-50", AND(Z317&lt;66, Z317&gt;50), "51-66", Z317&gt;65, "66+", TRUE, "?")</f>
        <v>36-50</v>
      </c>
      <c r="AB317" s="1">
        <v>2354</v>
      </c>
      <c r="AC317" s="1">
        <v>0</v>
      </c>
      <c r="AD317" s="1">
        <v>0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1185</v>
      </c>
      <c r="AM317" s="2">
        <v>42495</v>
      </c>
      <c r="AN317" t="str">
        <f t="shared" si="9"/>
        <v>68092,1233,0.0181078540797744,0,0,7,852,60,207,78,36,48,2,2,6,10,5,0,0,0,0,0,0,0,42,36-50,2354,0,0,1,0,0,0,0,1,0,1185,42495</v>
      </c>
    </row>
    <row r="318" spans="1:40" ht="13" hidden="1" x14ac:dyDescent="0.15">
      <c r="A318">
        <v>1221</v>
      </c>
      <c r="B318" s="1">
        <v>71626</v>
      </c>
      <c r="C318" s="1">
        <v>1233</v>
      </c>
      <c r="D318" s="4">
        <f t="shared" si="8"/>
        <v>1.7214419344930613E-2</v>
      </c>
      <c r="E318" s="1">
        <v>0</v>
      </c>
      <c r="F318" s="1">
        <v>0</v>
      </c>
      <c r="G318" s="1">
        <v>94</v>
      </c>
      <c r="H318" s="1">
        <v>546</v>
      </c>
      <c r="I318" s="1">
        <v>72</v>
      </c>
      <c r="J318" s="1">
        <v>376</v>
      </c>
      <c r="K318" s="1">
        <v>94</v>
      </c>
      <c r="L318" s="1">
        <v>145</v>
      </c>
      <c r="M318" s="1">
        <v>72</v>
      </c>
      <c r="N318" s="1">
        <v>1</v>
      </c>
      <c r="O318" s="1">
        <v>5</v>
      </c>
      <c r="P318" s="1">
        <v>5</v>
      </c>
      <c r="Q318" s="1">
        <v>8</v>
      </c>
      <c r="R318" s="1">
        <v>3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0</v>
      </c>
      <c r="Y318" s="1">
        <v>0</v>
      </c>
      <c r="Z318" s="1">
        <v>41</v>
      </c>
      <c r="AA318" s="1" t="str" cm="1">
        <f t="array" ref="AA318">_xlfn.IFS(AND(Z318&lt;36, Z318&gt;23), "24-35", AND(Z318&lt;51, Z318&gt;35),"36-50", AND(Z318&lt;66, Z318&gt;50), "51-66", Z318&gt;65, "66+", TRUE, "?")</f>
        <v>36-50</v>
      </c>
      <c r="AB318" s="1">
        <v>2764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1</v>
      </c>
      <c r="AJ318" s="1">
        <v>0</v>
      </c>
      <c r="AK318" s="1">
        <v>0</v>
      </c>
      <c r="AL318" s="1">
        <v>1161</v>
      </c>
      <c r="AM318" s="2">
        <v>42085</v>
      </c>
      <c r="AN318" t="str">
        <f t="shared" si="9"/>
        <v>71626,1233,0.0172144193449306,0,0,94,546,72,376,94,145,72,1,5,5,8,3,0,0,0,1,0,0,0,41,36-50,2764,0,1,0,0,0,0,1,0,0,1161,42085</v>
      </c>
    </row>
    <row r="319" spans="1:40" ht="13" hidden="1" x14ac:dyDescent="0.15">
      <c r="A319">
        <v>1248</v>
      </c>
      <c r="B319" s="1">
        <v>71434</v>
      </c>
      <c r="C319" s="1">
        <v>1232</v>
      </c>
      <c r="D319" s="4">
        <f t="shared" si="8"/>
        <v>1.7246689251616876E-2</v>
      </c>
      <c r="E319" s="1">
        <v>0</v>
      </c>
      <c r="F319" s="1">
        <v>1</v>
      </c>
      <c r="G319" s="1">
        <v>4</v>
      </c>
      <c r="H319" s="1">
        <v>711</v>
      </c>
      <c r="I319" s="1">
        <v>36</v>
      </c>
      <c r="J319" s="1">
        <v>217</v>
      </c>
      <c r="K319" s="1">
        <v>172</v>
      </c>
      <c r="L319" s="1">
        <v>96</v>
      </c>
      <c r="M319" s="1">
        <v>168</v>
      </c>
      <c r="N319" s="1">
        <v>3</v>
      </c>
      <c r="O319" s="1">
        <v>7</v>
      </c>
      <c r="P319" s="1">
        <v>4</v>
      </c>
      <c r="Q319" s="1">
        <v>7</v>
      </c>
      <c r="R319" s="1">
        <v>4</v>
      </c>
      <c r="S319" s="1">
        <v>1</v>
      </c>
      <c r="T319" s="1">
        <v>0</v>
      </c>
      <c r="U319" s="1">
        <v>0</v>
      </c>
      <c r="V319" s="1">
        <v>1</v>
      </c>
      <c r="W319" s="1">
        <v>0</v>
      </c>
      <c r="X319" s="1">
        <v>0</v>
      </c>
      <c r="Y319" s="1">
        <v>0</v>
      </c>
      <c r="Z319" s="1">
        <v>58</v>
      </c>
      <c r="AA319" s="1" t="str" cm="1">
        <f t="array" ref="AA319">_xlfn.IFS(AND(Z319&lt;36, Z319&gt;23), "24-35", AND(Z319&lt;51, Z319&gt;35),"36-50", AND(Z319&lt;66, Z319&gt;50), "51-66", Z319&gt;65, "66+", TRUE, "?")</f>
        <v>51-66</v>
      </c>
      <c r="AB319" s="1">
        <v>2443</v>
      </c>
      <c r="AC319" s="1">
        <v>0</v>
      </c>
      <c r="AD319" s="1">
        <v>1</v>
      </c>
      <c r="AE319" s="1">
        <v>0</v>
      </c>
      <c r="AF319" s="1">
        <v>0</v>
      </c>
      <c r="AG319" s="1">
        <v>0</v>
      </c>
      <c r="AH319" s="1">
        <v>0</v>
      </c>
      <c r="AI319" s="1">
        <v>1</v>
      </c>
      <c r="AJ319" s="1">
        <v>0</v>
      </c>
      <c r="AK319" s="1">
        <v>0</v>
      </c>
      <c r="AL319" s="1">
        <v>1064</v>
      </c>
      <c r="AM319" s="2">
        <v>42406</v>
      </c>
      <c r="AN319" t="str">
        <f t="shared" si="9"/>
        <v>71434,1232,0.0172466892516169,0,1,4,711,36,217,172,96,168,3,7,4,7,4,1,0,0,1,0,0,0,58,51-66,2443,0,1,0,0,0,0,1,0,0,1064,42406</v>
      </c>
    </row>
    <row r="320" spans="1:40" ht="13" hidden="1" x14ac:dyDescent="0.15">
      <c r="A320">
        <v>388</v>
      </c>
      <c r="B320" s="1">
        <v>75865</v>
      </c>
      <c r="C320" s="1">
        <v>1230</v>
      </c>
      <c r="D320" s="4">
        <f t="shared" si="8"/>
        <v>1.6213009951888221E-2</v>
      </c>
      <c r="E320" s="1">
        <v>0</v>
      </c>
      <c r="F320" s="1">
        <v>0</v>
      </c>
      <c r="G320" s="1">
        <v>73</v>
      </c>
      <c r="H320" s="1">
        <v>483</v>
      </c>
      <c r="I320" s="1">
        <v>0</v>
      </c>
      <c r="J320" s="1">
        <v>591</v>
      </c>
      <c r="K320" s="1">
        <v>156</v>
      </c>
      <c r="L320" s="1">
        <v>0</v>
      </c>
      <c r="M320" s="1">
        <v>12</v>
      </c>
      <c r="N320" s="1">
        <v>1</v>
      </c>
      <c r="O320" s="1">
        <v>3</v>
      </c>
      <c r="P320" s="1">
        <v>5</v>
      </c>
      <c r="Q320" s="1">
        <v>10</v>
      </c>
      <c r="R320" s="1">
        <v>1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77</v>
      </c>
      <c r="AA320" s="1" t="str" cm="1">
        <f t="array" ref="AA320">_xlfn.IFS(AND(Z320&lt;36, Z320&gt;23), "24-35", AND(Z320&lt;51, Z320&gt;35),"36-50", AND(Z320&lt;66, Z320&gt;50), "51-66", Z320&gt;65, "66+", TRUE, "?")</f>
        <v>66+</v>
      </c>
      <c r="AB320" s="1">
        <v>2249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1</v>
      </c>
      <c r="AL320" s="1">
        <v>1218</v>
      </c>
      <c r="AM320" s="2">
        <v>42600</v>
      </c>
      <c r="AN320" t="str">
        <f t="shared" si="9"/>
        <v>75865,1230,0.0162130099518882,0,0,73,483,0,591,156,0,12,1,3,5,10,1,0,0,0,0,0,0,0,77,66+,2249,0,1,0,0,0,0,0,0,1,1218,42600</v>
      </c>
    </row>
    <row r="321" spans="1:40" ht="13" hidden="1" x14ac:dyDescent="0.15">
      <c r="A321">
        <v>731</v>
      </c>
      <c r="B321" s="1">
        <v>71466</v>
      </c>
      <c r="C321" s="1">
        <v>1230</v>
      </c>
      <c r="D321" s="4">
        <f t="shared" si="8"/>
        <v>1.7210981445722442E-2</v>
      </c>
      <c r="E321" s="1">
        <v>0</v>
      </c>
      <c r="F321" s="1">
        <v>0</v>
      </c>
      <c r="G321" s="1">
        <v>86</v>
      </c>
      <c r="H321" s="1">
        <v>412</v>
      </c>
      <c r="I321" s="1">
        <v>12</v>
      </c>
      <c r="J321" s="1">
        <v>546</v>
      </c>
      <c r="K321" s="1">
        <v>78</v>
      </c>
      <c r="L321" s="1">
        <v>182</v>
      </c>
      <c r="M321" s="1">
        <v>0</v>
      </c>
      <c r="N321" s="1">
        <v>1</v>
      </c>
      <c r="O321" s="1">
        <v>4</v>
      </c>
      <c r="P321" s="1">
        <v>4</v>
      </c>
      <c r="Q321" s="1">
        <v>10</v>
      </c>
      <c r="R321" s="1">
        <v>1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46</v>
      </c>
      <c r="AA321" s="1" t="str" cm="1">
        <f t="array" ref="AA321">_xlfn.IFS(AND(Z321&lt;36, Z321&gt;23), "24-35", AND(Z321&lt;51, Z321&gt;35),"36-50", AND(Z321&lt;66, Z321&gt;50), "51-66", Z321&gt;65, "66+", TRUE, "?")</f>
        <v>36-50</v>
      </c>
      <c r="AB321" s="1">
        <v>2244</v>
      </c>
      <c r="AC321" s="1">
        <v>0</v>
      </c>
      <c r="AD321" s="1">
        <v>0</v>
      </c>
      <c r="AE321" s="1">
        <v>1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1</v>
      </c>
      <c r="AL321" s="1">
        <v>1230</v>
      </c>
      <c r="AM321" s="2">
        <v>42605</v>
      </c>
      <c r="AN321" t="str">
        <f t="shared" si="9"/>
        <v>71466,1230,0.0172109814457224,0,0,86,412,12,546,78,182,0,1,4,4,10,1,0,0,0,0,0,0,0,46,36-50,2244,0,0,1,0,0,0,0,0,1,1230,42605</v>
      </c>
    </row>
    <row r="322" spans="1:40" ht="13" hidden="1" x14ac:dyDescent="0.15">
      <c r="A322">
        <v>857</v>
      </c>
      <c r="B322" s="1">
        <v>75114</v>
      </c>
      <c r="C322" s="1">
        <v>1229</v>
      </c>
      <c r="D322" s="4">
        <f t="shared" ref="D322:D385" si="10">C322/B322</f>
        <v>1.6361796735628511E-2</v>
      </c>
      <c r="E322" s="1">
        <v>0</v>
      </c>
      <c r="F322" s="1">
        <v>0</v>
      </c>
      <c r="G322" s="1">
        <v>40</v>
      </c>
      <c r="H322" s="1">
        <v>571</v>
      </c>
      <c r="I322" s="1">
        <v>12</v>
      </c>
      <c r="J322" s="1">
        <v>523</v>
      </c>
      <c r="K322" s="1">
        <v>63</v>
      </c>
      <c r="L322" s="1">
        <v>60</v>
      </c>
      <c r="M322" s="1">
        <v>24</v>
      </c>
      <c r="N322" s="1">
        <v>1</v>
      </c>
      <c r="O322" s="1">
        <v>3</v>
      </c>
      <c r="P322" s="1">
        <v>10</v>
      </c>
      <c r="Q322" s="1">
        <v>5</v>
      </c>
      <c r="R322" s="1">
        <v>2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28</v>
      </c>
      <c r="AA322" s="1" t="str" cm="1">
        <f t="array" ref="AA322">_xlfn.IFS(AND(Z322&lt;36, Z322&gt;23), "24-35", AND(Z322&lt;51, Z322&gt;35),"36-50", AND(Z322&lt;66, Z322&gt;50), "51-66", Z322&gt;65, "66+", TRUE, "?")</f>
        <v>24-35</v>
      </c>
      <c r="AB322" s="1">
        <v>2393</v>
      </c>
      <c r="AC322" s="1">
        <v>0</v>
      </c>
      <c r="AD322" s="1">
        <v>0</v>
      </c>
      <c r="AE322" s="1">
        <v>0</v>
      </c>
      <c r="AF322" s="1">
        <v>1</v>
      </c>
      <c r="AG322" s="1">
        <v>0</v>
      </c>
      <c r="AH322" s="1">
        <v>0</v>
      </c>
      <c r="AI322" s="1">
        <v>1</v>
      </c>
      <c r="AJ322" s="1">
        <v>0</v>
      </c>
      <c r="AK322" s="1">
        <v>0</v>
      </c>
      <c r="AL322" s="1">
        <v>1205</v>
      </c>
      <c r="AM322" s="2">
        <v>42456</v>
      </c>
      <c r="AN322" t="str">
        <f t="shared" ref="AN322:AN385" si="11">_xlfn.TEXTJOIN(",",TRUE,B322:AM322)</f>
        <v>75114,1229,0.0163617967356285,0,0,40,571,12,523,63,60,24,1,3,10,5,2,0,0,0,0,0,0,0,28,24-35,2393,0,0,0,1,0,0,1,0,0,1205,42456</v>
      </c>
    </row>
    <row r="323" spans="1:40" ht="13" x14ac:dyDescent="0.15">
      <c r="A323">
        <v>895</v>
      </c>
      <c r="B323" s="1">
        <v>64849</v>
      </c>
      <c r="C323" s="1">
        <v>1228</v>
      </c>
      <c r="D323" s="4">
        <f t="shared" si="10"/>
        <v>1.8936298169593978E-2</v>
      </c>
      <c r="E323" s="1">
        <v>0</v>
      </c>
      <c r="F323" s="1">
        <v>0</v>
      </c>
      <c r="G323" s="1">
        <v>42</v>
      </c>
      <c r="H323" s="1">
        <v>652</v>
      </c>
      <c r="I323" s="1">
        <v>48</v>
      </c>
      <c r="J323" s="1">
        <v>350</v>
      </c>
      <c r="K323" s="1">
        <v>94</v>
      </c>
      <c r="L323" s="1">
        <v>84</v>
      </c>
      <c r="M323" s="1">
        <v>108</v>
      </c>
      <c r="N323" s="1">
        <v>1</v>
      </c>
      <c r="O323" s="1">
        <v>9</v>
      </c>
      <c r="P323" s="1">
        <v>3</v>
      </c>
      <c r="Q323" s="1">
        <v>6</v>
      </c>
      <c r="R323" s="1">
        <v>5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</v>
      </c>
      <c r="Z323" s="1">
        <v>63</v>
      </c>
      <c r="AA323" s="1" t="str" cm="1">
        <f t="array" ref="AA323">_xlfn.IFS(AND(Z323&lt;36, Z323&gt;23), "24-35", AND(Z323&lt;51, Z323&gt;35),"36-50", AND(Z323&lt;66, Z323&gt;50), "51-66", Z323&gt;65, "66+", TRUE, "?")</f>
        <v>51-66</v>
      </c>
      <c r="AB323" s="1">
        <v>2752</v>
      </c>
      <c r="AC323" s="1">
        <v>0</v>
      </c>
      <c r="AD323" s="1">
        <v>0</v>
      </c>
      <c r="AE323" s="1">
        <v>1</v>
      </c>
      <c r="AF323" s="1">
        <v>0</v>
      </c>
      <c r="AG323" s="1">
        <v>0</v>
      </c>
      <c r="AH323" s="1">
        <v>0</v>
      </c>
      <c r="AI323" s="1">
        <v>1</v>
      </c>
      <c r="AJ323" s="1">
        <v>0</v>
      </c>
      <c r="AK323" s="1">
        <v>0</v>
      </c>
      <c r="AL323" s="1">
        <v>1120</v>
      </c>
      <c r="AM323" s="2">
        <v>42097</v>
      </c>
      <c r="AN323" t="str">
        <f t="shared" si="11"/>
        <v>64849,1228,0.018936298169594,0,0,42,652,48,350,94,84,108,1,9,3,6,5,0,0,0,0,0,0,1,63,51-66,2752,0,0,1,0,0,0,1,0,0,1120,42097</v>
      </c>
    </row>
    <row r="324" spans="1:40" ht="13" hidden="1" x14ac:dyDescent="0.15">
      <c r="A324">
        <v>1777</v>
      </c>
      <c r="B324" s="1">
        <v>80872</v>
      </c>
      <c r="C324" s="1">
        <v>1228</v>
      </c>
      <c r="D324" s="4">
        <f t="shared" si="10"/>
        <v>1.5184489069146306E-2</v>
      </c>
      <c r="E324" s="1">
        <v>0</v>
      </c>
      <c r="F324" s="1">
        <v>0</v>
      </c>
      <c r="G324" s="1">
        <v>60</v>
      </c>
      <c r="H324" s="1">
        <v>483</v>
      </c>
      <c r="I324" s="1">
        <v>72</v>
      </c>
      <c r="J324" s="1">
        <v>567</v>
      </c>
      <c r="K324" s="1">
        <v>94</v>
      </c>
      <c r="L324" s="1">
        <v>12</v>
      </c>
      <c r="M324" s="1">
        <v>108</v>
      </c>
      <c r="N324" s="1">
        <v>1</v>
      </c>
      <c r="O324" s="1">
        <v>4</v>
      </c>
      <c r="P324" s="1">
        <v>4</v>
      </c>
      <c r="Q324" s="1">
        <v>10</v>
      </c>
      <c r="R324" s="1">
        <v>1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69</v>
      </c>
      <c r="AA324" s="1" t="str" cm="1">
        <f t="array" ref="AA324">_xlfn.IFS(AND(Z324&lt;36, Z324&gt;23), "24-35", AND(Z324&lt;51, Z324&gt;35),"36-50", AND(Z324&lt;66, Z324&gt;50), "51-66", Z324&gt;65, "66+", TRUE, "?")</f>
        <v>66+</v>
      </c>
      <c r="AB324" s="1">
        <v>2207</v>
      </c>
      <c r="AC324" s="1">
        <v>0</v>
      </c>
      <c r="AD324" s="1">
        <v>0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0</v>
      </c>
      <c r="AK324" s="1">
        <v>0</v>
      </c>
      <c r="AL324" s="1">
        <v>1120</v>
      </c>
      <c r="AM324" s="2">
        <v>42642</v>
      </c>
      <c r="AN324" t="str">
        <f t="shared" si="11"/>
        <v>80872,1228,0.0151844890691463,0,0,60,483,72,567,94,12,108,1,4,4,10,1,0,0,0,0,0,0,0,69,66+,2207,0,0,1,0,0,0,1,0,0,1120,42642</v>
      </c>
    </row>
    <row r="325" spans="1:40" ht="13" hidden="1" x14ac:dyDescent="0.15">
      <c r="A325">
        <v>1907</v>
      </c>
      <c r="B325" s="1">
        <v>78128</v>
      </c>
      <c r="C325" s="1">
        <v>1228</v>
      </c>
      <c r="D325" s="4">
        <f t="shared" si="10"/>
        <v>1.5717796436616836E-2</v>
      </c>
      <c r="E325" s="1">
        <v>0</v>
      </c>
      <c r="F325" s="1">
        <v>1</v>
      </c>
      <c r="G325" s="1">
        <v>89</v>
      </c>
      <c r="H325" s="1">
        <v>934</v>
      </c>
      <c r="I325" s="1">
        <v>24</v>
      </c>
      <c r="J325" s="1">
        <v>230</v>
      </c>
      <c r="K325" s="1">
        <v>16</v>
      </c>
      <c r="L325" s="1">
        <v>24</v>
      </c>
      <c r="M325" s="1">
        <v>36</v>
      </c>
      <c r="N325" s="1">
        <v>2</v>
      </c>
      <c r="O325" s="1">
        <v>8</v>
      </c>
      <c r="P325" s="1">
        <v>4</v>
      </c>
      <c r="Q325" s="1">
        <v>6</v>
      </c>
      <c r="R325" s="1">
        <v>3</v>
      </c>
      <c r="S325" s="1">
        <v>0</v>
      </c>
      <c r="T325" s="1">
        <v>0</v>
      </c>
      <c r="U325" s="1">
        <v>0</v>
      </c>
      <c r="V325" s="1">
        <v>1</v>
      </c>
      <c r="W325" s="1">
        <v>1</v>
      </c>
      <c r="X325" s="1">
        <v>0</v>
      </c>
      <c r="Y325" s="1">
        <v>0</v>
      </c>
      <c r="Z325" s="1">
        <v>46</v>
      </c>
      <c r="AA325" s="1" t="str" cm="1">
        <f t="array" ref="AA325">_xlfn.IFS(AND(Z325&lt;36, Z325&gt;23), "24-35", AND(Z325&lt;51, Z325&gt;35),"36-50", AND(Z325&lt;66, Z325&gt;50), "51-66", Z325&gt;65, "66+", TRUE, "?")</f>
        <v>36-50</v>
      </c>
      <c r="AB325" s="1">
        <v>2289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1</v>
      </c>
      <c r="AL325" s="1">
        <v>1192</v>
      </c>
      <c r="AM325" s="2">
        <v>42560</v>
      </c>
      <c r="AN325" t="str">
        <f t="shared" si="11"/>
        <v>78128,1228,0.0157177964366168,0,1,89,934,24,230,16,24,36,2,8,4,6,3,0,0,0,1,1,0,0,46,36-50,2289,0,1,0,0,0,0,0,0,1,1192,42560</v>
      </c>
    </row>
    <row r="326" spans="1:40" ht="13" hidden="1" x14ac:dyDescent="0.15">
      <c r="A326">
        <v>1194</v>
      </c>
      <c r="B326" s="1">
        <v>66303</v>
      </c>
      <c r="C326" s="1">
        <v>1226</v>
      </c>
      <c r="D326" s="4">
        <f t="shared" si="10"/>
        <v>1.8490867683211922E-2</v>
      </c>
      <c r="E326" s="1">
        <v>0</v>
      </c>
      <c r="F326" s="1">
        <v>1</v>
      </c>
      <c r="G326" s="1">
        <v>56</v>
      </c>
      <c r="H326" s="1">
        <v>1090</v>
      </c>
      <c r="I326" s="1">
        <v>12</v>
      </c>
      <c r="J326" s="1">
        <v>96</v>
      </c>
      <c r="K326" s="1">
        <v>16</v>
      </c>
      <c r="L326" s="1">
        <v>12</v>
      </c>
      <c r="M326" s="1">
        <v>60</v>
      </c>
      <c r="N326" s="1">
        <v>4</v>
      </c>
      <c r="O326" s="1">
        <v>3</v>
      </c>
      <c r="P326" s="1">
        <v>4</v>
      </c>
      <c r="Q326" s="1">
        <v>11</v>
      </c>
      <c r="R326" s="1">
        <v>8</v>
      </c>
      <c r="S326" s="1">
        <v>0</v>
      </c>
      <c r="T326" s="1">
        <v>0</v>
      </c>
      <c r="U326" s="1">
        <v>0</v>
      </c>
      <c r="V326" s="1">
        <v>1</v>
      </c>
      <c r="W326" s="1">
        <v>0</v>
      </c>
      <c r="X326" s="1">
        <v>0</v>
      </c>
      <c r="Y326" s="1">
        <v>0</v>
      </c>
      <c r="Z326" s="1">
        <v>49</v>
      </c>
      <c r="AA326" s="1" t="str" cm="1">
        <f t="array" ref="AA326">_xlfn.IFS(AND(Z326&lt;36, Z326&gt;23), "24-35", AND(Z326&lt;51, Z326&gt;35),"36-50", AND(Z326&lt;66, Z326&gt;50), "51-66", Z326&gt;65, "66+", TRUE, "?")</f>
        <v>36-50</v>
      </c>
      <c r="AB326" s="1">
        <v>2647</v>
      </c>
      <c r="AC326" s="1">
        <v>0</v>
      </c>
      <c r="AD326" s="1">
        <v>1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1166</v>
      </c>
      <c r="AM326" s="2">
        <v>42202</v>
      </c>
      <c r="AN326" t="str">
        <f t="shared" si="11"/>
        <v>66303,1226,0.0184908676832119,0,1,56,1090,12,96,16,12,60,4,3,4,11,8,0,0,0,1,0,0,0,49,36-50,2647,0,1,0,0,0,0,1,0,0,1166,42202</v>
      </c>
    </row>
    <row r="327" spans="1:40" ht="13" hidden="1" x14ac:dyDescent="0.15">
      <c r="A327">
        <v>80</v>
      </c>
      <c r="B327" s="1">
        <v>79593</v>
      </c>
      <c r="C327" s="1">
        <v>1221</v>
      </c>
      <c r="D327" s="4">
        <f t="shared" si="10"/>
        <v>1.5340545022803513E-2</v>
      </c>
      <c r="E327" s="1">
        <v>0</v>
      </c>
      <c r="F327" s="1">
        <v>0</v>
      </c>
      <c r="G327" s="1">
        <v>70</v>
      </c>
      <c r="H327" s="1">
        <v>350</v>
      </c>
      <c r="I327" s="1">
        <v>60</v>
      </c>
      <c r="J327" s="1">
        <v>568</v>
      </c>
      <c r="K327" s="1">
        <v>110</v>
      </c>
      <c r="L327" s="1">
        <v>133</v>
      </c>
      <c r="M327" s="1">
        <v>145</v>
      </c>
      <c r="N327" s="1">
        <v>1</v>
      </c>
      <c r="O327" s="1">
        <v>5</v>
      </c>
      <c r="P327" s="1">
        <v>6</v>
      </c>
      <c r="Q327" s="1">
        <v>7</v>
      </c>
      <c r="R327" s="1">
        <v>2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47</v>
      </c>
      <c r="AA327" s="1" t="str" cm="1">
        <f t="array" ref="AA327">_xlfn.IFS(AND(Z327&lt;36, Z327&gt;23), "24-35", AND(Z327&lt;51, Z327&gt;35),"36-50", AND(Z327&lt;66, Z327&gt;50), "51-66", Z327&gt;65, "66+", TRUE, "?")</f>
        <v>36-50</v>
      </c>
      <c r="AB327" s="1">
        <v>2207</v>
      </c>
      <c r="AC327" s="1">
        <v>0</v>
      </c>
      <c r="AD327" s="1">
        <v>1</v>
      </c>
      <c r="AE327" s="1">
        <v>0</v>
      </c>
      <c r="AF327" s="1">
        <v>0</v>
      </c>
      <c r="AG327" s="1">
        <v>0</v>
      </c>
      <c r="AH327" s="1">
        <v>0</v>
      </c>
      <c r="AI327" s="1">
        <v>1</v>
      </c>
      <c r="AJ327" s="1">
        <v>0</v>
      </c>
      <c r="AK327" s="1">
        <v>0</v>
      </c>
      <c r="AL327" s="1">
        <v>1076</v>
      </c>
      <c r="AM327" s="2">
        <v>42642</v>
      </c>
      <c r="AN327" t="str">
        <f t="shared" si="11"/>
        <v>79593,1221,0.0153405450228035,0,0,70,350,60,568,110,133,145,1,5,6,7,2,0,0,0,0,1,0,0,47,36-50,2207,0,1,0,0,0,0,1,0,0,1076,42642</v>
      </c>
    </row>
    <row r="328" spans="1:40" ht="13" hidden="1" x14ac:dyDescent="0.15">
      <c r="A328">
        <v>352</v>
      </c>
      <c r="B328" s="1">
        <v>66426</v>
      </c>
      <c r="C328" s="1">
        <v>1220</v>
      </c>
      <c r="D328" s="4">
        <f t="shared" si="10"/>
        <v>1.8366302351488874E-2</v>
      </c>
      <c r="E328" s="1">
        <v>0</v>
      </c>
      <c r="F328" s="1">
        <v>1</v>
      </c>
      <c r="G328" s="1">
        <v>14</v>
      </c>
      <c r="H328" s="1">
        <v>1043</v>
      </c>
      <c r="I328" s="1">
        <v>24</v>
      </c>
      <c r="J328" s="1">
        <v>97</v>
      </c>
      <c r="K328" s="1">
        <v>32</v>
      </c>
      <c r="L328" s="1">
        <v>24</v>
      </c>
      <c r="M328" s="1">
        <v>157</v>
      </c>
      <c r="N328" s="1">
        <v>2</v>
      </c>
      <c r="O328" s="1">
        <v>3</v>
      </c>
      <c r="P328" s="1">
        <v>5</v>
      </c>
      <c r="Q328" s="1">
        <v>10</v>
      </c>
      <c r="R328" s="1">
        <v>6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59</v>
      </c>
      <c r="AA328" s="1" t="str" cm="1">
        <f t="array" ref="AA328">_xlfn.IFS(AND(Z328&lt;36, Z328&gt;23), "24-35", AND(Z328&lt;51, Z328&gt;35),"36-50", AND(Z328&lt;66, Z328&gt;50), "51-66", Z328&gt;65, "66+", TRUE, "?")</f>
        <v>51-66</v>
      </c>
      <c r="AB328" s="1">
        <v>2429</v>
      </c>
      <c r="AC328" s="1">
        <v>0</v>
      </c>
      <c r="AD328" s="1">
        <v>0</v>
      </c>
      <c r="AE328" s="1">
        <v>0</v>
      </c>
      <c r="AF328" s="1">
        <v>1</v>
      </c>
      <c r="AG328" s="1">
        <v>0</v>
      </c>
      <c r="AH328" s="1">
        <v>0</v>
      </c>
      <c r="AI328" s="1">
        <v>0</v>
      </c>
      <c r="AJ328" s="1">
        <v>0</v>
      </c>
      <c r="AK328" s="1">
        <v>1</v>
      </c>
      <c r="AL328" s="1">
        <v>1063</v>
      </c>
      <c r="AM328" s="2">
        <v>42420</v>
      </c>
      <c r="AN328" t="str">
        <f t="shared" si="11"/>
        <v>66426,1220,0.0183663023514889,0,1,14,1043,24,97,32,24,157,2,3,5,10,6,0,0,0,0,0,0,0,59,51-66,2429,0,0,0,1,0,0,0,0,1,1063,42420</v>
      </c>
    </row>
    <row r="329" spans="1:40" ht="13" hidden="1" x14ac:dyDescent="0.15">
      <c r="A329">
        <v>2019</v>
      </c>
      <c r="B329" s="1">
        <v>56981</v>
      </c>
      <c r="C329" s="1">
        <v>1217</v>
      </c>
      <c r="D329" s="4">
        <f t="shared" si="10"/>
        <v>2.1357996525157508E-2</v>
      </c>
      <c r="E329" s="1">
        <v>0</v>
      </c>
      <c r="F329" s="1">
        <v>0</v>
      </c>
      <c r="G329" s="1">
        <v>91</v>
      </c>
      <c r="H329" s="1">
        <v>908</v>
      </c>
      <c r="I329" s="1">
        <v>48</v>
      </c>
      <c r="J329" s="1">
        <v>217</v>
      </c>
      <c r="K329" s="1">
        <v>32</v>
      </c>
      <c r="L329" s="1">
        <v>12</v>
      </c>
      <c r="M329" s="1">
        <v>24</v>
      </c>
      <c r="N329" s="1">
        <v>1</v>
      </c>
      <c r="O329" s="1">
        <v>2</v>
      </c>
      <c r="P329" s="1">
        <v>3</v>
      </c>
      <c r="Q329" s="1">
        <v>13</v>
      </c>
      <c r="R329" s="1">
        <v>6</v>
      </c>
      <c r="S329" s="1">
        <v>0</v>
      </c>
      <c r="T329" s="1">
        <v>0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39</v>
      </c>
      <c r="AA329" s="1" t="str" cm="1">
        <f t="array" ref="AA329">_xlfn.IFS(AND(Z329&lt;36, Z329&gt;23), "24-35", AND(Z329&lt;51, Z329&gt;35),"36-50", AND(Z329&lt;66, Z329&gt;50), "51-66", Z329&gt;65, "66+", TRUE, "?")</f>
        <v>36-50</v>
      </c>
      <c r="AB329" s="1">
        <v>2314</v>
      </c>
      <c r="AC329" s="1">
        <v>1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1193</v>
      </c>
      <c r="AM329" s="2">
        <v>42535</v>
      </c>
      <c r="AN329" t="str">
        <f t="shared" si="11"/>
        <v>56981,1217,0.0213579965251575,0,0,91,908,48,217,32,12,24,1,2,3,13,6,0,0,0,1,0,0,0,39,36-50,2314,1,0,0,0,0,0,1,0,0,1193,42535</v>
      </c>
    </row>
    <row r="330" spans="1:40" ht="13" hidden="1" x14ac:dyDescent="0.15">
      <c r="A330">
        <v>888</v>
      </c>
      <c r="B330" s="1">
        <v>51563</v>
      </c>
      <c r="C330" s="1">
        <v>1214</v>
      </c>
      <c r="D330" s="4">
        <f t="shared" si="10"/>
        <v>2.354401411865097E-2</v>
      </c>
      <c r="E330" s="1">
        <v>0</v>
      </c>
      <c r="F330" s="1">
        <v>0</v>
      </c>
      <c r="G330" s="1">
        <v>60</v>
      </c>
      <c r="H330" s="1">
        <v>1166</v>
      </c>
      <c r="I330" s="1">
        <v>0</v>
      </c>
      <c r="J330" s="1">
        <v>48</v>
      </c>
      <c r="K330" s="1">
        <v>0</v>
      </c>
      <c r="L330" s="1">
        <v>0</v>
      </c>
      <c r="M330" s="1">
        <v>36</v>
      </c>
      <c r="N330" s="1">
        <v>1</v>
      </c>
      <c r="O330" s="1">
        <v>4</v>
      </c>
      <c r="P330" s="1">
        <v>4</v>
      </c>
      <c r="Q330" s="1">
        <v>10</v>
      </c>
      <c r="R330" s="1">
        <v>8</v>
      </c>
      <c r="S330" s="1">
        <v>0</v>
      </c>
      <c r="T330" s="1">
        <v>0</v>
      </c>
      <c r="U330" s="1">
        <v>0</v>
      </c>
      <c r="V330" s="1">
        <v>1</v>
      </c>
      <c r="W330" s="1">
        <v>1</v>
      </c>
      <c r="X330" s="1">
        <v>0</v>
      </c>
      <c r="Y330" s="1">
        <v>0</v>
      </c>
      <c r="Z330" s="1">
        <v>33</v>
      </c>
      <c r="AA330" s="1" t="str" cm="1">
        <f t="array" ref="AA330">_xlfn.IFS(AND(Z330&lt;36, Z330&gt;23), "24-35", AND(Z330&lt;51, Z330&gt;35),"36-50", AND(Z330&lt;66, Z330&gt;50), "51-66", Z330&gt;65, "66+", TRUE, "?")</f>
        <v>24-35</v>
      </c>
      <c r="AB330" s="1">
        <v>2795</v>
      </c>
      <c r="AC330" s="1">
        <v>0</v>
      </c>
      <c r="AD330" s="1">
        <v>1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1</v>
      </c>
      <c r="AL330" s="1">
        <v>1178</v>
      </c>
      <c r="AM330" s="2">
        <v>42054</v>
      </c>
      <c r="AN330" t="str">
        <f t="shared" si="11"/>
        <v>51563,1214,0.023544014118651,0,0,60,1166,0,48,0,0,36,1,4,4,10,8,0,0,0,1,1,0,0,33,24-35,2795,0,1,0,0,0,0,0,0,1,1178,42054</v>
      </c>
    </row>
    <row r="331" spans="1:40" ht="13" x14ac:dyDescent="0.15">
      <c r="A331">
        <v>899</v>
      </c>
      <c r="B331" s="1">
        <v>62220</v>
      </c>
      <c r="C331" s="1">
        <v>1214</v>
      </c>
      <c r="D331" s="4">
        <f t="shared" si="10"/>
        <v>1.9511411121825778E-2</v>
      </c>
      <c r="E331" s="1">
        <v>0</v>
      </c>
      <c r="F331" s="1">
        <v>1</v>
      </c>
      <c r="G331" s="1">
        <v>55</v>
      </c>
      <c r="H331" s="1">
        <v>799</v>
      </c>
      <c r="I331" s="1">
        <v>12</v>
      </c>
      <c r="J331" s="1">
        <v>375</v>
      </c>
      <c r="K331" s="1">
        <v>16</v>
      </c>
      <c r="L331" s="1">
        <v>12</v>
      </c>
      <c r="M331" s="1">
        <v>12</v>
      </c>
      <c r="N331" s="1">
        <v>5</v>
      </c>
      <c r="O331" s="1">
        <v>7</v>
      </c>
      <c r="P331" s="1">
        <v>6</v>
      </c>
      <c r="Q331" s="1">
        <v>5</v>
      </c>
      <c r="R331" s="1">
        <v>6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1</v>
      </c>
      <c r="Z331" s="1">
        <v>48</v>
      </c>
      <c r="AA331" s="1" t="str" cm="1">
        <f t="array" ref="AA331">_xlfn.IFS(AND(Z331&lt;36, Z331&gt;23), "24-35", AND(Z331&lt;51, Z331&gt;35),"36-50", AND(Z331&lt;66, Z331&gt;50), "51-66", Z331&gt;65, "66+", TRUE, "?")</f>
        <v>36-50</v>
      </c>
      <c r="AB331" s="1">
        <v>2846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1</v>
      </c>
      <c r="AL331" s="1">
        <v>1202</v>
      </c>
      <c r="AM331" s="2">
        <v>42003</v>
      </c>
      <c r="AN331" t="str">
        <f t="shared" si="11"/>
        <v>62220,1214,0.0195114111218258,0,1,55,799,12,375,16,12,12,5,7,6,5,6,0,0,0,0,0,0,1,48,36-50,2846,0,0,0,1,0,0,0,0,1,1202,42003</v>
      </c>
    </row>
    <row r="332" spans="1:40" ht="13" hidden="1" x14ac:dyDescent="0.15">
      <c r="A332">
        <v>599</v>
      </c>
      <c r="B332" s="1">
        <v>84574</v>
      </c>
      <c r="C332" s="1">
        <v>1212</v>
      </c>
      <c r="D332" s="4">
        <f t="shared" si="10"/>
        <v>1.4330645351999433E-2</v>
      </c>
      <c r="E332" s="1">
        <v>0</v>
      </c>
      <c r="F332" s="1">
        <v>0</v>
      </c>
      <c r="G332" s="1">
        <v>72</v>
      </c>
      <c r="H332" s="1">
        <v>387</v>
      </c>
      <c r="I332" s="1">
        <v>20</v>
      </c>
      <c r="J332" s="1">
        <v>713</v>
      </c>
      <c r="K332" s="1">
        <v>38</v>
      </c>
      <c r="L332" s="1">
        <v>54</v>
      </c>
      <c r="M332" s="1">
        <v>163</v>
      </c>
      <c r="N332" s="1">
        <v>1</v>
      </c>
      <c r="O332" s="1">
        <v>9</v>
      </c>
      <c r="P332" s="1">
        <v>11</v>
      </c>
      <c r="Q332" s="1">
        <v>11</v>
      </c>
      <c r="R332" s="1">
        <v>5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68</v>
      </c>
      <c r="AA332" s="1" t="str" cm="1">
        <f t="array" ref="AA332">_xlfn.IFS(AND(Z332&lt;36, Z332&gt;23), "24-35", AND(Z332&lt;51, Z332&gt;35),"36-50", AND(Z332&lt;66, Z332&gt;50), "51-66", Z332&gt;65, "66+", TRUE, "?")</f>
        <v>66+</v>
      </c>
      <c r="AB332" s="1">
        <v>2549</v>
      </c>
      <c r="AC332" s="1">
        <v>0</v>
      </c>
      <c r="AD332" s="1">
        <v>0</v>
      </c>
      <c r="AE332" s="1">
        <v>1</v>
      </c>
      <c r="AF332" s="1">
        <v>0</v>
      </c>
      <c r="AG332" s="1">
        <v>0</v>
      </c>
      <c r="AH332" s="1">
        <v>0</v>
      </c>
      <c r="AI332" s="1">
        <v>1</v>
      </c>
      <c r="AJ332" s="1">
        <v>0</v>
      </c>
      <c r="AK332" s="1">
        <v>0</v>
      </c>
      <c r="AL332" s="1">
        <v>1049</v>
      </c>
      <c r="AM332" s="2">
        <v>42300</v>
      </c>
      <c r="AN332" t="str">
        <f t="shared" si="11"/>
        <v>84574,1212,0.0143306453519994,0,0,72,387,20,713,38,54,163,1,9,11,11,5,0,0,0,0,0,0,0,68,66+,2549,0,0,1,0,0,0,1,0,0,1049,42300</v>
      </c>
    </row>
    <row r="333" spans="1:40" ht="13" hidden="1" x14ac:dyDescent="0.15">
      <c r="A333">
        <v>658</v>
      </c>
      <c r="B333" s="1">
        <v>71022</v>
      </c>
      <c r="C333" s="1">
        <v>1211</v>
      </c>
      <c r="D333" s="4">
        <f t="shared" si="10"/>
        <v>1.7051054602799133E-2</v>
      </c>
      <c r="E333" s="1">
        <v>0</v>
      </c>
      <c r="F333" s="1">
        <v>1</v>
      </c>
      <c r="G333" s="1">
        <v>30</v>
      </c>
      <c r="H333" s="1">
        <v>909</v>
      </c>
      <c r="I333" s="1">
        <v>12</v>
      </c>
      <c r="J333" s="1">
        <v>278</v>
      </c>
      <c r="K333" s="1">
        <v>0</v>
      </c>
      <c r="L333" s="1">
        <v>12</v>
      </c>
      <c r="M333" s="1">
        <v>242</v>
      </c>
      <c r="N333" s="1">
        <v>3</v>
      </c>
      <c r="O333" s="1">
        <v>5</v>
      </c>
      <c r="P333" s="1">
        <v>2</v>
      </c>
      <c r="Q333" s="1">
        <v>11</v>
      </c>
      <c r="R333" s="1">
        <v>8</v>
      </c>
      <c r="S333" s="1">
        <v>0</v>
      </c>
      <c r="T333" s="1">
        <v>0</v>
      </c>
      <c r="U333" s="1">
        <v>1</v>
      </c>
      <c r="V333" s="1">
        <v>0</v>
      </c>
      <c r="W333" s="1">
        <v>0</v>
      </c>
      <c r="X333" s="1">
        <v>0</v>
      </c>
      <c r="Y333" s="1">
        <v>0</v>
      </c>
      <c r="Z333" s="1">
        <v>42</v>
      </c>
      <c r="AA333" s="1" t="str" cm="1">
        <f t="array" ref="AA333">_xlfn.IFS(AND(Z333&lt;36, Z333&gt;23), "24-35", AND(Z333&lt;51, Z333&gt;35),"36-50", AND(Z333&lt;66, Z333&gt;50), "51-66", Z333&gt;65, "66+", TRUE, "?")</f>
        <v>36-50</v>
      </c>
      <c r="AB333" s="1">
        <v>2297</v>
      </c>
      <c r="AC333" s="1">
        <v>1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1</v>
      </c>
      <c r="AJ333" s="1">
        <v>0</v>
      </c>
      <c r="AK333" s="1">
        <v>0</v>
      </c>
      <c r="AL333" s="1">
        <v>969</v>
      </c>
      <c r="AM333" s="2">
        <v>42552</v>
      </c>
      <c r="AN333" t="str">
        <f t="shared" si="11"/>
        <v>71022,1211,0.0170510546027991,0,1,30,909,12,278,0,12,242,3,5,2,11,8,0,0,1,0,0,0,0,42,36-50,2297,1,0,0,0,0,0,1,0,0,969,42552</v>
      </c>
    </row>
    <row r="334" spans="1:40" ht="13" x14ac:dyDescent="0.15">
      <c r="A334">
        <v>905</v>
      </c>
      <c r="B334" s="1">
        <v>54959</v>
      </c>
      <c r="C334" s="1">
        <v>1208</v>
      </c>
      <c r="D334" s="4">
        <f t="shared" si="10"/>
        <v>2.1980021470550774E-2</v>
      </c>
      <c r="E334" s="1">
        <v>0</v>
      </c>
      <c r="F334" s="1">
        <v>1</v>
      </c>
      <c r="G334" s="1">
        <v>55</v>
      </c>
      <c r="H334" s="1">
        <v>1148</v>
      </c>
      <c r="I334" s="1">
        <v>0</v>
      </c>
      <c r="J334" s="1">
        <v>60</v>
      </c>
      <c r="K334" s="1">
        <v>0</v>
      </c>
      <c r="L334" s="1">
        <v>0</v>
      </c>
      <c r="M334" s="1">
        <v>24</v>
      </c>
      <c r="N334" s="1">
        <v>3</v>
      </c>
      <c r="O334" s="1">
        <v>9</v>
      </c>
      <c r="P334" s="1">
        <v>5</v>
      </c>
      <c r="Q334" s="1">
        <v>4</v>
      </c>
      <c r="R334" s="1">
        <v>7</v>
      </c>
      <c r="S334" s="1">
        <v>0</v>
      </c>
      <c r="T334" s="1">
        <v>0</v>
      </c>
      <c r="U334" s="1">
        <v>0</v>
      </c>
      <c r="V334" s="1">
        <v>1</v>
      </c>
      <c r="W334" s="1">
        <v>0</v>
      </c>
      <c r="X334" s="1">
        <v>0</v>
      </c>
      <c r="Y334" s="1">
        <v>1</v>
      </c>
      <c r="Z334" s="1">
        <v>59</v>
      </c>
      <c r="AA334" s="1" t="str" cm="1">
        <f t="array" ref="AA334">_xlfn.IFS(AND(Z334&lt;36, Z334&gt;23), "24-35", AND(Z334&lt;51, Z334&gt;35),"36-50", AND(Z334&lt;66, Z334&gt;50), "51-66", Z334&gt;65, "66+", TRUE, "?")</f>
        <v>51-66</v>
      </c>
      <c r="AB334" s="1">
        <v>2685</v>
      </c>
      <c r="AC334" s="1">
        <v>1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1</v>
      </c>
      <c r="AL334" s="1">
        <v>1184</v>
      </c>
      <c r="AM334" s="2">
        <v>42164</v>
      </c>
      <c r="AN334" t="str">
        <f t="shared" si="11"/>
        <v>54959,1208,0.0219800214705508,0,1,55,1148,0,60,0,0,24,3,9,5,4,7,0,0,0,1,0,0,1,59,51-66,2685,1,0,0,0,0,0,0,0,1,1184,42164</v>
      </c>
    </row>
    <row r="335" spans="1:40" ht="13" hidden="1" x14ac:dyDescent="0.15">
      <c r="A335">
        <v>1564</v>
      </c>
      <c r="B335" s="1">
        <v>58656</v>
      </c>
      <c r="C335" s="1">
        <v>1208</v>
      </c>
      <c r="D335" s="4">
        <f t="shared" si="10"/>
        <v>2.0594653573376979E-2</v>
      </c>
      <c r="E335" s="1">
        <v>0</v>
      </c>
      <c r="F335" s="1">
        <v>1</v>
      </c>
      <c r="G335" s="1">
        <v>25</v>
      </c>
      <c r="H335" s="1">
        <v>962</v>
      </c>
      <c r="I335" s="1">
        <v>12</v>
      </c>
      <c r="J335" s="1">
        <v>194</v>
      </c>
      <c r="K335" s="1">
        <v>16</v>
      </c>
      <c r="L335" s="1">
        <v>24</v>
      </c>
      <c r="M335" s="1">
        <v>12</v>
      </c>
      <c r="N335" s="1">
        <v>4</v>
      </c>
      <c r="O335" s="1">
        <v>7</v>
      </c>
      <c r="P335" s="1">
        <v>8</v>
      </c>
      <c r="Q335" s="1">
        <v>13</v>
      </c>
      <c r="R335" s="1">
        <v>6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1">
        <v>64</v>
      </c>
      <c r="AA335" s="1" t="str" cm="1">
        <f t="array" ref="AA335">_xlfn.IFS(AND(Z335&lt;36, Z335&gt;23), "24-35", AND(Z335&lt;51, Z335&gt;35),"36-50", AND(Z335&lt;66, Z335&gt;50), "51-66", Z335&gt;65, "66+", TRUE, "?")</f>
        <v>51-66</v>
      </c>
      <c r="AB335" s="1">
        <v>2806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0</v>
      </c>
      <c r="AJ335" s="1">
        <v>1</v>
      </c>
      <c r="AK335" s="1">
        <v>0</v>
      </c>
      <c r="AL335" s="1">
        <v>1196</v>
      </c>
      <c r="AM335" s="2">
        <v>42043</v>
      </c>
      <c r="AN335" t="str">
        <f t="shared" si="11"/>
        <v>58656,1208,0.020594653573377,0,1,25,962,12,194,16,24,12,4,7,8,13,6,0,0,0,0,1,0,0,64,51-66,2806,0,0,0,1,0,0,0,1,0,1196,42043</v>
      </c>
    </row>
    <row r="336" spans="1:40" ht="13" x14ac:dyDescent="0.15">
      <c r="A336">
        <v>909</v>
      </c>
      <c r="B336" s="1">
        <v>83837</v>
      </c>
      <c r="C336" s="1">
        <v>1207</v>
      </c>
      <c r="D336" s="4">
        <f t="shared" si="10"/>
        <v>1.4396984624926942E-2</v>
      </c>
      <c r="E336" s="1">
        <v>0</v>
      </c>
      <c r="F336" s="1">
        <v>0</v>
      </c>
      <c r="G336" s="1">
        <v>79</v>
      </c>
      <c r="H336" s="1">
        <v>847</v>
      </c>
      <c r="I336" s="1">
        <v>66</v>
      </c>
      <c r="J336" s="1">
        <v>119</v>
      </c>
      <c r="K336" s="1">
        <v>86</v>
      </c>
      <c r="L336" s="1">
        <v>89</v>
      </c>
      <c r="M336" s="1">
        <v>111</v>
      </c>
      <c r="N336" s="1">
        <v>1</v>
      </c>
      <c r="O336" s="1">
        <v>9</v>
      </c>
      <c r="P336" s="1">
        <v>10</v>
      </c>
      <c r="Q336" s="1">
        <v>5</v>
      </c>
      <c r="R336" s="1">
        <v>4</v>
      </c>
      <c r="S336" s="1">
        <v>1</v>
      </c>
      <c r="T336" s="1">
        <v>0</v>
      </c>
      <c r="U336" s="1">
        <v>0</v>
      </c>
      <c r="V336" s="1">
        <v>1</v>
      </c>
      <c r="W336" s="1">
        <v>0</v>
      </c>
      <c r="X336" s="1">
        <v>0</v>
      </c>
      <c r="Y336" s="1">
        <v>1</v>
      </c>
      <c r="Z336" s="1">
        <v>72</v>
      </c>
      <c r="AA336" s="1" t="str" cm="1">
        <f t="array" ref="AA336">_xlfn.IFS(AND(Z336&lt;36, Z336&gt;23), "24-35", AND(Z336&lt;51, Z336&gt;35),"36-50", AND(Z336&lt;66, Z336&gt;50), "51-66", Z336&gt;65, "66+", TRUE, "?")</f>
        <v>66+</v>
      </c>
      <c r="AB336" s="1">
        <v>2719</v>
      </c>
      <c r="AC336" s="1">
        <v>0</v>
      </c>
      <c r="AD336" s="1">
        <v>1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1</v>
      </c>
      <c r="AL336" s="1">
        <v>1096</v>
      </c>
      <c r="AM336" s="2">
        <v>42130</v>
      </c>
      <c r="AN336" t="str">
        <f t="shared" si="11"/>
        <v>83837,1207,0.0143969846249269,0,0,79,847,66,119,86,89,111,1,9,10,5,4,1,0,0,1,0,0,1,72,66+,2719,0,1,0,0,0,0,0,0,1,1096,42130</v>
      </c>
    </row>
    <row r="337" spans="1:40" ht="13" x14ac:dyDescent="0.15">
      <c r="A337">
        <v>925</v>
      </c>
      <c r="B337" s="1">
        <v>64504</v>
      </c>
      <c r="C337" s="1">
        <v>1206</v>
      </c>
      <c r="D337" s="4">
        <f t="shared" si="10"/>
        <v>1.8696514944809624E-2</v>
      </c>
      <c r="E337" s="1">
        <v>1</v>
      </c>
      <c r="F337" s="1">
        <v>2</v>
      </c>
      <c r="G337" s="1">
        <v>81</v>
      </c>
      <c r="H337" s="1">
        <v>986</v>
      </c>
      <c r="I337" s="1">
        <v>36</v>
      </c>
      <c r="J337" s="1">
        <v>168</v>
      </c>
      <c r="K337" s="1">
        <v>16</v>
      </c>
      <c r="L337" s="1">
        <v>0</v>
      </c>
      <c r="M337" s="1">
        <v>108</v>
      </c>
      <c r="N337" s="1">
        <v>7</v>
      </c>
      <c r="O337" s="1">
        <v>11</v>
      </c>
      <c r="P337" s="1">
        <v>3</v>
      </c>
      <c r="Q337" s="1">
        <v>4</v>
      </c>
      <c r="R337" s="1">
        <v>7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67</v>
      </c>
      <c r="AA337" s="1" t="str" cm="1">
        <f t="array" ref="AA337">_xlfn.IFS(AND(Z337&lt;36, Z337&gt;23), "24-35", AND(Z337&lt;51, Z337&gt;35),"36-50", AND(Z337&lt;66, Z337&gt;50), "51-66", Z337&gt;65, "66+", TRUE, "?")</f>
        <v>66+</v>
      </c>
      <c r="AB337" s="1">
        <v>2641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0</v>
      </c>
      <c r="AJ337" s="1">
        <v>0</v>
      </c>
      <c r="AK337" s="1">
        <v>1</v>
      </c>
      <c r="AL337" s="1">
        <v>1098</v>
      </c>
      <c r="AM337" s="2">
        <v>42208</v>
      </c>
      <c r="AN337" t="str">
        <f t="shared" si="11"/>
        <v>64504,1206,0.0186965149448096,1,2,81,986,36,168,16,0,108,7,11,3,4,7,0,0,0,0,0,0,1,67,66+,2641,0,0,0,1,0,0,0,0,1,1098,42208</v>
      </c>
    </row>
    <row r="338" spans="1:40" ht="13" x14ac:dyDescent="0.15">
      <c r="A338">
        <v>911</v>
      </c>
      <c r="B338" s="1">
        <v>61996</v>
      </c>
      <c r="C338" s="1">
        <v>1206</v>
      </c>
      <c r="D338" s="4">
        <f t="shared" si="10"/>
        <v>1.9452867926963029E-2</v>
      </c>
      <c r="E338" s="1">
        <v>0</v>
      </c>
      <c r="F338" s="1">
        <v>1</v>
      </c>
      <c r="G338" s="1">
        <v>27</v>
      </c>
      <c r="H338" s="1">
        <v>1050</v>
      </c>
      <c r="I338" s="1">
        <v>12</v>
      </c>
      <c r="J338" s="1">
        <v>144</v>
      </c>
      <c r="K338" s="1">
        <v>0</v>
      </c>
      <c r="L338" s="1">
        <v>0</v>
      </c>
      <c r="M338" s="1">
        <v>24</v>
      </c>
      <c r="N338" s="1">
        <v>3</v>
      </c>
      <c r="O338" s="1">
        <v>6</v>
      </c>
      <c r="P338" s="1">
        <v>4</v>
      </c>
      <c r="Q338" s="1">
        <v>8</v>
      </c>
      <c r="R338" s="1">
        <v>5</v>
      </c>
      <c r="S338" s="1">
        <v>1</v>
      </c>
      <c r="T338" s="1">
        <v>1</v>
      </c>
      <c r="U338" s="1">
        <v>0</v>
      </c>
      <c r="V338" s="1">
        <v>1</v>
      </c>
      <c r="W338" s="1">
        <v>0</v>
      </c>
      <c r="X338" s="1">
        <v>0</v>
      </c>
      <c r="Y338" s="1">
        <v>1</v>
      </c>
      <c r="Z338" s="1">
        <v>43</v>
      </c>
      <c r="AA338" s="1" t="str" cm="1">
        <f t="array" ref="AA338">_xlfn.IFS(AND(Z338&lt;36, Z338&gt;23), "24-35", AND(Z338&lt;51, Z338&gt;35),"36-50", AND(Z338&lt;66, Z338&gt;50), "51-66", Z338&gt;65, "66+", TRUE, "?")</f>
        <v>36-50</v>
      </c>
      <c r="AB338" s="1">
        <v>2673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1</v>
      </c>
      <c r="AL338" s="1">
        <v>1182</v>
      </c>
      <c r="AM338" s="2">
        <v>42176</v>
      </c>
      <c r="AN338" t="str">
        <f t="shared" si="11"/>
        <v>61996,1206,0.019452867926963,0,1,27,1050,12,144,0,0,24,3,6,4,8,5,1,1,0,1,0,0,1,43,36-50,2673,0,1,0,0,0,0,0,0,1,1182,42176</v>
      </c>
    </row>
    <row r="339" spans="1:40" ht="13" x14ac:dyDescent="0.15">
      <c r="A339">
        <v>928</v>
      </c>
      <c r="B339" s="1">
        <v>81300</v>
      </c>
      <c r="C339" s="1">
        <v>1205</v>
      </c>
      <c r="D339" s="4">
        <f t="shared" si="10"/>
        <v>1.4821648216482165E-2</v>
      </c>
      <c r="E339" s="1">
        <v>0</v>
      </c>
      <c r="F339" s="1">
        <v>1</v>
      </c>
      <c r="G339" s="1">
        <v>17</v>
      </c>
      <c r="H339" s="1">
        <v>1004</v>
      </c>
      <c r="I339" s="1">
        <v>12</v>
      </c>
      <c r="J339" s="1">
        <v>145</v>
      </c>
      <c r="K339" s="1">
        <v>32</v>
      </c>
      <c r="L339" s="1">
        <v>12</v>
      </c>
      <c r="M339" s="1">
        <v>36</v>
      </c>
      <c r="N339" s="1">
        <v>3</v>
      </c>
      <c r="O339" s="1">
        <v>10</v>
      </c>
      <c r="P339" s="1">
        <v>3</v>
      </c>
      <c r="Q339" s="1">
        <v>5</v>
      </c>
      <c r="R339" s="1">
        <v>5</v>
      </c>
      <c r="S339" s="1">
        <v>1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57</v>
      </c>
      <c r="AA339" s="1" t="str" cm="1">
        <f t="array" ref="AA339">_xlfn.IFS(AND(Z339&lt;36, Z339&gt;23), "24-35", AND(Z339&lt;51, Z339&gt;35),"36-50", AND(Z339&lt;66, Z339&gt;50), "51-66", Z339&gt;65, "66+", TRUE, "?")</f>
        <v>51-66</v>
      </c>
      <c r="AB339" s="1">
        <v>2766</v>
      </c>
      <c r="AC339" s="1">
        <v>0</v>
      </c>
      <c r="AD339" s="1">
        <v>1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1</v>
      </c>
      <c r="AL339" s="1">
        <v>1169</v>
      </c>
      <c r="AM339" s="2">
        <v>42083</v>
      </c>
      <c r="AN339" t="str">
        <f t="shared" si="11"/>
        <v>81300,1205,0.0148216482164822,0,1,17,1004,12,145,32,12,36,3,10,3,5,5,1,0,0,0,0,0,1,57,51-66,2766,0,1,0,0,0,0,0,0,1,1169,42083</v>
      </c>
    </row>
    <row r="340" spans="1:40" ht="13" hidden="1" x14ac:dyDescent="0.15">
      <c r="A340">
        <v>1692</v>
      </c>
      <c r="B340" s="1">
        <v>74290</v>
      </c>
      <c r="C340" s="1">
        <v>1205</v>
      </c>
      <c r="D340" s="4">
        <f t="shared" si="10"/>
        <v>1.6220218064342443E-2</v>
      </c>
      <c r="E340" s="1">
        <v>0</v>
      </c>
      <c r="F340" s="1">
        <v>1</v>
      </c>
      <c r="G340" s="1">
        <v>70</v>
      </c>
      <c r="H340" s="1">
        <v>1121</v>
      </c>
      <c r="I340" s="1">
        <v>0</v>
      </c>
      <c r="J340" s="1">
        <v>72</v>
      </c>
      <c r="K340" s="1">
        <v>0</v>
      </c>
      <c r="L340" s="1">
        <v>12</v>
      </c>
      <c r="M340" s="1">
        <v>12</v>
      </c>
      <c r="N340" s="1">
        <v>4</v>
      </c>
      <c r="O340" s="1">
        <v>10</v>
      </c>
      <c r="P340" s="1">
        <v>8</v>
      </c>
      <c r="Q340" s="1">
        <v>10</v>
      </c>
      <c r="R340" s="1">
        <v>6</v>
      </c>
      <c r="S340" s="1">
        <v>1</v>
      </c>
      <c r="T340" s="1">
        <v>0</v>
      </c>
      <c r="U340" s="1">
        <v>0</v>
      </c>
      <c r="V340" s="1">
        <v>1</v>
      </c>
      <c r="W340" s="1">
        <v>0</v>
      </c>
      <c r="X340" s="1">
        <v>0</v>
      </c>
      <c r="Y340" s="1">
        <v>0</v>
      </c>
      <c r="Z340" s="1">
        <v>49</v>
      </c>
      <c r="AA340" s="1" t="str" cm="1">
        <f t="array" ref="AA340">_xlfn.IFS(AND(Z340&lt;36, Z340&gt;23), "24-35", AND(Z340&lt;51, Z340&gt;35),"36-50", AND(Z340&lt;66, Z340&gt;50), "51-66", Z340&gt;65, "66+", TRUE, "?")</f>
        <v>36-50</v>
      </c>
      <c r="AB340" s="1">
        <v>2480</v>
      </c>
      <c r="AC340" s="1">
        <v>1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0</v>
      </c>
      <c r="AL340" s="1">
        <v>1193</v>
      </c>
      <c r="AM340" s="2">
        <v>42369</v>
      </c>
      <c r="AN340" t="str">
        <f t="shared" si="11"/>
        <v>74290,1205,0.0162202180643424,0,1,70,1121,0,72,0,12,12,4,10,8,10,6,1,0,0,1,0,0,0,49,36-50,2480,1,0,0,0,0,0,0,1,0,1193,42369</v>
      </c>
    </row>
    <row r="341" spans="1:40" ht="13" hidden="1" x14ac:dyDescent="0.15">
      <c r="A341">
        <v>184</v>
      </c>
      <c r="B341" s="1">
        <v>75922</v>
      </c>
      <c r="C341" s="1">
        <v>1203</v>
      </c>
      <c r="D341" s="4">
        <f t="shared" si="10"/>
        <v>1.5845209557177102E-2</v>
      </c>
      <c r="E341" s="1">
        <v>0</v>
      </c>
      <c r="F341" s="1">
        <v>0</v>
      </c>
      <c r="G341" s="1">
        <v>60</v>
      </c>
      <c r="H341" s="1">
        <v>265</v>
      </c>
      <c r="I341" s="1">
        <v>138</v>
      </c>
      <c r="J341" s="1">
        <v>553</v>
      </c>
      <c r="K341" s="1">
        <v>224</v>
      </c>
      <c r="L341" s="1">
        <v>23</v>
      </c>
      <c r="M341" s="1">
        <v>92</v>
      </c>
      <c r="N341" s="1">
        <v>1</v>
      </c>
      <c r="O341" s="1">
        <v>4</v>
      </c>
      <c r="P341" s="1">
        <v>4</v>
      </c>
      <c r="Q341" s="1">
        <v>9</v>
      </c>
      <c r="R341" s="1">
        <v>1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52</v>
      </c>
      <c r="AA341" s="1" t="str" cm="1">
        <f t="array" ref="AA341">_xlfn.IFS(AND(Z341&lt;36, Z341&gt;23), "24-35", AND(Z341&lt;51, Z341&gt;35),"36-50", AND(Z341&lt;66, Z341&gt;50), "51-66", Z341&gt;65, "66+", TRUE, "?")</f>
        <v>51-66</v>
      </c>
      <c r="AB341" s="1">
        <v>2361</v>
      </c>
      <c r="AC341" s="1">
        <v>0</v>
      </c>
      <c r="AD341" s="1">
        <v>0</v>
      </c>
      <c r="AE341" s="1">
        <v>1</v>
      </c>
      <c r="AF341" s="1">
        <v>0</v>
      </c>
      <c r="AG341" s="1">
        <v>0</v>
      </c>
      <c r="AH341" s="1">
        <v>0</v>
      </c>
      <c r="AI341" s="1">
        <v>1</v>
      </c>
      <c r="AJ341" s="1">
        <v>0</v>
      </c>
      <c r="AK341" s="1">
        <v>0</v>
      </c>
      <c r="AL341" s="1">
        <v>1111</v>
      </c>
      <c r="AM341" s="2">
        <v>42488</v>
      </c>
      <c r="AN341" t="str">
        <f t="shared" si="11"/>
        <v>75922,1203,0.0158452095571771,0,0,60,265,138,553,224,23,92,1,4,4,9,1,0,0,0,0,0,0,0,52,51-66,2361,0,0,1,0,0,0,1,0,0,1111,42488</v>
      </c>
    </row>
    <row r="342" spans="1:40" ht="13" hidden="1" x14ac:dyDescent="0.15">
      <c r="A342">
        <v>1149</v>
      </c>
      <c r="B342" s="1">
        <v>75032</v>
      </c>
      <c r="C342" s="1">
        <v>1203</v>
      </c>
      <c r="D342" s="4">
        <f t="shared" si="10"/>
        <v>1.6033159185414224E-2</v>
      </c>
      <c r="E342" s="1">
        <v>0</v>
      </c>
      <c r="F342" s="1">
        <v>1</v>
      </c>
      <c r="G342" s="1">
        <v>74</v>
      </c>
      <c r="H342" s="1">
        <v>952</v>
      </c>
      <c r="I342" s="1">
        <v>12</v>
      </c>
      <c r="J342" s="1">
        <v>180</v>
      </c>
      <c r="K342" s="1">
        <v>47</v>
      </c>
      <c r="L342" s="1">
        <v>12</v>
      </c>
      <c r="M342" s="1">
        <v>12</v>
      </c>
      <c r="N342" s="1">
        <v>2</v>
      </c>
      <c r="O342" s="1">
        <v>5</v>
      </c>
      <c r="P342" s="1">
        <v>4</v>
      </c>
      <c r="Q342" s="1">
        <v>9</v>
      </c>
      <c r="R342" s="1">
        <v>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61</v>
      </c>
      <c r="AA342" s="1" t="str" cm="1">
        <f t="array" ref="AA342">_xlfn.IFS(AND(Z342&lt;36, Z342&gt;23), "24-35", AND(Z342&lt;51, Z342&gt;35),"36-50", AND(Z342&lt;66, Z342&gt;50), "51-66", Z342&gt;65, "66+", TRUE, "?")</f>
        <v>51-66</v>
      </c>
      <c r="AB342" s="1">
        <v>2586</v>
      </c>
      <c r="AC342" s="1">
        <v>0</v>
      </c>
      <c r="AD342" s="1">
        <v>1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1</v>
      </c>
      <c r="AL342" s="1">
        <v>1191</v>
      </c>
      <c r="AM342" s="2">
        <v>42263</v>
      </c>
      <c r="AN342" t="str">
        <f t="shared" si="11"/>
        <v>75032,1203,0.0160331591854142,0,1,74,952,12,180,47,12,12,2,5,4,9,3,0,0,0,0,0,0,0,61,51-66,2586,0,1,0,0,0,0,0,0,1,1191,42263</v>
      </c>
    </row>
    <row r="343" spans="1:40" ht="13" hidden="1" x14ac:dyDescent="0.15">
      <c r="A343">
        <v>929</v>
      </c>
      <c r="B343" s="1">
        <v>79689</v>
      </c>
      <c r="C343" s="1">
        <v>1194</v>
      </c>
      <c r="D343" s="4">
        <f t="shared" si="10"/>
        <v>1.4983247374167074E-2</v>
      </c>
      <c r="E343" s="1">
        <v>0</v>
      </c>
      <c r="F343" s="1">
        <v>0</v>
      </c>
      <c r="G343" s="1">
        <v>65</v>
      </c>
      <c r="H343" s="1">
        <v>311</v>
      </c>
      <c r="I343" s="1">
        <v>26</v>
      </c>
      <c r="J343" s="1">
        <v>640</v>
      </c>
      <c r="K343" s="1">
        <v>180</v>
      </c>
      <c r="L343" s="1">
        <v>37</v>
      </c>
      <c r="M343" s="1">
        <v>121</v>
      </c>
      <c r="N343" s="1">
        <v>1</v>
      </c>
      <c r="O343" s="1">
        <v>4</v>
      </c>
      <c r="P343" s="1">
        <v>9</v>
      </c>
      <c r="Q343" s="1">
        <v>13</v>
      </c>
      <c r="R343" s="1">
        <v>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44</v>
      </c>
      <c r="AA343" s="1" t="str" cm="1">
        <f t="array" ref="AA343">_xlfn.IFS(AND(Z343&lt;36, Z343&gt;23), "24-35", AND(Z343&lt;51, Z343&gt;35),"36-50", AND(Z343&lt;66, Z343&gt;50), "51-66", Z343&gt;65, "66+", TRUE, "?")</f>
        <v>36-50</v>
      </c>
      <c r="AB343" s="1">
        <v>2572</v>
      </c>
      <c r="AC343" s="1">
        <v>0</v>
      </c>
      <c r="AD343" s="1">
        <v>0</v>
      </c>
      <c r="AE343" s="1">
        <v>1</v>
      </c>
      <c r="AF343" s="1">
        <v>0</v>
      </c>
      <c r="AG343" s="1">
        <v>0</v>
      </c>
      <c r="AH343" s="1">
        <v>1</v>
      </c>
      <c r="AI343" s="1">
        <v>0</v>
      </c>
      <c r="AJ343" s="1">
        <v>0</v>
      </c>
      <c r="AK343" s="1">
        <v>0</v>
      </c>
      <c r="AL343" s="1">
        <v>1073</v>
      </c>
      <c r="AM343" s="2">
        <v>42277</v>
      </c>
      <c r="AN343" t="str">
        <f t="shared" si="11"/>
        <v>79689,1194,0.0149832473741671,0,0,65,311,26,640,180,37,121,1,4,9,13,2,0,0,0,0,0,0,0,44,36-50,2572,0,0,1,0,0,1,0,0,0,1073,42277</v>
      </c>
    </row>
    <row r="344" spans="1:40" ht="13" hidden="1" x14ac:dyDescent="0.15">
      <c r="A344">
        <v>994</v>
      </c>
      <c r="B344" s="1">
        <v>72228</v>
      </c>
      <c r="C344" s="1">
        <v>1194</v>
      </c>
      <c r="D344" s="4">
        <f t="shared" si="10"/>
        <v>1.6530985213490612E-2</v>
      </c>
      <c r="E344" s="1">
        <v>0</v>
      </c>
      <c r="F344" s="1">
        <v>0</v>
      </c>
      <c r="G344" s="1">
        <v>87</v>
      </c>
      <c r="H344" s="1">
        <v>631</v>
      </c>
      <c r="I344" s="1">
        <v>28</v>
      </c>
      <c r="J344" s="1">
        <v>491</v>
      </c>
      <c r="K344" s="1">
        <v>30</v>
      </c>
      <c r="L344" s="1">
        <v>14</v>
      </c>
      <c r="M344" s="1">
        <v>56</v>
      </c>
      <c r="N344" s="1">
        <v>1</v>
      </c>
      <c r="O344" s="1">
        <v>6</v>
      </c>
      <c r="P344" s="1">
        <v>7</v>
      </c>
      <c r="Q344" s="1">
        <v>8</v>
      </c>
      <c r="R344" s="1">
        <v>3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68</v>
      </c>
      <c r="AA344" s="1" t="str" cm="1">
        <f t="array" ref="AA344">_xlfn.IFS(AND(Z344&lt;36, Z344&gt;23), "24-35", AND(Z344&lt;51, Z344&gt;35),"36-50", AND(Z344&lt;66, Z344&gt;50), "51-66", Z344&gt;65, "66+", TRUE, "?")</f>
        <v>66+</v>
      </c>
      <c r="AB344" s="1">
        <v>2738</v>
      </c>
      <c r="AC344" s="1">
        <v>0</v>
      </c>
      <c r="AD344" s="1">
        <v>0</v>
      </c>
      <c r="AE344" s="1">
        <v>1</v>
      </c>
      <c r="AF344" s="1">
        <v>0</v>
      </c>
      <c r="AG344" s="1">
        <v>0</v>
      </c>
      <c r="AH344" s="1">
        <v>0</v>
      </c>
      <c r="AI344" s="1">
        <v>1</v>
      </c>
      <c r="AJ344" s="1">
        <v>0</v>
      </c>
      <c r="AK344" s="1">
        <v>0</v>
      </c>
      <c r="AL344" s="1">
        <v>1138</v>
      </c>
      <c r="AM344" s="2">
        <v>42111</v>
      </c>
      <c r="AN344" t="str">
        <f t="shared" si="11"/>
        <v>72228,1194,0.0165309852134906,0,0,87,631,28,491,30,14,56,1,6,7,8,3,0,0,0,0,0,0,0,68,66+,2738,0,0,1,0,0,0,1,0,0,1138,42111</v>
      </c>
    </row>
    <row r="345" spans="1:40" ht="13" hidden="1" x14ac:dyDescent="0.15">
      <c r="A345">
        <v>1652</v>
      </c>
      <c r="B345" s="1">
        <v>72071</v>
      </c>
      <c r="C345" s="1">
        <v>1188</v>
      </c>
      <c r="D345" s="4">
        <f t="shared" si="10"/>
        <v>1.6483745195709786E-2</v>
      </c>
      <c r="E345" s="1">
        <v>0</v>
      </c>
      <c r="F345" s="1">
        <v>1</v>
      </c>
      <c r="G345" s="1">
        <v>4</v>
      </c>
      <c r="H345" s="1">
        <v>531</v>
      </c>
      <c r="I345" s="1">
        <v>69</v>
      </c>
      <c r="J345" s="1">
        <v>300</v>
      </c>
      <c r="K345" s="1">
        <v>150</v>
      </c>
      <c r="L345" s="1">
        <v>138</v>
      </c>
      <c r="M345" s="1">
        <v>150</v>
      </c>
      <c r="N345" s="1">
        <v>3</v>
      </c>
      <c r="O345" s="1">
        <v>5</v>
      </c>
      <c r="P345" s="1">
        <v>4</v>
      </c>
      <c r="Q345" s="1">
        <v>8</v>
      </c>
      <c r="R345" s="1">
        <v>2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66</v>
      </c>
      <c r="AA345" s="1" t="str" cm="1">
        <f t="array" ref="AA345">_xlfn.IFS(AND(Z345&lt;36, Z345&gt;23), "24-35", AND(Z345&lt;51, Z345&gt;35),"36-50", AND(Z345&lt;66, Z345&gt;50), "51-66", Z345&gt;65, "66+", TRUE, "?")</f>
        <v>66+</v>
      </c>
      <c r="AB345" s="1">
        <v>2659</v>
      </c>
      <c r="AC345" s="1">
        <v>1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1</v>
      </c>
      <c r="AJ345" s="1">
        <v>0</v>
      </c>
      <c r="AK345" s="1">
        <v>0</v>
      </c>
      <c r="AL345" s="1">
        <v>1038</v>
      </c>
      <c r="AM345" s="2">
        <v>42190</v>
      </c>
      <c r="AN345" t="str">
        <f t="shared" si="11"/>
        <v>72071,1188,0.0164837451957098,0,1,4,531,69,300,150,138,150,3,5,4,8,2,0,0,0,0,0,0,0,66,66+,2659,1,0,0,0,0,0,1,0,0,1038,42190</v>
      </c>
    </row>
    <row r="346" spans="1:40" ht="13" x14ac:dyDescent="0.15">
      <c r="A346">
        <v>931</v>
      </c>
      <c r="B346" s="1">
        <v>70321</v>
      </c>
      <c r="C346" s="1">
        <v>1185</v>
      </c>
      <c r="D346" s="4">
        <f t="shared" si="10"/>
        <v>1.6851296198859517E-2</v>
      </c>
      <c r="E346" s="1">
        <v>0</v>
      </c>
      <c r="F346" s="1">
        <v>0</v>
      </c>
      <c r="G346" s="1">
        <v>6</v>
      </c>
      <c r="H346" s="1">
        <v>303</v>
      </c>
      <c r="I346" s="1">
        <v>23</v>
      </c>
      <c r="J346" s="1">
        <v>751</v>
      </c>
      <c r="K346" s="1">
        <v>82</v>
      </c>
      <c r="L346" s="1">
        <v>26</v>
      </c>
      <c r="M346" s="1">
        <v>191</v>
      </c>
      <c r="N346" s="1">
        <v>1</v>
      </c>
      <c r="O346" s="1">
        <v>6</v>
      </c>
      <c r="P346" s="1">
        <v>5</v>
      </c>
      <c r="Q346" s="1">
        <v>13</v>
      </c>
      <c r="R346" s="1">
        <v>4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</v>
      </c>
      <c r="Z346" s="1">
        <v>73</v>
      </c>
      <c r="AA346" s="1" t="str" cm="1">
        <f t="array" ref="AA346">_xlfn.IFS(AND(Z346&lt;36, Z346&gt;23), "24-35", AND(Z346&lt;51, Z346&gt;35),"36-50", AND(Z346&lt;66, Z346&gt;50), "51-66", Z346&gt;65, "66+", TRUE, "?")</f>
        <v>66+</v>
      </c>
      <c r="AB346" s="1">
        <v>2688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994</v>
      </c>
      <c r="AM346" s="2">
        <v>42161</v>
      </c>
      <c r="AN346" t="str">
        <f t="shared" si="11"/>
        <v>70321,1185,0.0168512961988595,0,0,6,303,23,751,82,26,191,1,6,5,13,4,0,0,0,0,0,0,1,73,66+,2688,0,0,0,1,0,0,1,0,0,994,42161</v>
      </c>
    </row>
    <row r="347" spans="1:40" ht="13" x14ac:dyDescent="0.15">
      <c r="A347">
        <v>939</v>
      </c>
      <c r="B347" s="1">
        <v>80763</v>
      </c>
      <c r="C347" s="1">
        <v>1184</v>
      </c>
      <c r="D347" s="4">
        <f t="shared" si="10"/>
        <v>1.4660178547106967E-2</v>
      </c>
      <c r="E347" s="1">
        <v>0</v>
      </c>
      <c r="F347" s="1">
        <v>0</v>
      </c>
      <c r="G347" s="1">
        <v>17</v>
      </c>
      <c r="H347" s="1">
        <v>674</v>
      </c>
      <c r="I347" s="1">
        <v>168</v>
      </c>
      <c r="J347" s="1">
        <v>108</v>
      </c>
      <c r="K347" s="1">
        <v>192</v>
      </c>
      <c r="L347" s="1">
        <v>42</v>
      </c>
      <c r="M347" s="1">
        <v>231</v>
      </c>
      <c r="N347" s="1">
        <v>1</v>
      </c>
      <c r="O347" s="1">
        <v>5</v>
      </c>
      <c r="P347" s="1">
        <v>11</v>
      </c>
      <c r="Q347" s="1">
        <v>6</v>
      </c>
      <c r="R347" s="1">
        <v>3</v>
      </c>
      <c r="S347" s="1">
        <v>1</v>
      </c>
      <c r="T347" s="1">
        <v>0</v>
      </c>
      <c r="U347" s="1">
        <v>0</v>
      </c>
      <c r="V347" s="1">
        <v>0</v>
      </c>
      <c r="W347" s="1">
        <v>1</v>
      </c>
      <c r="X347" s="1">
        <v>0</v>
      </c>
      <c r="Y347" s="1">
        <v>1</v>
      </c>
      <c r="Z347" s="1">
        <v>70</v>
      </c>
      <c r="AA347" s="1" t="str" cm="1">
        <f t="array" ref="AA347">_xlfn.IFS(AND(Z347&lt;36, Z347&gt;23), "24-35", AND(Z347&lt;51, Z347&gt;35),"36-50", AND(Z347&lt;66, Z347&gt;50), "51-66", Z347&gt;65, "66+", TRUE, "?")</f>
        <v>66+</v>
      </c>
      <c r="AB347" s="1">
        <v>2477</v>
      </c>
      <c r="AC347" s="1">
        <v>0</v>
      </c>
      <c r="AD347" s="1">
        <v>1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0</v>
      </c>
      <c r="AK347" s="1">
        <v>0</v>
      </c>
      <c r="AL347" s="1">
        <v>953</v>
      </c>
      <c r="AM347" s="2">
        <v>42372</v>
      </c>
      <c r="AN347" t="str">
        <f t="shared" si="11"/>
        <v>80763,1184,0.014660178547107,0,0,17,674,168,108,192,42,231,1,5,11,6,3,1,0,0,0,1,0,1,70,66+,2477,0,1,0,0,0,0,1,0,0,953,42372</v>
      </c>
    </row>
    <row r="348" spans="1:40" ht="13" hidden="1" x14ac:dyDescent="0.15">
      <c r="A348">
        <v>851</v>
      </c>
      <c r="B348" s="1">
        <v>85072</v>
      </c>
      <c r="C348" s="1">
        <v>1182</v>
      </c>
      <c r="D348" s="4">
        <f t="shared" si="10"/>
        <v>1.3894113221741583E-2</v>
      </c>
      <c r="E348" s="1">
        <v>0</v>
      </c>
      <c r="F348" s="1">
        <v>0</v>
      </c>
      <c r="G348" s="1">
        <v>94</v>
      </c>
      <c r="H348" s="1">
        <v>494</v>
      </c>
      <c r="I348" s="1">
        <v>92</v>
      </c>
      <c r="J348" s="1">
        <v>391</v>
      </c>
      <c r="K348" s="1">
        <v>194</v>
      </c>
      <c r="L348" s="1">
        <v>11</v>
      </c>
      <c r="M348" s="1">
        <v>241</v>
      </c>
      <c r="N348" s="1">
        <v>1</v>
      </c>
      <c r="O348" s="1">
        <v>3</v>
      </c>
      <c r="P348" s="1">
        <v>4</v>
      </c>
      <c r="Q348" s="1">
        <v>10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43</v>
      </c>
      <c r="AA348" s="1" t="str" cm="1">
        <f t="array" ref="AA348">_xlfn.IFS(AND(Z348&lt;36, Z348&gt;23), "24-35", AND(Z348&lt;51, Z348&gt;35),"36-50", AND(Z348&lt;66, Z348&gt;50), "51-66", Z348&gt;65, "66+", TRUE, "?")</f>
        <v>36-50</v>
      </c>
      <c r="AB348" s="1">
        <v>2240</v>
      </c>
      <c r="AC348" s="1">
        <v>0</v>
      </c>
      <c r="AD348" s="1">
        <v>0</v>
      </c>
      <c r="AE348" s="1">
        <v>1</v>
      </c>
      <c r="AF348" s="1">
        <v>0</v>
      </c>
      <c r="AG348" s="1">
        <v>0</v>
      </c>
      <c r="AH348" s="1">
        <v>0</v>
      </c>
      <c r="AI348" s="1">
        <v>1</v>
      </c>
      <c r="AJ348" s="1">
        <v>0</v>
      </c>
      <c r="AK348" s="1">
        <v>0</v>
      </c>
      <c r="AL348" s="1">
        <v>941</v>
      </c>
      <c r="AM348" s="2">
        <v>42609</v>
      </c>
      <c r="AN348" t="str">
        <f t="shared" si="11"/>
        <v>85072,1182,0.0138941132217416,0,0,94,494,92,391,194,11,241,1,3,4,10,0,0,0,0,0,0,0,0,43,36-50,2240,0,0,1,0,0,0,1,0,0,941,42609</v>
      </c>
    </row>
    <row r="349" spans="1:40" ht="13" x14ac:dyDescent="0.15">
      <c r="A349">
        <v>940</v>
      </c>
      <c r="B349" s="1">
        <v>102160</v>
      </c>
      <c r="C349" s="1">
        <v>1182</v>
      </c>
      <c r="D349" s="4">
        <f t="shared" si="10"/>
        <v>1.1570086139389193E-2</v>
      </c>
      <c r="E349" s="1">
        <v>0</v>
      </c>
      <c r="F349" s="1">
        <v>0</v>
      </c>
      <c r="G349" s="1">
        <v>54</v>
      </c>
      <c r="H349" s="1">
        <v>763</v>
      </c>
      <c r="I349" s="1">
        <v>29</v>
      </c>
      <c r="J349" s="1">
        <v>138</v>
      </c>
      <c r="K349" s="1">
        <v>76</v>
      </c>
      <c r="L349" s="1">
        <v>176</v>
      </c>
      <c r="M349" s="1">
        <v>58</v>
      </c>
      <c r="N349" s="1">
        <v>0</v>
      </c>
      <c r="O349" s="1">
        <v>7</v>
      </c>
      <c r="P349" s="1">
        <v>9</v>
      </c>
      <c r="Q349" s="1">
        <v>10</v>
      </c>
      <c r="R349" s="1">
        <v>4</v>
      </c>
      <c r="S349" s="1">
        <v>1</v>
      </c>
      <c r="T349" s="1">
        <v>0</v>
      </c>
      <c r="U349" s="1">
        <v>0</v>
      </c>
      <c r="V349" s="1">
        <v>1</v>
      </c>
      <c r="W349" s="1">
        <v>1</v>
      </c>
      <c r="X349" s="1">
        <v>0</v>
      </c>
      <c r="Y349" s="1">
        <v>1</v>
      </c>
      <c r="Z349" s="1">
        <v>43</v>
      </c>
      <c r="AA349" s="1" t="str" cm="1">
        <f t="array" ref="AA349">_xlfn.IFS(AND(Z349&lt;36, Z349&gt;23), "24-35", AND(Z349&lt;51, Z349&gt;35),"36-50", AND(Z349&lt;66, Z349&gt;50), "51-66", Z349&gt;65, "66+", TRUE, "?")</f>
        <v>36-50</v>
      </c>
      <c r="AB349" s="1">
        <v>2763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0</v>
      </c>
      <c r="AJ349" s="1">
        <v>0</v>
      </c>
      <c r="AK349" s="1">
        <v>1</v>
      </c>
      <c r="AL349" s="1">
        <v>1124</v>
      </c>
      <c r="AM349" s="2">
        <v>42086</v>
      </c>
      <c r="AN349" t="str">
        <f t="shared" si="11"/>
        <v>102160,1182,0.0115700861393892,0,0,54,763,29,138,76,176,58,0,7,9,10,4,1,0,0,1,1,0,1,43,36-50,2763,0,0,0,1,0,0,0,0,1,1124,42086</v>
      </c>
    </row>
    <row r="350" spans="1:40" ht="13" hidden="1" x14ac:dyDescent="0.15">
      <c r="A350">
        <v>1868</v>
      </c>
      <c r="B350" s="1">
        <v>81044</v>
      </c>
      <c r="C350" s="1">
        <v>1182</v>
      </c>
      <c r="D350" s="4">
        <f t="shared" si="10"/>
        <v>1.4584670055772173E-2</v>
      </c>
      <c r="E350" s="1">
        <v>0</v>
      </c>
      <c r="F350" s="1">
        <v>0</v>
      </c>
      <c r="G350" s="1">
        <v>0</v>
      </c>
      <c r="H350" s="1">
        <v>450</v>
      </c>
      <c r="I350" s="1">
        <v>26</v>
      </c>
      <c r="J350" s="1">
        <v>535</v>
      </c>
      <c r="K350" s="1">
        <v>73</v>
      </c>
      <c r="L350" s="1">
        <v>98</v>
      </c>
      <c r="M350" s="1">
        <v>26</v>
      </c>
      <c r="N350" s="1">
        <v>1</v>
      </c>
      <c r="O350" s="1">
        <v>5</v>
      </c>
      <c r="P350" s="1">
        <v>6</v>
      </c>
      <c r="Q350" s="1">
        <v>10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73</v>
      </c>
      <c r="AA350" s="1" t="str" cm="1">
        <f t="array" ref="AA350">_xlfn.IFS(AND(Z350&lt;36, Z350&gt;23), "24-35", AND(Z350&lt;51, Z350&gt;35),"36-50", AND(Z350&lt;66, Z350&gt;50), "51-66", Z350&gt;65, "66+", TRUE, "?")</f>
        <v>66+</v>
      </c>
      <c r="AB350" s="1">
        <v>2343</v>
      </c>
      <c r="AC350" s="1">
        <v>0</v>
      </c>
      <c r="AD350" s="1">
        <v>1</v>
      </c>
      <c r="AE350" s="1">
        <v>0</v>
      </c>
      <c r="AF350" s="1">
        <v>0</v>
      </c>
      <c r="AG350" s="1">
        <v>0</v>
      </c>
      <c r="AH350" s="1">
        <v>1</v>
      </c>
      <c r="AI350" s="1">
        <v>0</v>
      </c>
      <c r="AJ350" s="1">
        <v>0</v>
      </c>
      <c r="AK350" s="1">
        <v>0</v>
      </c>
      <c r="AL350" s="1">
        <v>1156</v>
      </c>
      <c r="AM350" s="2">
        <v>42506</v>
      </c>
      <c r="AN350" t="str">
        <f t="shared" si="11"/>
        <v>81044,1182,0.0145846700557722,0,0,0,450,26,535,73,98,26,1,5,6,10,1,0,0,0,0,0,0,0,73,66+,2343,0,1,0,0,0,1,0,0,0,1156,42506</v>
      </c>
    </row>
    <row r="351" spans="1:40" ht="13" hidden="1" x14ac:dyDescent="0.15">
      <c r="A351">
        <v>175</v>
      </c>
      <c r="B351" s="1">
        <v>66973</v>
      </c>
      <c r="C351" s="1">
        <v>1180</v>
      </c>
      <c r="D351" s="4">
        <f t="shared" si="10"/>
        <v>1.7619040508861782E-2</v>
      </c>
      <c r="E351" s="1">
        <v>0</v>
      </c>
      <c r="F351" s="1">
        <v>0</v>
      </c>
      <c r="G351" s="1">
        <v>98</v>
      </c>
      <c r="H351" s="1">
        <v>466</v>
      </c>
      <c r="I351" s="1">
        <v>22</v>
      </c>
      <c r="J351" s="1">
        <v>432</v>
      </c>
      <c r="K351" s="1">
        <v>147</v>
      </c>
      <c r="L351" s="1">
        <v>113</v>
      </c>
      <c r="M351" s="1">
        <v>102</v>
      </c>
      <c r="N351" s="1">
        <v>1</v>
      </c>
      <c r="O351" s="1">
        <v>8</v>
      </c>
      <c r="P351" s="1">
        <v>7</v>
      </c>
      <c r="Q351" s="1">
        <v>12</v>
      </c>
      <c r="R351" s="1">
        <v>3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31</v>
      </c>
      <c r="AA351" s="1" t="str" cm="1">
        <f t="array" ref="AA351">_xlfn.IFS(AND(Z351&lt;36, Z351&gt;23), "24-35", AND(Z351&lt;51, Z351&gt;35),"36-50", AND(Z351&lt;66, Z351&gt;50), "51-66", Z351&gt;65, "66+", TRUE, "?")</f>
        <v>24-35</v>
      </c>
      <c r="AB351" s="1">
        <v>2567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1</v>
      </c>
      <c r="AL351" s="1">
        <v>1078</v>
      </c>
      <c r="AM351" s="2">
        <v>42282</v>
      </c>
      <c r="AN351" t="str">
        <f t="shared" si="11"/>
        <v>66973,1180,0.0176190405088618,0,0,98,466,22,432,147,113,102,1,8,7,12,3,0,0,0,0,0,0,0,31,24-35,2567,0,0,0,1,0,0,0,0,1,1078,42282</v>
      </c>
    </row>
    <row r="352" spans="1:40" ht="13" x14ac:dyDescent="0.15">
      <c r="A352">
        <v>941</v>
      </c>
      <c r="B352" s="1">
        <v>72282</v>
      </c>
      <c r="C352" s="1">
        <v>1178</v>
      </c>
      <c r="D352" s="4">
        <f t="shared" si="10"/>
        <v>1.6297280097396311E-2</v>
      </c>
      <c r="E352" s="1">
        <v>0</v>
      </c>
      <c r="F352" s="1">
        <v>0</v>
      </c>
      <c r="G352" s="1">
        <v>70</v>
      </c>
      <c r="H352" s="1">
        <v>503</v>
      </c>
      <c r="I352" s="1">
        <v>27</v>
      </c>
      <c r="J352" s="1">
        <v>419</v>
      </c>
      <c r="K352" s="1">
        <v>90</v>
      </c>
      <c r="L352" s="1">
        <v>139</v>
      </c>
      <c r="M352" s="1">
        <v>153</v>
      </c>
      <c r="N352" s="1">
        <v>1</v>
      </c>
      <c r="O352" s="1">
        <v>5</v>
      </c>
      <c r="P352" s="1">
        <v>7</v>
      </c>
      <c r="Q352" s="1">
        <v>9</v>
      </c>
      <c r="R352" s="1">
        <v>7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69</v>
      </c>
      <c r="AA352" s="1" t="str" cm="1">
        <f t="array" ref="AA352">_xlfn.IFS(AND(Z352&lt;36, Z352&gt;23), "24-35", AND(Z352&lt;51, Z352&gt;35),"36-50", AND(Z352&lt;66, Z352&gt;50), "51-66", Z352&gt;65, "66+", TRUE, "?")</f>
        <v>66+</v>
      </c>
      <c r="AB352" s="1">
        <v>2504</v>
      </c>
      <c r="AC352" s="1">
        <v>0</v>
      </c>
      <c r="AD352" s="1">
        <v>0</v>
      </c>
      <c r="AE352" s="1">
        <v>1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0</v>
      </c>
      <c r="AL352" s="1">
        <v>1025</v>
      </c>
      <c r="AM352" s="2">
        <v>42345</v>
      </c>
      <c r="AN352" t="str">
        <f t="shared" si="11"/>
        <v>72282,1178,0.0162972800973963,0,0,70,503,27,419,90,139,153,1,5,7,9,7,0,0,0,0,0,0,1,69,66+,2504,0,0,1,0,0,0,1,0,0,1025,42345</v>
      </c>
    </row>
    <row r="353" spans="1:40" ht="13" hidden="1" x14ac:dyDescent="0.15">
      <c r="A353">
        <v>967</v>
      </c>
      <c r="B353" s="1">
        <v>68316</v>
      </c>
      <c r="C353" s="1">
        <v>1178</v>
      </c>
      <c r="D353" s="4">
        <f t="shared" si="10"/>
        <v>1.7243398325428889E-2</v>
      </c>
      <c r="E353" s="1">
        <v>0</v>
      </c>
      <c r="F353" s="1">
        <v>1</v>
      </c>
      <c r="G353" s="1">
        <v>54</v>
      </c>
      <c r="H353" s="1">
        <v>806</v>
      </c>
      <c r="I353" s="1">
        <v>80</v>
      </c>
      <c r="J353" s="1">
        <v>161</v>
      </c>
      <c r="K353" s="1">
        <v>120</v>
      </c>
      <c r="L353" s="1">
        <v>11</v>
      </c>
      <c r="M353" s="1">
        <v>33</v>
      </c>
      <c r="N353" s="1">
        <v>5</v>
      </c>
      <c r="O353" s="1">
        <v>10</v>
      </c>
      <c r="P353" s="1">
        <v>7</v>
      </c>
      <c r="Q353" s="1">
        <v>10</v>
      </c>
      <c r="R353" s="1">
        <v>6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56</v>
      </c>
      <c r="AA353" s="1" t="str" cm="1">
        <f t="array" ref="AA353">_xlfn.IFS(AND(Z353&lt;36, Z353&gt;23), "24-35", AND(Z353&lt;51, Z353&gt;35),"36-50", AND(Z353&lt;66, Z353&gt;50), "51-66", Z353&gt;65, "66+", TRUE, "?")</f>
        <v>51-66</v>
      </c>
      <c r="AB353" s="1">
        <v>2761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1</v>
      </c>
      <c r="AI353" s="1">
        <v>0</v>
      </c>
      <c r="AJ353" s="1">
        <v>0</v>
      </c>
      <c r="AK353" s="1">
        <v>0</v>
      </c>
      <c r="AL353" s="1">
        <v>1145</v>
      </c>
      <c r="AM353" s="2">
        <v>42088</v>
      </c>
      <c r="AN353" t="str">
        <f t="shared" si="11"/>
        <v>68316,1178,0.0172433983254289,0,1,54,806,80,161,120,11,33,5,10,7,10,6,0,0,0,0,0,0,0,56,51-66,2761,0,0,0,1,0,1,0,0,0,1145,42088</v>
      </c>
    </row>
    <row r="354" spans="1:40" ht="13" hidden="1" x14ac:dyDescent="0.15">
      <c r="A354">
        <v>1411</v>
      </c>
      <c r="B354" s="1">
        <v>82032</v>
      </c>
      <c r="C354" s="1">
        <v>1177</v>
      </c>
      <c r="D354" s="4">
        <f t="shared" si="10"/>
        <v>1.4348059293934075E-2</v>
      </c>
      <c r="E354" s="1">
        <v>0</v>
      </c>
      <c r="F354" s="1">
        <v>0</v>
      </c>
      <c r="G354" s="1">
        <v>54</v>
      </c>
      <c r="H354" s="1">
        <v>332</v>
      </c>
      <c r="I354" s="1">
        <v>194</v>
      </c>
      <c r="J354" s="1">
        <v>377</v>
      </c>
      <c r="K354" s="1">
        <v>149</v>
      </c>
      <c r="L354" s="1">
        <v>125</v>
      </c>
      <c r="M354" s="1">
        <v>57</v>
      </c>
      <c r="N354" s="1">
        <v>0</v>
      </c>
      <c r="O354" s="1">
        <v>4</v>
      </c>
      <c r="P354" s="1">
        <v>6</v>
      </c>
      <c r="Q354" s="1">
        <v>7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72</v>
      </c>
      <c r="AA354" s="1" t="str" cm="1">
        <f t="array" ref="AA354">_xlfn.IFS(AND(Z354&lt;36, Z354&gt;23), "24-35", AND(Z354&lt;51, Z354&gt;35),"36-50", AND(Z354&lt;66, Z354&gt;50), "51-66", Z354&gt;65, "66+", TRUE, "?")</f>
        <v>66+</v>
      </c>
      <c r="AB354" s="1">
        <v>2244</v>
      </c>
      <c r="AC354" s="1">
        <v>0</v>
      </c>
      <c r="AD354" s="1">
        <v>0</v>
      </c>
      <c r="AE354" s="1">
        <v>0</v>
      </c>
      <c r="AF354" s="1">
        <v>0</v>
      </c>
      <c r="AG354" s="1">
        <v>1</v>
      </c>
      <c r="AH354" s="1">
        <v>0</v>
      </c>
      <c r="AI354" s="1">
        <v>0</v>
      </c>
      <c r="AJ354" s="1">
        <v>0</v>
      </c>
      <c r="AK354" s="1">
        <v>1</v>
      </c>
      <c r="AL354" s="1">
        <v>1120</v>
      </c>
      <c r="AM354" s="2">
        <v>42605</v>
      </c>
      <c r="AN354" t="str">
        <f t="shared" si="11"/>
        <v>82032,1177,0.0143480592939341,0,0,54,332,194,377,149,125,57,0,4,6,7,1,0,0,0,0,0,0,0,72,66+,2244,0,0,0,0,1,0,0,0,1,1120,42605</v>
      </c>
    </row>
    <row r="355" spans="1:40" ht="13" hidden="1" x14ac:dyDescent="0.15">
      <c r="A355">
        <v>1866</v>
      </c>
      <c r="B355" s="1">
        <v>65308</v>
      </c>
      <c r="C355" s="1">
        <v>1177</v>
      </c>
      <c r="D355" s="4">
        <f t="shared" si="10"/>
        <v>1.8022294359037176E-2</v>
      </c>
      <c r="E355" s="1">
        <v>0</v>
      </c>
      <c r="F355" s="1">
        <v>0</v>
      </c>
      <c r="G355" s="1">
        <v>60</v>
      </c>
      <c r="H355" s="1">
        <v>713</v>
      </c>
      <c r="I355" s="1">
        <v>0</v>
      </c>
      <c r="J355" s="1">
        <v>264</v>
      </c>
      <c r="K355" s="1">
        <v>120</v>
      </c>
      <c r="L355" s="1">
        <v>80</v>
      </c>
      <c r="M355" s="1">
        <v>34</v>
      </c>
      <c r="N355" s="1">
        <v>1</v>
      </c>
      <c r="O355" s="1">
        <v>7</v>
      </c>
      <c r="P355" s="1">
        <v>8</v>
      </c>
      <c r="Q355" s="1">
        <v>12</v>
      </c>
      <c r="R355" s="1">
        <v>4</v>
      </c>
      <c r="S355" s="1">
        <v>1</v>
      </c>
      <c r="T355" s="1">
        <v>0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47</v>
      </c>
      <c r="AA355" s="1" t="str" cm="1">
        <f t="array" ref="AA355">_xlfn.IFS(AND(Z355&lt;36, Z355&gt;23), "24-35", AND(Z355&lt;51, Z355&gt;35),"36-50", AND(Z355&lt;66, Z355&gt;50), "51-66", Z355&gt;65, "66+", TRUE, "?")</f>
        <v>36-50</v>
      </c>
      <c r="AB355" s="1">
        <v>2450</v>
      </c>
      <c r="AC355" s="1">
        <v>0</v>
      </c>
      <c r="AD355" s="1">
        <v>1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>
        <v>0</v>
      </c>
      <c r="AL355" s="1">
        <v>1143</v>
      </c>
      <c r="AM355" s="2">
        <v>42399</v>
      </c>
      <c r="AN355" t="str">
        <f t="shared" si="11"/>
        <v>65308,1177,0.0180222943590372,0,0,60,713,0,264,120,80,34,1,7,8,12,4,1,0,0,0,1,0,0,47,36-50,2450,0,1,0,0,0,0,1,0,0,1143,42399</v>
      </c>
    </row>
    <row r="356" spans="1:40" ht="13" hidden="1" x14ac:dyDescent="0.15">
      <c r="A356">
        <v>33</v>
      </c>
      <c r="B356" s="1">
        <v>68657</v>
      </c>
      <c r="C356" s="1">
        <v>1174</v>
      </c>
      <c r="D356" s="4">
        <f t="shared" si="10"/>
        <v>1.7099494589044088E-2</v>
      </c>
      <c r="E356" s="1">
        <v>0</v>
      </c>
      <c r="F356" s="1">
        <v>0</v>
      </c>
      <c r="G356" s="1">
        <v>4</v>
      </c>
      <c r="H356" s="1">
        <v>482</v>
      </c>
      <c r="I356" s="1">
        <v>34</v>
      </c>
      <c r="J356" s="1">
        <v>471</v>
      </c>
      <c r="K356" s="1">
        <v>119</v>
      </c>
      <c r="L356" s="1">
        <v>68</v>
      </c>
      <c r="M356" s="1">
        <v>22</v>
      </c>
      <c r="N356" s="1">
        <v>1</v>
      </c>
      <c r="O356" s="1">
        <v>3</v>
      </c>
      <c r="P356" s="1">
        <v>5</v>
      </c>
      <c r="Q356" s="1">
        <v>9</v>
      </c>
      <c r="R356" s="1">
        <v>7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74</v>
      </c>
      <c r="AA356" s="1" t="str" cm="1">
        <f t="array" ref="AA356">_xlfn.IFS(AND(Z356&lt;36, Z356&gt;23), "24-35", AND(Z356&lt;51, Z356&gt;35),"36-50", AND(Z356&lt;66, Z356&gt;50), "51-66", Z356&gt;65, "66+", TRUE, "?")</f>
        <v>66+</v>
      </c>
      <c r="AB356" s="1">
        <v>2653</v>
      </c>
      <c r="AC356" s="1">
        <v>0</v>
      </c>
      <c r="AD356" s="1">
        <v>1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1</v>
      </c>
      <c r="AK356" s="1">
        <v>0</v>
      </c>
      <c r="AL356" s="1">
        <v>1152</v>
      </c>
      <c r="AM356" s="2">
        <v>42196</v>
      </c>
      <c r="AN356" t="str">
        <f t="shared" si="11"/>
        <v>68657,1174,0.0170994945890441,0,0,4,482,34,471,119,68,22,1,3,5,9,7,0,0,0,0,0,0,0,74,66+,2653,0,1,0,0,0,0,0,1,0,1152,42196</v>
      </c>
    </row>
    <row r="357" spans="1:40" ht="13" hidden="1" x14ac:dyDescent="0.15">
      <c r="A357">
        <v>146</v>
      </c>
      <c r="B357" s="1">
        <v>80317</v>
      </c>
      <c r="C357" s="1">
        <v>1174</v>
      </c>
      <c r="D357" s="4">
        <f t="shared" si="10"/>
        <v>1.4617079821208462E-2</v>
      </c>
      <c r="E357" s="1">
        <v>0</v>
      </c>
      <c r="F357" s="1">
        <v>0</v>
      </c>
      <c r="G357" s="1">
        <v>64</v>
      </c>
      <c r="H357" s="1">
        <v>536</v>
      </c>
      <c r="I357" s="1">
        <v>11</v>
      </c>
      <c r="J357" s="1">
        <v>387</v>
      </c>
      <c r="K357" s="1">
        <v>149</v>
      </c>
      <c r="L357" s="1">
        <v>91</v>
      </c>
      <c r="M357" s="1">
        <v>57</v>
      </c>
      <c r="N357" s="1">
        <v>1</v>
      </c>
      <c r="O357" s="1">
        <v>3</v>
      </c>
      <c r="P357" s="1">
        <v>4</v>
      </c>
      <c r="Q357" s="1">
        <v>10</v>
      </c>
      <c r="R357" s="1">
        <v>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65</v>
      </c>
      <c r="AA357" s="1" t="str" cm="1">
        <f t="array" ref="AA357">_xlfn.IFS(AND(Z357&lt;36, Z357&gt;23), "24-35", AND(Z357&lt;51, Z357&gt;35),"36-50", AND(Z357&lt;66, Z357&gt;50), "51-66", Z357&gt;65, "66+", TRUE, "?")</f>
        <v>51-66</v>
      </c>
      <c r="AB357" s="1">
        <v>2472</v>
      </c>
      <c r="AC357" s="1">
        <v>0</v>
      </c>
      <c r="AD357" s="1">
        <v>0</v>
      </c>
      <c r="AE357" s="1">
        <v>1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1117</v>
      </c>
      <c r="AM357" s="2">
        <v>42377</v>
      </c>
      <c r="AN357" t="str">
        <f t="shared" si="11"/>
        <v>80317,1174,0.0146170798212085,0,0,64,536,11,387,149,91,57,1,3,4,10,1,0,0,0,0,0,0,0,65,51-66,2472,0,0,1,0,0,0,1,0,0,1117,42377</v>
      </c>
    </row>
    <row r="358" spans="1:40" ht="13" hidden="1" x14ac:dyDescent="0.15">
      <c r="A358">
        <v>575</v>
      </c>
      <c r="B358" s="1">
        <v>81168</v>
      </c>
      <c r="C358" s="1">
        <v>1171</v>
      </c>
      <c r="D358" s="4">
        <f t="shared" si="10"/>
        <v>1.4426867731125568E-2</v>
      </c>
      <c r="E358" s="1">
        <v>0</v>
      </c>
      <c r="F358" s="1">
        <v>0</v>
      </c>
      <c r="G358" s="1">
        <v>84</v>
      </c>
      <c r="H358" s="1">
        <v>410</v>
      </c>
      <c r="I358" s="1">
        <v>0</v>
      </c>
      <c r="J358" s="1">
        <v>592</v>
      </c>
      <c r="K358" s="1">
        <v>147</v>
      </c>
      <c r="L358" s="1">
        <v>22</v>
      </c>
      <c r="M358" s="1">
        <v>22</v>
      </c>
      <c r="N358" s="1">
        <v>1</v>
      </c>
      <c r="O358" s="1">
        <v>6</v>
      </c>
      <c r="P358" s="1">
        <v>4</v>
      </c>
      <c r="Q358" s="1">
        <v>7</v>
      </c>
      <c r="R358" s="1">
        <v>3</v>
      </c>
      <c r="S358" s="1">
        <v>1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55</v>
      </c>
      <c r="AA358" s="1" t="str" cm="1">
        <f t="array" ref="AA358">_xlfn.IFS(AND(Z358&lt;36, Z358&gt;23), "24-35", AND(Z358&lt;51, Z358&gt;35),"36-50", AND(Z358&lt;66, Z358&gt;50), "51-66", Z358&gt;65, "66+", TRUE, "?")</f>
        <v>51-66</v>
      </c>
      <c r="AB358" s="1">
        <v>2212</v>
      </c>
      <c r="AC358" s="1">
        <v>0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1</v>
      </c>
      <c r="AJ358" s="1">
        <v>0</v>
      </c>
      <c r="AK358" s="1">
        <v>0</v>
      </c>
      <c r="AL358" s="1">
        <v>1149</v>
      </c>
      <c r="AM358" s="2">
        <v>42637</v>
      </c>
      <c r="AN358" t="str">
        <f t="shared" si="11"/>
        <v>81168,1171,0.0144268677311256,0,0,84,410,0,592,147,22,22,1,6,4,7,3,1,0,0,0,0,0,0,55,51-66,2212,0,1,0,0,0,0,1,0,0,1149,42637</v>
      </c>
    </row>
    <row r="359" spans="1:40" ht="13" hidden="1" x14ac:dyDescent="0.15">
      <c r="A359">
        <v>1751</v>
      </c>
      <c r="B359" s="1">
        <v>80982</v>
      </c>
      <c r="C359" s="1">
        <v>1169</v>
      </c>
      <c r="D359" s="4">
        <f t="shared" si="10"/>
        <v>1.4435306611345731E-2</v>
      </c>
      <c r="E359" s="1">
        <v>1</v>
      </c>
      <c r="F359" s="1">
        <v>1</v>
      </c>
      <c r="G359" s="1">
        <v>48</v>
      </c>
      <c r="H359" s="1">
        <v>505</v>
      </c>
      <c r="I359" s="1">
        <v>137</v>
      </c>
      <c r="J359" s="1">
        <v>401</v>
      </c>
      <c r="K359" s="1">
        <v>104</v>
      </c>
      <c r="L359" s="1">
        <v>22</v>
      </c>
      <c r="M359" s="1">
        <v>22</v>
      </c>
      <c r="N359" s="1">
        <v>3</v>
      </c>
      <c r="O359" s="1">
        <v>11</v>
      </c>
      <c r="P359" s="1">
        <v>5</v>
      </c>
      <c r="Q359" s="1">
        <v>11</v>
      </c>
      <c r="R359" s="1">
        <v>5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</v>
      </c>
      <c r="Y359" s="1">
        <v>0</v>
      </c>
      <c r="Z359" s="1">
        <v>61</v>
      </c>
      <c r="AA359" s="1" t="str" cm="1">
        <f t="array" ref="AA359">_xlfn.IFS(AND(Z359&lt;36, Z359&gt;23), "24-35", AND(Z359&lt;51, Z359&gt;35),"36-50", AND(Z359&lt;66, Z359&gt;50), "51-66", Z359&gt;65, "66+", TRUE, "?")</f>
        <v>51-66</v>
      </c>
      <c r="AB359" s="1">
        <v>2696</v>
      </c>
      <c r="AC359" s="1">
        <v>0</v>
      </c>
      <c r="AD359" s="1">
        <v>0</v>
      </c>
      <c r="AE359" s="1">
        <v>1</v>
      </c>
      <c r="AF359" s="1">
        <v>0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1147</v>
      </c>
      <c r="AM359" s="2">
        <v>42153</v>
      </c>
      <c r="AN359" t="str">
        <f t="shared" si="11"/>
        <v>80982,1169,0.0144353066113457,1,1,48,505,137,401,104,22,22,3,11,5,11,5,0,0,0,0,0,1,0,61,51-66,2696,0,0,1,0,0,0,1,0,0,1147,42153</v>
      </c>
    </row>
    <row r="360" spans="1:40" ht="13" hidden="1" x14ac:dyDescent="0.15">
      <c r="A360">
        <v>328</v>
      </c>
      <c r="B360" s="1">
        <v>72099</v>
      </c>
      <c r="C360" s="1">
        <v>1166</v>
      </c>
      <c r="D360" s="4">
        <f t="shared" si="10"/>
        <v>1.6172207658913439E-2</v>
      </c>
      <c r="E360" s="1">
        <v>0</v>
      </c>
      <c r="F360" s="1">
        <v>0</v>
      </c>
      <c r="G360" s="1">
        <v>18</v>
      </c>
      <c r="H360" s="1">
        <v>546</v>
      </c>
      <c r="I360" s="1">
        <v>91</v>
      </c>
      <c r="J360" s="1">
        <v>410</v>
      </c>
      <c r="K360" s="1">
        <v>119</v>
      </c>
      <c r="L360" s="1">
        <v>0</v>
      </c>
      <c r="M360" s="1">
        <v>22</v>
      </c>
      <c r="N360" s="1">
        <v>1</v>
      </c>
      <c r="O360" s="1">
        <v>3</v>
      </c>
      <c r="P360" s="1">
        <v>4</v>
      </c>
      <c r="Q360" s="1">
        <v>10</v>
      </c>
      <c r="R360" s="1">
        <v>1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46</v>
      </c>
      <c r="AA360" s="1" t="str" cm="1">
        <f t="array" ref="AA360">_xlfn.IFS(AND(Z360&lt;36, Z360&gt;23), "24-35", AND(Z360&lt;51, Z360&gt;35),"36-50", AND(Z360&lt;66, Z360&gt;50), "51-66", Z360&gt;65, "66+", TRUE, "?")</f>
        <v>36-50</v>
      </c>
      <c r="AB360" s="1">
        <v>2769</v>
      </c>
      <c r="AC360" s="1">
        <v>0</v>
      </c>
      <c r="AD360" s="1">
        <v>1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0</v>
      </c>
      <c r="AL360" s="1">
        <v>1144</v>
      </c>
      <c r="AM360" s="2">
        <v>42080</v>
      </c>
      <c r="AN360" t="str">
        <f t="shared" si="11"/>
        <v>72099,1166,0.0161722076589134,0,0,18,546,91,410,119,0,22,1,3,4,10,1,0,0,0,0,0,0,0,46,36-50,2769,0,1,0,0,0,0,1,0,0,1144,42080</v>
      </c>
    </row>
    <row r="361" spans="1:40" ht="13" hidden="1" x14ac:dyDescent="0.15">
      <c r="A361">
        <v>688</v>
      </c>
      <c r="B361" s="1">
        <v>67432</v>
      </c>
      <c r="C361" s="1">
        <v>1165</v>
      </c>
      <c r="D361" s="4">
        <f t="shared" si="10"/>
        <v>1.7276663898445843E-2</v>
      </c>
      <c r="E361" s="1">
        <v>0</v>
      </c>
      <c r="F361" s="1">
        <v>1</v>
      </c>
      <c r="G361" s="1">
        <v>69</v>
      </c>
      <c r="H361" s="1">
        <v>432</v>
      </c>
      <c r="I361" s="1">
        <v>79</v>
      </c>
      <c r="J361" s="1">
        <v>341</v>
      </c>
      <c r="K361" s="1">
        <v>177</v>
      </c>
      <c r="L361" s="1">
        <v>136</v>
      </c>
      <c r="M361" s="1">
        <v>170</v>
      </c>
      <c r="N361" s="1">
        <v>2</v>
      </c>
      <c r="O361" s="1">
        <v>8</v>
      </c>
      <c r="P361" s="1">
        <v>5</v>
      </c>
      <c r="Q361" s="1">
        <v>4</v>
      </c>
      <c r="R361" s="1">
        <v>4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47</v>
      </c>
      <c r="AA361" s="1" t="str" cm="1">
        <f t="array" ref="AA361">_xlfn.IFS(AND(Z361&lt;36, Z361&gt;23), "24-35", AND(Z361&lt;51, Z361&gt;35),"36-50", AND(Z361&lt;66, Z361&gt;50), "51-66", Z361&gt;65, "66+", TRUE, "?")</f>
        <v>36-50</v>
      </c>
      <c r="AB361" s="1">
        <v>2616</v>
      </c>
      <c r="AC361" s="1">
        <v>0</v>
      </c>
      <c r="AD361" s="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1">
        <v>995</v>
      </c>
      <c r="AM361" s="2">
        <v>42233</v>
      </c>
      <c r="AN361" t="str">
        <f t="shared" si="11"/>
        <v>67432,1165,0.0172766638984458,0,1,69,432,79,341,177,136,170,2,8,5,4,4,0,0,0,0,0,0,0,47,36-50,2616,0,1,0,0,0,0,1,0,0,995,42233</v>
      </c>
    </row>
    <row r="362" spans="1:40" ht="13" hidden="1" x14ac:dyDescent="0.15">
      <c r="A362">
        <v>1843</v>
      </c>
      <c r="B362" s="1">
        <v>77027</v>
      </c>
      <c r="C362" s="1">
        <v>1164</v>
      </c>
      <c r="D362" s="4">
        <f t="shared" si="10"/>
        <v>1.5111584249678685E-2</v>
      </c>
      <c r="E362" s="1">
        <v>0</v>
      </c>
      <c r="F362" s="1">
        <v>1</v>
      </c>
      <c r="G362" s="1">
        <v>23</v>
      </c>
      <c r="H362" s="1">
        <v>820</v>
      </c>
      <c r="I362" s="1">
        <v>57</v>
      </c>
      <c r="J362" s="1">
        <v>242</v>
      </c>
      <c r="K362" s="1">
        <v>45</v>
      </c>
      <c r="L362" s="1">
        <v>0</v>
      </c>
      <c r="M362" s="1">
        <v>11</v>
      </c>
      <c r="N362" s="1">
        <v>2</v>
      </c>
      <c r="O362" s="1">
        <v>8</v>
      </c>
      <c r="P362" s="1">
        <v>3</v>
      </c>
      <c r="Q362" s="1">
        <v>6</v>
      </c>
      <c r="R362" s="1">
        <v>4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68</v>
      </c>
      <c r="AA362" s="1" t="str" cm="1">
        <f t="array" ref="AA362">_xlfn.IFS(AND(Z362&lt;36, Z362&gt;23), "24-35", AND(Z362&lt;51, Z362&gt;35),"36-50", AND(Z362&lt;66, Z362&gt;50), "51-66", Z362&gt;65, "66+", TRUE, "?")</f>
        <v>66+</v>
      </c>
      <c r="AB362" s="1">
        <v>2303</v>
      </c>
      <c r="AC362" s="1">
        <v>0</v>
      </c>
      <c r="AD362" s="1">
        <v>1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1</v>
      </c>
      <c r="AK362" s="1">
        <v>0</v>
      </c>
      <c r="AL362" s="1">
        <v>1153</v>
      </c>
      <c r="AM362" s="2">
        <v>42546</v>
      </c>
      <c r="AN362" t="str">
        <f t="shared" si="11"/>
        <v>77027,1164,0.0151115842496787,0,1,23,820,57,242,45,0,11,2,8,3,6,4,0,0,0,0,0,0,0,68,66+,2303,0,1,0,0,0,0,0,1,0,1153,42546</v>
      </c>
    </row>
    <row r="363" spans="1:40" ht="13" hidden="1" x14ac:dyDescent="0.15">
      <c r="A363">
        <v>613</v>
      </c>
      <c r="B363" s="1">
        <v>67445</v>
      </c>
      <c r="C363" s="1">
        <v>1163</v>
      </c>
      <c r="D363" s="4">
        <f t="shared" si="10"/>
        <v>1.724368003558455E-2</v>
      </c>
      <c r="E363" s="1">
        <v>0</v>
      </c>
      <c r="F363" s="1">
        <v>1</v>
      </c>
      <c r="G363" s="1">
        <v>63</v>
      </c>
      <c r="H363" s="1">
        <v>757</v>
      </c>
      <c r="I363" s="1">
        <v>80</v>
      </c>
      <c r="J363" s="1">
        <v>217</v>
      </c>
      <c r="K363" s="1">
        <v>29</v>
      </c>
      <c r="L363" s="1">
        <v>80</v>
      </c>
      <c r="M363" s="1">
        <v>11</v>
      </c>
      <c r="N363" s="1">
        <v>5</v>
      </c>
      <c r="O363" s="1">
        <v>9</v>
      </c>
      <c r="P363" s="1">
        <v>6</v>
      </c>
      <c r="Q363" s="1">
        <v>12</v>
      </c>
      <c r="R363" s="1">
        <v>6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46</v>
      </c>
      <c r="AA363" s="1" t="str" cm="1">
        <f t="array" ref="AA363">_xlfn.IFS(AND(Z363&lt;36, Z363&gt;23), "24-35", AND(Z363&lt;51, Z363&gt;35),"36-50", AND(Z363&lt;66, Z363&gt;50), "51-66", Z363&gt;65, "66+", TRUE, "?")</f>
        <v>36-50</v>
      </c>
      <c r="AB363" s="1">
        <v>2845</v>
      </c>
      <c r="AC363" s="1">
        <v>0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1</v>
      </c>
      <c r="AJ363" s="1">
        <v>0</v>
      </c>
      <c r="AK363" s="1">
        <v>0</v>
      </c>
      <c r="AL363" s="1">
        <v>1152</v>
      </c>
      <c r="AM363" s="2">
        <v>42004</v>
      </c>
      <c r="AN363" t="str">
        <f t="shared" si="11"/>
        <v>67445,1163,0.0172436800355846,0,1,63,757,80,217,29,80,11,5,9,6,12,6,0,0,0,0,0,0,0,46,36-50,2845,0,1,0,0,0,0,1,0,0,1152,42004</v>
      </c>
    </row>
    <row r="364" spans="1:40" ht="13" hidden="1" x14ac:dyDescent="0.15">
      <c r="A364">
        <v>728</v>
      </c>
      <c r="B364" s="1">
        <v>74250</v>
      </c>
      <c r="C364" s="1">
        <v>1158</v>
      </c>
      <c r="D364" s="4">
        <f t="shared" si="10"/>
        <v>1.5595959595959595E-2</v>
      </c>
      <c r="E364" s="1">
        <v>0</v>
      </c>
      <c r="F364" s="1">
        <v>0</v>
      </c>
      <c r="G364" s="1">
        <v>90</v>
      </c>
      <c r="H364" s="1">
        <v>680</v>
      </c>
      <c r="I364" s="1">
        <v>11</v>
      </c>
      <c r="J364" s="1">
        <v>392</v>
      </c>
      <c r="K364" s="1">
        <v>75</v>
      </c>
      <c r="L364" s="1">
        <v>0</v>
      </c>
      <c r="M364" s="1">
        <v>0</v>
      </c>
      <c r="N364" s="1">
        <v>1</v>
      </c>
      <c r="O364" s="1">
        <v>2</v>
      </c>
      <c r="P364" s="1">
        <v>11</v>
      </c>
      <c r="Q364" s="1">
        <v>4</v>
      </c>
      <c r="R364" s="1">
        <v>1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62</v>
      </c>
      <c r="AA364" s="1" t="str" cm="1">
        <f t="array" ref="AA364">_xlfn.IFS(AND(Z364&lt;36, Z364&gt;23), "24-35", AND(Z364&lt;51, Z364&gt;35),"36-50", AND(Z364&lt;66, Z364&gt;50), "51-66", Z364&gt;65, "66+", TRUE, "?")</f>
        <v>51-66</v>
      </c>
      <c r="AB364" s="1">
        <v>2313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0</v>
      </c>
      <c r="AJ364" s="1">
        <v>0</v>
      </c>
      <c r="AK364" s="1">
        <v>1</v>
      </c>
      <c r="AL364" s="1">
        <v>1158</v>
      </c>
      <c r="AM364" s="2">
        <v>42536</v>
      </c>
      <c r="AN364" t="str">
        <f t="shared" si="11"/>
        <v>74250,1158,0.0155959595959596,0,0,90,680,11,392,75,0,0,1,2,11,4,1,0,0,0,0,0,0,0,62,51-66,2313,0,0,0,1,0,0,0,0,1,1158,42536</v>
      </c>
    </row>
    <row r="365" spans="1:40" ht="13" hidden="1" x14ac:dyDescent="0.15">
      <c r="A365">
        <v>825</v>
      </c>
      <c r="B365" s="1">
        <v>86424</v>
      </c>
      <c r="C365" s="1">
        <v>1158</v>
      </c>
      <c r="D365" s="4">
        <f t="shared" si="10"/>
        <v>1.3399055817828381E-2</v>
      </c>
      <c r="E365" s="1">
        <v>0</v>
      </c>
      <c r="F365" s="1">
        <v>0</v>
      </c>
      <c r="G365" s="1">
        <v>12</v>
      </c>
      <c r="H365" s="1">
        <v>387</v>
      </c>
      <c r="I365" s="1">
        <v>68</v>
      </c>
      <c r="J365" s="1">
        <v>569</v>
      </c>
      <c r="K365" s="1">
        <v>89</v>
      </c>
      <c r="L365" s="1">
        <v>45</v>
      </c>
      <c r="M365" s="1">
        <v>68</v>
      </c>
      <c r="N365" s="1">
        <v>1</v>
      </c>
      <c r="O365" s="1">
        <v>6</v>
      </c>
      <c r="P365" s="1">
        <v>9</v>
      </c>
      <c r="Q365" s="1">
        <v>12</v>
      </c>
      <c r="R365" s="1">
        <v>1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64</v>
      </c>
      <c r="AA365" s="1" t="str" cm="1">
        <f t="array" ref="AA365">_xlfn.IFS(AND(Z365&lt;36, Z365&gt;23), "24-35", AND(Z365&lt;51, Z365&gt;35),"36-50", AND(Z365&lt;66, Z365&gt;50), "51-66", Z365&gt;65, "66+", TRUE, "?")</f>
        <v>51-66</v>
      </c>
      <c r="AB365" s="1">
        <v>2244</v>
      </c>
      <c r="AC365" s="1">
        <v>0</v>
      </c>
      <c r="AD365" s="1">
        <v>0</v>
      </c>
      <c r="AE365" s="1">
        <v>1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s="1">
        <v>1090</v>
      </c>
      <c r="AM365" s="2">
        <v>42605</v>
      </c>
      <c r="AN365" t="str">
        <f t="shared" si="11"/>
        <v>86424,1158,0.0133990558178284,0,0,12,387,68,569,89,45,68,1,6,9,12,1,0,0,0,0,0,0,0,64,51-66,2244,0,0,1,0,0,0,0,1,0,1090,42605</v>
      </c>
    </row>
    <row r="366" spans="1:40" ht="13" hidden="1" x14ac:dyDescent="0.15">
      <c r="A366">
        <v>1771</v>
      </c>
      <c r="B366" s="1">
        <v>70792</v>
      </c>
      <c r="C366" s="1">
        <v>1158</v>
      </c>
      <c r="D366" s="4">
        <f t="shared" si="10"/>
        <v>1.6357780540174029E-2</v>
      </c>
      <c r="E366" s="1">
        <v>0</v>
      </c>
      <c r="F366" s="1">
        <v>0</v>
      </c>
      <c r="G366" s="1">
        <v>82</v>
      </c>
      <c r="H366" s="1">
        <v>344</v>
      </c>
      <c r="I366" s="1">
        <v>45</v>
      </c>
      <c r="J366" s="1">
        <v>654</v>
      </c>
      <c r="K366" s="1">
        <v>104</v>
      </c>
      <c r="L366" s="1">
        <v>11</v>
      </c>
      <c r="M366" s="1">
        <v>114</v>
      </c>
      <c r="N366" s="1">
        <v>2</v>
      </c>
      <c r="O366" s="1">
        <v>3</v>
      </c>
      <c r="P366" s="1">
        <v>4</v>
      </c>
      <c r="Q366" s="1">
        <v>10</v>
      </c>
      <c r="R366" s="1">
        <v>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69</v>
      </c>
      <c r="AA366" s="1" t="str" cm="1">
        <f t="array" ref="AA366">_xlfn.IFS(AND(Z366&lt;36, Z366&gt;23), "24-35", AND(Z366&lt;51, Z366&gt;35),"36-50", AND(Z366&lt;66, Z366&gt;50), "51-66", Z366&gt;65, "66+", TRUE, "?")</f>
        <v>66+</v>
      </c>
      <c r="AB366" s="1">
        <v>2667</v>
      </c>
      <c r="AC366" s="1">
        <v>0</v>
      </c>
      <c r="AD366" s="1">
        <v>0</v>
      </c>
      <c r="AE366" s="1">
        <v>0</v>
      </c>
      <c r="AF366" s="1">
        <v>0</v>
      </c>
      <c r="AG366" s="1">
        <v>1</v>
      </c>
      <c r="AH366" s="1">
        <v>0</v>
      </c>
      <c r="AI366" s="1">
        <v>1</v>
      </c>
      <c r="AJ366" s="1">
        <v>0</v>
      </c>
      <c r="AK366" s="1">
        <v>0</v>
      </c>
      <c r="AL366" s="1">
        <v>1044</v>
      </c>
      <c r="AM366" s="2">
        <v>42182</v>
      </c>
      <c r="AN366" t="str">
        <f t="shared" si="11"/>
        <v>70792,1158,0.016357780540174,0,0,82,344,45,654,104,11,114,2,3,4,10,3,0,0,0,0,0,0,0,69,66+,2667,0,0,0,0,1,0,1,0,0,1044,42182</v>
      </c>
    </row>
    <row r="367" spans="1:40" ht="13" hidden="1" x14ac:dyDescent="0.15">
      <c r="A367">
        <v>301</v>
      </c>
      <c r="B367" s="1">
        <v>62187</v>
      </c>
      <c r="C367" s="1">
        <v>1157</v>
      </c>
      <c r="D367" s="4">
        <f t="shared" si="10"/>
        <v>1.8605174714972583E-2</v>
      </c>
      <c r="E367" s="1">
        <v>0</v>
      </c>
      <c r="F367" s="1">
        <v>0</v>
      </c>
      <c r="G367" s="1">
        <v>49</v>
      </c>
      <c r="H367" s="1">
        <v>792</v>
      </c>
      <c r="I367" s="1">
        <v>0</v>
      </c>
      <c r="J367" s="1">
        <v>275</v>
      </c>
      <c r="K367" s="1">
        <v>45</v>
      </c>
      <c r="L367" s="1">
        <v>45</v>
      </c>
      <c r="M367" s="1">
        <v>126</v>
      </c>
      <c r="N367" s="1">
        <v>1</v>
      </c>
      <c r="O367" s="1">
        <v>4</v>
      </c>
      <c r="P367" s="1">
        <v>8</v>
      </c>
      <c r="Q367" s="1">
        <v>5</v>
      </c>
      <c r="R367" s="1">
        <v>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63</v>
      </c>
      <c r="AA367" s="1" t="str" cm="1">
        <f t="array" ref="AA367">_xlfn.IFS(AND(Z367&lt;36, Z367&gt;23), "24-35", AND(Z367&lt;51, Z367&gt;35),"36-50", AND(Z367&lt;66, Z367&gt;50), "51-66", Z367&gt;65, "66+", TRUE, "?")</f>
        <v>51-66</v>
      </c>
      <c r="AB367" s="1">
        <v>2518</v>
      </c>
      <c r="AC367" s="1">
        <v>0</v>
      </c>
      <c r="AD367" s="1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0</v>
      </c>
      <c r="AK367" s="1">
        <v>0</v>
      </c>
      <c r="AL367" s="1">
        <v>1031</v>
      </c>
      <c r="AM367" s="2">
        <v>42331</v>
      </c>
      <c r="AN367" t="str">
        <f t="shared" si="11"/>
        <v>62187,1157,0.0186051747149726,0,0,49,792,0,275,45,45,126,1,4,8,5,3,0,0,0,0,0,0,0,63,51-66,2518,0,1,0,0,0,0,1,0,0,1031,42331</v>
      </c>
    </row>
    <row r="368" spans="1:40" ht="13" hidden="1" x14ac:dyDescent="0.15">
      <c r="A368">
        <v>206</v>
      </c>
      <c r="B368" s="1">
        <v>63887</v>
      </c>
      <c r="C368" s="1">
        <v>1153</v>
      </c>
      <c r="D368" s="4">
        <f t="shared" si="10"/>
        <v>1.8047490099707297E-2</v>
      </c>
      <c r="E368" s="1">
        <v>0</v>
      </c>
      <c r="F368" s="1">
        <v>1</v>
      </c>
      <c r="G368" s="1">
        <v>38</v>
      </c>
      <c r="H368" s="1">
        <v>897</v>
      </c>
      <c r="I368" s="1">
        <v>23</v>
      </c>
      <c r="J368" s="1">
        <v>207</v>
      </c>
      <c r="K368" s="1">
        <v>15</v>
      </c>
      <c r="L368" s="1">
        <v>11</v>
      </c>
      <c r="M368" s="1">
        <v>92</v>
      </c>
      <c r="N368" s="1">
        <v>5</v>
      </c>
      <c r="O368" s="1">
        <v>9</v>
      </c>
      <c r="P368" s="1">
        <v>6</v>
      </c>
      <c r="Q368" s="1">
        <v>12</v>
      </c>
      <c r="R368" s="1">
        <v>6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58</v>
      </c>
      <c r="AA368" s="1" t="str" cm="1">
        <f t="array" ref="AA368">_xlfn.IFS(AND(Z368&lt;36, Z368&gt;23), "24-35", AND(Z368&lt;51, Z368&gt;35),"36-50", AND(Z368&lt;66, Z368&gt;50), "51-66", Z368&gt;65, "66+", TRUE, "?")</f>
        <v>51-66</v>
      </c>
      <c r="AB368" s="1">
        <v>2818</v>
      </c>
      <c r="AC368" s="1">
        <v>1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1</v>
      </c>
      <c r="AJ368" s="1">
        <v>0</v>
      </c>
      <c r="AK368" s="1">
        <v>0</v>
      </c>
      <c r="AL368" s="1">
        <v>1061</v>
      </c>
      <c r="AM368" s="2">
        <v>42031</v>
      </c>
      <c r="AN368" t="str">
        <f t="shared" si="11"/>
        <v>63887,1153,0.0180474900997073,0,1,38,897,23,207,15,11,92,5,9,6,12,6,0,0,0,0,0,0,0,58,51-66,2818,1,0,0,0,0,0,1,0,0,1061,42031</v>
      </c>
    </row>
    <row r="369" spans="1:40" ht="13" hidden="1" x14ac:dyDescent="0.15">
      <c r="A369">
        <v>913</v>
      </c>
      <c r="B369" s="1">
        <v>84219</v>
      </c>
      <c r="C369" s="1">
        <v>1153</v>
      </c>
      <c r="D369" s="4">
        <f t="shared" si="10"/>
        <v>1.369049739369976E-2</v>
      </c>
      <c r="E369" s="1">
        <v>0</v>
      </c>
      <c r="F369" s="1">
        <v>0</v>
      </c>
      <c r="G369" s="1">
        <v>27</v>
      </c>
      <c r="H369" s="1">
        <v>434</v>
      </c>
      <c r="I369" s="1">
        <v>137</v>
      </c>
      <c r="J369" s="1">
        <v>400</v>
      </c>
      <c r="K369" s="1">
        <v>45</v>
      </c>
      <c r="L369" s="1">
        <v>137</v>
      </c>
      <c r="M369" s="1">
        <v>45</v>
      </c>
      <c r="N369" s="1">
        <v>1</v>
      </c>
      <c r="O369" s="1">
        <v>3</v>
      </c>
      <c r="P369" s="1">
        <v>4</v>
      </c>
      <c r="Q369" s="1">
        <v>10</v>
      </c>
      <c r="R369" s="1">
        <v>1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32</v>
      </c>
      <c r="AA369" s="1" t="str" cm="1">
        <f t="array" ref="AA369">_xlfn.IFS(AND(Z369&lt;36, Z369&gt;23), "24-35", AND(Z369&lt;51, Z369&gt;35),"36-50", AND(Z369&lt;66, Z369&gt;50), "51-66", Z369&gt;65, "66+", TRUE, "?")</f>
        <v>24-35</v>
      </c>
      <c r="AB369" s="1">
        <v>2306</v>
      </c>
      <c r="AC369" s="1">
        <v>0</v>
      </c>
      <c r="AD369" s="1">
        <v>1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1108</v>
      </c>
      <c r="AM369" s="2">
        <v>42543</v>
      </c>
      <c r="AN369" t="str">
        <f t="shared" si="11"/>
        <v>84219,1153,0.0136904973936998,0,0,27,434,137,400,45,137,45,1,3,4,10,1,0,0,0,0,0,0,0,32,24-35,2306,0,1,0,0,0,0,1,0,0,1108,42543</v>
      </c>
    </row>
    <row r="370" spans="1:40" ht="13" hidden="1" x14ac:dyDescent="0.15">
      <c r="A370">
        <v>283</v>
      </c>
      <c r="B370" s="1">
        <v>80950</v>
      </c>
      <c r="C370" s="1">
        <v>1150</v>
      </c>
      <c r="D370" s="4">
        <f t="shared" si="10"/>
        <v>1.4206300185299567E-2</v>
      </c>
      <c r="E370" s="1">
        <v>0</v>
      </c>
      <c r="F370" s="1">
        <v>0</v>
      </c>
      <c r="G370" s="1">
        <v>44</v>
      </c>
      <c r="H370" s="1">
        <v>525</v>
      </c>
      <c r="I370" s="1">
        <v>147</v>
      </c>
      <c r="J370" s="1">
        <v>112</v>
      </c>
      <c r="K370" s="1">
        <v>219</v>
      </c>
      <c r="L370" s="1">
        <v>147</v>
      </c>
      <c r="M370" s="1">
        <v>63</v>
      </c>
      <c r="N370" s="1">
        <v>1</v>
      </c>
      <c r="O370" s="1">
        <v>6</v>
      </c>
      <c r="P370" s="1">
        <v>7</v>
      </c>
      <c r="Q370" s="1">
        <v>9</v>
      </c>
      <c r="R370" s="1">
        <v>2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59</v>
      </c>
      <c r="AA370" s="1" t="str" cm="1">
        <f t="array" ref="AA370">_xlfn.IFS(AND(Z370&lt;36, Z370&gt;23), "24-35", AND(Z370&lt;51, Z370&gt;35),"36-50", AND(Z370&lt;66, Z370&gt;50), "51-66", Z370&gt;65, "66+", TRUE, "?")</f>
        <v>51-66</v>
      </c>
      <c r="AB370" s="1">
        <v>2617</v>
      </c>
      <c r="AC370" s="1">
        <v>0</v>
      </c>
      <c r="AD370" s="1">
        <v>1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1</v>
      </c>
      <c r="AK370" s="1">
        <v>0</v>
      </c>
      <c r="AL370" s="1">
        <v>1087</v>
      </c>
      <c r="AM370" s="2">
        <v>42232</v>
      </c>
      <c r="AN370" t="str">
        <f t="shared" si="11"/>
        <v>80950,1150,0.0142063001852996,0,0,44,525,147,112,219,147,63,1,6,7,9,2,1,0,0,0,0,0,0,59,51-66,2617,0,1,0,0,0,0,0,1,0,1087,42232</v>
      </c>
    </row>
    <row r="371" spans="1:40" ht="13" x14ac:dyDescent="0.15">
      <c r="A371">
        <v>944</v>
      </c>
      <c r="B371" s="1">
        <v>63564</v>
      </c>
      <c r="C371" s="1">
        <v>1150</v>
      </c>
      <c r="D371" s="4">
        <f t="shared" si="10"/>
        <v>1.8092001762003651E-2</v>
      </c>
      <c r="E371" s="1">
        <v>0</v>
      </c>
      <c r="F371" s="1">
        <v>0</v>
      </c>
      <c r="G371" s="1">
        <v>0</v>
      </c>
      <c r="H371" s="1">
        <v>769</v>
      </c>
      <c r="I371" s="1">
        <v>80</v>
      </c>
      <c r="J371" s="1">
        <v>252</v>
      </c>
      <c r="K371" s="1">
        <v>15</v>
      </c>
      <c r="L371" s="1">
        <v>34</v>
      </c>
      <c r="M371" s="1">
        <v>65</v>
      </c>
      <c r="N371" s="1">
        <v>1</v>
      </c>
      <c r="O371" s="1">
        <v>10</v>
      </c>
      <c r="P371" s="1">
        <v>10</v>
      </c>
      <c r="Q371" s="1">
        <v>7</v>
      </c>
      <c r="R371" s="1">
        <v>6</v>
      </c>
      <c r="S371" s="1">
        <v>0</v>
      </c>
      <c r="T371" s="1">
        <v>0</v>
      </c>
      <c r="U371" s="1">
        <v>1</v>
      </c>
      <c r="V371" s="1">
        <v>0</v>
      </c>
      <c r="W371" s="1">
        <v>0</v>
      </c>
      <c r="X371" s="1">
        <v>0</v>
      </c>
      <c r="Y371" s="1">
        <v>1</v>
      </c>
      <c r="Z371" s="1">
        <v>66</v>
      </c>
      <c r="AA371" s="1" t="str" cm="1">
        <f t="array" ref="AA371">_xlfn.IFS(AND(Z371&lt;36, Z371&gt;23), "24-35", AND(Z371&lt;51, Z371&gt;35),"36-50", AND(Z371&lt;66, Z371&gt;50), "51-66", Z371&gt;65, "66+", TRUE, "?")</f>
        <v>66+</v>
      </c>
      <c r="AB371" s="1">
        <v>2310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  <c r="AH371" s="1">
        <v>1</v>
      </c>
      <c r="AI371" s="1">
        <v>0</v>
      </c>
      <c r="AJ371" s="1">
        <v>0</v>
      </c>
      <c r="AK371" s="1">
        <v>0</v>
      </c>
      <c r="AL371" s="1">
        <v>1085</v>
      </c>
      <c r="AM371" s="2">
        <v>42539</v>
      </c>
      <c r="AN371" t="str">
        <f t="shared" si="11"/>
        <v>63564,1150,0.0180920017620037,0,0,0,769,80,252,15,34,65,1,10,10,7,6,0,0,1,0,0,0,1,66,66+,2310,0,1,0,0,0,1,0,0,0,1085,42539</v>
      </c>
    </row>
    <row r="372" spans="1:40" ht="13" hidden="1" x14ac:dyDescent="0.15">
      <c r="A372">
        <v>1123</v>
      </c>
      <c r="B372" s="1">
        <v>70091</v>
      </c>
      <c r="C372" s="1">
        <v>1150</v>
      </c>
      <c r="D372" s="4">
        <f t="shared" si="10"/>
        <v>1.6407242013953289E-2</v>
      </c>
      <c r="E372" s="1">
        <v>1</v>
      </c>
      <c r="F372" s="1">
        <v>0</v>
      </c>
      <c r="G372" s="1">
        <v>11</v>
      </c>
      <c r="H372" s="1">
        <v>964</v>
      </c>
      <c r="I372" s="1">
        <v>34</v>
      </c>
      <c r="J372" s="1">
        <v>137</v>
      </c>
      <c r="K372" s="1">
        <v>15</v>
      </c>
      <c r="L372" s="1">
        <v>0</v>
      </c>
      <c r="M372" s="1">
        <v>11</v>
      </c>
      <c r="N372" s="1">
        <v>2</v>
      </c>
      <c r="O372" s="1">
        <v>5</v>
      </c>
      <c r="P372" s="1">
        <v>2</v>
      </c>
      <c r="Q372" s="1">
        <v>10</v>
      </c>
      <c r="R372" s="1">
        <v>8</v>
      </c>
      <c r="S372" s="1">
        <v>0</v>
      </c>
      <c r="T372" s="1">
        <v>0</v>
      </c>
      <c r="U372" s="1">
        <v>0</v>
      </c>
      <c r="V372" s="1">
        <v>1</v>
      </c>
      <c r="W372" s="1">
        <v>0</v>
      </c>
      <c r="X372" s="1">
        <v>0</v>
      </c>
      <c r="Y372" s="1">
        <v>0</v>
      </c>
      <c r="Z372" s="1">
        <v>51</v>
      </c>
      <c r="AA372" s="1" t="str" cm="1">
        <f t="array" ref="AA372">_xlfn.IFS(AND(Z372&lt;36, Z372&gt;23), "24-35", AND(Z372&lt;51, Z372&gt;35),"36-50", AND(Z372&lt;66, Z372&gt;50), "51-66", Z372&gt;65, "66+", TRUE, "?")</f>
        <v>51-66</v>
      </c>
      <c r="AB372" s="1">
        <v>2614</v>
      </c>
      <c r="AC372" s="1">
        <v>0</v>
      </c>
      <c r="AD372" s="1">
        <v>1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1</v>
      </c>
      <c r="AK372" s="1">
        <v>0</v>
      </c>
      <c r="AL372" s="1">
        <v>1139</v>
      </c>
      <c r="AM372" s="2">
        <v>42235</v>
      </c>
      <c r="AN372" t="str">
        <f t="shared" si="11"/>
        <v>70091,1150,0.0164072420139533,1,0,11,964,34,137,15,0,11,2,5,2,10,8,0,0,0,1,0,0,0,51,51-66,2614,0,1,0,0,0,0,0,1,0,1139,42235</v>
      </c>
    </row>
    <row r="373" spans="1:40" ht="13" x14ac:dyDescent="0.15">
      <c r="A373">
        <v>960</v>
      </c>
      <c r="B373" s="1">
        <v>71691</v>
      </c>
      <c r="C373" s="1">
        <v>1149</v>
      </c>
      <c r="D373" s="4">
        <f t="shared" si="10"/>
        <v>1.6027116374440306E-2</v>
      </c>
      <c r="E373" s="1">
        <v>0</v>
      </c>
      <c r="F373" s="1">
        <v>0</v>
      </c>
      <c r="G373" s="1">
        <v>0</v>
      </c>
      <c r="H373" s="1">
        <v>336</v>
      </c>
      <c r="I373" s="1">
        <v>130</v>
      </c>
      <c r="J373" s="1">
        <v>411</v>
      </c>
      <c r="K373" s="1">
        <v>240</v>
      </c>
      <c r="L373" s="1">
        <v>32</v>
      </c>
      <c r="M373" s="1">
        <v>43</v>
      </c>
      <c r="N373" s="1">
        <v>1</v>
      </c>
      <c r="O373" s="1">
        <v>4</v>
      </c>
      <c r="P373" s="1">
        <v>7</v>
      </c>
      <c r="Q373" s="1">
        <v>5</v>
      </c>
      <c r="R373" s="1">
        <v>2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1</v>
      </c>
      <c r="Z373" s="1">
        <v>62</v>
      </c>
      <c r="AA373" s="1" t="str" cm="1">
        <f t="array" ref="AA373">_xlfn.IFS(AND(Z373&lt;36, Z373&gt;23), "24-35", AND(Z373&lt;51, Z373&gt;35),"36-50", AND(Z373&lt;66, Z373&gt;50), "51-66", Z373&gt;65, "66+", TRUE, "?")</f>
        <v>51-66</v>
      </c>
      <c r="AB373" s="1">
        <v>2263</v>
      </c>
      <c r="AC373" s="1">
        <v>0</v>
      </c>
      <c r="AD373" s="1">
        <v>0</v>
      </c>
      <c r="AE373" s="1">
        <v>1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1</v>
      </c>
      <c r="AL373" s="1">
        <v>1106</v>
      </c>
      <c r="AM373" s="2">
        <v>42586</v>
      </c>
      <c r="AN373" t="str">
        <f t="shared" si="11"/>
        <v>71691,1149,0.0160271163744403,0,0,0,336,130,411,240,32,43,1,4,7,5,2,0,0,0,0,0,0,1,62,51-66,2263,0,0,1,0,0,0,0,0,1,1106,42586</v>
      </c>
    </row>
    <row r="374" spans="1:40" ht="13" hidden="1" x14ac:dyDescent="0.15">
      <c r="A374">
        <v>317</v>
      </c>
      <c r="B374" s="1">
        <v>55212</v>
      </c>
      <c r="C374" s="1">
        <v>1148</v>
      </c>
      <c r="D374" s="4">
        <f t="shared" si="10"/>
        <v>2.0792581322900818E-2</v>
      </c>
      <c r="E374" s="1">
        <v>0</v>
      </c>
      <c r="F374" s="1">
        <v>1</v>
      </c>
      <c r="G374" s="1">
        <v>65</v>
      </c>
      <c r="H374" s="1">
        <v>1103</v>
      </c>
      <c r="I374" s="1">
        <v>0</v>
      </c>
      <c r="J374" s="1">
        <v>45</v>
      </c>
      <c r="K374" s="1">
        <v>0</v>
      </c>
      <c r="L374" s="1">
        <v>0</v>
      </c>
      <c r="M374" s="1">
        <v>34</v>
      </c>
      <c r="N374" s="1">
        <v>3</v>
      </c>
      <c r="O374" s="1">
        <v>4</v>
      </c>
      <c r="P374" s="1">
        <v>2</v>
      </c>
      <c r="Q374" s="1">
        <v>11</v>
      </c>
      <c r="R374" s="1">
        <v>8</v>
      </c>
      <c r="S374" s="1">
        <v>0</v>
      </c>
      <c r="T374" s="1">
        <v>1</v>
      </c>
      <c r="U374" s="1">
        <v>0</v>
      </c>
      <c r="V374" s="1">
        <v>1</v>
      </c>
      <c r="W374" s="1">
        <v>0</v>
      </c>
      <c r="X374" s="1">
        <v>0</v>
      </c>
      <c r="Y374" s="1">
        <v>0</v>
      </c>
      <c r="Z374" s="1">
        <v>51</v>
      </c>
      <c r="AA374" s="1" t="str" cm="1">
        <f t="array" ref="AA374">_xlfn.IFS(AND(Z374&lt;36, Z374&gt;23), "24-35", AND(Z374&lt;51, Z374&gt;35),"36-50", AND(Z374&lt;66, Z374&gt;50), "51-66", Z374&gt;65, "66+", TRUE, "?")</f>
        <v>51-66</v>
      </c>
      <c r="AB374" s="1">
        <v>2742</v>
      </c>
      <c r="AC374" s="1">
        <v>0</v>
      </c>
      <c r="AD374" s="1">
        <v>1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1</v>
      </c>
      <c r="AL374" s="1">
        <v>1114</v>
      </c>
      <c r="AM374" s="2">
        <v>42107</v>
      </c>
      <c r="AN374" t="str">
        <f t="shared" si="11"/>
        <v>55212,1148,0.0207925813229008,0,1,65,1103,0,45,0,0,34,3,4,2,11,8,0,1,0,1,0,0,0,51,51-66,2742,0,1,0,0,0,0,0,0,1,1114,42107</v>
      </c>
    </row>
    <row r="375" spans="1:40" ht="13" hidden="1" x14ac:dyDescent="0.15">
      <c r="A375">
        <v>285</v>
      </c>
      <c r="B375" s="1">
        <v>77457</v>
      </c>
      <c r="C375" s="1">
        <v>1146</v>
      </c>
      <c r="D375" s="4">
        <f t="shared" si="10"/>
        <v>1.4795305782563229E-2</v>
      </c>
      <c r="E375" s="1">
        <v>0</v>
      </c>
      <c r="F375" s="1">
        <v>0</v>
      </c>
      <c r="G375" s="1">
        <v>85</v>
      </c>
      <c r="H375" s="1">
        <v>675</v>
      </c>
      <c r="I375" s="1">
        <v>11</v>
      </c>
      <c r="J375" s="1">
        <v>400</v>
      </c>
      <c r="K375" s="1">
        <v>15</v>
      </c>
      <c r="L375" s="1">
        <v>45</v>
      </c>
      <c r="M375" s="1">
        <v>11</v>
      </c>
      <c r="N375" s="1">
        <v>1</v>
      </c>
      <c r="O375" s="1">
        <v>2</v>
      </c>
      <c r="P375" s="1">
        <v>5</v>
      </c>
      <c r="Q375" s="1">
        <v>10</v>
      </c>
      <c r="R375" s="1">
        <v>1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0</v>
      </c>
      <c r="Y375" s="1">
        <v>0</v>
      </c>
      <c r="Z375" s="1">
        <v>73</v>
      </c>
      <c r="AA375" s="1" t="str" cm="1">
        <f t="array" ref="AA375">_xlfn.IFS(AND(Z375&lt;36, Z375&gt;23), "24-35", AND(Z375&lt;51, Z375&gt;35),"36-50", AND(Z375&lt;66, Z375&gt;50), "51-66", Z375&gt;65, "66+", TRUE, "?")</f>
        <v>66+</v>
      </c>
      <c r="AB375" s="1">
        <v>2275</v>
      </c>
      <c r="AC375" s="1">
        <v>0</v>
      </c>
      <c r="AD375" s="1">
        <v>0</v>
      </c>
      <c r="AE375" s="1">
        <v>1</v>
      </c>
      <c r="AF375" s="1">
        <v>0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1135</v>
      </c>
      <c r="AM375" s="2">
        <v>42574</v>
      </c>
      <c r="AN375" t="str">
        <f t="shared" si="11"/>
        <v>77457,1146,0.0147953057825632,0,0,85,675,11,400,15,45,11,1,2,5,10,1,0,0,0,0,1,0,0,73,66+,2275,0,0,1,0,0,0,1,0,0,1135,42574</v>
      </c>
    </row>
    <row r="376" spans="1:40" ht="13" hidden="1" x14ac:dyDescent="0.15">
      <c r="A376">
        <v>754</v>
      </c>
      <c r="B376" s="1">
        <v>82716</v>
      </c>
      <c r="C376" s="1">
        <v>1145</v>
      </c>
      <c r="D376" s="4">
        <f t="shared" si="10"/>
        <v>1.3842545577639151E-2</v>
      </c>
      <c r="E376" s="1">
        <v>0</v>
      </c>
      <c r="F376" s="1">
        <v>0</v>
      </c>
      <c r="G376" s="1">
        <v>8</v>
      </c>
      <c r="H376" s="1">
        <v>606</v>
      </c>
      <c r="I376" s="1">
        <v>148</v>
      </c>
      <c r="J376" s="1">
        <v>228</v>
      </c>
      <c r="K376" s="1">
        <v>15</v>
      </c>
      <c r="L376" s="1">
        <v>148</v>
      </c>
      <c r="M376" s="1">
        <v>22</v>
      </c>
      <c r="N376" s="1">
        <v>1</v>
      </c>
      <c r="O376" s="1">
        <v>6</v>
      </c>
      <c r="P376" s="1">
        <v>8</v>
      </c>
      <c r="Q376" s="1">
        <v>13</v>
      </c>
      <c r="R376" s="1">
        <v>2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76</v>
      </c>
      <c r="AA376" s="1" t="str" cm="1">
        <f t="array" ref="AA376">_xlfn.IFS(AND(Z376&lt;36, Z376&gt;23), "24-35", AND(Z376&lt;51, Z376&gt;35),"36-50", AND(Z376&lt;66, Z376&gt;50), "51-66", Z376&gt;65, "66+", TRUE, "?")</f>
        <v>66+</v>
      </c>
      <c r="AB376" s="1">
        <v>2395</v>
      </c>
      <c r="AC376" s="1">
        <v>0</v>
      </c>
      <c r="AD376" s="1">
        <v>0</v>
      </c>
      <c r="AE376" s="1">
        <v>1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1</v>
      </c>
      <c r="AL376" s="1">
        <v>1123</v>
      </c>
      <c r="AM376" s="2">
        <v>42454</v>
      </c>
      <c r="AN376" t="str">
        <f t="shared" si="11"/>
        <v>82716,1145,0.0138425455776392,0,0,8,606,148,228,15,148,22,1,6,8,13,2,0,0,0,0,0,0,0,76,66+,2395,0,0,1,0,0,0,0,0,1,1123,42454</v>
      </c>
    </row>
    <row r="377" spans="1:40" ht="13" hidden="1" x14ac:dyDescent="0.15">
      <c r="A377">
        <v>196</v>
      </c>
      <c r="B377" s="1">
        <v>70951</v>
      </c>
      <c r="C377" s="1">
        <v>1144</v>
      </c>
      <c r="D377" s="4">
        <f t="shared" si="10"/>
        <v>1.6123803751885105E-2</v>
      </c>
      <c r="E377" s="1">
        <v>0</v>
      </c>
      <c r="F377" s="1">
        <v>0</v>
      </c>
      <c r="G377" s="1">
        <v>66</v>
      </c>
      <c r="H377" s="1">
        <v>239</v>
      </c>
      <c r="I377" s="1">
        <v>10</v>
      </c>
      <c r="J377" s="1">
        <v>554</v>
      </c>
      <c r="K377" s="1">
        <v>254</v>
      </c>
      <c r="L377" s="1">
        <v>87</v>
      </c>
      <c r="M377" s="1">
        <v>54</v>
      </c>
      <c r="N377" s="1">
        <v>1</v>
      </c>
      <c r="O377" s="1">
        <v>3</v>
      </c>
      <c r="P377" s="1">
        <v>4</v>
      </c>
      <c r="Q377" s="1">
        <v>9</v>
      </c>
      <c r="R377" s="1">
        <v>1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35</v>
      </c>
      <c r="AA377" s="1" t="str" cm="1">
        <f t="array" ref="AA377">_xlfn.IFS(AND(Z377&lt;36, Z377&gt;23), "24-35", AND(Z377&lt;51, Z377&gt;35),"36-50", AND(Z377&lt;66, Z377&gt;50), "51-66", Z377&gt;65, "66+", TRUE, "?")</f>
        <v>24-35</v>
      </c>
      <c r="AB377" s="1">
        <v>2580</v>
      </c>
      <c r="AC377" s="1">
        <v>0</v>
      </c>
      <c r="AD377" s="1">
        <v>1</v>
      </c>
      <c r="AE377" s="1">
        <v>0</v>
      </c>
      <c r="AF377" s="1">
        <v>0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1090</v>
      </c>
      <c r="AM377" s="2">
        <v>42269</v>
      </c>
      <c r="AN377" t="str">
        <f t="shared" si="11"/>
        <v>70951,1144,0.0161238037518851,0,0,66,239,10,554,254,87,54,1,3,4,9,1,0,0,0,0,0,0,0,35,24-35,2580,0,1,0,0,0,0,1,0,0,1090,42269</v>
      </c>
    </row>
    <row r="378" spans="1:40" ht="13" x14ac:dyDescent="0.15">
      <c r="A378">
        <v>964</v>
      </c>
      <c r="B378" s="1">
        <v>62845</v>
      </c>
      <c r="C378" s="1">
        <v>1144</v>
      </c>
      <c r="D378" s="4">
        <f t="shared" si="10"/>
        <v>1.8203516588431855E-2</v>
      </c>
      <c r="E378" s="1">
        <v>1</v>
      </c>
      <c r="F378" s="1">
        <v>1</v>
      </c>
      <c r="G378" s="1">
        <v>3</v>
      </c>
      <c r="H378" s="1">
        <v>1099</v>
      </c>
      <c r="I378" s="1">
        <v>0</v>
      </c>
      <c r="J378" s="1">
        <v>45</v>
      </c>
      <c r="K378" s="1">
        <v>0</v>
      </c>
      <c r="L378" s="1">
        <v>0</v>
      </c>
      <c r="M378" s="1">
        <v>34</v>
      </c>
      <c r="N378" s="1">
        <v>11</v>
      </c>
      <c r="O378" s="1">
        <v>3</v>
      </c>
      <c r="P378" s="1">
        <v>4</v>
      </c>
      <c r="Q378" s="1">
        <v>10</v>
      </c>
      <c r="R378" s="1">
        <v>8</v>
      </c>
      <c r="S378" s="1">
        <v>0</v>
      </c>
      <c r="T378" s="1">
        <v>0</v>
      </c>
      <c r="U378" s="1">
        <v>0</v>
      </c>
      <c r="V378" s="1">
        <v>1</v>
      </c>
      <c r="W378" s="1">
        <v>0</v>
      </c>
      <c r="X378" s="1">
        <v>0</v>
      </c>
      <c r="Y378" s="1">
        <v>1</v>
      </c>
      <c r="Z378" s="1">
        <v>71</v>
      </c>
      <c r="AA378" s="1" t="str" cm="1">
        <f t="array" ref="AA378">_xlfn.IFS(AND(Z378&lt;36, Z378&gt;23), "24-35", AND(Z378&lt;51, Z378&gt;35),"36-50", AND(Z378&lt;66, Z378&gt;50), "51-66", Z378&gt;65, "66+", TRUE, "?")</f>
        <v>66+</v>
      </c>
      <c r="AB378" s="1">
        <v>2795</v>
      </c>
      <c r="AC378" s="1">
        <v>0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</v>
      </c>
      <c r="AK378" s="1">
        <v>0</v>
      </c>
      <c r="AL378" s="1">
        <v>1110</v>
      </c>
      <c r="AM378" s="2">
        <v>42054</v>
      </c>
      <c r="AN378" t="str">
        <f t="shared" si="11"/>
        <v>62845,1144,0.0182035165884319,1,1,3,1099,0,45,0,0,34,11,3,4,10,8,0,0,0,1,0,0,1,71,66+,2795,0,1,0,0,0,0,0,1,0,1110,42054</v>
      </c>
    </row>
    <row r="379" spans="1:40" ht="13" hidden="1" x14ac:dyDescent="0.15">
      <c r="A379">
        <v>996</v>
      </c>
      <c r="B379" s="1">
        <v>62845</v>
      </c>
      <c r="C379" s="1">
        <v>1144</v>
      </c>
      <c r="D379" s="4">
        <f t="shared" si="10"/>
        <v>1.8203516588431855E-2</v>
      </c>
      <c r="E379" s="1">
        <v>1</v>
      </c>
      <c r="F379" s="1">
        <v>1</v>
      </c>
      <c r="G379" s="1">
        <v>3</v>
      </c>
      <c r="H379" s="1">
        <v>1099</v>
      </c>
      <c r="I379" s="1">
        <v>0</v>
      </c>
      <c r="J379" s="1">
        <v>45</v>
      </c>
      <c r="K379" s="1">
        <v>0</v>
      </c>
      <c r="L379" s="1">
        <v>0</v>
      </c>
      <c r="M379" s="1">
        <v>34</v>
      </c>
      <c r="N379" s="1">
        <v>11</v>
      </c>
      <c r="O379" s="1">
        <v>3</v>
      </c>
      <c r="P379" s="1">
        <v>4</v>
      </c>
      <c r="Q379" s="1">
        <v>10</v>
      </c>
      <c r="R379" s="1">
        <v>8</v>
      </c>
      <c r="S379" s="1">
        <v>0</v>
      </c>
      <c r="T379" s="1">
        <v>0</v>
      </c>
      <c r="U379" s="1">
        <v>0</v>
      </c>
      <c r="V379" s="1">
        <v>1</v>
      </c>
      <c r="W379" s="1">
        <v>0</v>
      </c>
      <c r="X379" s="1">
        <v>0</v>
      </c>
      <c r="Y379" s="1">
        <v>0</v>
      </c>
      <c r="Z379" s="1">
        <v>71</v>
      </c>
      <c r="AA379" s="1" t="str" cm="1">
        <f t="array" ref="AA379">_xlfn.IFS(AND(Z379&lt;36, Z379&gt;23), "24-35", AND(Z379&lt;51, Z379&gt;35),"36-50", AND(Z379&lt;66, Z379&gt;50), "51-66", Z379&gt;65, "66+", TRUE, "?")</f>
        <v>66+</v>
      </c>
      <c r="AB379" s="1">
        <v>2795</v>
      </c>
      <c r="AC379" s="1">
        <v>0</v>
      </c>
      <c r="AD379" s="1">
        <v>1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s="1">
        <v>1110</v>
      </c>
      <c r="AM379" s="2">
        <v>42054</v>
      </c>
      <c r="AN379" t="str">
        <f t="shared" si="11"/>
        <v>62845,1144,0.0182035165884319,1,1,3,1099,0,45,0,0,34,11,3,4,10,8,0,0,0,1,0,0,0,71,66+,2795,0,1,0,0,0,0,0,1,0,1110,42054</v>
      </c>
    </row>
    <row r="380" spans="1:40" ht="13" x14ac:dyDescent="0.15">
      <c r="A380">
        <v>968</v>
      </c>
      <c r="B380" s="1">
        <v>65169</v>
      </c>
      <c r="C380" s="1">
        <v>1143</v>
      </c>
      <c r="D380" s="4">
        <f t="shared" si="10"/>
        <v>1.7539013948349676E-2</v>
      </c>
      <c r="E380" s="1">
        <v>0</v>
      </c>
      <c r="F380" s="1">
        <v>0</v>
      </c>
      <c r="G380" s="1">
        <v>23</v>
      </c>
      <c r="H380" s="1">
        <v>1074</v>
      </c>
      <c r="I380" s="1">
        <v>0</v>
      </c>
      <c r="J380" s="1">
        <v>69</v>
      </c>
      <c r="K380" s="1">
        <v>0</v>
      </c>
      <c r="L380" s="1">
        <v>0</v>
      </c>
      <c r="M380" s="1">
        <v>46</v>
      </c>
      <c r="N380" s="1">
        <v>1</v>
      </c>
      <c r="O380" s="1">
        <v>10</v>
      </c>
      <c r="P380" s="1">
        <v>4</v>
      </c>
      <c r="Q380" s="1">
        <v>13</v>
      </c>
      <c r="R380" s="1">
        <v>6</v>
      </c>
      <c r="S380" s="1">
        <v>1</v>
      </c>
      <c r="T380" s="1">
        <v>1</v>
      </c>
      <c r="U380" s="1">
        <v>1</v>
      </c>
      <c r="V380" s="1">
        <v>0</v>
      </c>
      <c r="W380" s="1">
        <v>1</v>
      </c>
      <c r="X380" s="1">
        <v>0</v>
      </c>
      <c r="Y380" s="1">
        <v>1</v>
      </c>
      <c r="Z380" s="1">
        <v>38</v>
      </c>
      <c r="AA380" s="1" t="str" cm="1">
        <f t="array" ref="AA380">_xlfn.IFS(AND(Z380&lt;36, Z380&gt;23), "24-35", AND(Z380&lt;51, Z380&gt;35),"36-50", AND(Z380&lt;66, Z380&gt;50), "51-66", Z380&gt;65, "66+", TRUE, "?")</f>
        <v>36-50</v>
      </c>
      <c r="AB380" s="1">
        <v>2325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>
        <v>1</v>
      </c>
      <c r="AJ380" s="1">
        <v>0</v>
      </c>
      <c r="AK380" s="1">
        <v>0</v>
      </c>
      <c r="AL380" s="1">
        <v>1097</v>
      </c>
      <c r="AM380" s="2">
        <v>42524</v>
      </c>
      <c r="AN380" t="str">
        <f t="shared" si="11"/>
        <v>65169,1143,0.0175390139483497,0,0,23,1074,0,69,0,0,46,1,10,4,13,6,1,1,1,0,1,0,1,38,36-50,2325,0,1,0,0,0,0,1,0,0,1097,42524</v>
      </c>
    </row>
    <row r="381" spans="1:40" ht="13" hidden="1" x14ac:dyDescent="0.15">
      <c r="A381">
        <v>794</v>
      </c>
      <c r="B381" s="1">
        <v>61618</v>
      </c>
      <c r="C381" s="1">
        <v>1140</v>
      </c>
      <c r="D381" s="4">
        <f t="shared" si="10"/>
        <v>1.8501087344607096E-2</v>
      </c>
      <c r="E381" s="1">
        <v>0</v>
      </c>
      <c r="F381" s="1">
        <v>0</v>
      </c>
      <c r="G381" s="1">
        <v>27</v>
      </c>
      <c r="H381" s="1">
        <v>605</v>
      </c>
      <c r="I381" s="1">
        <v>91</v>
      </c>
      <c r="J381" s="1">
        <v>399</v>
      </c>
      <c r="K381" s="1">
        <v>0</v>
      </c>
      <c r="L381" s="1">
        <v>45</v>
      </c>
      <c r="M381" s="1">
        <v>205</v>
      </c>
      <c r="N381" s="1">
        <v>2</v>
      </c>
      <c r="O381" s="1">
        <v>3</v>
      </c>
      <c r="P381" s="1">
        <v>6</v>
      </c>
      <c r="Q381" s="1">
        <v>8</v>
      </c>
      <c r="R381" s="1">
        <v>3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29</v>
      </c>
      <c r="AA381" s="1" t="str" cm="1">
        <f t="array" ref="AA381">_xlfn.IFS(AND(Z381&lt;36, Z381&gt;23), "24-35", AND(Z381&lt;51, Z381&gt;35),"36-50", AND(Z381&lt;66, Z381&gt;50), "51-66", Z381&gt;65, "66+", TRUE, "?")</f>
        <v>24-35</v>
      </c>
      <c r="AB381" s="1">
        <v>2797</v>
      </c>
      <c r="AC381" s="1">
        <v>0</v>
      </c>
      <c r="AD381" s="1">
        <v>0</v>
      </c>
      <c r="AE381" s="1">
        <v>1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>
        <v>0</v>
      </c>
      <c r="AL381" s="1">
        <v>935</v>
      </c>
      <c r="AM381" s="2">
        <v>42052</v>
      </c>
      <c r="AN381" t="str">
        <f t="shared" si="11"/>
        <v>61618,1140,0.0185010873446071,0,0,27,605,91,399,0,45,205,2,3,6,8,3,0,0,0,0,0,0,0,29,24-35,2797,0,0,1,0,0,1,0,0,0,935,42052</v>
      </c>
    </row>
    <row r="382" spans="1:40" ht="13" hidden="1" x14ac:dyDescent="0.15">
      <c r="A382">
        <v>1043</v>
      </c>
      <c r="B382" s="1">
        <v>76773</v>
      </c>
      <c r="C382" s="1">
        <v>1140</v>
      </c>
      <c r="D382" s="4">
        <f t="shared" si="10"/>
        <v>1.4848970341135555E-2</v>
      </c>
      <c r="E382" s="1">
        <v>0</v>
      </c>
      <c r="F382" s="1">
        <v>0</v>
      </c>
      <c r="G382" s="1">
        <v>79</v>
      </c>
      <c r="H382" s="1">
        <v>516</v>
      </c>
      <c r="I382" s="1">
        <v>56</v>
      </c>
      <c r="J382" s="1">
        <v>449</v>
      </c>
      <c r="K382" s="1">
        <v>86</v>
      </c>
      <c r="L382" s="1">
        <v>33</v>
      </c>
      <c r="M382" s="1">
        <v>16</v>
      </c>
      <c r="N382" s="1">
        <v>1</v>
      </c>
      <c r="O382" s="1">
        <v>2</v>
      </c>
      <c r="P382" s="1">
        <v>2</v>
      </c>
      <c r="Q382" s="1">
        <v>11</v>
      </c>
      <c r="R382" s="1">
        <v>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66</v>
      </c>
      <c r="AA382" s="1" t="str" cm="1">
        <f t="array" ref="AA382">_xlfn.IFS(AND(Z382&lt;36, Z382&gt;23), "24-35", AND(Z382&lt;51, Z382&gt;35),"36-50", AND(Z382&lt;66, Z382&gt;50), "51-66", Z382&gt;65, "66+", TRUE, "?")</f>
        <v>66+</v>
      </c>
      <c r="AB382" s="1">
        <v>2648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>
        <v>0</v>
      </c>
      <c r="AL382" s="1">
        <v>1124</v>
      </c>
      <c r="AM382" s="2">
        <v>42201</v>
      </c>
      <c r="AN382" t="str">
        <f t="shared" si="11"/>
        <v>76773,1140,0.0148489703411356,0,0,79,516,56,449,86,33,16,1,2,2,11,1,0,0,0,0,0,0,0,66,66+,2648,1,0,0,0,0,0,1,0,0,1124,42201</v>
      </c>
    </row>
    <row r="383" spans="1:40" ht="13" x14ac:dyDescent="0.15">
      <c r="A383">
        <v>969</v>
      </c>
      <c r="B383" s="1">
        <v>66334</v>
      </c>
      <c r="C383" s="1">
        <v>1138</v>
      </c>
      <c r="D383" s="4">
        <f t="shared" si="10"/>
        <v>1.715560647631682E-2</v>
      </c>
      <c r="E383" s="1">
        <v>0</v>
      </c>
      <c r="F383" s="1">
        <v>1</v>
      </c>
      <c r="G383" s="1">
        <v>82</v>
      </c>
      <c r="H383" s="1">
        <v>909</v>
      </c>
      <c r="I383" s="1">
        <v>11</v>
      </c>
      <c r="J383" s="1">
        <v>218</v>
      </c>
      <c r="K383" s="1">
        <v>0</v>
      </c>
      <c r="L383" s="1">
        <v>0</v>
      </c>
      <c r="M383" s="1">
        <v>23</v>
      </c>
      <c r="N383" s="1">
        <v>2</v>
      </c>
      <c r="O383" s="1">
        <v>9</v>
      </c>
      <c r="P383" s="1">
        <v>3</v>
      </c>
      <c r="Q383" s="1">
        <v>5</v>
      </c>
      <c r="R383" s="1">
        <v>5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64</v>
      </c>
      <c r="AA383" s="1" t="str" cm="1">
        <f t="array" ref="AA383">_xlfn.IFS(AND(Z383&lt;36, Z383&gt;23), "24-35", AND(Z383&lt;51, Z383&gt;35),"36-50", AND(Z383&lt;66, Z383&gt;50), "51-66", Z383&gt;65, "66+", TRUE, "?")</f>
        <v>51-66</v>
      </c>
      <c r="AB383" s="1">
        <v>2611</v>
      </c>
      <c r="AC383" s="1">
        <v>0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1</v>
      </c>
      <c r="AL383" s="1">
        <v>1115</v>
      </c>
      <c r="AM383" s="2">
        <v>42238</v>
      </c>
      <c r="AN383" t="str">
        <f t="shared" si="11"/>
        <v>66334,1138,0.0171556064763168,0,1,82,909,11,218,0,0,23,2,9,3,5,5,0,0,0,0,0,0,1,64,51-66,2611,0,1,0,0,0,0,0,0,1,1115,42238</v>
      </c>
    </row>
    <row r="384" spans="1:40" ht="13" hidden="1" x14ac:dyDescent="0.15">
      <c r="A384">
        <v>1585</v>
      </c>
      <c r="B384" s="1">
        <v>71107</v>
      </c>
      <c r="C384" s="1">
        <v>1132</v>
      </c>
      <c r="D384" s="4">
        <f t="shared" si="10"/>
        <v>1.5919670355942453E-2</v>
      </c>
      <c r="E384" s="1">
        <v>0</v>
      </c>
      <c r="F384" s="1">
        <v>1</v>
      </c>
      <c r="G384" s="1">
        <v>61</v>
      </c>
      <c r="H384" s="1">
        <v>533</v>
      </c>
      <c r="I384" s="1">
        <v>10</v>
      </c>
      <c r="J384" s="1">
        <v>217</v>
      </c>
      <c r="K384" s="1">
        <v>198</v>
      </c>
      <c r="L384" s="1">
        <v>174</v>
      </c>
      <c r="M384" s="1">
        <v>195</v>
      </c>
      <c r="N384" s="1">
        <v>2</v>
      </c>
      <c r="O384" s="1">
        <v>7</v>
      </c>
      <c r="P384" s="1">
        <v>6</v>
      </c>
      <c r="Q384" s="1">
        <v>13</v>
      </c>
      <c r="R384" s="1">
        <v>4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69</v>
      </c>
      <c r="AA384" s="1" t="str" cm="1">
        <f t="array" ref="AA384">_xlfn.IFS(AND(Z384&lt;36, Z384&gt;23), "24-35", AND(Z384&lt;51, Z384&gt;35),"36-50", AND(Z384&lt;66, Z384&gt;50), "51-66", Z384&gt;65, "66+", TRUE, "?")</f>
        <v>66+</v>
      </c>
      <c r="AB384" s="1">
        <v>2656</v>
      </c>
      <c r="AC384" s="1">
        <v>0</v>
      </c>
      <c r="AD384" s="1">
        <v>1</v>
      </c>
      <c r="AE384" s="1">
        <v>0</v>
      </c>
      <c r="AF384" s="1">
        <v>0</v>
      </c>
      <c r="AG384" s="1">
        <v>0</v>
      </c>
      <c r="AH384" s="1">
        <v>0</v>
      </c>
      <c r="AI384" s="1">
        <v>1</v>
      </c>
      <c r="AJ384" s="1">
        <v>0</v>
      </c>
      <c r="AK384" s="1">
        <v>0</v>
      </c>
      <c r="AL384" s="1">
        <v>937</v>
      </c>
      <c r="AM384" s="2">
        <v>42193</v>
      </c>
      <c r="AN384" t="str">
        <f t="shared" si="11"/>
        <v>71107,1132,0.0159196703559425,0,1,61,533,10,217,198,174,195,2,7,6,13,4,0,0,0,0,0,0,0,69,66+,2656,0,1,0,0,0,0,1,0,0,937,42193</v>
      </c>
    </row>
    <row r="385" spans="1:40" ht="13" hidden="1" x14ac:dyDescent="0.15">
      <c r="A385">
        <v>399</v>
      </c>
      <c r="B385" s="1">
        <v>75433</v>
      </c>
      <c r="C385" s="1">
        <v>1131</v>
      </c>
      <c r="D385" s="4">
        <f t="shared" si="10"/>
        <v>1.4993437885275676E-2</v>
      </c>
      <c r="E385" s="1">
        <v>1</v>
      </c>
      <c r="F385" s="1">
        <v>0</v>
      </c>
      <c r="G385" s="1">
        <v>28</v>
      </c>
      <c r="H385" s="1">
        <v>800</v>
      </c>
      <c r="I385" s="1">
        <v>0</v>
      </c>
      <c r="J385" s="1">
        <v>297</v>
      </c>
      <c r="K385" s="1">
        <v>0</v>
      </c>
      <c r="L385" s="1">
        <v>34</v>
      </c>
      <c r="M385" s="1">
        <v>57</v>
      </c>
      <c r="N385" s="1">
        <v>2</v>
      </c>
      <c r="O385" s="1">
        <v>2</v>
      </c>
      <c r="P385" s="1">
        <v>5</v>
      </c>
      <c r="Q385" s="1">
        <v>10</v>
      </c>
      <c r="R385" s="1">
        <v>6</v>
      </c>
      <c r="S385" s="1">
        <v>1</v>
      </c>
      <c r="T385" s="1">
        <v>0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31</v>
      </c>
      <c r="AA385" s="1" t="str" cm="1">
        <f t="array" ref="AA385">_xlfn.IFS(AND(Z385&lt;36, Z385&gt;23), "24-35", AND(Z385&lt;51, Z385&gt;35),"36-50", AND(Z385&lt;66, Z385&gt;50), "51-66", Z385&gt;65, "66+", TRUE, "?")</f>
        <v>24-35</v>
      </c>
      <c r="AB385" s="1">
        <v>2244</v>
      </c>
      <c r="AC385" s="1">
        <v>0</v>
      </c>
      <c r="AD385" s="1">
        <v>1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1">
        <v>1074</v>
      </c>
      <c r="AM385" s="2">
        <v>42605</v>
      </c>
      <c r="AN385" t="str">
        <f t="shared" si="11"/>
        <v>75433,1131,0.0149934378852757,1,0,28,800,0,297,0,34,57,2,2,5,10,6,1,0,0,1,0,0,0,31,24-35,2244,0,1,0,0,0,0,1,0,0,1074,42605</v>
      </c>
    </row>
    <row r="386" spans="1:40" ht="13" hidden="1" x14ac:dyDescent="0.15">
      <c r="A386">
        <v>1374</v>
      </c>
      <c r="B386" s="1">
        <v>75484</v>
      </c>
      <c r="C386" s="1">
        <v>1125</v>
      </c>
      <c r="D386" s="4">
        <f t="shared" ref="D386:D449" si="12">C386/B386</f>
        <v>1.4903820677229611E-2</v>
      </c>
      <c r="E386" s="1">
        <v>0</v>
      </c>
      <c r="F386" s="1">
        <v>1</v>
      </c>
      <c r="G386" s="1">
        <v>50</v>
      </c>
      <c r="H386" s="1">
        <v>378</v>
      </c>
      <c r="I386" s="1">
        <v>97</v>
      </c>
      <c r="J386" s="1">
        <v>259</v>
      </c>
      <c r="K386" s="1">
        <v>197</v>
      </c>
      <c r="L386" s="1">
        <v>194</v>
      </c>
      <c r="M386" s="1">
        <v>34</v>
      </c>
      <c r="N386" s="1">
        <v>2</v>
      </c>
      <c r="O386" s="1">
        <v>7</v>
      </c>
      <c r="P386" s="1">
        <v>3</v>
      </c>
      <c r="Q386" s="1">
        <v>6</v>
      </c>
      <c r="R386" s="1">
        <v>4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44</v>
      </c>
      <c r="AA386" s="1" t="str" cm="1">
        <f t="array" ref="AA386">_xlfn.IFS(AND(Z386&lt;36, Z386&gt;23), "24-35", AND(Z386&lt;51, Z386&gt;35),"36-50", AND(Z386&lt;66, Z386&gt;50), "51-66", Z386&gt;65, "66+", TRUE, "?")</f>
        <v>36-50</v>
      </c>
      <c r="AB386" s="1">
        <v>2855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1</v>
      </c>
      <c r="AI386" s="1">
        <v>0</v>
      </c>
      <c r="AJ386" s="1">
        <v>0</v>
      </c>
      <c r="AK386" s="1">
        <v>0</v>
      </c>
      <c r="AL386" s="1">
        <v>1091</v>
      </c>
      <c r="AM386" s="2">
        <v>41994</v>
      </c>
      <c r="AN386" t="str">
        <f t="shared" ref="AN386:AN449" si="13">_xlfn.TEXTJOIN(",",TRUE,B386:AM386)</f>
        <v>75484,1125,0.0149038206772296,0,1,50,378,97,259,197,194,34,2,7,3,6,4,0,0,0,0,0,0,0,44,36-50,2855,0,0,0,1,0,1,0,0,0,1091,41994</v>
      </c>
    </row>
    <row r="387" spans="1:40" ht="13" hidden="1" x14ac:dyDescent="0.15">
      <c r="A387">
        <v>1634</v>
      </c>
      <c r="B387" s="1">
        <v>60839</v>
      </c>
      <c r="C387" s="1">
        <v>1122</v>
      </c>
      <c r="D387" s="4">
        <f t="shared" si="12"/>
        <v>1.84421177205411E-2</v>
      </c>
      <c r="E387" s="1">
        <v>1</v>
      </c>
      <c r="F387" s="1">
        <v>1</v>
      </c>
      <c r="G387" s="1">
        <v>72</v>
      </c>
      <c r="H387" s="1">
        <v>600</v>
      </c>
      <c r="I387" s="1">
        <v>21</v>
      </c>
      <c r="J387" s="1">
        <v>128</v>
      </c>
      <c r="K387" s="1">
        <v>223</v>
      </c>
      <c r="L387" s="1">
        <v>150</v>
      </c>
      <c r="M387" s="1">
        <v>128</v>
      </c>
      <c r="N387" s="1">
        <v>13</v>
      </c>
      <c r="O387" s="1">
        <v>2</v>
      </c>
      <c r="P387" s="1">
        <v>2</v>
      </c>
      <c r="Q387" s="1">
        <v>12</v>
      </c>
      <c r="R387" s="1">
        <v>8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41</v>
      </c>
      <c r="AA387" s="1" t="str" cm="1">
        <f t="array" ref="AA387">_xlfn.IFS(AND(Z387&lt;36, Z387&gt;23), "24-35", AND(Z387&lt;51, Z387&gt;35),"36-50", AND(Z387&lt;66, Z387&gt;50), "51-66", Z387&gt;65, "66+", TRUE, "?")</f>
        <v>36-50</v>
      </c>
      <c r="AB387" s="1">
        <v>2829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1</v>
      </c>
      <c r="AI387" s="1">
        <v>0</v>
      </c>
      <c r="AJ387" s="1">
        <v>0</v>
      </c>
      <c r="AK387" s="1">
        <v>0</v>
      </c>
      <c r="AL387" s="1">
        <v>994</v>
      </c>
      <c r="AM387" s="2">
        <v>42020</v>
      </c>
      <c r="AN387" t="str">
        <f t="shared" si="13"/>
        <v>60839,1122,0.0184421177205411,1,1,72,600,21,128,223,150,128,13,2,2,12,8,0,0,0,0,0,0,0,41,36-50,2829,0,0,0,1,0,1,0,0,0,994,42020</v>
      </c>
    </row>
    <row r="388" spans="1:40" ht="13" hidden="1" x14ac:dyDescent="0.15">
      <c r="A388">
        <v>235</v>
      </c>
      <c r="B388" s="1">
        <v>75702</v>
      </c>
      <c r="C388" s="1">
        <v>1118</v>
      </c>
      <c r="D388" s="4">
        <f t="shared" si="12"/>
        <v>1.4768434123272833E-2</v>
      </c>
      <c r="E388" s="1">
        <v>1</v>
      </c>
      <c r="F388" s="1">
        <v>1</v>
      </c>
      <c r="G388" s="1">
        <v>77</v>
      </c>
      <c r="H388" s="1">
        <v>650</v>
      </c>
      <c r="I388" s="1">
        <v>28</v>
      </c>
      <c r="J388" s="1">
        <v>353</v>
      </c>
      <c r="K388" s="1">
        <v>45</v>
      </c>
      <c r="L388" s="1">
        <v>42</v>
      </c>
      <c r="M388" s="1">
        <v>30</v>
      </c>
      <c r="N388" s="1">
        <v>5</v>
      </c>
      <c r="O388" s="1">
        <v>4</v>
      </c>
      <c r="P388" s="1">
        <v>6</v>
      </c>
      <c r="Q388" s="1">
        <v>11</v>
      </c>
      <c r="R388" s="1">
        <v>8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53</v>
      </c>
      <c r="AA388" s="1" t="str" cm="1">
        <f t="array" ref="AA388">_xlfn.IFS(AND(Z388&lt;36, Z388&gt;23), "24-35", AND(Z388&lt;51, Z388&gt;35),"36-50", AND(Z388&lt;66, Z388&gt;50), "51-66", Z388&gt;65, "66+", TRUE, "?")</f>
        <v>51-66</v>
      </c>
      <c r="AB388" s="1">
        <v>2828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1</v>
      </c>
      <c r="AJ388" s="1">
        <v>0</v>
      </c>
      <c r="AK388" s="1">
        <v>0</v>
      </c>
      <c r="AL388" s="1">
        <v>1088</v>
      </c>
      <c r="AM388" s="2">
        <v>42021</v>
      </c>
      <c r="AN388" t="str">
        <f t="shared" si="13"/>
        <v>75702,1118,0.0147684341232728,1,1,77,650,28,353,45,42,30,5,4,6,11,8,0,0,0,0,0,0,0,53,51-66,2828,0,0,0,1,0,0,1,0,0,1088,42021</v>
      </c>
    </row>
    <row r="389" spans="1:40" ht="13" x14ac:dyDescent="0.15">
      <c r="A389">
        <v>975</v>
      </c>
      <c r="B389" s="1">
        <v>70515</v>
      </c>
      <c r="C389" s="1">
        <v>1118</v>
      </c>
      <c r="D389" s="4">
        <f t="shared" si="12"/>
        <v>1.5854782670353826E-2</v>
      </c>
      <c r="E389" s="1">
        <v>0</v>
      </c>
      <c r="F389" s="1">
        <v>0</v>
      </c>
      <c r="G389" s="1">
        <v>12</v>
      </c>
      <c r="H389" s="1">
        <v>420</v>
      </c>
      <c r="I389" s="1">
        <v>0</v>
      </c>
      <c r="J389" s="1">
        <v>452</v>
      </c>
      <c r="K389" s="1">
        <v>182</v>
      </c>
      <c r="L389" s="1">
        <v>64</v>
      </c>
      <c r="M389" s="1">
        <v>140</v>
      </c>
      <c r="N389" s="1">
        <v>1</v>
      </c>
      <c r="O389" s="1">
        <v>6</v>
      </c>
      <c r="P389" s="1">
        <v>6</v>
      </c>
      <c r="Q389" s="1">
        <v>4</v>
      </c>
      <c r="R389" s="1">
        <v>2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</v>
      </c>
      <c r="Z389" s="1">
        <v>27</v>
      </c>
      <c r="AA389" s="1" t="str" cm="1">
        <f t="array" ref="AA389">_xlfn.IFS(AND(Z389&lt;36, Z389&gt;23), "24-35", AND(Z389&lt;51, Z389&gt;35),"36-50", AND(Z389&lt;66, Z389&gt;50), "51-66", Z389&gt;65, "66+", TRUE, "?")</f>
        <v>24-35</v>
      </c>
      <c r="AB389" s="1">
        <v>2410</v>
      </c>
      <c r="AC389" s="1">
        <v>0</v>
      </c>
      <c r="AD389" s="1">
        <v>0</v>
      </c>
      <c r="AE389" s="1">
        <v>1</v>
      </c>
      <c r="AF389" s="1">
        <v>0</v>
      </c>
      <c r="AG389" s="1">
        <v>0</v>
      </c>
      <c r="AH389" s="1">
        <v>0</v>
      </c>
      <c r="AI389" s="1">
        <v>1</v>
      </c>
      <c r="AJ389" s="1">
        <v>0</v>
      </c>
      <c r="AK389" s="1">
        <v>0</v>
      </c>
      <c r="AL389" s="1">
        <v>978</v>
      </c>
      <c r="AM389" s="2">
        <v>42439</v>
      </c>
      <c r="AN389" t="str">
        <f t="shared" si="13"/>
        <v>70515,1118,0.0158547826703538,0,0,12,420,0,452,182,64,140,1,6,6,4,2,0,0,0,0,0,0,1,27,24-35,2410,0,0,1,0,0,0,1,0,0,978,42439</v>
      </c>
    </row>
    <row r="390" spans="1:40" ht="13" hidden="1" x14ac:dyDescent="0.15">
      <c r="A390">
        <v>1996</v>
      </c>
      <c r="B390" s="1">
        <v>61014</v>
      </c>
      <c r="C390" s="1">
        <v>1118</v>
      </c>
      <c r="D390" s="4">
        <f t="shared" si="12"/>
        <v>1.8323663421509817E-2</v>
      </c>
      <c r="E390" s="1">
        <v>0</v>
      </c>
      <c r="F390" s="1">
        <v>1</v>
      </c>
      <c r="G390" s="1">
        <v>17</v>
      </c>
      <c r="H390" s="1">
        <v>269</v>
      </c>
      <c r="I390" s="1">
        <v>129</v>
      </c>
      <c r="J390" s="1">
        <v>495</v>
      </c>
      <c r="K390" s="1">
        <v>182</v>
      </c>
      <c r="L390" s="1">
        <v>43</v>
      </c>
      <c r="M390" s="1">
        <v>29</v>
      </c>
      <c r="N390" s="1">
        <v>4</v>
      </c>
      <c r="O390" s="1">
        <v>9</v>
      </c>
      <c r="P390" s="1">
        <v>3</v>
      </c>
      <c r="Q390" s="1">
        <v>4</v>
      </c>
      <c r="R390" s="1">
        <v>7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40</v>
      </c>
      <c r="AA390" s="1" t="str" cm="1">
        <f t="array" ref="AA390">_xlfn.IFS(AND(Z390&lt;36, Z390&gt;23), "24-35", AND(Z390&lt;51, Z390&gt;35),"36-50", AND(Z390&lt;66, Z390&gt;50), "51-66", Z390&gt;65, "66+", TRUE, "?")</f>
        <v>36-50</v>
      </c>
      <c r="AB390" s="1">
        <v>2846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1">
        <v>1089</v>
      </c>
      <c r="AM390" s="2">
        <v>42003</v>
      </c>
      <c r="AN390" t="str">
        <f t="shared" si="13"/>
        <v>61014,1118,0.0183236634215098,0,1,17,269,129,495,182,43,29,4,9,3,4,7,0,0,0,0,0,0,0,40,36-50,2846,0,1,0,0,0,0,1,0,0,1089,42003</v>
      </c>
    </row>
    <row r="391" spans="1:40" ht="13" hidden="1" x14ac:dyDescent="0.15">
      <c r="A391">
        <v>1252</v>
      </c>
      <c r="B391" s="1">
        <v>71853</v>
      </c>
      <c r="C391" s="1">
        <v>1117</v>
      </c>
      <c r="D391" s="4">
        <f t="shared" si="12"/>
        <v>1.5545627879142137E-2</v>
      </c>
      <c r="E391" s="1">
        <v>0</v>
      </c>
      <c r="F391" s="1">
        <v>0</v>
      </c>
      <c r="G391" s="1">
        <v>29</v>
      </c>
      <c r="H391" s="1">
        <v>358</v>
      </c>
      <c r="I391" s="1">
        <v>108</v>
      </c>
      <c r="J391" s="1">
        <v>413</v>
      </c>
      <c r="K391" s="1">
        <v>141</v>
      </c>
      <c r="L391" s="1">
        <v>97</v>
      </c>
      <c r="M391" s="1">
        <v>32</v>
      </c>
      <c r="N391" s="1">
        <v>1</v>
      </c>
      <c r="O391" s="1">
        <v>2</v>
      </c>
      <c r="P391" s="1">
        <v>8</v>
      </c>
      <c r="Q391" s="1">
        <v>6</v>
      </c>
      <c r="R391" s="1">
        <v>1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38</v>
      </c>
      <c r="AA391" s="1" t="str" cm="1">
        <f t="array" ref="AA391">_xlfn.IFS(AND(Z391&lt;36, Z391&gt;23), "24-35", AND(Z391&lt;51, Z391&gt;35),"36-50", AND(Z391&lt;66, Z391&gt;50), "51-66", Z391&gt;65, "66+", TRUE, "?")</f>
        <v>36-50</v>
      </c>
      <c r="AB391" s="1">
        <v>2576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1</v>
      </c>
      <c r="AJ391" s="1">
        <v>0</v>
      </c>
      <c r="AK391" s="1">
        <v>0</v>
      </c>
      <c r="AL391" s="1">
        <v>1085</v>
      </c>
      <c r="AM391" s="2">
        <v>42273</v>
      </c>
      <c r="AN391" t="str">
        <f t="shared" si="13"/>
        <v>71853,1117,0.0155456278791421,0,0,29,358,108,413,141,97,32,1,2,8,6,1,0,0,0,0,0,0,0,38,36-50,2576,0,0,0,1,0,0,1,0,0,1085,42273</v>
      </c>
    </row>
    <row r="392" spans="1:40" ht="13" hidden="1" x14ac:dyDescent="0.15">
      <c r="A392">
        <v>1791</v>
      </c>
      <c r="B392" s="1">
        <v>77226</v>
      </c>
      <c r="C392" s="1">
        <v>1117</v>
      </c>
      <c r="D392" s="4">
        <f t="shared" si="12"/>
        <v>1.4464040608085359E-2</v>
      </c>
      <c r="E392" s="1">
        <v>0</v>
      </c>
      <c r="F392" s="1">
        <v>1</v>
      </c>
      <c r="G392" s="1">
        <v>29</v>
      </c>
      <c r="H392" s="1">
        <v>631</v>
      </c>
      <c r="I392" s="1">
        <v>43</v>
      </c>
      <c r="J392" s="1">
        <v>239</v>
      </c>
      <c r="K392" s="1">
        <v>128</v>
      </c>
      <c r="L392" s="1">
        <v>76</v>
      </c>
      <c r="M392" s="1">
        <v>21</v>
      </c>
      <c r="N392" s="1">
        <v>2</v>
      </c>
      <c r="O392" s="1">
        <v>6</v>
      </c>
      <c r="P392" s="1">
        <v>8</v>
      </c>
      <c r="Q392" s="1">
        <v>12</v>
      </c>
      <c r="R392" s="1">
        <v>3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57</v>
      </c>
      <c r="AA392" s="1" t="str" cm="1">
        <f t="array" ref="AA392">_xlfn.IFS(AND(Z392&lt;36, Z392&gt;23), "24-35", AND(Z392&lt;51, Z392&gt;35),"36-50", AND(Z392&lt;66, Z392&gt;50), "51-66", Z392&gt;65, "66+", TRUE, "?")</f>
        <v>51-66</v>
      </c>
      <c r="AB392" s="1">
        <v>2280</v>
      </c>
      <c r="AC392" s="1">
        <v>0</v>
      </c>
      <c r="AD392" s="1">
        <v>0</v>
      </c>
      <c r="AE392" s="1">
        <v>0</v>
      </c>
      <c r="AF392" s="1">
        <v>1</v>
      </c>
      <c r="AG392" s="1">
        <v>0</v>
      </c>
      <c r="AH392" s="1">
        <v>0</v>
      </c>
      <c r="AI392" s="1">
        <v>1</v>
      </c>
      <c r="AJ392" s="1">
        <v>0</v>
      </c>
      <c r="AK392" s="1">
        <v>0</v>
      </c>
      <c r="AL392" s="1">
        <v>1096</v>
      </c>
      <c r="AM392" s="2">
        <v>42569</v>
      </c>
      <c r="AN392" t="str">
        <f t="shared" si="13"/>
        <v>77226,1117,0.0144640406080854,0,1,29,631,43,239,128,76,21,2,6,8,12,3,0,0,0,0,0,0,0,57,51-66,2280,0,0,0,1,0,0,1,0,0,1096,42569</v>
      </c>
    </row>
    <row r="393" spans="1:40" ht="13" hidden="1" x14ac:dyDescent="0.15">
      <c r="A393">
        <v>500</v>
      </c>
      <c r="B393" s="1">
        <v>72679</v>
      </c>
      <c r="C393" s="1">
        <v>1114</v>
      </c>
      <c r="D393" s="4">
        <f t="shared" si="12"/>
        <v>1.5327673743447214E-2</v>
      </c>
      <c r="E393" s="1">
        <v>0</v>
      </c>
      <c r="F393" s="1">
        <v>1</v>
      </c>
      <c r="G393" s="1">
        <v>65</v>
      </c>
      <c r="H393" s="1">
        <v>619</v>
      </c>
      <c r="I393" s="1">
        <v>54</v>
      </c>
      <c r="J393" s="1">
        <v>260</v>
      </c>
      <c r="K393" s="1">
        <v>127</v>
      </c>
      <c r="L393" s="1">
        <v>54</v>
      </c>
      <c r="M393" s="1">
        <v>54</v>
      </c>
      <c r="N393" s="1">
        <v>1</v>
      </c>
      <c r="O393" s="1">
        <v>4</v>
      </c>
      <c r="P393" s="1">
        <v>7</v>
      </c>
      <c r="Q393" s="1">
        <v>5</v>
      </c>
      <c r="R393" s="1">
        <v>1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51</v>
      </c>
      <c r="AA393" s="1" t="str" cm="1">
        <f t="array" ref="AA393">_xlfn.IFS(AND(Z393&lt;36, Z393&gt;23), "24-35", AND(Z393&lt;51, Z393&gt;35),"36-50", AND(Z393&lt;66, Z393&gt;50), "51-66", Z393&gt;65, "66+", TRUE, "?")</f>
        <v>51-66</v>
      </c>
      <c r="AB393" s="1">
        <v>2443</v>
      </c>
      <c r="AC393" s="1">
        <v>0</v>
      </c>
      <c r="AD393" s="1">
        <v>0</v>
      </c>
      <c r="AE393" s="1">
        <v>1</v>
      </c>
      <c r="AF393" s="1">
        <v>0</v>
      </c>
      <c r="AG393" s="1">
        <v>0</v>
      </c>
      <c r="AH393" s="1">
        <v>0</v>
      </c>
      <c r="AI393" s="1">
        <v>1</v>
      </c>
      <c r="AJ393" s="1">
        <v>0</v>
      </c>
      <c r="AK393" s="1">
        <v>0</v>
      </c>
      <c r="AL393" s="1">
        <v>1060</v>
      </c>
      <c r="AM393" s="2">
        <v>42406</v>
      </c>
      <c r="AN393" t="str">
        <f t="shared" si="13"/>
        <v>72679,1114,0.0153276737434472,0,1,65,619,54,260,127,54,54,1,4,7,5,1,0,0,0,0,0,0,0,51,51-66,2443,0,0,1,0,0,0,1,0,0,1060,42406</v>
      </c>
    </row>
    <row r="394" spans="1:40" ht="13" hidden="1" x14ac:dyDescent="0.15">
      <c r="A394">
        <v>1344</v>
      </c>
      <c r="B394" s="1">
        <v>70038</v>
      </c>
      <c r="C394" s="1">
        <v>1114</v>
      </c>
      <c r="D394" s="4">
        <f t="shared" si="12"/>
        <v>1.5905651217910276E-2</v>
      </c>
      <c r="E394" s="1">
        <v>0</v>
      </c>
      <c r="F394" s="1">
        <v>0</v>
      </c>
      <c r="G394" s="1">
        <v>54</v>
      </c>
      <c r="H394" s="1">
        <v>587</v>
      </c>
      <c r="I394" s="1">
        <v>54</v>
      </c>
      <c r="J394" s="1">
        <v>348</v>
      </c>
      <c r="K394" s="1">
        <v>71</v>
      </c>
      <c r="L394" s="1">
        <v>54</v>
      </c>
      <c r="M394" s="1">
        <v>130</v>
      </c>
      <c r="N394" s="1">
        <v>1</v>
      </c>
      <c r="O394" s="1">
        <v>4</v>
      </c>
      <c r="P394" s="1">
        <v>4</v>
      </c>
      <c r="Q394" s="1">
        <v>8</v>
      </c>
      <c r="R394" s="1">
        <v>2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38</v>
      </c>
      <c r="AA394" s="1" t="str" cm="1">
        <f t="array" ref="AA394">_xlfn.IFS(AND(Z394&lt;36, Z394&gt;23), "24-35", AND(Z394&lt;51, Z394&gt;35),"36-50", AND(Z394&lt;66, Z394&gt;50), "51-66", Z394&gt;65, "66+", TRUE, "?")</f>
        <v>36-50</v>
      </c>
      <c r="AB394" s="1">
        <v>2406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0</v>
      </c>
      <c r="AJ394" s="1">
        <v>0</v>
      </c>
      <c r="AK394" s="1">
        <v>1</v>
      </c>
      <c r="AL394" s="1">
        <v>984</v>
      </c>
      <c r="AM394" s="2">
        <v>42443</v>
      </c>
      <c r="AN394" t="str">
        <f t="shared" si="13"/>
        <v>70038,1114,0.0159056512179103,0,0,54,587,54,348,71,54,130,1,4,4,8,2,0,0,0,0,0,0,0,38,36-50,2406,0,0,0,1,0,0,0,0,1,984,42443</v>
      </c>
    </row>
    <row r="395" spans="1:40" ht="13" hidden="1" x14ac:dyDescent="0.15">
      <c r="A395">
        <v>984</v>
      </c>
      <c r="B395" s="1">
        <v>77037</v>
      </c>
      <c r="C395" s="1">
        <v>1113</v>
      </c>
      <c r="D395" s="4">
        <f t="shared" si="12"/>
        <v>1.4447603099809183E-2</v>
      </c>
      <c r="E395" s="1">
        <v>0</v>
      </c>
      <c r="F395" s="1">
        <v>1</v>
      </c>
      <c r="G395" s="1">
        <v>3</v>
      </c>
      <c r="H395" s="1">
        <v>463</v>
      </c>
      <c r="I395" s="1">
        <v>96</v>
      </c>
      <c r="J395" s="1">
        <v>333</v>
      </c>
      <c r="K395" s="1">
        <v>168</v>
      </c>
      <c r="L395" s="1">
        <v>53</v>
      </c>
      <c r="M395" s="1">
        <v>10</v>
      </c>
      <c r="N395" s="1">
        <v>1</v>
      </c>
      <c r="O395" s="1">
        <v>7</v>
      </c>
      <c r="P395" s="1">
        <v>7</v>
      </c>
      <c r="Q395" s="1">
        <v>12</v>
      </c>
      <c r="R395" s="1">
        <v>3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60</v>
      </c>
      <c r="AA395" s="1" t="str" cm="1">
        <f t="array" ref="AA395">_xlfn.IFS(AND(Z395&lt;36, Z395&gt;23), "24-35", AND(Z395&lt;51, Z395&gt;35),"36-50", AND(Z395&lt;66, Z395&gt;50), "51-66", Z395&gt;65, "66+", TRUE, "?")</f>
        <v>51-66</v>
      </c>
      <c r="AB395" s="1">
        <v>2418</v>
      </c>
      <c r="AC395" s="1">
        <v>0</v>
      </c>
      <c r="AD395" s="1">
        <v>1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1</v>
      </c>
      <c r="AL395" s="1">
        <v>1103</v>
      </c>
      <c r="AM395" s="2">
        <v>42431</v>
      </c>
      <c r="AN395" t="str">
        <f t="shared" si="13"/>
        <v>77037,1113,0.0144476030998092,0,1,3,463,96,333,168,53,10,1,7,7,12,3,0,0,0,0,0,0,0,60,51-66,2418,0,1,0,0,0,0,0,0,1,1103,42431</v>
      </c>
    </row>
    <row r="396" spans="1:40" ht="13" hidden="1" x14ac:dyDescent="0.15">
      <c r="A396">
        <v>1478</v>
      </c>
      <c r="B396" s="1">
        <v>71855</v>
      </c>
      <c r="C396" s="1">
        <v>1113</v>
      </c>
      <c r="D396" s="4">
        <f t="shared" si="12"/>
        <v>1.5489527520701412E-2</v>
      </c>
      <c r="E396" s="1">
        <v>0</v>
      </c>
      <c r="F396" s="1">
        <v>1</v>
      </c>
      <c r="G396" s="1">
        <v>59</v>
      </c>
      <c r="H396" s="1">
        <v>548</v>
      </c>
      <c r="I396" s="1">
        <v>31</v>
      </c>
      <c r="J396" s="1">
        <v>422</v>
      </c>
      <c r="K396" s="1">
        <v>0</v>
      </c>
      <c r="L396" s="1">
        <v>112</v>
      </c>
      <c r="M396" s="1">
        <v>28</v>
      </c>
      <c r="N396" s="1">
        <v>4</v>
      </c>
      <c r="O396" s="1">
        <v>5</v>
      </c>
      <c r="P396" s="1">
        <v>5</v>
      </c>
      <c r="Q396" s="1">
        <v>11</v>
      </c>
      <c r="R396" s="1">
        <v>3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43</v>
      </c>
      <c r="AA396" s="1" t="str" cm="1">
        <f t="array" ref="AA396">_xlfn.IFS(AND(Z396&lt;36, Z396&gt;23), "24-35", AND(Z396&lt;51, Z396&gt;35),"36-50", AND(Z396&lt;66, Z396&gt;50), "51-66", Z396&gt;65, "66+", TRUE, "?")</f>
        <v>36-50</v>
      </c>
      <c r="AB396" s="1">
        <v>2688</v>
      </c>
      <c r="AC396" s="1">
        <v>0</v>
      </c>
      <c r="AD396" s="1">
        <v>1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1085</v>
      </c>
      <c r="AM396" s="2">
        <v>42161</v>
      </c>
      <c r="AN396" t="str">
        <f t="shared" si="13"/>
        <v>71855,1113,0.0154895275207014,0,1,59,548,31,422,0,112,28,4,5,5,11,3,0,0,0,0,0,0,0,43,36-50,2688,0,1,0,0,0,0,1,0,0,1085,42161</v>
      </c>
    </row>
    <row r="397" spans="1:40" ht="13" hidden="1" x14ac:dyDescent="0.15">
      <c r="A397">
        <v>1620</v>
      </c>
      <c r="B397" s="1">
        <v>85431</v>
      </c>
      <c r="C397" s="1">
        <v>1112</v>
      </c>
      <c r="D397" s="4">
        <f t="shared" si="12"/>
        <v>1.3016352377942433E-2</v>
      </c>
      <c r="E397" s="1">
        <v>0</v>
      </c>
      <c r="F397" s="1">
        <v>0</v>
      </c>
      <c r="G397" s="1">
        <v>54</v>
      </c>
      <c r="H397" s="1">
        <v>376</v>
      </c>
      <c r="I397" s="1">
        <v>53</v>
      </c>
      <c r="J397" s="1">
        <v>462</v>
      </c>
      <c r="K397" s="1">
        <v>168</v>
      </c>
      <c r="L397" s="1">
        <v>53</v>
      </c>
      <c r="M397" s="1">
        <v>53</v>
      </c>
      <c r="N397" s="1">
        <v>1</v>
      </c>
      <c r="O397" s="1">
        <v>2</v>
      </c>
      <c r="P397" s="1">
        <v>7</v>
      </c>
      <c r="Q397" s="1">
        <v>7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68</v>
      </c>
      <c r="AA397" s="1" t="str" cm="1">
        <f t="array" ref="AA397">_xlfn.IFS(AND(Z397&lt;36, Z397&gt;23), "24-35", AND(Z397&lt;51, Z397&gt;35),"36-50", AND(Z397&lt;66, Z397&gt;50), "51-66", Z397&gt;65, "66+", TRUE, "?")</f>
        <v>66+</v>
      </c>
      <c r="AB397" s="1">
        <v>2545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0</v>
      </c>
      <c r="AJ397" s="1">
        <v>0</v>
      </c>
      <c r="AK397" s="1">
        <v>1</v>
      </c>
      <c r="AL397" s="1">
        <v>1059</v>
      </c>
      <c r="AM397" s="2">
        <v>42304</v>
      </c>
      <c r="AN397" t="str">
        <f t="shared" si="13"/>
        <v>85431,1112,0.0130163523779424,0,0,54,376,53,462,168,53,53,1,2,7,7,0,0,0,0,0,0,0,0,68,66+,2545,0,0,0,1,0,0,0,0,1,1059,42304</v>
      </c>
    </row>
    <row r="398" spans="1:40" ht="13" x14ac:dyDescent="0.15">
      <c r="A398">
        <v>981</v>
      </c>
      <c r="B398" s="1">
        <v>49118</v>
      </c>
      <c r="C398" s="1">
        <v>1110</v>
      </c>
      <c r="D398" s="4">
        <f t="shared" si="12"/>
        <v>2.2598640009772384E-2</v>
      </c>
      <c r="E398" s="1">
        <v>0</v>
      </c>
      <c r="F398" s="1">
        <v>0</v>
      </c>
      <c r="G398" s="1">
        <v>90</v>
      </c>
      <c r="H398" s="1">
        <v>620</v>
      </c>
      <c r="I398" s="1">
        <v>54</v>
      </c>
      <c r="J398" s="1">
        <v>239</v>
      </c>
      <c r="K398" s="1">
        <v>99</v>
      </c>
      <c r="L398" s="1">
        <v>98</v>
      </c>
      <c r="M398" s="1">
        <v>119</v>
      </c>
      <c r="N398" s="1">
        <v>2</v>
      </c>
      <c r="O398" s="1">
        <v>9</v>
      </c>
      <c r="P398" s="1">
        <v>7</v>
      </c>
      <c r="Q398" s="1">
        <v>10</v>
      </c>
      <c r="R398" s="1">
        <v>7</v>
      </c>
      <c r="S398" s="1">
        <v>0</v>
      </c>
      <c r="T398" s="1">
        <v>1</v>
      </c>
      <c r="U398" s="1">
        <v>0</v>
      </c>
      <c r="V398" s="1">
        <v>1</v>
      </c>
      <c r="W398" s="1">
        <v>0</v>
      </c>
      <c r="X398" s="1">
        <v>0</v>
      </c>
      <c r="Y398" s="1">
        <v>1</v>
      </c>
      <c r="Z398" s="1">
        <v>49</v>
      </c>
      <c r="AA398" s="1" t="str" cm="1">
        <f t="array" ref="AA398">_xlfn.IFS(AND(Z398&lt;36, Z398&gt;23), "24-35", AND(Z398&lt;51, Z398&gt;35),"36-50", AND(Z398&lt;66, Z398&gt;50), "51-66", Z398&gt;65, "66+", TRUE, "?")</f>
        <v>36-50</v>
      </c>
      <c r="AB398" s="1">
        <v>2839</v>
      </c>
      <c r="AC398" s="1">
        <v>1</v>
      </c>
      <c r="AD398" s="1">
        <v>0</v>
      </c>
      <c r="AE398" s="1">
        <v>0</v>
      </c>
      <c r="AF398" s="1">
        <v>0</v>
      </c>
      <c r="AG398" s="1">
        <v>0</v>
      </c>
      <c r="AH398" s="1">
        <v>1</v>
      </c>
      <c r="AI398" s="1">
        <v>0</v>
      </c>
      <c r="AJ398" s="1">
        <v>0</v>
      </c>
      <c r="AK398" s="1">
        <v>0</v>
      </c>
      <c r="AL398" s="1">
        <v>991</v>
      </c>
      <c r="AM398" s="2">
        <v>42010</v>
      </c>
      <c r="AN398" t="str">
        <f t="shared" si="13"/>
        <v>49118,1110,0.0225986400097724,0,0,90,620,54,239,99,98,119,2,9,7,10,7,0,1,0,1,0,0,1,49,36-50,2839,1,0,0,0,0,1,0,0,0,991,42010</v>
      </c>
    </row>
    <row r="399" spans="1:40" ht="13" hidden="1" x14ac:dyDescent="0.15">
      <c r="A399">
        <v>602</v>
      </c>
      <c r="B399" s="1">
        <v>73691</v>
      </c>
      <c r="C399" s="1">
        <v>1106</v>
      </c>
      <c r="D399" s="4">
        <f t="shared" si="12"/>
        <v>1.5008617063142039E-2</v>
      </c>
      <c r="E399" s="1">
        <v>0</v>
      </c>
      <c r="F399" s="1">
        <v>1</v>
      </c>
      <c r="G399" s="1">
        <v>58</v>
      </c>
      <c r="H399" s="1">
        <v>707</v>
      </c>
      <c r="I399" s="1">
        <v>21</v>
      </c>
      <c r="J399" s="1">
        <v>250</v>
      </c>
      <c r="K399" s="1">
        <v>85</v>
      </c>
      <c r="L399" s="1">
        <v>43</v>
      </c>
      <c r="M399" s="1">
        <v>73</v>
      </c>
      <c r="N399" s="1">
        <v>2</v>
      </c>
      <c r="O399" s="1">
        <v>6</v>
      </c>
      <c r="P399" s="1">
        <v>2</v>
      </c>
      <c r="Q399" s="1">
        <v>8</v>
      </c>
      <c r="R399" s="1">
        <v>2</v>
      </c>
      <c r="S399" s="1">
        <v>0</v>
      </c>
      <c r="T399" s="1">
        <v>0</v>
      </c>
      <c r="U399" s="1">
        <v>1</v>
      </c>
      <c r="V399" s="1">
        <v>0</v>
      </c>
      <c r="W399" s="1">
        <v>0</v>
      </c>
      <c r="X399" s="1">
        <v>0</v>
      </c>
      <c r="Y399" s="1">
        <v>0</v>
      </c>
      <c r="Z399" s="1">
        <v>49</v>
      </c>
      <c r="AA399" s="1" t="str" cm="1">
        <f t="array" ref="AA399">_xlfn.IFS(AND(Z399&lt;36, Z399&gt;23), "24-35", AND(Z399&lt;51, Z399&gt;35),"36-50", AND(Z399&lt;66, Z399&gt;50), "51-66", Z399&gt;65, "66+", TRUE, "?")</f>
        <v>36-50</v>
      </c>
      <c r="AB399" s="1">
        <v>2394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0</v>
      </c>
      <c r="AL399" s="1">
        <v>1033</v>
      </c>
      <c r="AM399" s="2">
        <v>42455</v>
      </c>
      <c r="AN399" t="str">
        <f t="shared" si="13"/>
        <v>73691,1106,0.015008617063142,0,1,58,707,21,250,85,43,73,2,6,2,8,2,0,0,1,0,0,0,0,49,36-50,2394,0,1,0,0,0,0,1,0,0,1033,42455</v>
      </c>
    </row>
    <row r="400" spans="1:40" ht="13" hidden="1" x14ac:dyDescent="0.15">
      <c r="A400">
        <v>1347</v>
      </c>
      <c r="B400" s="1">
        <v>77343</v>
      </c>
      <c r="C400" s="1">
        <v>1103</v>
      </c>
      <c r="D400" s="4">
        <f t="shared" si="12"/>
        <v>1.4261148390933892E-2</v>
      </c>
      <c r="E400" s="1">
        <v>0</v>
      </c>
      <c r="F400" s="1">
        <v>0</v>
      </c>
      <c r="G400" s="1">
        <v>28</v>
      </c>
      <c r="H400" s="1">
        <v>227</v>
      </c>
      <c r="I400" s="1">
        <v>151</v>
      </c>
      <c r="J400" s="1">
        <v>573</v>
      </c>
      <c r="K400" s="1">
        <v>98</v>
      </c>
      <c r="L400" s="1">
        <v>54</v>
      </c>
      <c r="M400" s="1">
        <v>31</v>
      </c>
      <c r="N400" s="1">
        <v>1</v>
      </c>
      <c r="O400" s="1">
        <v>3</v>
      </c>
      <c r="P400" s="1">
        <v>4</v>
      </c>
      <c r="Q400" s="1">
        <v>9</v>
      </c>
      <c r="R400" s="1">
        <v>1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55</v>
      </c>
      <c r="AA400" s="1" t="str" cm="1">
        <f t="array" ref="AA400">_xlfn.IFS(AND(Z400&lt;36, Z400&gt;23), "24-35", AND(Z400&lt;51, Z400&gt;35),"36-50", AND(Z400&lt;66, Z400&gt;50), "51-66", Z400&gt;65, "66+", TRUE, "?")</f>
        <v>51-66</v>
      </c>
      <c r="AB400" s="1">
        <v>2179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1072</v>
      </c>
      <c r="AM400" s="2">
        <v>42670</v>
      </c>
      <c r="AN400" t="str">
        <f t="shared" si="13"/>
        <v>77343,1103,0.0142611483909339,0,0,28,227,151,573,98,54,31,1,3,4,9,1,0,0,0,0,0,0,0,55,51-66,2179,0,1,0,0,0,0,1,0,0,1072,42670</v>
      </c>
    </row>
    <row r="401" spans="1:40" ht="13" hidden="1" x14ac:dyDescent="0.15">
      <c r="A401">
        <v>474</v>
      </c>
      <c r="B401" s="1">
        <v>53653</v>
      </c>
      <c r="C401" s="1">
        <v>1102</v>
      </c>
      <c r="D401" s="4">
        <f t="shared" si="12"/>
        <v>2.0539392019085605E-2</v>
      </c>
      <c r="E401" s="1">
        <v>0</v>
      </c>
      <c r="F401" s="1">
        <v>0</v>
      </c>
      <c r="G401" s="1">
        <v>29</v>
      </c>
      <c r="H401" s="1">
        <v>815</v>
      </c>
      <c r="I401" s="1">
        <v>10</v>
      </c>
      <c r="J401" s="1">
        <v>239</v>
      </c>
      <c r="K401" s="1">
        <v>28</v>
      </c>
      <c r="L401" s="1">
        <v>10</v>
      </c>
      <c r="M401" s="1">
        <v>108</v>
      </c>
      <c r="N401" s="1">
        <v>2</v>
      </c>
      <c r="O401" s="1">
        <v>10</v>
      </c>
      <c r="P401" s="1">
        <v>4</v>
      </c>
      <c r="Q401" s="1">
        <v>12</v>
      </c>
      <c r="R401" s="1">
        <v>6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67</v>
      </c>
      <c r="AA401" s="1" t="str" cm="1">
        <f t="array" ref="AA401">_xlfn.IFS(AND(Z401&lt;36, Z401&gt;23), "24-35", AND(Z401&lt;51, Z401&gt;35),"36-50", AND(Z401&lt;66, Z401&gt;50), "51-66", Z401&gt;65, "66+", TRUE, "?")</f>
        <v>66+</v>
      </c>
      <c r="AB401" s="1">
        <v>2758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1</v>
      </c>
      <c r="AJ401" s="1">
        <v>0</v>
      </c>
      <c r="AK401" s="1">
        <v>0</v>
      </c>
      <c r="AL401" s="1">
        <v>994</v>
      </c>
      <c r="AM401" s="2">
        <v>42091</v>
      </c>
      <c r="AN401" t="str">
        <f t="shared" si="13"/>
        <v>53653,1102,0.0205393920190856,0,0,29,815,10,239,28,10,108,2,10,4,12,6,0,0,0,0,0,0,0,67,66+,2758,0,0,0,0,1,0,1,0,0,994,42091</v>
      </c>
    </row>
    <row r="402" spans="1:40" ht="13" hidden="1" x14ac:dyDescent="0.15">
      <c r="A402">
        <v>874</v>
      </c>
      <c r="B402" s="1">
        <v>79632</v>
      </c>
      <c r="C402" s="1">
        <v>1101</v>
      </c>
      <c r="D402" s="4">
        <f t="shared" si="12"/>
        <v>1.3826100060277275E-2</v>
      </c>
      <c r="E402" s="1">
        <v>0</v>
      </c>
      <c r="F402" s="1">
        <v>0</v>
      </c>
      <c r="G402" s="1">
        <v>42</v>
      </c>
      <c r="H402" s="1">
        <v>471</v>
      </c>
      <c r="I402" s="1">
        <v>0</v>
      </c>
      <c r="J402" s="1">
        <v>510</v>
      </c>
      <c r="K402" s="1">
        <v>99</v>
      </c>
      <c r="L402" s="1">
        <v>21</v>
      </c>
      <c r="M402" s="1">
        <v>12</v>
      </c>
      <c r="N402" s="1">
        <v>1</v>
      </c>
      <c r="O402" s="1">
        <v>6</v>
      </c>
      <c r="P402" s="1">
        <v>4</v>
      </c>
      <c r="Q402" s="1">
        <v>9</v>
      </c>
      <c r="R402" s="1">
        <v>2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46</v>
      </c>
      <c r="AA402" s="1" t="str" cm="1">
        <f t="array" ref="AA402">_xlfn.IFS(AND(Z402&lt;36, Z402&gt;23), "24-35", AND(Z402&lt;51, Z402&gt;35),"36-50", AND(Z402&lt;66, Z402&gt;50), "51-66", Z402&gt;65, "66+", TRUE, "?")</f>
        <v>36-50</v>
      </c>
      <c r="AB402" s="1">
        <v>2241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0</v>
      </c>
      <c r="AJ402" s="1">
        <v>0</v>
      </c>
      <c r="AK402" s="1">
        <v>1</v>
      </c>
      <c r="AL402" s="1">
        <v>1089</v>
      </c>
      <c r="AM402" s="2">
        <v>42608</v>
      </c>
      <c r="AN402" t="str">
        <f t="shared" si="13"/>
        <v>79632,1101,0.0138261000602773,0,0,42,471,0,510,99,21,12,1,6,4,9,2,0,0,0,0,0,0,0,46,36-50,2241,0,0,0,1,0,0,0,0,1,1089,42608</v>
      </c>
    </row>
    <row r="403" spans="1:40" ht="13" hidden="1" x14ac:dyDescent="0.15">
      <c r="A403">
        <v>1844</v>
      </c>
      <c r="B403" s="1">
        <v>71322</v>
      </c>
      <c r="C403" s="1">
        <v>1101</v>
      </c>
      <c r="D403" s="4">
        <f t="shared" si="12"/>
        <v>1.5437032051821318E-2</v>
      </c>
      <c r="E403" s="1">
        <v>0</v>
      </c>
      <c r="F403" s="1">
        <v>1</v>
      </c>
      <c r="G403" s="1">
        <v>57</v>
      </c>
      <c r="H403" s="1">
        <v>753</v>
      </c>
      <c r="I403" s="1">
        <v>43</v>
      </c>
      <c r="J403" s="1">
        <v>226</v>
      </c>
      <c r="K403" s="1">
        <v>69</v>
      </c>
      <c r="L403" s="1">
        <v>10</v>
      </c>
      <c r="M403" s="1">
        <v>204</v>
      </c>
      <c r="N403" s="1">
        <v>2</v>
      </c>
      <c r="O403" s="1">
        <v>8</v>
      </c>
      <c r="P403" s="1">
        <v>5</v>
      </c>
      <c r="Q403" s="1">
        <v>13</v>
      </c>
      <c r="R403" s="1">
        <v>4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55</v>
      </c>
      <c r="AA403" s="1" t="str" cm="1">
        <f t="array" ref="AA403">_xlfn.IFS(AND(Z403&lt;36, Z403&gt;23), "24-35", AND(Z403&lt;51, Z403&gt;35),"36-50", AND(Z403&lt;66, Z403&gt;50), "51-66", Z403&gt;65, "66+", TRUE, "?")</f>
        <v>51-66</v>
      </c>
      <c r="AB403" s="1">
        <v>2657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1</v>
      </c>
      <c r="AL403" s="1">
        <v>897</v>
      </c>
      <c r="AM403" s="2">
        <v>42192</v>
      </c>
      <c r="AN403" t="str">
        <f t="shared" si="13"/>
        <v>71322,1101,0.0154370320518213,0,1,57,753,43,226,69,10,204,2,8,5,13,4,0,0,0,0,0,0,0,55,51-66,2657,0,1,0,0,0,0,0,0,1,897,42192</v>
      </c>
    </row>
    <row r="404" spans="1:40" ht="13" x14ac:dyDescent="0.15">
      <c r="A404">
        <v>985</v>
      </c>
      <c r="B404" s="1">
        <v>71604</v>
      </c>
      <c r="C404" s="1">
        <v>1099</v>
      </c>
      <c r="D404" s="4">
        <f t="shared" si="12"/>
        <v>1.5348304563990839E-2</v>
      </c>
      <c r="E404" s="1">
        <v>0</v>
      </c>
      <c r="F404" s="1">
        <v>0</v>
      </c>
      <c r="G404" s="1">
        <v>3</v>
      </c>
      <c r="H404" s="1">
        <v>345</v>
      </c>
      <c r="I404" s="1">
        <v>53</v>
      </c>
      <c r="J404" s="1">
        <v>528</v>
      </c>
      <c r="K404" s="1">
        <v>98</v>
      </c>
      <c r="L404" s="1">
        <v>75</v>
      </c>
      <c r="M404" s="1">
        <v>97</v>
      </c>
      <c r="N404" s="1">
        <v>1</v>
      </c>
      <c r="O404" s="1">
        <v>8</v>
      </c>
      <c r="P404" s="1">
        <v>3</v>
      </c>
      <c r="Q404" s="1">
        <v>5</v>
      </c>
      <c r="R404" s="1">
        <v>4</v>
      </c>
      <c r="S404" s="1">
        <v>0</v>
      </c>
      <c r="T404" s="1">
        <v>0</v>
      </c>
      <c r="U404" s="1">
        <v>1</v>
      </c>
      <c r="V404" s="1">
        <v>0</v>
      </c>
      <c r="W404" s="1">
        <v>0</v>
      </c>
      <c r="X404" s="1">
        <v>0</v>
      </c>
      <c r="Y404" s="1">
        <v>1</v>
      </c>
      <c r="Z404" s="1">
        <v>75</v>
      </c>
      <c r="AA404" s="1" t="str" cm="1">
        <f t="array" ref="AA404">_xlfn.IFS(AND(Z404&lt;36, Z404&gt;23), "24-35", AND(Z404&lt;51, Z404&gt;35),"36-50", AND(Z404&lt;66, Z404&gt;50), "51-66", Z404&gt;65, "66+", TRUE, "?")</f>
        <v>66+</v>
      </c>
      <c r="AB404" s="1">
        <v>2383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0</v>
      </c>
      <c r="AK404" s="1">
        <v>1</v>
      </c>
      <c r="AL404" s="1">
        <v>1002</v>
      </c>
      <c r="AM404" s="2">
        <v>42466</v>
      </c>
      <c r="AN404" t="str">
        <f t="shared" si="13"/>
        <v>71604,1099,0.0153483045639908,0,0,3,345,53,528,98,75,97,1,8,3,5,4,0,0,1,0,0,0,1,75,66+,2383,0,0,0,1,0,0,0,0,1,1002,42466</v>
      </c>
    </row>
    <row r="405" spans="1:40" ht="13" hidden="1" x14ac:dyDescent="0.15">
      <c r="A405">
        <v>181</v>
      </c>
      <c r="B405" s="1">
        <v>86718</v>
      </c>
      <c r="C405" s="1">
        <v>1098</v>
      </c>
      <c r="D405" s="4">
        <f t="shared" si="12"/>
        <v>1.2661731128485435E-2</v>
      </c>
      <c r="E405" s="1">
        <v>0</v>
      </c>
      <c r="F405" s="1">
        <v>0</v>
      </c>
      <c r="G405" s="1">
        <v>20</v>
      </c>
      <c r="H405" s="1">
        <v>344</v>
      </c>
      <c r="I405" s="1">
        <v>189</v>
      </c>
      <c r="J405" s="1">
        <v>482</v>
      </c>
      <c r="K405" s="1">
        <v>50</v>
      </c>
      <c r="L405" s="1">
        <v>33</v>
      </c>
      <c r="M405" s="1">
        <v>172</v>
      </c>
      <c r="N405" s="1">
        <v>1</v>
      </c>
      <c r="O405" s="1">
        <v>5</v>
      </c>
      <c r="P405" s="1">
        <v>6</v>
      </c>
      <c r="Q405" s="1">
        <v>5</v>
      </c>
      <c r="R405" s="1">
        <v>2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66</v>
      </c>
      <c r="AA405" s="1" t="str" cm="1">
        <f t="array" ref="AA405">_xlfn.IFS(AND(Z405&lt;36, Z405&gt;23), "24-35", AND(Z405&lt;51, Z405&gt;35),"36-50", AND(Z405&lt;66, Z405&gt;50), "51-66", Z405&gt;65, "66+", TRUE, "?")</f>
        <v>66+</v>
      </c>
      <c r="AB405" s="1">
        <v>2687</v>
      </c>
      <c r="AC405" s="1">
        <v>0</v>
      </c>
      <c r="AD405" s="1">
        <v>1</v>
      </c>
      <c r="AE405" s="1">
        <v>0</v>
      </c>
      <c r="AF405" s="1">
        <v>0</v>
      </c>
      <c r="AG405" s="1">
        <v>0</v>
      </c>
      <c r="AH405" s="1">
        <v>0</v>
      </c>
      <c r="AI405" s="1">
        <v>1</v>
      </c>
      <c r="AJ405" s="1">
        <v>0</v>
      </c>
      <c r="AK405" s="1">
        <v>0</v>
      </c>
      <c r="AL405" s="1">
        <v>926</v>
      </c>
      <c r="AM405" s="2">
        <v>42162</v>
      </c>
      <c r="AN405" t="str">
        <f t="shared" si="13"/>
        <v>86718,1098,0.0126617311284854,0,0,20,344,189,482,50,33,172,1,5,6,5,2,0,0,0,0,0,0,0,66,66+,2687,0,1,0,0,0,0,1,0,0,926,42162</v>
      </c>
    </row>
    <row r="406" spans="1:40" ht="13" hidden="1" x14ac:dyDescent="0.15">
      <c r="A406">
        <v>1780</v>
      </c>
      <c r="B406" s="1">
        <v>76842</v>
      </c>
      <c r="C406" s="1">
        <v>1098</v>
      </c>
      <c r="D406" s="4">
        <f t="shared" si="12"/>
        <v>1.4289060669946124E-2</v>
      </c>
      <c r="E406" s="1">
        <v>0</v>
      </c>
      <c r="F406" s="1">
        <v>0</v>
      </c>
      <c r="G406" s="1">
        <v>37</v>
      </c>
      <c r="H406" s="1">
        <v>605</v>
      </c>
      <c r="I406" s="1">
        <v>10</v>
      </c>
      <c r="J406" s="1">
        <v>345</v>
      </c>
      <c r="K406" s="1">
        <v>84</v>
      </c>
      <c r="L406" s="1">
        <v>54</v>
      </c>
      <c r="M406" s="1">
        <v>32</v>
      </c>
      <c r="N406" s="1">
        <v>1</v>
      </c>
      <c r="O406" s="1">
        <v>1</v>
      </c>
      <c r="P406" s="1">
        <v>8</v>
      </c>
      <c r="Q406" s="1">
        <v>7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70</v>
      </c>
      <c r="AA406" s="1" t="str" cm="1">
        <f t="array" ref="AA406">_xlfn.IFS(AND(Z406&lt;36, Z406&gt;23), "24-35", AND(Z406&lt;51, Z406&gt;35),"36-50", AND(Z406&lt;66, Z406&gt;50), "51-66", Z406&gt;65, "66+", TRUE, "?")</f>
        <v>66+</v>
      </c>
      <c r="AB406" s="1">
        <v>2216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1</v>
      </c>
      <c r="AL406" s="1">
        <v>1066</v>
      </c>
      <c r="AM406" s="2">
        <v>42633</v>
      </c>
      <c r="AN406" t="str">
        <f t="shared" si="13"/>
        <v>76842,1098,0.0142890606699461,0,0,37,605,10,345,84,54,32,1,1,8,7,0,0,0,0,0,0,0,0,70,66+,2216,0,0,0,0,1,0,0,0,1,1066,42633</v>
      </c>
    </row>
    <row r="407" spans="1:40" ht="13" hidden="1" x14ac:dyDescent="0.15">
      <c r="A407">
        <v>569</v>
      </c>
      <c r="B407" s="1">
        <v>72906</v>
      </c>
      <c r="C407" s="1">
        <v>1097</v>
      </c>
      <c r="D407" s="4">
        <f t="shared" si="12"/>
        <v>1.5046772556442543E-2</v>
      </c>
      <c r="E407" s="1">
        <v>0</v>
      </c>
      <c r="F407" s="1">
        <v>0</v>
      </c>
      <c r="G407" s="1">
        <v>79</v>
      </c>
      <c r="H407" s="1">
        <v>400</v>
      </c>
      <c r="I407" s="1">
        <v>32</v>
      </c>
      <c r="J407" s="1">
        <v>519</v>
      </c>
      <c r="K407" s="1">
        <v>71</v>
      </c>
      <c r="L407" s="1">
        <v>75</v>
      </c>
      <c r="M407" s="1">
        <v>54</v>
      </c>
      <c r="N407" s="1">
        <v>1</v>
      </c>
      <c r="O407" s="1">
        <v>3</v>
      </c>
      <c r="P407" s="1">
        <v>4</v>
      </c>
      <c r="Q407" s="1">
        <v>9</v>
      </c>
      <c r="R407" s="1">
        <v>1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65</v>
      </c>
      <c r="AA407" s="1" t="str" cm="1">
        <f t="array" ref="AA407">_xlfn.IFS(AND(Z407&lt;36, Z407&gt;23), "24-35", AND(Z407&lt;51, Z407&gt;35),"36-50", AND(Z407&lt;66, Z407&gt;50), "51-66", Z407&gt;65, "66+", TRUE, "?")</f>
        <v>51-66</v>
      </c>
      <c r="AB407" s="1">
        <v>2444</v>
      </c>
      <c r="AC407" s="1">
        <v>0</v>
      </c>
      <c r="AD407" s="1">
        <v>0</v>
      </c>
      <c r="AE407" s="1">
        <v>1</v>
      </c>
      <c r="AF407" s="1">
        <v>0</v>
      </c>
      <c r="AG407" s="1">
        <v>0</v>
      </c>
      <c r="AH407" s="1">
        <v>0</v>
      </c>
      <c r="AI407" s="1">
        <v>1</v>
      </c>
      <c r="AJ407" s="1">
        <v>0</v>
      </c>
      <c r="AK407" s="1">
        <v>0</v>
      </c>
      <c r="AL407" s="1">
        <v>1043</v>
      </c>
      <c r="AM407" s="2">
        <v>42405</v>
      </c>
      <c r="AN407" t="str">
        <f t="shared" si="13"/>
        <v>72906,1097,0.0150467725564425,0,0,79,400,32,519,71,75,54,1,3,4,9,1,0,0,0,0,0,0,0,65,51-66,2444,0,0,1,0,0,0,1,0,0,1043,42405</v>
      </c>
    </row>
    <row r="408" spans="1:40" ht="13" hidden="1" x14ac:dyDescent="0.15">
      <c r="A408">
        <v>185</v>
      </c>
      <c r="B408" s="1">
        <v>63693</v>
      </c>
      <c r="C408" s="1">
        <v>1096</v>
      </c>
      <c r="D408" s="4">
        <f t="shared" si="12"/>
        <v>1.7207542430094359E-2</v>
      </c>
      <c r="E408" s="1">
        <v>0</v>
      </c>
      <c r="F408" s="1">
        <v>1</v>
      </c>
      <c r="G408" s="1">
        <v>63</v>
      </c>
      <c r="H408" s="1">
        <v>587</v>
      </c>
      <c r="I408" s="1">
        <v>43</v>
      </c>
      <c r="J408" s="1">
        <v>337</v>
      </c>
      <c r="K408" s="1">
        <v>42</v>
      </c>
      <c r="L408" s="1">
        <v>87</v>
      </c>
      <c r="M408" s="1">
        <v>54</v>
      </c>
      <c r="N408" s="1">
        <v>3</v>
      </c>
      <c r="O408" s="1">
        <v>11</v>
      </c>
      <c r="P408" s="1">
        <v>6</v>
      </c>
      <c r="Q408" s="1">
        <v>9</v>
      </c>
      <c r="R408" s="1">
        <v>6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42</v>
      </c>
      <c r="AA408" s="1" t="str" cm="1">
        <f t="array" ref="AA408">_xlfn.IFS(AND(Z408&lt;36, Z408&gt;23), "24-35", AND(Z408&lt;51, Z408&gt;35),"36-50", AND(Z408&lt;66, Z408&gt;50), "51-66", Z408&gt;65, "66+", TRUE, "?")</f>
        <v>36-50</v>
      </c>
      <c r="AB408" s="1">
        <v>2417</v>
      </c>
      <c r="AC408" s="1">
        <v>1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1</v>
      </c>
      <c r="AJ408" s="1">
        <v>0</v>
      </c>
      <c r="AK408" s="1">
        <v>0</v>
      </c>
      <c r="AL408" s="1">
        <v>1042</v>
      </c>
      <c r="AM408" s="2">
        <v>42432</v>
      </c>
      <c r="AN408" t="str">
        <f t="shared" si="13"/>
        <v>63693,1096,0.0172075424300944,0,1,63,587,43,337,42,87,54,3,11,6,9,6,0,0,0,0,0,0,0,42,36-50,2417,1,0,0,0,0,0,1,0,0,1042,42432</v>
      </c>
    </row>
    <row r="409" spans="1:40" ht="13" hidden="1" x14ac:dyDescent="0.15">
      <c r="A409">
        <v>1591</v>
      </c>
      <c r="B409" s="1">
        <v>77437</v>
      </c>
      <c r="C409" s="1">
        <v>1096</v>
      </c>
      <c r="D409" s="4">
        <f t="shared" si="12"/>
        <v>1.4153440861603627E-2</v>
      </c>
      <c r="E409" s="1">
        <v>0</v>
      </c>
      <c r="F409" s="1">
        <v>0</v>
      </c>
      <c r="G409" s="1">
        <v>70</v>
      </c>
      <c r="H409" s="1">
        <v>560</v>
      </c>
      <c r="I409" s="1">
        <v>21</v>
      </c>
      <c r="J409" s="1">
        <v>442</v>
      </c>
      <c r="K409" s="1">
        <v>29</v>
      </c>
      <c r="L409" s="1">
        <v>44</v>
      </c>
      <c r="M409" s="1">
        <v>29</v>
      </c>
      <c r="N409" s="1">
        <v>1</v>
      </c>
      <c r="O409" s="1">
        <v>4</v>
      </c>
      <c r="P409" s="1">
        <v>5</v>
      </c>
      <c r="Q409" s="1">
        <v>13</v>
      </c>
      <c r="R409" s="1">
        <v>1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0</v>
      </c>
      <c r="Y409" s="1">
        <v>0</v>
      </c>
      <c r="Z409" s="1">
        <v>57</v>
      </c>
      <c r="AA409" s="1" t="str" cm="1">
        <f t="array" ref="AA409">_xlfn.IFS(AND(Z409&lt;36, Z409&gt;23), "24-35", AND(Z409&lt;51, Z409&gt;35),"36-50", AND(Z409&lt;66, Z409&gt;50), "51-66", Z409&gt;65, "66+", TRUE, "?")</f>
        <v>51-66</v>
      </c>
      <c r="AB409" s="1">
        <v>2374</v>
      </c>
      <c r="AC409" s="1">
        <v>0</v>
      </c>
      <c r="AD409" s="1">
        <v>1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0</v>
      </c>
      <c r="AK409" s="1">
        <v>0</v>
      </c>
      <c r="AL409" s="1">
        <v>1067</v>
      </c>
      <c r="AM409" s="2">
        <v>42475</v>
      </c>
      <c r="AN409" t="str">
        <f t="shared" si="13"/>
        <v>77437,1096,0.0141534408616036,0,0,70,560,21,442,29,44,29,1,4,5,13,1,0,0,0,0,1,0,0,57,51-66,2374,0,1,0,0,0,0,1,0,0,1067,42475</v>
      </c>
    </row>
    <row r="410" spans="1:40" ht="13" hidden="1" x14ac:dyDescent="0.15">
      <c r="A410">
        <v>1456</v>
      </c>
      <c r="B410" s="1">
        <v>78093</v>
      </c>
      <c r="C410" s="1">
        <v>1095</v>
      </c>
      <c r="D410" s="4">
        <f t="shared" si="12"/>
        <v>1.4021743306058161E-2</v>
      </c>
      <c r="E410" s="1">
        <v>0</v>
      </c>
      <c r="F410" s="1">
        <v>0</v>
      </c>
      <c r="G410" s="1">
        <v>53</v>
      </c>
      <c r="H410" s="1">
        <v>368</v>
      </c>
      <c r="I410" s="1">
        <v>32</v>
      </c>
      <c r="J410" s="1">
        <v>639</v>
      </c>
      <c r="K410" s="1">
        <v>13</v>
      </c>
      <c r="L410" s="1">
        <v>43</v>
      </c>
      <c r="M410" s="1">
        <v>10</v>
      </c>
      <c r="N410" s="1">
        <v>1</v>
      </c>
      <c r="O410" s="1">
        <v>4</v>
      </c>
      <c r="P410" s="1">
        <v>7</v>
      </c>
      <c r="Q410" s="1">
        <v>5</v>
      </c>
      <c r="R410" s="1">
        <v>1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73</v>
      </c>
      <c r="AA410" s="1" t="str" cm="1">
        <f t="array" ref="AA410">_xlfn.IFS(AND(Z410&lt;36, Z410&gt;23), "24-35", AND(Z410&lt;51, Z410&gt;35),"36-50", AND(Z410&lt;66, Z410&gt;50), "51-66", Z410&gt;65, "66+", TRUE, "?")</f>
        <v>66+</v>
      </c>
      <c r="AB410" s="1">
        <v>2359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0</v>
      </c>
      <c r="AJ410" s="1">
        <v>1</v>
      </c>
      <c r="AK410" s="1">
        <v>0</v>
      </c>
      <c r="AL410" s="1">
        <v>1085</v>
      </c>
      <c r="AM410" s="2">
        <v>42490</v>
      </c>
      <c r="AN410" t="str">
        <f t="shared" si="13"/>
        <v>78093,1095,0.0140217433060582,0,0,53,368,32,639,13,43,10,1,4,7,5,1,0,0,0,0,0,0,0,73,66+,2359,0,0,0,1,0,0,0,1,0,1085,42490</v>
      </c>
    </row>
    <row r="411" spans="1:40" ht="13" hidden="1" x14ac:dyDescent="0.15">
      <c r="A411">
        <v>2018</v>
      </c>
      <c r="B411" s="1">
        <v>61223</v>
      </c>
      <c r="C411" s="1">
        <v>1094</v>
      </c>
      <c r="D411" s="4">
        <f t="shared" si="12"/>
        <v>1.7869101481469384E-2</v>
      </c>
      <c r="E411" s="1">
        <v>0</v>
      </c>
      <c r="F411" s="1">
        <v>1</v>
      </c>
      <c r="G411" s="1">
        <v>46</v>
      </c>
      <c r="H411" s="1">
        <v>709</v>
      </c>
      <c r="I411" s="1">
        <v>43</v>
      </c>
      <c r="J411" s="1">
        <v>182</v>
      </c>
      <c r="K411" s="1">
        <v>42</v>
      </c>
      <c r="L411" s="1">
        <v>118</v>
      </c>
      <c r="M411" s="1">
        <v>247</v>
      </c>
      <c r="N411" s="1">
        <v>2</v>
      </c>
      <c r="O411" s="1">
        <v>9</v>
      </c>
      <c r="P411" s="1">
        <v>3</v>
      </c>
      <c r="Q411" s="1">
        <v>4</v>
      </c>
      <c r="R411" s="1">
        <v>5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53</v>
      </c>
      <c r="AA411" s="1" t="str" cm="1">
        <f t="array" ref="AA411">_xlfn.IFS(AND(Z411&lt;36, Z411&gt;23), "24-35", AND(Z411&lt;51, Z411&gt;35),"36-50", AND(Z411&lt;66, Z411&gt;50), "51-66", Z411&gt;65, "66+", TRUE, "?")</f>
        <v>51-66</v>
      </c>
      <c r="AB411" s="1">
        <v>2540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  <c r="AH411" s="1">
        <v>0</v>
      </c>
      <c r="AI411" s="1">
        <v>1</v>
      </c>
      <c r="AJ411" s="1">
        <v>0</v>
      </c>
      <c r="AK411" s="1">
        <v>0</v>
      </c>
      <c r="AL411" s="1">
        <v>847</v>
      </c>
      <c r="AM411" s="2">
        <v>42309</v>
      </c>
      <c r="AN411" t="str">
        <f t="shared" si="13"/>
        <v>61223,1094,0.0178691014814694,0,1,46,709,43,182,42,118,247,2,9,3,4,5,0,0,0,0,0,0,0,53,51-66,2540,0,1,0,0,0,0,1,0,0,847,42309</v>
      </c>
    </row>
    <row r="412" spans="1:40" ht="13" hidden="1" x14ac:dyDescent="0.15">
      <c r="A412">
        <v>201</v>
      </c>
      <c r="B412" s="1">
        <v>69508</v>
      </c>
      <c r="C412" s="1">
        <v>1092</v>
      </c>
      <c r="D412" s="4">
        <f t="shared" si="12"/>
        <v>1.5710421821948553E-2</v>
      </c>
      <c r="E412" s="1">
        <v>1</v>
      </c>
      <c r="F412" s="1">
        <v>0</v>
      </c>
      <c r="G412" s="1">
        <v>48</v>
      </c>
      <c r="H412" s="1">
        <v>824</v>
      </c>
      <c r="I412" s="1">
        <v>32</v>
      </c>
      <c r="J412" s="1">
        <v>162</v>
      </c>
      <c r="K412" s="1">
        <v>42</v>
      </c>
      <c r="L412" s="1">
        <v>32</v>
      </c>
      <c r="M412" s="1">
        <v>43</v>
      </c>
      <c r="N412" s="1">
        <v>2</v>
      </c>
      <c r="O412" s="1">
        <v>11</v>
      </c>
      <c r="P412" s="1">
        <v>4</v>
      </c>
      <c r="Q412" s="1">
        <v>11</v>
      </c>
      <c r="R412" s="1">
        <v>6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40</v>
      </c>
      <c r="AA412" s="1" t="str" cm="1">
        <f t="array" ref="AA412">_xlfn.IFS(AND(Z412&lt;36, Z412&gt;23), "24-35", AND(Z412&lt;51, Z412&gt;35),"36-50", AND(Z412&lt;66, Z412&gt;50), "51-66", Z412&gt;65, "66+", TRUE, "?")</f>
        <v>36-50</v>
      </c>
      <c r="AB412" s="1">
        <v>2751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1</v>
      </c>
      <c r="AJ412" s="1">
        <v>0</v>
      </c>
      <c r="AK412" s="1">
        <v>0</v>
      </c>
      <c r="AL412" s="1">
        <v>1049</v>
      </c>
      <c r="AM412" s="2">
        <v>42098</v>
      </c>
      <c r="AN412" t="str">
        <f t="shared" si="13"/>
        <v>69508,1092,0.0157104218219486,1,0,48,824,32,162,42,32,43,2,11,4,11,6,0,0,0,0,0,0,0,40,36-50,2751,0,0,0,1,0,0,1,0,0,1049,42098</v>
      </c>
    </row>
    <row r="413" spans="1:40" ht="13" hidden="1" x14ac:dyDescent="0.15">
      <c r="A413">
        <v>641</v>
      </c>
      <c r="B413" s="1">
        <v>65777</v>
      </c>
      <c r="C413" s="1">
        <v>1092</v>
      </c>
      <c r="D413" s="4">
        <f t="shared" si="12"/>
        <v>1.6601547653435092E-2</v>
      </c>
      <c r="E413" s="1">
        <v>0</v>
      </c>
      <c r="F413" s="1">
        <v>0</v>
      </c>
      <c r="G413" s="1">
        <v>87</v>
      </c>
      <c r="H413" s="1">
        <v>565</v>
      </c>
      <c r="I413" s="1">
        <v>32</v>
      </c>
      <c r="J413" s="1">
        <v>435</v>
      </c>
      <c r="K413" s="1">
        <v>28</v>
      </c>
      <c r="L413" s="1">
        <v>32</v>
      </c>
      <c r="M413" s="1">
        <v>54</v>
      </c>
      <c r="N413" s="1">
        <v>1</v>
      </c>
      <c r="O413" s="1">
        <v>2</v>
      </c>
      <c r="P413" s="1">
        <v>8</v>
      </c>
      <c r="Q413" s="1">
        <v>6</v>
      </c>
      <c r="R413" s="1">
        <v>1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53</v>
      </c>
      <c r="AA413" s="1" t="str" cm="1">
        <f t="array" ref="AA413">_xlfn.IFS(AND(Z413&lt;36, Z413&gt;23), "24-35", AND(Z413&lt;51, Z413&gt;35),"36-50", AND(Z413&lt;66, Z413&gt;50), "51-66", Z413&gt;65, "66+", TRUE, "?")</f>
        <v>51-66</v>
      </c>
      <c r="AB413" s="1">
        <v>2351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1">
        <v>1038</v>
      </c>
      <c r="AM413" s="2">
        <v>42498</v>
      </c>
      <c r="AN413" t="str">
        <f t="shared" si="13"/>
        <v>65777,1092,0.0166015476534351,0,0,87,565,32,435,28,32,54,1,2,8,6,1,0,0,0,0,0,0,0,53,51-66,2351,0,0,0,1,0,0,1,0,0,1038,42498</v>
      </c>
    </row>
    <row r="414" spans="1:40" ht="13" hidden="1" x14ac:dyDescent="0.15">
      <c r="A414">
        <v>193</v>
      </c>
      <c r="B414" s="1">
        <v>77972</v>
      </c>
      <c r="C414" s="1">
        <v>1089</v>
      </c>
      <c r="D414" s="4">
        <f t="shared" si="12"/>
        <v>1.396655209562407E-2</v>
      </c>
      <c r="E414" s="1">
        <v>0</v>
      </c>
      <c r="F414" s="1">
        <v>0</v>
      </c>
      <c r="G414" s="1">
        <v>18</v>
      </c>
      <c r="H414" s="1">
        <v>613</v>
      </c>
      <c r="I414" s="1">
        <v>22</v>
      </c>
      <c r="J414" s="1">
        <v>319</v>
      </c>
      <c r="K414" s="1">
        <v>33</v>
      </c>
      <c r="L414" s="1">
        <v>102</v>
      </c>
      <c r="M414" s="1">
        <v>12</v>
      </c>
      <c r="N414" s="1">
        <v>1</v>
      </c>
      <c r="O414" s="1">
        <v>4</v>
      </c>
      <c r="P414" s="1">
        <v>6</v>
      </c>
      <c r="Q414" s="1">
        <v>9</v>
      </c>
      <c r="R414" s="1">
        <v>1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66</v>
      </c>
      <c r="AA414" s="1" t="str" cm="1">
        <f t="array" ref="AA414">_xlfn.IFS(AND(Z414&lt;36, Z414&gt;23), "24-35", AND(Z414&lt;51, Z414&gt;35),"36-50", AND(Z414&lt;66, Z414&gt;50), "51-66", Z414&gt;65, "66+", TRUE, "?")</f>
        <v>66+</v>
      </c>
      <c r="AB414" s="1">
        <v>2262</v>
      </c>
      <c r="AC414" s="1">
        <v>0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1</v>
      </c>
      <c r="AJ414" s="1">
        <v>0</v>
      </c>
      <c r="AK414" s="1">
        <v>0</v>
      </c>
      <c r="AL414" s="1">
        <v>1077</v>
      </c>
      <c r="AM414" s="2">
        <v>42587</v>
      </c>
      <c r="AN414" t="str">
        <f t="shared" si="13"/>
        <v>77972,1089,0.0139665520956241,0,0,18,613,22,319,33,102,12,1,4,6,9,1,0,0,0,0,0,0,0,66,66+,2262,0,0,0,1,0,0,1,0,0,1077,42587</v>
      </c>
    </row>
    <row r="415" spans="1:40" ht="13" x14ac:dyDescent="0.15">
      <c r="A415">
        <v>989</v>
      </c>
      <c r="B415" s="1">
        <v>82025</v>
      </c>
      <c r="C415" s="1">
        <v>1089</v>
      </c>
      <c r="D415" s="4">
        <f t="shared" si="12"/>
        <v>1.3276440109722646E-2</v>
      </c>
      <c r="E415" s="1">
        <v>0</v>
      </c>
      <c r="F415" s="1">
        <v>0</v>
      </c>
      <c r="G415" s="1">
        <v>76</v>
      </c>
      <c r="H415" s="1">
        <v>267</v>
      </c>
      <c r="I415" s="1">
        <v>98</v>
      </c>
      <c r="J415" s="1">
        <v>606</v>
      </c>
      <c r="K415" s="1">
        <v>48</v>
      </c>
      <c r="L415" s="1">
        <v>70</v>
      </c>
      <c r="M415" s="1">
        <v>98</v>
      </c>
      <c r="N415" s="1">
        <v>1</v>
      </c>
      <c r="O415" s="1">
        <v>3</v>
      </c>
      <c r="P415" s="1">
        <v>2</v>
      </c>
      <c r="Q415" s="1">
        <v>6</v>
      </c>
      <c r="R415" s="1">
        <v>1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0</v>
      </c>
      <c r="Y415" s="1">
        <v>1</v>
      </c>
      <c r="Z415" s="1">
        <v>37</v>
      </c>
      <c r="AA415" s="1" t="str" cm="1">
        <f t="array" ref="AA415">_xlfn.IFS(AND(Z415&lt;36, Z415&gt;23), "24-35", AND(Z415&lt;51, Z415&gt;35),"36-50", AND(Z415&lt;66, Z415&gt;50), "51-66", Z415&gt;65, "66+", TRUE, "?")</f>
        <v>36-50</v>
      </c>
      <c r="AB415" s="1">
        <v>2556</v>
      </c>
      <c r="AC415" s="1">
        <v>1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991</v>
      </c>
      <c r="AM415" s="2">
        <v>42293</v>
      </c>
      <c r="AN415" t="str">
        <f t="shared" si="13"/>
        <v>82025,1089,0.0132764401097226,0,0,76,267,98,606,48,70,98,1,3,2,6,1,0,0,0,0,1,0,1,37,36-50,2556,1,0,0,0,0,0,1,0,0,991,42293</v>
      </c>
    </row>
    <row r="416" spans="1:40" ht="13" hidden="1" x14ac:dyDescent="0.15">
      <c r="A416">
        <v>1330</v>
      </c>
      <c r="B416" s="1">
        <v>92533</v>
      </c>
      <c r="C416" s="1">
        <v>1089</v>
      </c>
      <c r="D416" s="4">
        <f t="shared" si="12"/>
        <v>1.1768774383193023E-2</v>
      </c>
      <c r="E416" s="1">
        <v>0</v>
      </c>
      <c r="F416" s="1">
        <v>0</v>
      </c>
      <c r="G416" s="1">
        <v>84</v>
      </c>
      <c r="H416" s="1">
        <v>693</v>
      </c>
      <c r="I416" s="1">
        <v>21</v>
      </c>
      <c r="J416" s="1">
        <v>118</v>
      </c>
      <c r="K416" s="1">
        <v>110</v>
      </c>
      <c r="L416" s="1">
        <v>147</v>
      </c>
      <c r="M416" s="1">
        <v>42</v>
      </c>
      <c r="N416" s="1">
        <v>1</v>
      </c>
      <c r="O416" s="1">
        <v>6</v>
      </c>
      <c r="P416" s="1">
        <v>5</v>
      </c>
      <c r="Q416" s="1">
        <v>11</v>
      </c>
      <c r="R416" s="1">
        <v>2</v>
      </c>
      <c r="S416" s="1">
        <v>1</v>
      </c>
      <c r="T416" s="1">
        <v>0</v>
      </c>
      <c r="U416" s="1">
        <v>0</v>
      </c>
      <c r="V416" s="1">
        <v>0</v>
      </c>
      <c r="W416" s="1">
        <v>1</v>
      </c>
      <c r="X416" s="1">
        <v>0</v>
      </c>
      <c r="Y416" s="1">
        <v>0</v>
      </c>
      <c r="Z416" s="1">
        <v>35</v>
      </c>
      <c r="AA416" s="1" t="str" cm="1">
        <f t="array" ref="AA416">_xlfn.IFS(AND(Z416&lt;36, Z416&gt;23), "24-35", AND(Z416&lt;51, Z416&gt;35),"36-50", AND(Z416&lt;66, Z416&gt;50), "51-66", Z416&gt;65, "66+", TRUE, "?")</f>
        <v>24-35</v>
      </c>
      <c r="AB416" s="1">
        <v>2351</v>
      </c>
      <c r="AC416" s="1">
        <v>0</v>
      </c>
      <c r="AD416" s="1">
        <v>1</v>
      </c>
      <c r="AE416" s="1">
        <v>0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0</v>
      </c>
      <c r="AL416" s="1">
        <v>1047</v>
      </c>
      <c r="AM416" s="2">
        <v>42498</v>
      </c>
      <c r="AN416" t="str">
        <f t="shared" si="13"/>
        <v>92533,1089,0.011768774383193,0,0,84,693,21,118,110,147,42,1,6,5,11,2,1,0,0,0,1,0,0,35,24-35,2351,0,1,0,0,0,0,1,0,0,1047,42498</v>
      </c>
    </row>
    <row r="417" spans="1:40" ht="13" hidden="1" x14ac:dyDescent="0.15">
      <c r="A417">
        <v>362</v>
      </c>
      <c r="B417" s="1">
        <v>83664</v>
      </c>
      <c r="C417" s="1">
        <v>1087</v>
      </c>
      <c r="D417" s="4">
        <f t="shared" si="12"/>
        <v>1.2992445974373686E-2</v>
      </c>
      <c r="E417" s="1">
        <v>1</v>
      </c>
      <c r="F417" s="1">
        <v>1</v>
      </c>
      <c r="G417" s="1">
        <v>57</v>
      </c>
      <c r="H417" s="1">
        <v>866</v>
      </c>
      <c r="I417" s="1">
        <v>21</v>
      </c>
      <c r="J417" s="1">
        <v>151</v>
      </c>
      <c r="K417" s="1">
        <v>28</v>
      </c>
      <c r="L417" s="1">
        <v>21</v>
      </c>
      <c r="M417" s="1">
        <v>86</v>
      </c>
      <c r="N417" s="1">
        <v>3</v>
      </c>
      <c r="O417" s="1">
        <v>2</v>
      </c>
      <c r="P417" s="1">
        <v>2</v>
      </c>
      <c r="Q417" s="1">
        <v>12</v>
      </c>
      <c r="R417" s="1">
        <v>5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52</v>
      </c>
      <c r="AA417" s="1" t="str" cm="1">
        <f t="array" ref="AA417">_xlfn.IFS(AND(Z417&lt;36, Z417&gt;23), "24-35", AND(Z417&lt;51, Z417&gt;35),"36-50", AND(Z417&lt;66, Z417&gt;50), "51-66", Z417&gt;65, "66+", TRUE, "?")</f>
        <v>51-66</v>
      </c>
      <c r="AB417" s="1">
        <v>2576</v>
      </c>
      <c r="AC417" s="1">
        <v>1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1</v>
      </c>
      <c r="AL417" s="1">
        <v>1001</v>
      </c>
      <c r="AM417" s="2">
        <v>42273</v>
      </c>
      <c r="AN417" t="str">
        <f t="shared" si="13"/>
        <v>83664,1087,0.0129924459743737,1,1,57,866,21,151,28,21,86,3,2,2,12,5,0,0,0,0,0,0,0,52,51-66,2576,1,0,0,0,0,0,0,0,1,1001,42273</v>
      </c>
    </row>
    <row r="418" spans="1:40" ht="13" hidden="1" x14ac:dyDescent="0.15">
      <c r="A418">
        <v>216</v>
      </c>
      <c r="B418" s="1">
        <v>62745</v>
      </c>
      <c r="C418" s="1">
        <v>1085</v>
      </c>
      <c r="D418" s="4">
        <f t="shared" si="12"/>
        <v>1.7292214519085185E-2</v>
      </c>
      <c r="E418" s="1">
        <v>0</v>
      </c>
      <c r="F418" s="1">
        <v>1</v>
      </c>
      <c r="G418" s="1">
        <v>89</v>
      </c>
      <c r="H418" s="1">
        <v>562</v>
      </c>
      <c r="I418" s="1">
        <v>21</v>
      </c>
      <c r="J418" s="1">
        <v>464</v>
      </c>
      <c r="K418" s="1">
        <v>28</v>
      </c>
      <c r="L418" s="1">
        <v>10</v>
      </c>
      <c r="M418" s="1">
        <v>32</v>
      </c>
      <c r="N418" s="1">
        <v>3</v>
      </c>
      <c r="O418" s="1">
        <v>7</v>
      </c>
      <c r="P418" s="1">
        <v>8</v>
      </c>
      <c r="Q418" s="1">
        <v>11</v>
      </c>
      <c r="R418" s="1">
        <v>5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55</v>
      </c>
      <c r="AA418" s="1" t="str" cm="1">
        <f t="array" ref="AA418">_xlfn.IFS(AND(Z418&lt;36, Z418&gt;23), "24-35", AND(Z418&lt;51, Z418&gt;35),"36-50", AND(Z418&lt;66, Z418&gt;50), "51-66", Z418&gt;65, "66+", TRUE, "?")</f>
        <v>51-66</v>
      </c>
      <c r="AB418" s="1">
        <v>2622</v>
      </c>
      <c r="AC418" s="1">
        <v>0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1</v>
      </c>
      <c r="AL418" s="1">
        <v>1053</v>
      </c>
      <c r="AM418" s="2">
        <v>42227</v>
      </c>
      <c r="AN418" t="str">
        <f t="shared" si="13"/>
        <v>62745,1085,0.0172922145190852,0,1,89,562,21,464,28,10,32,3,7,8,11,5,0,0,0,0,0,0,0,55,51-66,2622,0,1,0,0,0,0,0,0,1,1053,42227</v>
      </c>
    </row>
    <row r="419" spans="1:40" ht="13" hidden="1" x14ac:dyDescent="0.15">
      <c r="A419">
        <v>1435</v>
      </c>
      <c r="B419" s="1">
        <v>63943</v>
      </c>
      <c r="C419" s="1">
        <v>1085</v>
      </c>
      <c r="D419" s="4">
        <f t="shared" si="12"/>
        <v>1.6968237336377711E-2</v>
      </c>
      <c r="E419" s="1">
        <v>0</v>
      </c>
      <c r="F419" s="1">
        <v>1</v>
      </c>
      <c r="G419" s="1">
        <v>50</v>
      </c>
      <c r="H419" s="1">
        <v>423</v>
      </c>
      <c r="I419" s="1">
        <v>184</v>
      </c>
      <c r="J419" s="1">
        <v>368</v>
      </c>
      <c r="K419" s="1">
        <v>13</v>
      </c>
      <c r="L419" s="1">
        <v>97</v>
      </c>
      <c r="M419" s="1">
        <v>21</v>
      </c>
      <c r="N419" s="1">
        <v>1</v>
      </c>
      <c r="O419" s="1">
        <v>6</v>
      </c>
      <c r="P419" s="1">
        <v>4</v>
      </c>
      <c r="Q419" s="1">
        <v>6</v>
      </c>
      <c r="R419" s="1">
        <v>5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64</v>
      </c>
      <c r="AA419" s="1" t="str" cm="1">
        <f t="array" ref="AA419">_xlfn.IFS(AND(Z419&lt;36, Z419&gt;23), "24-35", AND(Z419&lt;51, Z419&gt;35),"36-50", AND(Z419&lt;66, Z419&gt;50), "51-66", Z419&gt;65, "66+", TRUE, "?")</f>
        <v>51-66</v>
      </c>
      <c r="AB419" s="1">
        <v>2824</v>
      </c>
      <c r="AC419" s="1">
        <v>0</v>
      </c>
      <c r="AD419" s="1">
        <v>1</v>
      </c>
      <c r="AE419" s="1">
        <v>0</v>
      </c>
      <c r="AF419" s="1">
        <v>0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1064</v>
      </c>
      <c r="AM419" s="2">
        <v>42025</v>
      </c>
      <c r="AN419" t="str">
        <f t="shared" si="13"/>
        <v>63943,1085,0.0169682373363777,0,1,50,423,184,368,13,97,21,1,6,4,6,5,0,0,0,0,0,0,0,64,51-66,2824,0,1,0,0,0,0,1,0,0,1064,42025</v>
      </c>
    </row>
    <row r="420" spans="1:40" ht="13" hidden="1" x14ac:dyDescent="0.15">
      <c r="A420">
        <v>1130</v>
      </c>
      <c r="B420" s="1">
        <v>66636</v>
      </c>
      <c r="C420" s="1">
        <v>1084</v>
      </c>
      <c r="D420" s="4">
        <f t="shared" si="12"/>
        <v>1.6267483042199413E-2</v>
      </c>
      <c r="E420" s="1">
        <v>0</v>
      </c>
      <c r="F420" s="1">
        <v>0</v>
      </c>
      <c r="G420" s="1">
        <v>64</v>
      </c>
      <c r="H420" s="1">
        <v>291</v>
      </c>
      <c r="I420" s="1">
        <v>10</v>
      </c>
      <c r="J420" s="1">
        <v>689</v>
      </c>
      <c r="K420" s="1">
        <v>84</v>
      </c>
      <c r="L420" s="1">
        <v>10</v>
      </c>
      <c r="M420" s="1">
        <v>0</v>
      </c>
      <c r="N420" s="1">
        <v>1</v>
      </c>
      <c r="O420" s="1">
        <v>3</v>
      </c>
      <c r="P420" s="1">
        <v>4</v>
      </c>
      <c r="Q420" s="1">
        <v>9</v>
      </c>
      <c r="R420" s="1">
        <v>1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63</v>
      </c>
      <c r="AA420" s="1" t="str" cm="1">
        <f t="array" ref="AA420">_xlfn.IFS(AND(Z420&lt;36, Z420&gt;23), "24-35", AND(Z420&lt;51, Z420&gt;35),"36-50", AND(Z420&lt;66, Z420&gt;50), "51-66", Z420&gt;65, "66+", TRUE, "?")</f>
        <v>51-66</v>
      </c>
      <c r="AB420" s="1">
        <v>2475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1084</v>
      </c>
      <c r="AM420" s="2">
        <v>42374</v>
      </c>
      <c r="AN420" t="str">
        <f t="shared" si="13"/>
        <v>66636,1084,0.0162674830421994,0,0,64,291,10,689,84,10,0,1,3,4,9,1,0,0,0,0,0,0,0,63,51-66,2475,0,0,0,1,0,0,0,1,0,1084,42374</v>
      </c>
    </row>
    <row r="421" spans="1:40" ht="13" hidden="1" x14ac:dyDescent="0.15">
      <c r="A421">
        <v>237</v>
      </c>
      <c r="B421" s="1">
        <v>63342</v>
      </c>
      <c r="C421" s="1">
        <v>1080</v>
      </c>
      <c r="D421" s="4">
        <f t="shared" si="12"/>
        <v>1.7050298380221655E-2</v>
      </c>
      <c r="E421" s="1">
        <v>0</v>
      </c>
      <c r="F421" s="1">
        <v>1</v>
      </c>
      <c r="G421" s="1">
        <v>48</v>
      </c>
      <c r="H421" s="1">
        <v>918</v>
      </c>
      <c r="I421" s="1">
        <v>21</v>
      </c>
      <c r="J421" s="1">
        <v>118</v>
      </c>
      <c r="K421" s="1">
        <v>13</v>
      </c>
      <c r="L421" s="1">
        <v>10</v>
      </c>
      <c r="M421" s="1">
        <v>21</v>
      </c>
      <c r="N421" s="1">
        <v>3</v>
      </c>
      <c r="O421" s="1">
        <v>8</v>
      </c>
      <c r="P421" s="1">
        <v>3</v>
      </c>
      <c r="Q421" s="1">
        <v>5</v>
      </c>
      <c r="R421" s="1">
        <v>6</v>
      </c>
      <c r="S421" s="1">
        <v>0</v>
      </c>
      <c r="T421" s="1">
        <v>0</v>
      </c>
      <c r="U421" s="1">
        <v>0</v>
      </c>
      <c r="V421" s="1">
        <v>1</v>
      </c>
      <c r="W421" s="1">
        <v>0</v>
      </c>
      <c r="X421" s="1">
        <v>0</v>
      </c>
      <c r="Y421" s="1">
        <v>0</v>
      </c>
      <c r="Z421" s="1">
        <v>59</v>
      </c>
      <c r="AA421" s="1" t="str" cm="1">
        <f t="array" ref="AA421">_xlfn.IFS(AND(Z421&lt;36, Z421&gt;23), "24-35", AND(Z421&lt;51, Z421&gt;35),"36-50", AND(Z421&lt;66, Z421&gt;50), "51-66", Z421&gt;65, "66+", TRUE, "?")</f>
        <v>51-66</v>
      </c>
      <c r="AB421" s="1">
        <v>2780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1</v>
      </c>
      <c r="AL421" s="1">
        <v>1059</v>
      </c>
      <c r="AM421" s="2">
        <v>42069</v>
      </c>
      <c r="AN421" t="str">
        <f t="shared" si="13"/>
        <v>63342,1080,0.0170502983802217,0,1,48,918,21,118,13,10,21,3,8,3,5,6,0,0,0,1,0,0,0,59,51-66,2780,0,0,0,1,0,0,0,0,1,1059,42069</v>
      </c>
    </row>
    <row r="422" spans="1:40" ht="13" x14ac:dyDescent="0.15">
      <c r="A422">
        <v>998</v>
      </c>
      <c r="B422" s="1">
        <v>63342</v>
      </c>
      <c r="C422" s="1">
        <v>1080</v>
      </c>
      <c r="D422" s="4">
        <f t="shared" si="12"/>
        <v>1.7050298380221655E-2</v>
      </c>
      <c r="E422" s="1">
        <v>0</v>
      </c>
      <c r="F422" s="1">
        <v>1</v>
      </c>
      <c r="G422" s="1">
        <v>48</v>
      </c>
      <c r="H422" s="1">
        <v>918</v>
      </c>
      <c r="I422" s="1">
        <v>21</v>
      </c>
      <c r="J422" s="1">
        <v>118</v>
      </c>
      <c r="K422" s="1">
        <v>13</v>
      </c>
      <c r="L422" s="1">
        <v>10</v>
      </c>
      <c r="M422" s="1">
        <v>21</v>
      </c>
      <c r="N422" s="1">
        <v>3</v>
      </c>
      <c r="O422" s="1">
        <v>8</v>
      </c>
      <c r="P422" s="1">
        <v>3</v>
      </c>
      <c r="Q422" s="1">
        <v>5</v>
      </c>
      <c r="R422" s="1">
        <v>6</v>
      </c>
      <c r="S422" s="1">
        <v>0</v>
      </c>
      <c r="T422" s="1">
        <v>0</v>
      </c>
      <c r="U422" s="1">
        <v>0</v>
      </c>
      <c r="V422" s="1">
        <v>1</v>
      </c>
      <c r="W422" s="1">
        <v>0</v>
      </c>
      <c r="X422" s="1">
        <v>0</v>
      </c>
      <c r="Y422" s="1">
        <v>1</v>
      </c>
      <c r="Z422" s="1">
        <v>59</v>
      </c>
      <c r="AA422" s="1" t="str" cm="1">
        <f t="array" ref="AA422">_xlfn.IFS(AND(Z422&lt;36, Z422&gt;23), "24-35", AND(Z422&lt;51, Z422&gt;35),"36-50", AND(Z422&lt;66, Z422&gt;50), "51-66", Z422&gt;65, "66+", TRUE, "?")</f>
        <v>51-66</v>
      </c>
      <c r="AB422" s="1">
        <v>2780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  <c r="AH422" s="1">
        <v>0</v>
      </c>
      <c r="AI422" s="1">
        <v>0</v>
      </c>
      <c r="AJ422" s="1">
        <v>0</v>
      </c>
      <c r="AK422" s="1">
        <v>1</v>
      </c>
      <c r="AL422" s="1">
        <v>1059</v>
      </c>
      <c r="AM422" s="2">
        <v>42069</v>
      </c>
      <c r="AN422" t="str">
        <f t="shared" si="13"/>
        <v>63342,1080,0.0170502983802217,0,1,48,918,21,118,13,10,21,3,8,3,5,6,0,0,0,1,0,0,1,59,51-66,2780,0,0,0,1,0,0,0,0,1,1059,42069</v>
      </c>
    </row>
    <row r="423" spans="1:40" ht="13" hidden="1" x14ac:dyDescent="0.15">
      <c r="A423">
        <v>692</v>
      </c>
      <c r="B423" s="1">
        <v>64108</v>
      </c>
      <c r="C423" s="1">
        <v>1078</v>
      </c>
      <c r="D423" s="4">
        <f t="shared" si="12"/>
        <v>1.6815374056280027E-2</v>
      </c>
      <c r="E423" s="1">
        <v>0</v>
      </c>
      <c r="F423" s="1">
        <v>1</v>
      </c>
      <c r="G423" s="1">
        <v>8</v>
      </c>
      <c r="H423" s="1">
        <v>948</v>
      </c>
      <c r="I423" s="1">
        <v>10</v>
      </c>
      <c r="J423" s="1">
        <v>86</v>
      </c>
      <c r="K423" s="1">
        <v>13</v>
      </c>
      <c r="L423" s="1">
        <v>21</v>
      </c>
      <c r="M423" s="1">
        <v>21</v>
      </c>
      <c r="N423" s="1">
        <v>4</v>
      </c>
      <c r="O423" s="1">
        <v>6</v>
      </c>
      <c r="P423" s="1">
        <v>9</v>
      </c>
      <c r="Q423" s="1">
        <v>11</v>
      </c>
      <c r="R423" s="1">
        <v>5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67</v>
      </c>
      <c r="AA423" s="1" t="str" cm="1">
        <f t="array" ref="AA423">_xlfn.IFS(AND(Z423&lt;36, Z423&gt;23), "24-35", AND(Z423&lt;51, Z423&gt;35),"36-50", AND(Z423&lt;66, Z423&gt;50), "51-66", Z423&gt;65, "66+", TRUE, "?")</f>
        <v>66+</v>
      </c>
      <c r="AB423" s="1">
        <v>2622</v>
      </c>
      <c r="AC423" s="1">
        <v>0</v>
      </c>
      <c r="AD423" s="1">
        <v>0</v>
      </c>
      <c r="AE423" s="1">
        <v>1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1</v>
      </c>
      <c r="AL423" s="1">
        <v>1057</v>
      </c>
      <c r="AM423" s="2">
        <v>42227</v>
      </c>
      <c r="AN423" t="str">
        <f t="shared" si="13"/>
        <v>64108,1078,0.01681537405628,0,1,8,948,10,86,13,21,21,4,6,9,11,5,0,0,0,0,0,0,0,67,66+,2622,0,0,1,0,0,0,0,0,1,1057,42227</v>
      </c>
    </row>
    <row r="424" spans="1:40" ht="13" hidden="1" x14ac:dyDescent="0.15">
      <c r="A424">
        <v>1422</v>
      </c>
      <c r="B424" s="1">
        <v>71969</v>
      </c>
      <c r="C424" s="1">
        <v>1076</v>
      </c>
      <c r="D424" s="4">
        <f t="shared" si="12"/>
        <v>1.4950881629590518E-2</v>
      </c>
      <c r="E424" s="1">
        <v>0</v>
      </c>
      <c r="F424" s="1">
        <v>1</v>
      </c>
      <c r="G424" s="1">
        <v>59</v>
      </c>
      <c r="H424" s="1">
        <v>1000</v>
      </c>
      <c r="I424" s="1">
        <v>0</v>
      </c>
      <c r="J424" s="1">
        <v>76</v>
      </c>
      <c r="K424" s="1">
        <v>0</v>
      </c>
      <c r="L424" s="1">
        <v>0</v>
      </c>
      <c r="M424" s="1">
        <v>10</v>
      </c>
      <c r="N424" s="1">
        <v>3</v>
      </c>
      <c r="O424" s="1">
        <v>3</v>
      </c>
      <c r="P424" s="1">
        <v>4</v>
      </c>
      <c r="Q424" s="1">
        <v>9</v>
      </c>
      <c r="R424" s="1">
        <v>8</v>
      </c>
      <c r="S424" s="1">
        <v>0</v>
      </c>
      <c r="T424" s="1">
        <v>0</v>
      </c>
      <c r="U424" s="1">
        <v>0</v>
      </c>
      <c r="V424" s="1">
        <v>1</v>
      </c>
      <c r="W424" s="1">
        <v>0</v>
      </c>
      <c r="X424" s="1">
        <v>0</v>
      </c>
      <c r="Y424" s="1">
        <v>0</v>
      </c>
      <c r="Z424" s="1">
        <v>49</v>
      </c>
      <c r="AA424" s="1" t="str" cm="1">
        <f t="array" ref="AA424">_xlfn.IFS(AND(Z424&lt;36, Z424&gt;23), "24-35", AND(Z424&lt;51, Z424&gt;35),"36-50", AND(Z424&lt;66, Z424&gt;50), "51-66", Z424&gt;65, "66+", TRUE, "?")</f>
        <v>36-50</v>
      </c>
      <c r="AB424" s="1">
        <v>2780</v>
      </c>
      <c r="AC424" s="1">
        <v>0</v>
      </c>
      <c r="AD424" s="1">
        <v>1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1</v>
      </c>
      <c r="AL424" s="1">
        <v>1066</v>
      </c>
      <c r="AM424" s="2">
        <v>42069</v>
      </c>
      <c r="AN424" t="str">
        <f t="shared" si="13"/>
        <v>71969,1076,0.0149508816295905,0,1,59,1000,0,76,0,0,10,3,3,4,9,8,0,0,0,1,0,0,0,49,36-50,2780,0,1,0,0,0,0,0,0,1,1066,42069</v>
      </c>
    </row>
    <row r="425" spans="1:40" ht="13" hidden="1" x14ac:dyDescent="0.15">
      <c r="A425">
        <v>476</v>
      </c>
      <c r="B425" s="1">
        <v>81217</v>
      </c>
      <c r="C425" s="1">
        <v>1073</v>
      </c>
      <c r="D425" s="4">
        <f t="shared" si="12"/>
        <v>1.3211519755716168E-2</v>
      </c>
      <c r="E425" s="1">
        <v>0</v>
      </c>
      <c r="F425" s="1">
        <v>0</v>
      </c>
      <c r="G425" s="1">
        <v>77</v>
      </c>
      <c r="H425" s="1">
        <v>493</v>
      </c>
      <c r="I425" s="1">
        <v>70</v>
      </c>
      <c r="J425" s="1">
        <v>324</v>
      </c>
      <c r="K425" s="1">
        <v>146</v>
      </c>
      <c r="L425" s="1">
        <v>40</v>
      </c>
      <c r="M425" s="1">
        <v>84</v>
      </c>
      <c r="N425" s="1">
        <v>1</v>
      </c>
      <c r="O425" s="1">
        <v>3</v>
      </c>
      <c r="P425" s="1">
        <v>7</v>
      </c>
      <c r="Q425" s="1">
        <v>11</v>
      </c>
      <c r="R425" s="1">
        <v>1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31</v>
      </c>
      <c r="AA425" s="1" t="str" cm="1">
        <f t="array" ref="AA425">_xlfn.IFS(AND(Z425&lt;36, Z425&gt;23), "24-35", AND(Z425&lt;51, Z425&gt;35),"36-50", AND(Z425&lt;66, Z425&gt;50), "51-66", Z425&gt;65, "66+", TRUE, "?")</f>
        <v>24-35</v>
      </c>
      <c r="AB425" s="1">
        <v>2504</v>
      </c>
      <c r="AC425" s="1">
        <v>0</v>
      </c>
      <c r="AD425" s="1">
        <v>0</v>
      </c>
      <c r="AE425" s="1">
        <v>1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>
        <v>0</v>
      </c>
      <c r="AL425" s="1">
        <v>989</v>
      </c>
      <c r="AM425" s="2">
        <v>42345</v>
      </c>
      <c r="AN425" t="str">
        <f t="shared" si="13"/>
        <v>81217,1073,0.0132115197557162,0,0,77,493,70,324,146,40,84,1,3,7,11,1,0,0,0,0,0,0,0,31,24-35,2504,0,0,1,0,0,0,1,0,0,989,42345</v>
      </c>
    </row>
    <row r="426" spans="1:40" ht="13" hidden="1" x14ac:dyDescent="0.15">
      <c r="A426">
        <v>12</v>
      </c>
      <c r="B426" s="1">
        <v>63033</v>
      </c>
      <c r="C426" s="1">
        <v>1072</v>
      </c>
      <c r="D426" s="4">
        <f t="shared" si="12"/>
        <v>1.7006964605841383E-2</v>
      </c>
      <c r="E426" s="1">
        <v>0</v>
      </c>
      <c r="F426" s="1">
        <v>0</v>
      </c>
      <c r="G426" s="1">
        <v>82</v>
      </c>
      <c r="H426" s="1">
        <v>194</v>
      </c>
      <c r="I426" s="1">
        <v>61</v>
      </c>
      <c r="J426" s="1">
        <v>480</v>
      </c>
      <c r="K426" s="1">
        <v>225</v>
      </c>
      <c r="L426" s="1">
        <v>112</v>
      </c>
      <c r="M426" s="1">
        <v>30</v>
      </c>
      <c r="N426" s="1">
        <v>1</v>
      </c>
      <c r="O426" s="1">
        <v>3</v>
      </c>
      <c r="P426" s="1">
        <v>4</v>
      </c>
      <c r="Q426" s="1">
        <v>8</v>
      </c>
      <c r="R426" s="1">
        <v>2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61</v>
      </c>
      <c r="AA426" s="1" t="str" cm="1">
        <f t="array" ref="AA426">_xlfn.IFS(AND(Z426&lt;36, Z426&gt;23), "24-35", AND(Z426&lt;51, Z426&gt;35),"36-50", AND(Z426&lt;66, Z426&gt;50), "51-66", Z426&gt;65, "66+", TRUE, "?")</f>
        <v>51-66</v>
      </c>
      <c r="AB426" s="1">
        <v>2385</v>
      </c>
      <c r="AC426" s="1">
        <v>1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1</v>
      </c>
      <c r="AJ426" s="1">
        <v>0</v>
      </c>
      <c r="AK426" s="1">
        <v>0</v>
      </c>
      <c r="AL426" s="1">
        <v>1042</v>
      </c>
      <c r="AM426" s="2">
        <v>42464</v>
      </c>
      <c r="AN426" t="str">
        <f t="shared" si="13"/>
        <v>63033,1072,0.0170069646058414,0,0,82,194,61,480,225,112,30,1,3,4,8,2,0,0,0,0,0,0,0,61,51-66,2385,1,0,0,0,0,0,1,0,0,1042,42464</v>
      </c>
    </row>
    <row r="427" spans="1:40" ht="13" x14ac:dyDescent="0.15">
      <c r="A427">
        <v>1002</v>
      </c>
      <c r="B427" s="1">
        <v>87305</v>
      </c>
      <c r="C427" s="1">
        <v>1072</v>
      </c>
      <c r="D427" s="4">
        <f t="shared" si="12"/>
        <v>1.2278792738102055E-2</v>
      </c>
      <c r="E427" s="1">
        <v>0</v>
      </c>
      <c r="F427" s="1">
        <v>0</v>
      </c>
      <c r="G427" s="1">
        <v>19</v>
      </c>
      <c r="H427" s="1">
        <v>345</v>
      </c>
      <c r="I427" s="1">
        <v>25</v>
      </c>
      <c r="J427" s="1">
        <v>501</v>
      </c>
      <c r="K427" s="1">
        <v>63</v>
      </c>
      <c r="L427" s="1">
        <v>138</v>
      </c>
      <c r="M427" s="1">
        <v>80</v>
      </c>
      <c r="N427" s="1">
        <v>1</v>
      </c>
      <c r="O427" s="1">
        <v>5</v>
      </c>
      <c r="P427" s="1">
        <v>3</v>
      </c>
      <c r="Q427" s="1">
        <v>8</v>
      </c>
      <c r="R427" s="1">
        <v>2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0</v>
      </c>
      <c r="Y427" s="1">
        <v>1</v>
      </c>
      <c r="Z427" s="1">
        <v>60</v>
      </c>
      <c r="AA427" s="1" t="str" cm="1">
        <f t="array" ref="AA427">_xlfn.IFS(AND(Z427&lt;36, Z427&gt;23), "24-35", AND(Z427&lt;51, Z427&gt;35),"36-50", AND(Z427&lt;66, Z427&gt;50), "51-66", Z427&gt;65, "66+", TRUE, "?")</f>
        <v>51-66</v>
      </c>
      <c r="AB427" s="1">
        <v>2803</v>
      </c>
      <c r="AC427" s="1">
        <v>1</v>
      </c>
      <c r="AD427" s="1">
        <v>0</v>
      </c>
      <c r="AE427" s="1">
        <v>0</v>
      </c>
      <c r="AF427" s="1">
        <v>0</v>
      </c>
      <c r="AG427" s="1">
        <v>0</v>
      </c>
      <c r="AH427" s="1">
        <v>1</v>
      </c>
      <c r="AI427" s="1">
        <v>0</v>
      </c>
      <c r="AJ427" s="1">
        <v>0</v>
      </c>
      <c r="AK427" s="1">
        <v>0</v>
      </c>
      <c r="AL427" s="1">
        <v>992</v>
      </c>
      <c r="AM427" s="2">
        <v>42046</v>
      </c>
      <c r="AN427" t="str">
        <f t="shared" si="13"/>
        <v>87305,1072,0.0122787927381021,0,0,19,345,25,501,63,138,80,1,5,3,8,2,0,0,0,0,1,0,1,60,51-66,2803,1,0,0,0,0,1,0,0,0,992,42046</v>
      </c>
    </row>
    <row r="428" spans="1:40" ht="13" x14ac:dyDescent="0.15">
      <c r="A428">
        <v>1016</v>
      </c>
      <c r="B428" s="1">
        <v>65706</v>
      </c>
      <c r="C428" s="1">
        <v>1070</v>
      </c>
      <c r="D428" s="4">
        <f t="shared" si="12"/>
        <v>1.6284661979119108E-2</v>
      </c>
      <c r="E428" s="1">
        <v>0</v>
      </c>
      <c r="F428" s="1">
        <v>0</v>
      </c>
      <c r="G428" s="1">
        <v>77</v>
      </c>
      <c r="H428" s="1">
        <v>918</v>
      </c>
      <c r="I428" s="1">
        <v>10</v>
      </c>
      <c r="J428" s="1">
        <v>129</v>
      </c>
      <c r="K428" s="1">
        <v>13</v>
      </c>
      <c r="L428" s="1">
        <v>0</v>
      </c>
      <c r="M428" s="1">
        <v>129</v>
      </c>
      <c r="N428" s="1">
        <v>1</v>
      </c>
      <c r="O428" s="1">
        <v>11</v>
      </c>
      <c r="P428" s="1">
        <v>3</v>
      </c>
      <c r="Q428" s="1">
        <v>12</v>
      </c>
      <c r="R428" s="1">
        <v>7</v>
      </c>
      <c r="S428" s="1">
        <v>0</v>
      </c>
      <c r="T428" s="1">
        <v>1</v>
      </c>
      <c r="U428" s="1">
        <v>0</v>
      </c>
      <c r="V428" s="1">
        <v>1</v>
      </c>
      <c r="W428" s="1">
        <v>1</v>
      </c>
      <c r="X428" s="1">
        <v>0</v>
      </c>
      <c r="Y428" s="1">
        <v>1</v>
      </c>
      <c r="Z428" s="1">
        <v>50</v>
      </c>
      <c r="AA428" s="1" t="str" cm="1">
        <f t="array" ref="AA428">_xlfn.IFS(AND(Z428&lt;36, Z428&gt;23), "24-35", AND(Z428&lt;51, Z428&gt;35),"36-50", AND(Z428&lt;66, Z428&gt;50), "51-66", Z428&gt;65, "66+", TRUE, "?")</f>
        <v>36-50</v>
      </c>
      <c r="AB428" s="1">
        <v>2525</v>
      </c>
      <c r="AC428" s="1">
        <v>1</v>
      </c>
      <c r="AD428" s="1">
        <v>0</v>
      </c>
      <c r="AE428" s="1">
        <v>0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0</v>
      </c>
      <c r="AL428" s="1">
        <v>941</v>
      </c>
      <c r="AM428" s="2">
        <v>42324</v>
      </c>
      <c r="AN428" t="str">
        <f t="shared" si="13"/>
        <v>65706,1070,0.0162846619791191,0,0,77,918,10,129,13,0,129,1,11,3,12,7,0,1,0,1,1,0,1,50,36-50,2525,1,0,0,0,0,1,0,0,0,941,42324</v>
      </c>
    </row>
    <row r="429" spans="1:40" ht="13" x14ac:dyDescent="0.15">
      <c r="A429">
        <v>1017</v>
      </c>
      <c r="B429" s="1">
        <v>75154</v>
      </c>
      <c r="C429" s="1">
        <v>1061</v>
      </c>
      <c r="D429" s="4">
        <f t="shared" si="12"/>
        <v>1.411767836708625E-2</v>
      </c>
      <c r="E429" s="1">
        <v>0</v>
      </c>
      <c r="F429" s="1">
        <v>1</v>
      </c>
      <c r="G429" s="1">
        <v>79</v>
      </c>
      <c r="H429" s="1">
        <v>543</v>
      </c>
      <c r="I429" s="1">
        <v>10</v>
      </c>
      <c r="J429" s="1">
        <v>205</v>
      </c>
      <c r="K429" s="1">
        <v>160</v>
      </c>
      <c r="L429" s="1">
        <v>143</v>
      </c>
      <c r="M429" s="1">
        <v>82</v>
      </c>
      <c r="N429" s="1">
        <v>1</v>
      </c>
      <c r="O429" s="1">
        <v>6</v>
      </c>
      <c r="P429" s="1">
        <v>3</v>
      </c>
      <c r="Q429" s="1">
        <v>6</v>
      </c>
      <c r="R429" s="1">
        <v>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1">
        <v>62</v>
      </c>
      <c r="AA429" s="1" t="str" cm="1">
        <f t="array" ref="AA429">_xlfn.IFS(AND(Z429&lt;36, Z429&gt;23), "24-35", AND(Z429&lt;51, Z429&gt;35),"36-50", AND(Z429&lt;66, Z429&gt;50), "51-66", Z429&gt;65, "66+", TRUE, "?")</f>
        <v>51-66</v>
      </c>
      <c r="AB429" s="1">
        <v>2822</v>
      </c>
      <c r="AC429" s="1">
        <v>0</v>
      </c>
      <c r="AD429" s="1">
        <v>0</v>
      </c>
      <c r="AE429" s="1">
        <v>1</v>
      </c>
      <c r="AF429" s="1">
        <v>0</v>
      </c>
      <c r="AG429" s="1">
        <v>0</v>
      </c>
      <c r="AH429" s="1">
        <v>0</v>
      </c>
      <c r="AI429" s="1">
        <v>0</v>
      </c>
      <c r="AJ429" s="1">
        <v>1</v>
      </c>
      <c r="AK429" s="1">
        <v>0</v>
      </c>
      <c r="AL429" s="1">
        <v>979</v>
      </c>
      <c r="AM429" s="2">
        <v>42027</v>
      </c>
      <c r="AN429" t="str">
        <f t="shared" si="13"/>
        <v>75154,1061,0.0141176783670863,0,1,79,543,10,205,160,143,82,1,6,3,6,3,0,0,0,0,0,0,1,62,51-66,2822,0,0,1,0,0,0,0,1,0,979,42027</v>
      </c>
    </row>
    <row r="430" spans="1:40" ht="13" x14ac:dyDescent="0.15">
      <c r="A430">
        <v>1019</v>
      </c>
      <c r="B430" s="1">
        <v>87195</v>
      </c>
      <c r="C430" s="1">
        <v>1059</v>
      </c>
      <c r="D430" s="4">
        <f t="shared" si="12"/>
        <v>1.2145191811457078E-2</v>
      </c>
      <c r="E430" s="1">
        <v>0</v>
      </c>
      <c r="F430" s="1">
        <v>0</v>
      </c>
      <c r="G430" s="1">
        <v>35</v>
      </c>
      <c r="H430" s="1">
        <v>217</v>
      </c>
      <c r="I430" s="1">
        <v>76</v>
      </c>
      <c r="J430" s="1">
        <v>690</v>
      </c>
      <c r="K430" s="1">
        <v>50</v>
      </c>
      <c r="L430" s="1">
        <v>26</v>
      </c>
      <c r="M430" s="1">
        <v>38</v>
      </c>
      <c r="N430" s="1">
        <v>1</v>
      </c>
      <c r="O430" s="1">
        <v>3</v>
      </c>
      <c r="P430" s="1">
        <v>11</v>
      </c>
      <c r="Q430" s="1">
        <v>5</v>
      </c>
      <c r="R430" s="1">
        <v>1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61</v>
      </c>
      <c r="AA430" s="1" t="str" cm="1">
        <f t="array" ref="AA430">_xlfn.IFS(AND(Z430&lt;36, Z430&gt;23), "24-35", AND(Z430&lt;51, Z430&gt;35),"36-50", AND(Z430&lt;66, Z430&gt;50), "51-66", Z430&gt;65, "66+", TRUE, "?")</f>
        <v>51-66</v>
      </c>
      <c r="AB430" s="1">
        <v>2211</v>
      </c>
      <c r="AC430" s="1">
        <v>0</v>
      </c>
      <c r="AD430" s="1">
        <v>1</v>
      </c>
      <c r="AE430" s="1">
        <v>0</v>
      </c>
      <c r="AF430" s="1">
        <v>0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1021</v>
      </c>
      <c r="AM430" s="2">
        <v>42638</v>
      </c>
      <c r="AN430" t="str">
        <f t="shared" si="13"/>
        <v>87195,1059,0.0121451918114571,0,0,35,217,76,690,50,26,38,1,3,11,5,1,0,0,0,0,0,0,1,61,51-66,2211,0,1,0,0,0,0,1,0,0,1021,42638</v>
      </c>
    </row>
    <row r="431" spans="1:40" ht="13" x14ac:dyDescent="0.15">
      <c r="A431">
        <v>1022</v>
      </c>
      <c r="B431" s="1">
        <v>81698</v>
      </c>
      <c r="C431" s="1">
        <v>1059</v>
      </c>
      <c r="D431" s="4">
        <f t="shared" si="12"/>
        <v>1.2962373619917256E-2</v>
      </c>
      <c r="E431" s="1">
        <v>0</v>
      </c>
      <c r="F431" s="1">
        <v>0</v>
      </c>
      <c r="G431" s="1">
        <v>1</v>
      </c>
      <c r="H431" s="1">
        <v>709</v>
      </c>
      <c r="I431" s="1">
        <v>45</v>
      </c>
      <c r="J431" s="1">
        <v>115</v>
      </c>
      <c r="K431" s="1">
        <v>30</v>
      </c>
      <c r="L431" s="1">
        <v>160</v>
      </c>
      <c r="M431" s="1">
        <v>45</v>
      </c>
      <c r="N431" s="1">
        <v>1</v>
      </c>
      <c r="O431" s="1">
        <v>8</v>
      </c>
      <c r="P431" s="1">
        <v>2</v>
      </c>
      <c r="Q431" s="1">
        <v>5</v>
      </c>
      <c r="R431" s="1">
        <v>5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1">
        <v>37</v>
      </c>
      <c r="AA431" s="1" t="str" cm="1">
        <f t="array" ref="AA431">_xlfn.IFS(AND(Z431&lt;36, Z431&gt;23), "24-35", AND(Z431&lt;51, Z431&gt;35),"36-50", AND(Z431&lt;66, Z431&gt;50), "51-66", Z431&gt;65, "66+", TRUE, "?")</f>
        <v>36-50</v>
      </c>
      <c r="AB431" s="1">
        <v>2644</v>
      </c>
      <c r="AC431" s="1">
        <v>0</v>
      </c>
      <c r="AD431" s="1">
        <v>0</v>
      </c>
      <c r="AE431" s="1">
        <v>1</v>
      </c>
      <c r="AF431" s="1">
        <v>0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s="1">
        <v>1014</v>
      </c>
      <c r="AM431" s="2">
        <v>42205</v>
      </c>
      <c r="AN431" t="str">
        <f t="shared" si="13"/>
        <v>81698,1059,0.0129623736199173,0,0,1,709,45,115,30,160,45,1,8,2,5,5,1,0,0,0,0,0,1,37,36-50,2644,0,0,1,0,0,1,0,0,0,1014,42205</v>
      </c>
    </row>
    <row r="432" spans="1:40" ht="13" hidden="1" x14ac:dyDescent="0.15">
      <c r="A432">
        <v>91</v>
      </c>
      <c r="B432" s="1">
        <v>85693</v>
      </c>
      <c r="C432" s="1">
        <v>1058</v>
      </c>
      <c r="D432" s="4">
        <f t="shared" si="12"/>
        <v>1.2346399355840034E-2</v>
      </c>
      <c r="E432" s="1">
        <v>0</v>
      </c>
      <c r="F432" s="1">
        <v>1</v>
      </c>
      <c r="G432" s="1">
        <v>59</v>
      </c>
      <c r="H432" s="1">
        <v>386</v>
      </c>
      <c r="I432" s="1">
        <v>172</v>
      </c>
      <c r="J432" s="1">
        <v>183</v>
      </c>
      <c r="K432" s="1">
        <v>185</v>
      </c>
      <c r="L432" s="1">
        <v>132</v>
      </c>
      <c r="M432" s="1">
        <v>111</v>
      </c>
      <c r="N432" s="1">
        <v>2</v>
      </c>
      <c r="O432" s="1">
        <v>9</v>
      </c>
      <c r="P432" s="1">
        <v>5</v>
      </c>
      <c r="Q432" s="1">
        <v>11</v>
      </c>
      <c r="R432" s="1">
        <v>5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41</v>
      </c>
      <c r="AA432" s="1" t="str" cm="1">
        <f t="array" ref="AA432">_xlfn.IFS(AND(Z432&lt;36, Z432&gt;23), "24-35", AND(Z432&lt;51, Z432&gt;35),"36-50", AND(Z432&lt;66, Z432&gt;50), "51-66", Z432&gt;65, "66+", TRUE, "?")</f>
        <v>36-50</v>
      </c>
      <c r="AB432" s="1">
        <v>2594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947</v>
      </c>
      <c r="AM432" s="2">
        <v>42255</v>
      </c>
      <c r="AN432" t="str">
        <f t="shared" si="13"/>
        <v>85693,1058,0.01234639935584,0,1,59,386,172,183,185,132,111,2,9,5,11,5,0,0,0,0,0,0,0,41,36-50,2594,0,0,0,1,0,0,1,0,0,947,42255</v>
      </c>
    </row>
    <row r="433" spans="1:40" ht="13" x14ac:dyDescent="0.15">
      <c r="A433">
        <v>1024</v>
      </c>
      <c r="B433" s="1">
        <v>63998</v>
      </c>
      <c r="C433" s="1">
        <v>1056</v>
      </c>
      <c r="D433" s="4">
        <f t="shared" si="12"/>
        <v>1.6500515641113784E-2</v>
      </c>
      <c r="E433" s="1">
        <v>0</v>
      </c>
      <c r="F433" s="1">
        <v>0</v>
      </c>
      <c r="G433" s="1">
        <v>42</v>
      </c>
      <c r="H433" s="1">
        <v>176</v>
      </c>
      <c r="I433" s="1">
        <v>29</v>
      </c>
      <c r="J433" s="1">
        <v>818</v>
      </c>
      <c r="K433" s="1">
        <v>0</v>
      </c>
      <c r="L433" s="1">
        <v>33</v>
      </c>
      <c r="M433" s="1">
        <v>112</v>
      </c>
      <c r="N433" s="1">
        <v>1</v>
      </c>
      <c r="O433" s="1">
        <v>7</v>
      </c>
      <c r="P433" s="1">
        <v>6</v>
      </c>
      <c r="Q433" s="1">
        <v>11</v>
      </c>
      <c r="R433" s="1">
        <v>4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68</v>
      </c>
      <c r="AA433" s="1" t="str" cm="1">
        <f t="array" ref="AA433">_xlfn.IFS(AND(Z433&lt;36, Z433&gt;23), "24-35", AND(Z433&lt;51, Z433&gt;35),"36-50", AND(Z433&lt;66, Z433&gt;50), "51-66", Z433&gt;65, "66+", TRUE, "?")</f>
        <v>66+</v>
      </c>
      <c r="AB433" s="1">
        <v>2350</v>
      </c>
      <c r="AC433" s="1">
        <v>1</v>
      </c>
      <c r="AD433" s="1">
        <v>0</v>
      </c>
      <c r="AE433" s="1">
        <v>0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0</v>
      </c>
      <c r="AL433" s="1">
        <v>944</v>
      </c>
      <c r="AM433" s="2">
        <v>42499</v>
      </c>
      <c r="AN433" t="str">
        <f t="shared" si="13"/>
        <v>63998,1056,0.0165005156411138,0,0,42,176,29,818,0,33,112,1,7,6,11,4,0,0,0,0,0,0,1,68,66+,2350,1,0,0,0,0,1,0,0,0,944,42499</v>
      </c>
    </row>
    <row r="434" spans="1:40" ht="13" x14ac:dyDescent="0.15">
      <c r="A434">
        <v>1034</v>
      </c>
      <c r="B434" s="1">
        <v>67786</v>
      </c>
      <c r="C434" s="1">
        <v>1054</v>
      </c>
      <c r="D434" s="4">
        <f t="shared" si="12"/>
        <v>1.5548933408078364E-2</v>
      </c>
      <c r="E434" s="1">
        <v>0</v>
      </c>
      <c r="F434" s="1">
        <v>0</v>
      </c>
      <c r="G434" s="1">
        <v>0</v>
      </c>
      <c r="H434" s="1">
        <v>431</v>
      </c>
      <c r="I434" s="1">
        <v>82</v>
      </c>
      <c r="J434" s="1">
        <v>441</v>
      </c>
      <c r="K434" s="1">
        <v>80</v>
      </c>
      <c r="L434" s="1">
        <v>20</v>
      </c>
      <c r="M434" s="1">
        <v>102</v>
      </c>
      <c r="N434" s="1">
        <v>1</v>
      </c>
      <c r="O434" s="1">
        <v>3</v>
      </c>
      <c r="P434" s="1">
        <v>6</v>
      </c>
      <c r="Q434" s="1">
        <v>6</v>
      </c>
      <c r="R434" s="1">
        <v>1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61</v>
      </c>
      <c r="AA434" s="1" t="str" cm="1">
        <f t="array" ref="AA434">_xlfn.IFS(AND(Z434&lt;36, Z434&gt;23), "24-35", AND(Z434&lt;51, Z434&gt;35),"36-50", AND(Z434&lt;66, Z434&gt;50), "51-66", Z434&gt;65, "66+", TRUE, "?")</f>
        <v>51-66</v>
      </c>
      <c r="AB434" s="1">
        <v>2363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  <c r="AH434" s="1">
        <v>0</v>
      </c>
      <c r="AI434" s="1">
        <v>0</v>
      </c>
      <c r="AJ434" s="1">
        <v>0</v>
      </c>
      <c r="AK434" s="1">
        <v>1</v>
      </c>
      <c r="AL434" s="1">
        <v>952</v>
      </c>
      <c r="AM434" s="2">
        <v>42486</v>
      </c>
      <c r="AN434" t="str">
        <f t="shared" si="13"/>
        <v>67786,1054,0.0155489334080784,0,0,0,431,82,441,80,20,102,1,3,6,6,1,0,0,0,0,0,0,1,61,51-66,2363,0,0,0,0,1,0,0,0,1,952,42486</v>
      </c>
    </row>
    <row r="435" spans="1:40" ht="13" x14ac:dyDescent="0.15">
      <c r="A435">
        <v>1044</v>
      </c>
      <c r="B435" s="1">
        <v>70287</v>
      </c>
      <c r="C435" s="1">
        <v>1053</v>
      </c>
      <c r="D435" s="4">
        <f t="shared" si="12"/>
        <v>1.4981433266464637E-2</v>
      </c>
      <c r="E435" s="1">
        <v>0</v>
      </c>
      <c r="F435" s="1">
        <v>0</v>
      </c>
      <c r="G435" s="1">
        <v>30</v>
      </c>
      <c r="H435" s="1">
        <v>295</v>
      </c>
      <c r="I435" s="1">
        <v>35</v>
      </c>
      <c r="J435" s="1">
        <v>482</v>
      </c>
      <c r="K435" s="1">
        <v>121</v>
      </c>
      <c r="L435" s="1">
        <v>120</v>
      </c>
      <c r="M435" s="1">
        <v>40</v>
      </c>
      <c r="N435" s="1">
        <v>1</v>
      </c>
      <c r="O435" s="1">
        <v>5</v>
      </c>
      <c r="P435" s="1">
        <v>5</v>
      </c>
      <c r="Q435" s="1">
        <v>10</v>
      </c>
      <c r="R435" s="1">
        <v>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54</v>
      </c>
      <c r="AA435" s="1" t="str" cm="1">
        <f t="array" ref="AA435">_xlfn.IFS(AND(Z435&lt;36, Z435&gt;23), "24-35", AND(Z435&lt;51, Z435&gt;35),"36-50", AND(Z435&lt;66, Z435&gt;50), "51-66", Z435&gt;65, "66+", TRUE, "?")</f>
        <v>51-66</v>
      </c>
      <c r="AB435" s="1">
        <v>2612</v>
      </c>
      <c r="AC435" s="1">
        <v>1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1013</v>
      </c>
      <c r="AM435" s="2">
        <v>42237</v>
      </c>
      <c r="AN435" t="str">
        <f t="shared" si="13"/>
        <v>70287,1053,0.0149814332664646,0,0,30,295,35,482,121,120,40,1,5,5,10,3,0,0,0,0,0,0,1,54,51-66,2612,1,0,0,0,0,0,1,0,0,1013,42237</v>
      </c>
    </row>
    <row r="436" spans="1:40" ht="13" x14ac:dyDescent="0.15">
      <c r="A436">
        <v>1048</v>
      </c>
      <c r="B436" s="1">
        <v>57136</v>
      </c>
      <c r="C436" s="1">
        <v>1052</v>
      </c>
      <c r="D436" s="4">
        <f t="shared" si="12"/>
        <v>1.8412209465135818E-2</v>
      </c>
      <c r="E436" s="1">
        <v>0</v>
      </c>
      <c r="F436" s="1">
        <v>0</v>
      </c>
      <c r="G436" s="1">
        <v>18</v>
      </c>
      <c r="H436" s="1">
        <v>267</v>
      </c>
      <c r="I436" s="1">
        <v>140</v>
      </c>
      <c r="J436" s="1">
        <v>599</v>
      </c>
      <c r="K436" s="1">
        <v>34</v>
      </c>
      <c r="L436" s="1">
        <v>12</v>
      </c>
      <c r="M436" s="1">
        <v>127</v>
      </c>
      <c r="N436" s="1">
        <v>1</v>
      </c>
      <c r="O436" s="1">
        <v>7</v>
      </c>
      <c r="P436" s="1">
        <v>5</v>
      </c>
      <c r="Q436" s="1">
        <v>7</v>
      </c>
      <c r="R436" s="1">
        <v>6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  <c r="Z436" s="1">
        <v>53</v>
      </c>
      <c r="AA436" s="1" t="str" cm="1">
        <f t="array" ref="AA436">_xlfn.IFS(AND(Z436&lt;36, Z436&gt;23), "24-35", AND(Z436&lt;51, Z436&gt;35),"36-50", AND(Z436&lt;66, Z436&gt;50), "51-66", Z436&gt;65, "66+", TRUE, "?")</f>
        <v>51-66</v>
      </c>
      <c r="AB436" s="1">
        <v>2566</v>
      </c>
      <c r="AC436" s="1">
        <v>1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1</v>
      </c>
      <c r="AJ436" s="1">
        <v>0</v>
      </c>
      <c r="AK436" s="1">
        <v>0</v>
      </c>
      <c r="AL436" s="1">
        <v>925</v>
      </c>
      <c r="AM436" s="2">
        <v>42283</v>
      </c>
      <c r="AN436" t="str">
        <f t="shared" si="13"/>
        <v>57136,1052,0.0184122094651358,0,0,18,267,140,599,34,12,127,1,7,5,7,6,0,0,0,0,0,0,1,53,51-66,2566,1,0,0,0,0,0,1,0,0,925,42283</v>
      </c>
    </row>
    <row r="437" spans="1:40" ht="13" hidden="1" x14ac:dyDescent="0.15">
      <c r="A437">
        <v>970</v>
      </c>
      <c r="B437" s="1">
        <v>68695</v>
      </c>
      <c r="C437" s="1">
        <v>1051</v>
      </c>
      <c r="D437" s="4">
        <f t="shared" si="12"/>
        <v>1.5299512337142442E-2</v>
      </c>
      <c r="E437" s="1">
        <v>0</v>
      </c>
      <c r="F437" s="1">
        <v>0</v>
      </c>
      <c r="G437" s="1">
        <v>3</v>
      </c>
      <c r="H437" s="1">
        <v>458</v>
      </c>
      <c r="I437" s="1">
        <v>81</v>
      </c>
      <c r="J437" s="1">
        <v>356</v>
      </c>
      <c r="K437" s="1">
        <v>106</v>
      </c>
      <c r="L437" s="1">
        <v>50</v>
      </c>
      <c r="M437" s="1">
        <v>40</v>
      </c>
      <c r="N437" s="1">
        <v>1</v>
      </c>
      <c r="O437" s="1">
        <v>4</v>
      </c>
      <c r="P437" s="1">
        <v>4</v>
      </c>
      <c r="Q437" s="1">
        <v>7</v>
      </c>
      <c r="R437" s="1">
        <v>2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51</v>
      </c>
      <c r="AA437" s="1" t="str" cm="1">
        <f t="array" ref="AA437">_xlfn.IFS(AND(Z437&lt;36, Z437&gt;23), "24-35", AND(Z437&lt;51, Z437&gt;35),"36-50", AND(Z437&lt;66, Z437&gt;50), "51-66", Z437&gt;65, "66+", TRUE, "?")</f>
        <v>51-66</v>
      </c>
      <c r="AB437" s="1">
        <v>2163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1011</v>
      </c>
      <c r="AM437" s="2">
        <v>42686</v>
      </c>
      <c r="AN437" t="str">
        <f t="shared" si="13"/>
        <v>68695,1051,0.0152995123371424,0,0,3,458,81,356,106,50,40,1,4,4,7,2,0,0,0,0,0,0,0,51,51-66,2163,0,0,0,1,0,0,1,0,0,1011,42686</v>
      </c>
    </row>
    <row r="438" spans="1:40" ht="13" hidden="1" x14ac:dyDescent="0.15">
      <c r="A438">
        <v>1494</v>
      </c>
      <c r="B438" s="1">
        <v>47111</v>
      </c>
      <c r="C438" s="1">
        <v>1051</v>
      </c>
      <c r="D438" s="4">
        <f t="shared" si="12"/>
        <v>2.2309014879752075E-2</v>
      </c>
      <c r="E438" s="1">
        <v>0</v>
      </c>
      <c r="F438" s="1">
        <v>1</v>
      </c>
      <c r="G438" s="1">
        <v>35</v>
      </c>
      <c r="H438" s="1">
        <v>595</v>
      </c>
      <c r="I438" s="1">
        <v>71</v>
      </c>
      <c r="J438" s="1">
        <v>153</v>
      </c>
      <c r="K438" s="1">
        <v>120</v>
      </c>
      <c r="L438" s="1">
        <v>112</v>
      </c>
      <c r="M438" s="1">
        <v>41</v>
      </c>
      <c r="N438" s="1">
        <v>6</v>
      </c>
      <c r="O438" s="1">
        <v>3</v>
      </c>
      <c r="P438" s="1">
        <v>2</v>
      </c>
      <c r="Q438" s="1">
        <v>10</v>
      </c>
      <c r="R438" s="1">
        <v>9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49</v>
      </c>
      <c r="AA438" s="1" t="str" cm="1">
        <f t="array" ref="AA438">_xlfn.IFS(AND(Z438&lt;36, Z438&gt;23), "24-35", AND(Z438&lt;51, Z438&gt;35),"36-50", AND(Z438&lt;66, Z438&gt;50), "51-66", Z438&gt;65, "66+", TRUE, "?")</f>
        <v>36-50</v>
      </c>
      <c r="AB438" s="1">
        <v>2818</v>
      </c>
      <c r="AC438" s="1">
        <v>0</v>
      </c>
      <c r="AD438" s="1">
        <v>0</v>
      </c>
      <c r="AE438" s="1">
        <v>0</v>
      </c>
      <c r="AF438" s="1">
        <v>0</v>
      </c>
      <c r="AG438" s="1">
        <v>1</v>
      </c>
      <c r="AH438" s="1">
        <v>0</v>
      </c>
      <c r="AI438" s="1">
        <v>0</v>
      </c>
      <c r="AJ438" s="1">
        <v>0</v>
      </c>
      <c r="AK438" s="1">
        <v>1</v>
      </c>
      <c r="AL438" s="1">
        <v>1010</v>
      </c>
      <c r="AM438" s="2">
        <v>42031</v>
      </c>
      <c r="AN438" t="str">
        <f t="shared" si="13"/>
        <v>47111,1051,0.0223090148797521,0,1,35,595,71,153,120,112,41,6,3,2,10,9,0,0,0,0,0,0,0,49,36-50,2818,0,0,0,0,1,0,0,0,1,1010,42031</v>
      </c>
    </row>
    <row r="439" spans="1:40" ht="13" hidden="1" x14ac:dyDescent="0.15">
      <c r="A439">
        <v>1855</v>
      </c>
      <c r="B439" s="1">
        <v>75330</v>
      </c>
      <c r="C439" s="1">
        <v>1048</v>
      </c>
      <c r="D439" s="4">
        <f t="shared" si="12"/>
        <v>1.391212000530997E-2</v>
      </c>
      <c r="E439" s="1">
        <v>1</v>
      </c>
      <c r="F439" s="1">
        <v>1</v>
      </c>
      <c r="G439" s="1">
        <v>94</v>
      </c>
      <c r="H439" s="1">
        <v>555</v>
      </c>
      <c r="I439" s="1">
        <v>82</v>
      </c>
      <c r="J439" s="1">
        <v>257</v>
      </c>
      <c r="K439" s="1">
        <v>93</v>
      </c>
      <c r="L439" s="1">
        <v>61</v>
      </c>
      <c r="M439" s="1">
        <v>61</v>
      </c>
      <c r="N439" s="1">
        <v>4</v>
      </c>
      <c r="O439" s="1">
        <v>10</v>
      </c>
      <c r="P439" s="1">
        <v>3</v>
      </c>
      <c r="Q439" s="1">
        <v>12</v>
      </c>
      <c r="R439" s="1">
        <v>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43</v>
      </c>
      <c r="AA439" s="1" t="str" cm="1">
        <f t="array" ref="AA439">_xlfn.IFS(AND(Z439&lt;36, Z439&gt;23), "24-35", AND(Z439&lt;51, Z439&gt;35),"36-50", AND(Z439&lt;66, Z439&gt;50), "51-66", Z439&gt;65, "66+", TRUE, "?")</f>
        <v>36-50</v>
      </c>
      <c r="AB439" s="1">
        <v>2792</v>
      </c>
      <c r="AC439" s="1">
        <v>0</v>
      </c>
      <c r="AD439" s="1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987</v>
      </c>
      <c r="AM439" s="2">
        <v>42057</v>
      </c>
      <c r="AN439" t="str">
        <f t="shared" si="13"/>
        <v>75330,1048,0.01391212000531,1,1,94,555,82,257,93,61,61,4,10,3,12,6,0,0,0,0,0,0,0,43,36-50,2792,0,1,0,0,0,0,1,0,0,987,42057</v>
      </c>
    </row>
    <row r="440" spans="1:40" ht="13" hidden="1" x14ac:dyDescent="0.15">
      <c r="A440">
        <v>590</v>
      </c>
      <c r="B440" s="1">
        <v>84196</v>
      </c>
      <c r="C440" s="1">
        <v>1047</v>
      </c>
      <c r="D440" s="4">
        <f t="shared" si="12"/>
        <v>1.2435270084089506E-2</v>
      </c>
      <c r="E440" s="1">
        <v>0</v>
      </c>
      <c r="F440" s="1">
        <v>1</v>
      </c>
      <c r="G440" s="1">
        <v>56</v>
      </c>
      <c r="H440" s="1">
        <v>215</v>
      </c>
      <c r="I440" s="1">
        <v>63</v>
      </c>
      <c r="J440" s="1">
        <v>507</v>
      </c>
      <c r="K440" s="1">
        <v>231</v>
      </c>
      <c r="L440" s="1">
        <v>31</v>
      </c>
      <c r="M440" s="1">
        <v>190</v>
      </c>
      <c r="N440" s="1">
        <v>1</v>
      </c>
      <c r="O440" s="1">
        <v>8</v>
      </c>
      <c r="P440" s="1">
        <v>4</v>
      </c>
      <c r="Q440" s="1">
        <v>7</v>
      </c>
      <c r="R440" s="1">
        <v>3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45</v>
      </c>
      <c r="AA440" s="1" t="str" cm="1">
        <f t="array" ref="AA440">_xlfn.IFS(AND(Z440&lt;36, Z440&gt;23), "24-35", AND(Z440&lt;51, Z440&gt;35),"36-50", AND(Z440&lt;66, Z440&gt;50), "51-66", Z440&gt;65, "66+", TRUE, "?")</f>
        <v>36-50</v>
      </c>
      <c r="AB440" s="1">
        <v>2550</v>
      </c>
      <c r="AC440" s="1">
        <v>0</v>
      </c>
      <c r="AD440" s="1">
        <v>0</v>
      </c>
      <c r="AE440" s="1">
        <v>1</v>
      </c>
      <c r="AF440" s="1">
        <v>0</v>
      </c>
      <c r="AG440" s="1">
        <v>0</v>
      </c>
      <c r="AH440" s="1">
        <v>0</v>
      </c>
      <c r="AI440" s="1">
        <v>1</v>
      </c>
      <c r="AJ440" s="1">
        <v>0</v>
      </c>
      <c r="AK440" s="1">
        <v>0</v>
      </c>
      <c r="AL440" s="1">
        <v>857</v>
      </c>
      <c r="AM440" s="2">
        <v>42299</v>
      </c>
      <c r="AN440" t="str">
        <f t="shared" si="13"/>
        <v>84196,1047,0.0124352700840895,0,1,56,215,63,507,231,31,190,1,8,4,7,3,0,0,0,0,0,0,0,45,36-50,2550,0,0,1,0,0,0,1,0,0,857,42299</v>
      </c>
    </row>
    <row r="441" spans="1:40" ht="13" hidden="1" x14ac:dyDescent="0.15">
      <c r="A441">
        <v>1098</v>
      </c>
      <c r="B441" s="1">
        <v>81657</v>
      </c>
      <c r="C441" s="1">
        <v>1047</v>
      </c>
      <c r="D441" s="4">
        <f t="shared" si="12"/>
        <v>1.2821925860612073E-2</v>
      </c>
      <c r="E441" s="1">
        <v>0</v>
      </c>
      <c r="F441" s="1">
        <v>0</v>
      </c>
      <c r="G441" s="1">
        <v>69</v>
      </c>
      <c r="H441" s="1">
        <v>364</v>
      </c>
      <c r="I441" s="1">
        <v>40</v>
      </c>
      <c r="J441" s="1">
        <v>425</v>
      </c>
      <c r="K441" s="1">
        <v>158</v>
      </c>
      <c r="L441" s="1">
        <v>60</v>
      </c>
      <c r="M441" s="1">
        <v>50</v>
      </c>
      <c r="N441" s="1">
        <v>1</v>
      </c>
      <c r="O441" s="1">
        <v>3</v>
      </c>
      <c r="P441" s="1">
        <v>4</v>
      </c>
      <c r="Q441" s="1">
        <v>8</v>
      </c>
      <c r="R441" s="1">
        <v>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51</v>
      </c>
      <c r="AA441" s="1" t="str" cm="1">
        <f t="array" ref="AA441">_xlfn.IFS(AND(Z441&lt;36, Z441&gt;23), "24-35", AND(Z441&lt;51, Z441&gt;35),"36-50", AND(Z441&lt;66, Z441&gt;50), "51-66", Z441&gt;65, "66+", TRUE, "?")</f>
        <v>51-66</v>
      </c>
      <c r="AB441" s="1">
        <v>2317</v>
      </c>
      <c r="AC441" s="1">
        <v>0</v>
      </c>
      <c r="AD441" s="1">
        <v>0</v>
      </c>
      <c r="AE441" s="1">
        <v>1</v>
      </c>
      <c r="AF441" s="1">
        <v>0</v>
      </c>
      <c r="AG441" s="1">
        <v>0</v>
      </c>
      <c r="AH441" s="1">
        <v>0</v>
      </c>
      <c r="AI441" s="1">
        <v>1</v>
      </c>
      <c r="AJ441" s="1">
        <v>0</v>
      </c>
      <c r="AK441" s="1">
        <v>0</v>
      </c>
      <c r="AL441" s="1">
        <v>997</v>
      </c>
      <c r="AM441" s="2">
        <v>42532</v>
      </c>
      <c r="AN441" t="str">
        <f t="shared" si="13"/>
        <v>81657,1047,0.0128219258606121,0,0,69,364,40,425,158,60,50,1,3,4,8,1,0,0,0,0,0,0,0,51,51-66,2317,0,0,1,0,0,0,1,0,0,997,42532</v>
      </c>
    </row>
    <row r="442" spans="1:40" ht="13" hidden="1" x14ac:dyDescent="0.15">
      <c r="A442">
        <v>59</v>
      </c>
      <c r="B442" s="1">
        <v>70666</v>
      </c>
      <c r="C442" s="1">
        <v>1046</v>
      </c>
      <c r="D442" s="4">
        <f t="shared" si="12"/>
        <v>1.4802026434211643E-2</v>
      </c>
      <c r="E442" s="1">
        <v>0</v>
      </c>
      <c r="F442" s="1">
        <v>0</v>
      </c>
      <c r="G442" s="1">
        <v>29</v>
      </c>
      <c r="H442" s="1">
        <v>398</v>
      </c>
      <c r="I442" s="1">
        <v>40</v>
      </c>
      <c r="J442" s="1">
        <v>367</v>
      </c>
      <c r="K442" s="1">
        <v>119</v>
      </c>
      <c r="L442" s="1">
        <v>122</v>
      </c>
      <c r="M442" s="1">
        <v>30</v>
      </c>
      <c r="N442" s="1">
        <v>1</v>
      </c>
      <c r="O442" s="1">
        <v>7</v>
      </c>
      <c r="P442" s="1">
        <v>4</v>
      </c>
      <c r="Q442" s="1">
        <v>4</v>
      </c>
      <c r="R442" s="1">
        <v>4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72</v>
      </c>
      <c r="AA442" s="1" t="str" cm="1">
        <f t="array" ref="AA442">_xlfn.IFS(AND(Z442&lt;36, Z442&gt;23), "24-35", AND(Z442&lt;51, Z442&gt;35),"36-50", AND(Z442&lt;66, Z442&gt;50), "51-66", Z442&gt;65, "66+", TRUE, "?")</f>
        <v>66+</v>
      </c>
      <c r="AB442" s="1">
        <v>2364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0</v>
      </c>
      <c r="AI442" s="1">
        <v>1</v>
      </c>
      <c r="AJ442" s="1">
        <v>0</v>
      </c>
      <c r="AK442" s="1">
        <v>0</v>
      </c>
      <c r="AL442" s="1">
        <v>1016</v>
      </c>
      <c r="AM442" s="2">
        <v>42485</v>
      </c>
      <c r="AN442" t="str">
        <f t="shared" si="13"/>
        <v>70666,1046,0.0148020264342116,0,0,29,398,40,367,119,122,30,1,7,4,4,4,0,0,0,0,0,0,0,72,66+,2364,0,0,0,1,0,0,1,0,0,1016,42485</v>
      </c>
    </row>
    <row r="443" spans="1:40" ht="13" hidden="1" x14ac:dyDescent="0.15">
      <c r="A443">
        <v>365</v>
      </c>
      <c r="B443" s="1">
        <v>74293</v>
      </c>
      <c r="C443" s="1">
        <v>1046</v>
      </c>
      <c r="D443" s="4">
        <f t="shared" si="12"/>
        <v>1.4079388367679324E-2</v>
      </c>
      <c r="E443" s="1">
        <v>0</v>
      </c>
      <c r="F443" s="1">
        <v>0</v>
      </c>
      <c r="G443" s="1">
        <v>66</v>
      </c>
      <c r="H443" s="1">
        <v>375</v>
      </c>
      <c r="I443" s="1">
        <v>152</v>
      </c>
      <c r="J443" s="1">
        <v>335</v>
      </c>
      <c r="K443" s="1">
        <v>93</v>
      </c>
      <c r="L443" s="1">
        <v>91</v>
      </c>
      <c r="M443" s="1">
        <v>81</v>
      </c>
      <c r="N443" s="1">
        <v>1</v>
      </c>
      <c r="O443" s="1">
        <v>5</v>
      </c>
      <c r="P443" s="1">
        <v>4</v>
      </c>
      <c r="Q443" s="1">
        <v>6</v>
      </c>
      <c r="R443" s="1">
        <v>2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27</v>
      </c>
      <c r="AA443" s="1" t="str" cm="1">
        <f t="array" ref="AA443">_xlfn.IFS(AND(Z443&lt;36, Z443&gt;23), "24-35", AND(Z443&lt;51, Z443&gt;35),"36-50", AND(Z443&lt;66, Z443&gt;50), "51-66", Z443&gt;65, "66+", TRUE, "?")</f>
        <v>24-35</v>
      </c>
      <c r="AB443" s="1">
        <v>2215</v>
      </c>
      <c r="AC443" s="1">
        <v>0</v>
      </c>
      <c r="AD443" s="1">
        <v>0</v>
      </c>
      <c r="AE443" s="1">
        <v>1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965</v>
      </c>
      <c r="AM443" s="2">
        <v>42634</v>
      </c>
      <c r="AN443" t="str">
        <f t="shared" si="13"/>
        <v>74293,1046,0.0140793883676793,0,0,66,375,152,335,93,91,81,1,5,4,6,2,0,0,0,0,0,0,0,27,24-35,2215,0,0,1,0,0,0,1,0,0,965,42634</v>
      </c>
    </row>
    <row r="444" spans="1:40" ht="13" hidden="1" x14ac:dyDescent="0.15">
      <c r="A444">
        <v>866</v>
      </c>
      <c r="B444" s="1">
        <v>72354</v>
      </c>
      <c r="C444" s="1">
        <v>1046</v>
      </c>
      <c r="D444" s="4">
        <f t="shared" si="12"/>
        <v>1.4456699007656799E-2</v>
      </c>
      <c r="E444" s="1">
        <v>0</v>
      </c>
      <c r="F444" s="1">
        <v>0</v>
      </c>
      <c r="G444" s="1">
        <v>67</v>
      </c>
      <c r="H444" s="1">
        <v>315</v>
      </c>
      <c r="I444" s="1">
        <v>26</v>
      </c>
      <c r="J444" s="1">
        <v>473</v>
      </c>
      <c r="K444" s="1">
        <v>220</v>
      </c>
      <c r="L444" s="1">
        <v>12</v>
      </c>
      <c r="M444" s="1">
        <v>182</v>
      </c>
      <c r="N444" s="1">
        <v>1</v>
      </c>
      <c r="O444" s="1">
        <v>2</v>
      </c>
      <c r="P444" s="1">
        <v>10</v>
      </c>
      <c r="Q444" s="1">
        <v>6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27</v>
      </c>
      <c r="AA444" s="1" t="str" cm="1">
        <f t="array" ref="AA444">_xlfn.IFS(AND(Z444&lt;36, Z444&gt;23), "24-35", AND(Z444&lt;51, Z444&gt;35),"36-50", AND(Z444&lt;66, Z444&gt;50), "51-66", Z444&gt;65, "66+", TRUE, "?")</f>
        <v>24-35</v>
      </c>
      <c r="AB444" s="1">
        <v>2597</v>
      </c>
      <c r="AC444" s="1">
        <v>0</v>
      </c>
      <c r="AD444" s="1">
        <v>0</v>
      </c>
      <c r="AE444" s="1">
        <v>1</v>
      </c>
      <c r="AF444" s="1">
        <v>0</v>
      </c>
      <c r="AG444" s="1">
        <v>0</v>
      </c>
      <c r="AH444" s="1">
        <v>0</v>
      </c>
      <c r="AI444" s="1">
        <v>1</v>
      </c>
      <c r="AJ444" s="1">
        <v>0</v>
      </c>
      <c r="AK444" s="1">
        <v>0</v>
      </c>
      <c r="AL444" s="1">
        <v>864</v>
      </c>
      <c r="AM444" s="2">
        <v>42252</v>
      </c>
      <c r="AN444" t="str">
        <f t="shared" si="13"/>
        <v>72354,1046,0.0144566990076568,0,0,67,315,26,473,220,12,182,1,2,10,6,1,0,0,0,0,0,0,0,27,24-35,2597,0,0,1,0,0,0,1,0,0,864,42252</v>
      </c>
    </row>
    <row r="445" spans="1:40" ht="13" hidden="1" x14ac:dyDescent="0.15">
      <c r="A445">
        <v>609</v>
      </c>
      <c r="B445" s="1">
        <v>78710</v>
      </c>
      <c r="C445" s="1">
        <v>1042</v>
      </c>
      <c r="D445" s="4">
        <f t="shared" si="12"/>
        <v>1.3238470334137975E-2</v>
      </c>
      <c r="E445" s="1">
        <v>0</v>
      </c>
      <c r="F445" s="1">
        <v>1</v>
      </c>
      <c r="G445" s="1">
        <v>42</v>
      </c>
      <c r="H445" s="1">
        <v>721</v>
      </c>
      <c r="I445" s="1">
        <v>0</v>
      </c>
      <c r="J445" s="1">
        <v>152</v>
      </c>
      <c r="K445" s="1">
        <v>119</v>
      </c>
      <c r="L445" s="1">
        <v>50</v>
      </c>
      <c r="M445" s="1">
        <v>50</v>
      </c>
      <c r="N445" s="1">
        <v>3</v>
      </c>
      <c r="O445" s="1">
        <v>7</v>
      </c>
      <c r="P445" s="1">
        <v>6</v>
      </c>
      <c r="Q445" s="1">
        <v>12</v>
      </c>
      <c r="R445" s="1">
        <v>4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43</v>
      </c>
      <c r="AA445" s="1" t="str" cm="1">
        <f t="array" ref="AA445">_xlfn.IFS(AND(Z445&lt;36, Z445&gt;23), "24-35", AND(Z445&lt;51, Z445&gt;35),"36-50", AND(Z445&lt;66, Z445&gt;50), "51-66", Z445&gt;65, "66+", TRUE, "?")</f>
        <v>36-50</v>
      </c>
      <c r="AB445" s="1">
        <v>2196</v>
      </c>
      <c r="AC445" s="1">
        <v>0</v>
      </c>
      <c r="AD445" s="1">
        <v>1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0</v>
      </c>
      <c r="AL445" s="1">
        <v>992</v>
      </c>
      <c r="AM445" s="2">
        <v>42653</v>
      </c>
      <c r="AN445" t="str">
        <f t="shared" si="13"/>
        <v>78710,1042,0.013238470334138,0,1,42,721,0,152,119,50,50,3,7,6,12,4,0,0,0,0,0,0,0,43,36-50,2196,0,1,0,0,0,0,0,1,0,992,42653</v>
      </c>
    </row>
    <row r="446" spans="1:40" ht="13" hidden="1" x14ac:dyDescent="0.15">
      <c r="A446">
        <v>871</v>
      </c>
      <c r="B446" s="1">
        <v>77583</v>
      </c>
      <c r="C446" s="1">
        <v>1041</v>
      </c>
      <c r="D446" s="4">
        <f t="shared" si="12"/>
        <v>1.3417887939368161E-2</v>
      </c>
      <c r="E446" s="1">
        <v>0</v>
      </c>
      <c r="F446" s="1">
        <v>0</v>
      </c>
      <c r="G446" s="1">
        <v>93</v>
      </c>
      <c r="H446" s="1">
        <v>372</v>
      </c>
      <c r="I446" s="1">
        <v>23</v>
      </c>
      <c r="J446" s="1">
        <v>384</v>
      </c>
      <c r="K446" s="1">
        <v>250</v>
      </c>
      <c r="L446" s="1">
        <v>12</v>
      </c>
      <c r="M446" s="1">
        <v>108</v>
      </c>
      <c r="N446" s="1">
        <v>1</v>
      </c>
      <c r="O446" s="1">
        <v>4</v>
      </c>
      <c r="P446" s="1">
        <v>5</v>
      </c>
      <c r="Q446" s="1">
        <v>9</v>
      </c>
      <c r="R446" s="1">
        <v>2</v>
      </c>
      <c r="S446" s="1">
        <v>1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42</v>
      </c>
      <c r="AA446" s="1" t="str" cm="1">
        <f t="array" ref="AA446">_xlfn.IFS(AND(Z446&lt;36, Z446&gt;23), "24-35", AND(Z446&lt;51, Z446&gt;35),"36-50", AND(Z446&lt;66, Z446&gt;50), "51-66", Z446&gt;65, "66+", TRUE, "?")</f>
        <v>36-50</v>
      </c>
      <c r="AB446" s="1">
        <v>2298</v>
      </c>
      <c r="AC446" s="1">
        <v>0</v>
      </c>
      <c r="AD446" s="1">
        <v>1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933</v>
      </c>
      <c r="AM446" s="2">
        <v>42551</v>
      </c>
      <c r="AN446" t="str">
        <f t="shared" si="13"/>
        <v>77583,1041,0.0134178879393682,0,0,93,372,23,384,250,12,108,1,4,5,9,2,1,0,0,0,0,0,0,42,36-50,2298,0,1,0,0,0,0,1,0,0,933,42551</v>
      </c>
    </row>
    <row r="447" spans="1:40" ht="13" hidden="1" x14ac:dyDescent="0.15">
      <c r="A447">
        <v>1226</v>
      </c>
      <c r="B447" s="1">
        <v>59868</v>
      </c>
      <c r="C447" s="1">
        <v>1040</v>
      </c>
      <c r="D447" s="4">
        <f t="shared" si="12"/>
        <v>1.7371550744972271E-2</v>
      </c>
      <c r="E447" s="1">
        <v>0</v>
      </c>
      <c r="F447" s="1">
        <v>1</v>
      </c>
      <c r="G447" s="1">
        <v>37</v>
      </c>
      <c r="H447" s="1">
        <v>771</v>
      </c>
      <c r="I447" s="1">
        <v>51</v>
      </c>
      <c r="J447" s="1">
        <v>154</v>
      </c>
      <c r="K447" s="1">
        <v>54</v>
      </c>
      <c r="L447" s="1">
        <v>10</v>
      </c>
      <c r="M447" s="1">
        <v>154</v>
      </c>
      <c r="N447" s="1">
        <v>7</v>
      </c>
      <c r="O447" s="1">
        <v>11</v>
      </c>
      <c r="P447" s="1">
        <v>2</v>
      </c>
      <c r="Q447" s="1">
        <v>12</v>
      </c>
      <c r="R447" s="1">
        <v>6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48</v>
      </c>
      <c r="AA447" s="1" t="str" cm="1">
        <f t="array" ref="AA447">_xlfn.IFS(AND(Z447&lt;36, Z447&gt;23), "24-35", AND(Z447&lt;51, Z447&gt;35),"36-50", AND(Z447&lt;66, Z447&gt;50), "51-66", Z447&gt;65, "66+", TRUE, "?")</f>
        <v>36-50</v>
      </c>
      <c r="AB447" s="1">
        <v>2501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  <c r="AH447" s="1">
        <v>0</v>
      </c>
      <c r="AI447" s="1">
        <v>1</v>
      </c>
      <c r="AJ447" s="1">
        <v>0</v>
      </c>
      <c r="AK447" s="1">
        <v>0</v>
      </c>
      <c r="AL447" s="1">
        <v>886</v>
      </c>
      <c r="AM447" s="2">
        <v>42348</v>
      </c>
      <c r="AN447" t="str">
        <f t="shared" si="13"/>
        <v>59868,1040,0.0173715507449723,0,1,37,771,51,154,54,10,154,7,11,2,12,6,0,0,0,0,0,0,0,48,36-50,2501,0,0,0,1,0,0,1,0,0,886,42348</v>
      </c>
    </row>
    <row r="448" spans="1:40" ht="13" hidden="1" x14ac:dyDescent="0.15">
      <c r="A448">
        <v>92</v>
      </c>
      <c r="B448" s="1">
        <v>65846</v>
      </c>
      <c r="C448" s="1">
        <v>1039</v>
      </c>
      <c r="D448" s="4">
        <f t="shared" si="12"/>
        <v>1.5779242474865597E-2</v>
      </c>
      <c r="E448" s="1">
        <v>0</v>
      </c>
      <c r="F448" s="1">
        <v>0</v>
      </c>
      <c r="G448" s="1">
        <v>68</v>
      </c>
      <c r="H448" s="1">
        <v>562</v>
      </c>
      <c r="I448" s="1">
        <v>81</v>
      </c>
      <c r="J448" s="1">
        <v>276</v>
      </c>
      <c r="K448" s="1">
        <v>80</v>
      </c>
      <c r="L448" s="1">
        <v>40</v>
      </c>
      <c r="M448" s="1">
        <v>81</v>
      </c>
      <c r="N448" s="1">
        <v>1</v>
      </c>
      <c r="O448" s="1">
        <v>6</v>
      </c>
      <c r="P448" s="1">
        <v>3</v>
      </c>
      <c r="Q448" s="1">
        <v>6</v>
      </c>
      <c r="R448" s="1">
        <v>4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75</v>
      </c>
      <c r="AA448" s="1" t="str" cm="1">
        <f t="array" ref="AA448">_xlfn.IFS(AND(Z448&lt;36, Z448&gt;23), "24-35", AND(Z448&lt;51, Z448&gt;35),"36-50", AND(Z448&lt;66, Z448&gt;50), "51-66", Z448&gt;65, "66+", TRUE, "?")</f>
        <v>66+</v>
      </c>
      <c r="AB448" s="1">
        <v>2567</v>
      </c>
      <c r="AC448" s="1">
        <v>0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1</v>
      </c>
      <c r="AL448" s="1">
        <v>958</v>
      </c>
      <c r="AM448" s="2">
        <v>42282</v>
      </c>
      <c r="AN448" t="str">
        <f t="shared" si="13"/>
        <v>65846,1039,0.0157792424748656,0,0,68,562,81,276,80,40,81,1,6,3,6,4,0,0,0,0,0,0,0,75,66+,2567,0,1,0,0,0,0,0,0,1,958,42282</v>
      </c>
    </row>
    <row r="449" spans="1:40" ht="13" hidden="1" x14ac:dyDescent="0.15">
      <c r="A449">
        <v>628</v>
      </c>
      <c r="B449" s="1">
        <v>59304</v>
      </c>
      <c r="C449" s="1">
        <v>1038</v>
      </c>
      <c r="D449" s="4">
        <f t="shared" si="12"/>
        <v>1.7503035208417644E-2</v>
      </c>
      <c r="E449" s="1">
        <v>0</v>
      </c>
      <c r="F449" s="1">
        <v>1</v>
      </c>
      <c r="G449" s="1">
        <v>81</v>
      </c>
      <c r="H449" s="1">
        <v>418</v>
      </c>
      <c r="I449" s="1">
        <v>61</v>
      </c>
      <c r="J449" s="1">
        <v>428</v>
      </c>
      <c r="K449" s="1">
        <v>80</v>
      </c>
      <c r="L449" s="1">
        <v>51</v>
      </c>
      <c r="M449" s="1">
        <v>10</v>
      </c>
      <c r="N449" s="1">
        <v>3</v>
      </c>
      <c r="O449" s="1">
        <v>7</v>
      </c>
      <c r="P449" s="1">
        <v>8</v>
      </c>
      <c r="Q449" s="1">
        <v>10</v>
      </c>
      <c r="R449" s="1">
        <v>5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56</v>
      </c>
      <c r="AA449" s="1" t="str" cm="1">
        <f t="array" ref="AA449">_xlfn.IFS(AND(Z449&lt;36, Z449&gt;23), "24-35", AND(Z449&lt;51, Z449&gt;35),"36-50", AND(Z449&lt;66, Z449&gt;50), "51-66", Z449&gt;65, "66+", TRUE, "?")</f>
        <v>51-66</v>
      </c>
      <c r="AB449" s="1">
        <v>2494</v>
      </c>
      <c r="AC449" s="1">
        <v>0</v>
      </c>
      <c r="AD449" s="1">
        <v>1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1</v>
      </c>
      <c r="AL449" s="1">
        <v>1028</v>
      </c>
      <c r="AM449" s="2">
        <v>42355</v>
      </c>
      <c r="AN449" t="str">
        <f t="shared" si="13"/>
        <v>59304,1038,0.0175030352084176,0,1,81,418,61,428,80,51,10,3,7,8,10,5,0,0,0,0,0,0,0,56,51-66,2494,0,1,0,0,0,0,0,0,1,1028,42355</v>
      </c>
    </row>
    <row r="450" spans="1:40" ht="13" hidden="1" x14ac:dyDescent="0.15">
      <c r="A450">
        <v>203</v>
      </c>
      <c r="B450" s="1">
        <v>72460</v>
      </c>
      <c r="C450" s="1">
        <v>1037</v>
      </c>
      <c r="D450" s="4">
        <f t="shared" ref="D450:D513" si="14">C450/B450</f>
        <v>1.4311344189897875E-2</v>
      </c>
      <c r="E450" s="1">
        <v>0</v>
      </c>
      <c r="F450" s="1">
        <v>0</v>
      </c>
      <c r="G450" s="1">
        <v>56</v>
      </c>
      <c r="H450" s="1">
        <v>377</v>
      </c>
      <c r="I450" s="1">
        <v>10</v>
      </c>
      <c r="J450" s="1">
        <v>540</v>
      </c>
      <c r="K450" s="1">
        <v>80</v>
      </c>
      <c r="L450" s="1">
        <v>30</v>
      </c>
      <c r="M450" s="1">
        <v>10</v>
      </c>
      <c r="N450" s="1">
        <v>1</v>
      </c>
      <c r="O450" s="1">
        <v>3</v>
      </c>
      <c r="P450" s="1">
        <v>5</v>
      </c>
      <c r="Q450" s="1">
        <v>7</v>
      </c>
      <c r="R450" s="1">
        <v>1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51</v>
      </c>
      <c r="AA450" s="1" t="str" cm="1">
        <f t="array" ref="AA450">_xlfn.IFS(AND(Z450&lt;36, Z450&gt;23), "24-35", AND(Z450&lt;51, Z450&gt;35),"36-50", AND(Z450&lt;66, Z450&gt;50), "51-66", Z450&gt;65, "66+", TRUE, "?")</f>
        <v>51-66</v>
      </c>
      <c r="AB450" s="1">
        <v>2386</v>
      </c>
      <c r="AC450" s="1">
        <v>0</v>
      </c>
      <c r="AD450" s="1">
        <v>1</v>
      </c>
      <c r="AE450" s="1">
        <v>0</v>
      </c>
      <c r="AF450" s="1">
        <v>0</v>
      </c>
      <c r="AG450" s="1">
        <v>0</v>
      </c>
      <c r="AH450" s="1">
        <v>0</v>
      </c>
      <c r="AI450" s="1">
        <v>1</v>
      </c>
      <c r="AJ450" s="1">
        <v>0</v>
      </c>
      <c r="AK450" s="1">
        <v>0</v>
      </c>
      <c r="AL450" s="1">
        <v>1027</v>
      </c>
      <c r="AM450" s="2">
        <v>42463</v>
      </c>
      <c r="AN450" t="str">
        <f t="shared" ref="AN450:AN513" si="15">_xlfn.TEXTJOIN(",",TRUE,B450:AM450)</f>
        <v>72460,1037,0.0143113441898979,0,0,56,377,10,540,80,30,10,1,3,5,7,1,0,0,0,0,0,0,0,51,51-66,2386,0,1,0,0,0,0,1,0,0,1027,42463</v>
      </c>
    </row>
    <row r="451" spans="1:40" ht="13" hidden="1" x14ac:dyDescent="0.15">
      <c r="A451">
        <v>1423</v>
      </c>
      <c r="B451" s="1">
        <v>59235</v>
      </c>
      <c r="C451" s="1">
        <v>1037</v>
      </c>
      <c r="D451" s="4">
        <f t="shared" si="14"/>
        <v>1.7506541740525027E-2</v>
      </c>
      <c r="E451" s="1">
        <v>1</v>
      </c>
      <c r="F451" s="1">
        <v>0</v>
      </c>
      <c r="G451" s="1">
        <v>4</v>
      </c>
      <c r="H451" s="1">
        <v>448</v>
      </c>
      <c r="I451" s="1">
        <v>40</v>
      </c>
      <c r="J451" s="1">
        <v>469</v>
      </c>
      <c r="K451" s="1">
        <v>80</v>
      </c>
      <c r="L451" s="1">
        <v>0</v>
      </c>
      <c r="M451" s="1">
        <v>91</v>
      </c>
      <c r="N451" s="1">
        <v>3</v>
      </c>
      <c r="O451" s="1">
        <v>11</v>
      </c>
      <c r="P451" s="1">
        <v>2</v>
      </c>
      <c r="Q451" s="1">
        <v>12</v>
      </c>
      <c r="R451" s="1">
        <v>7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53</v>
      </c>
      <c r="AA451" s="1" t="str" cm="1">
        <f t="array" ref="AA451">_xlfn.IFS(AND(Z451&lt;36, Z451&gt;23), "24-35", AND(Z451&lt;51, Z451&gt;35),"36-50", AND(Z451&lt;66, Z451&gt;50), "51-66", Z451&gt;65, "66+", TRUE, "?")</f>
        <v>51-66</v>
      </c>
      <c r="AB451" s="1">
        <v>2692</v>
      </c>
      <c r="AC451" s="1">
        <v>0</v>
      </c>
      <c r="AD451" s="1">
        <v>0</v>
      </c>
      <c r="AE451" s="1">
        <v>1</v>
      </c>
      <c r="AF451" s="1">
        <v>0</v>
      </c>
      <c r="AG451" s="1">
        <v>0</v>
      </c>
      <c r="AH451" s="1">
        <v>0</v>
      </c>
      <c r="AI451" s="1">
        <v>0</v>
      </c>
      <c r="AJ451" s="1">
        <v>1</v>
      </c>
      <c r="AK451" s="1">
        <v>0</v>
      </c>
      <c r="AL451" s="1">
        <v>946</v>
      </c>
      <c r="AM451" s="2">
        <v>42157</v>
      </c>
      <c r="AN451" t="str">
        <f t="shared" si="15"/>
        <v>59235,1037,0.017506541740525,1,0,4,448,40,469,80,0,91,3,11,2,12,7,0,0,0,0,0,0,0,53,51-66,2692,0,0,1,0,0,0,0,1,0,946,42157</v>
      </c>
    </row>
    <row r="452" spans="1:40" ht="13" x14ac:dyDescent="0.15">
      <c r="A452">
        <v>1049</v>
      </c>
      <c r="B452" s="1">
        <v>91172</v>
      </c>
      <c r="C452" s="1">
        <v>1036</v>
      </c>
      <c r="D452" s="4">
        <f t="shared" si="14"/>
        <v>1.136313780546659E-2</v>
      </c>
      <c r="E452" s="1">
        <v>0</v>
      </c>
      <c r="F452" s="1">
        <v>0</v>
      </c>
      <c r="G452" s="1">
        <v>94</v>
      </c>
      <c r="H452" s="1">
        <v>162</v>
      </c>
      <c r="I452" s="1">
        <v>28</v>
      </c>
      <c r="J452" s="1">
        <v>818</v>
      </c>
      <c r="K452" s="1">
        <v>0</v>
      </c>
      <c r="L452" s="1">
        <v>28</v>
      </c>
      <c r="M452" s="1">
        <v>56</v>
      </c>
      <c r="N452" s="1">
        <v>0</v>
      </c>
      <c r="O452" s="1">
        <v>4</v>
      </c>
      <c r="P452" s="1">
        <v>3</v>
      </c>
      <c r="Q452" s="1">
        <v>7</v>
      </c>
      <c r="R452" s="1">
        <v>3</v>
      </c>
      <c r="S452" s="1">
        <v>1</v>
      </c>
      <c r="T452" s="1">
        <v>1</v>
      </c>
      <c r="U452" s="1">
        <v>1</v>
      </c>
      <c r="V452" s="1">
        <v>0</v>
      </c>
      <c r="W452" s="1">
        <v>1</v>
      </c>
      <c r="X452" s="1">
        <v>0</v>
      </c>
      <c r="Y452" s="1">
        <v>1</v>
      </c>
      <c r="Z452" s="1">
        <v>30</v>
      </c>
      <c r="AA452" s="1" t="str" cm="1">
        <f t="array" ref="AA452">_xlfn.IFS(AND(Z452&lt;36, Z452&gt;23), "24-35", AND(Z452&lt;51, Z452&gt;35),"36-50", AND(Z452&lt;66, Z452&gt;50), "51-66", Z452&gt;65, "66+", TRUE, "?")</f>
        <v>24-35</v>
      </c>
      <c r="AB452" s="1">
        <v>2618</v>
      </c>
      <c r="AC452" s="1">
        <v>0</v>
      </c>
      <c r="AD452" s="1">
        <v>0</v>
      </c>
      <c r="AE452" s="1">
        <v>1</v>
      </c>
      <c r="AF452" s="1">
        <v>0</v>
      </c>
      <c r="AG452" s="1">
        <v>0</v>
      </c>
      <c r="AH452" s="1">
        <v>0</v>
      </c>
      <c r="AI452" s="1">
        <v>0</v>
      </c>
      <c r="AJ452" s="1">
        <v>1</v>
      </c>
      <c r="AK452" s="1">
        <v>0</v>
      </c>
      <c r="AL452" s="1">
        <v>980</v>
      </c>
      <c r="AM452" s="2">
        <v>42231</v>
      </c>
      <c r="AN452" t="str">
        <f t="shared" si="15"/>
        <v>91172,1036,0.0113631378054666,0,0,94,162,28,818,0,28,56,0,4,3,7,3,1,1,1,0,1,0,1,30,24-35,2618,0,0,1,0,0,0,0,1,0,980,42231</v>
      </c>
    </row>
    <row r="453" spans="1:40" ht="13" x14ac:dyDescent="0.15">
      <c r="A453">
        <v>1057</v>
      </c>
      <c r="B453" s="1">
        <v>76982</v>
      </c>
      <c r="C453" s="1">
        <v>1032</v>
      </c>
      <c r="D453" s="4">
        <f t="shared" si="14"/>
        <v>1.3405731209893221E-2</v>
      </c>
      <c r="E453" s="1">
        <v>0</v>
      </c>
      <c r="F453" s="1">
        <v>0</v>
      </c>
      <c r="G453" s="1">
        <v>19</v>
      </c>
      <c r="H453" s="1">
        <v>464</v>
      </c>
      <c r="I453" s="1">
        <v>151</v>
      </c>
      <c r="J453" s="1">
        <v>292</v>
      </c>
      <c r="K453" s="1">
        <v>65</v>
      </c>
      <c r="L453" s="1">
        <v>60</v>
      </c>
      <c r="M453" s="1">
        <v>30</v>
      </c>
      <c r="N453" s="1">
        <v>1</v>
      </c>
      <c r="O453" s="1">
        <v>8</v>
      </c>
      <c r="P453" s="1">
        <v>3</v>
      </c>
      <c r="Q453" s="1">
        <v>4</v>
      </c>
      <c r="R453" s="1">
        <v>4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0</v>
      </c>
      <c r="Y453" s="1">
        <v>1</v>
      </c>
      <c r="Z453" s="1">
        <v>53</v>
      </c>
      <c r="AA453" s="1" t="str" cm="1">
        <f t="array" ref="AA453">_xlfn.IFS(AND(Z453&lt;36, Z453&gt;23), "24-35", AND(Z453&lt;51, Z453&gt;35),"36-50", AND(Z453&lt;66, Z453&gt;50), "51-66", Z453&gt;65, "66+", TRUE, "?")</f>
        <v>51-66</v>
      </c>
      <c r="AB453" s="1">
        <v>2293</v>
      </c>
      <c r="AC453" s="1">
        <v>1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1</v>
      </c>
      <c r="AJ453" s="1">
        <v>0</v>
      </c>
      <c r="AK453" s="1">
        <v>0</v>
      </c>
      <c r="AL453" s="1">
        <v>1002</v>
      </c>
      <c r="AM453" s="2">
        <v>42556</v>
      </c>
      <c r="AN453" t="str">
        <f t="shared" si="15"/>
        <v>76982,1032,0.0134057312098932,0,0,19,464,151,292,65,60,30,1,8,3,4,4,0,0,0,0,1,0,1,53,51-66,2293,1,0,0,0,0,0,1,0,0,1002,42556</v>
      </c>
    </row>
    <row r="454" spans="1:40" ht="13" x14ac:dyDescent="0.15">
      <c r="A454">
        <v>1061</v>
      </c>
      <c r="B454" s="1">
        <v>53374</v>
      </c>
      <c r="C454" s="1">
        <v>1030</v>
      </c>
      <c r="D454" s="4">
        <f t="shared" si="14"/>
        <v>1.9297785438603065E-2</v>
      </c>
      <c r="E454" s="1">
        <v>0</v>
      </c>
      <c r="F454" s="1">
        <v>1</v>
      </c>
      <c r="G454" s="1">
        <v>34</v>
      </c>
      <c r="H454" s="1">
        <v>896</v>
      </c>
      <c r="I454" s="1">
        <v>10</v>
      </c>
      <c r="J454" s="1">
        <v>101</v>
      </c>
      <c r="K454" s="1">
        <v>13</v>
      </c>
      <c r="L454" s="1">
        <v>10</v>
      </c>
      <c r="M454" s="1">
        <v>34</v>
      </c>
      <c r="N454" s="1">
        <v>6</v>
      </c>
      <c r="O454" s="1">
        <v>4</v>
      </c>
      <c r="P454" s="1">
        <v>2</v>
      </c>
      <c r="Q454" s="1">
        <v>9</v>
      </c>
      <c r="R454" s="1">
        <v>9</v>
      </c>
      <c r="S454" s="1">
        <v>0</v>
      </c>
      <c r="T454" s="1">
        <v>0</v>
      </c>
      <c r="U454" s="1">
        <v>1</v>
      </c>
      <c r="V454" s="1">
        <v>0</v>
      </c>
      <c r="W454" s="1">
        <v>0</v>
      </c>
      <c r="X454" s="1">
        <v>0</v>
      </c>
      <c r="Y454" s="1">
        <v>1</v>
      </c>
      <c r="Z454" s="1">
        <v>51</v>
      </c>
      <c r="AA454" s="1" t="str" cm="1">
        <f t="array" ref="AA454">_xlfn.IFS(AND(Z454&lt;36, Z454&gt;23), "24-35", AND(Z454&lt;51, Z454&gt;35),"36-50", AND(Z454&lt;66, Z454&gt;50), "51-66", Z454&gt;65, "66+", TRUE, "?")</f>
        <v>51-66</v>
      </c>
      <c r="AB454" s="1">
        <v>2841</v>
      </c>
      <c r="AC454" s="1">
        <v>0</v>
      </c>
      <c r="AD454" s="1">
        <v>0</v>
      </c>
      <c r="AE454" s="1">
        <v>0</v>
      </c>
      <c r="AF454" s="1">
        <v>1</v>
      </c>
      <c r="AG454" s="1">
        <v>0</v>
      </c>
      <c r="AH454" s="1">
        <v>0</v>
      </c>
      <c r="AI454" s="1">
        <v>0</v>
      </c>
      <c r="AJ454" s="1">
        <v>0</v>
      </c>
      <c r="AK454" s="1">
        <v>1</v>
      </c>
      <c r="AL454" s="1">
        <v>996</v>
      </c>
      <c r="AM454" s="2">
        <v>42008</v>
      </c>
      <c r="AN454" t="str">
        <f t="shared" si="15"/>
        <v>53374,1030,0.0192977854386031,0,1,34,896,10,101,13,10,34,6,4,2,9,9,0,0,1,0,0,0,1,51,51-66,2841,0,0,0,1,0,0,0,0,1,996,42008</v>
      </c>
    </row>
    <row r="455" spans="1:40" ht="13" hidden="1" x14ac:dyDescent="0.15">
      <c r="A455">
        <v>1080</v>
      </c>
      <c r="B455" s="1">
        <v>57513</v>
      </c>
      <c r="C455" s="1">
        <v>1030</v>
      </c>
      <c r="D455" s="4">
        <f t="shared" si="14"/>
        <v>1.7908994488202667E-2</v>
      </c>
      <c r="E455" s="1">
        <v>0</v>
      </c>
      <c r="F455" s="1">
        <v>0</v>
      </c>
      <c r="G455" s="1">
        <v>59</v>
      </c>
      <c r="H455" s="1">
        <v>735</v>
      </c>
      <c r="I455" s="1">
        <v>40</v>
      </c>
      <c r="J455" s="1">
        <v>183</v>
      </c>
      <c r="K455" s="1">
        <v>52</v>
      </c>
      <c r="L455" s="1">
        <v>20</v>
      </c>
      <c r="M455" s="1">
        <v>30</v>
      </c>
      <c r="N455" s="1">
        <v>2</v>
      </c>
      <c r="O455" s="1">
        <v>9</v>
      </c>
      <c r="P455" s="1">
        <v>3</v>
      </c>
      <c r="Q455" s="1">
        <v>13</v>
      </c>
      <c r="R455" s="1">
        <v>6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77</v>
      </c>
      <c r="AA455" s="1" t="str" cm="1">
        <f t="array" ref="AA455">_xlfn.IFS(AND(Z455&lt;36, Z455&gt;23), "24-35", AND(Z455&lt;51, Z455&gt;35),"36-50", AND(Z455&lt;66, Z455&gt;50), "51-66", Z455&gt;65, "66+", TRUE, "?")</f>
        <v>66+</v>
      </c>
      <c r="AB455" s="1">
        <v>2517</v>
      </c>
      <c r="AC455" s="1">
        <v>0</v>
      </c>
      <c r="AD455" s="1">
        <v>0</v>
      </c>
      <c r="AE455" s="1">
        <v>0</v>
      </c>
      <c r="AF455" s="1">
        <v>0</v>
      </c>
      <c r="AG455" s="1">
        <v>1</v>
      </c>
      <c r="AH455" s="1">
        <v>0</v>
      </c>
      <c r="AI455" s="1">
        <v>0</v>
      </c>
      <c r="AJ455" s="1">
        <v>0</v>
      </c>
      <c r="AK455" s="1">
        <v>1</v>
      </c>
      <c r="AL455" s="1">
        <v>1000</v>
      </c>
      <c r="AM455" s="2">
        <v>42332</v>
      </c>
      <c r="AN455" t="str">
        <f t="shared" si="15"/>
        <v>57513,1030,0.0179089944882027,0,0,59,735,40,183,52,20,30,2,9,3,13,6,0,0,0,0,0,0,0,77,66+,2517,0,0,0,0,1,0,0,0,1,1000,42332</v>
      </c>
    </row>
    <row r="456" spans="1:40" ht="13" hidden="1" x14ac:dyDescent="0.15">
      <c r="A456">
        <v>806</v>
      </c>
      <c r="B456" s="1">
        <v>85710</v>
      </c>
      <c r="C456" s="1">
        <v>1029</v>
      </c>
      <c r="D456" s="4">
        <f t="shared" si="14"/>
        <v>1.2005600280014002E-2</v>
      </c>
      <c r="E456" s="1">
        <v>0</v>
      </c>
      <c r="F456" s="1">
        <v>0</v>
      </c>
      <c r="G456" s="1">
        <v>5</v>
      </c>
      <c r="H456" s="1">
        <v>600</v>
      </c>
      <c r="I456" s="1">
        <v>20</v>
      </c>
      <c r="J456" s="1">
        <v>350</v>
      </c>
      <c r="K456" s="1">
        <v>29</v>
      </c>
      <c r="L456" s="1">
        <v>30</v>
      </c>
      <c r="M456" s="1">
        <v>33</v>
      </c>
      <c r="N456" s="1">
        <v>1</v>
      </c>
      <c r="O456" s="1">
        <v>6</v>
      </c>
      <c r="P456" s="1">
        <v>9</v>
      </c>
      <c r="Q456" s="1">
        <v>10</v>
      </c>
      <c r="R456" s="1">
        <v>2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0</v>
      </c>
      <c r="Y456" s="1">
        <v>0</v>
      </c>
      <c r="Z456" s="1">
        <v>31</v>
      </c>
      <c r="AA456" s="1" t="str" cm="1">
        <f t="array" ref="AA456">_xlfn.IFS(AND(Z456&lt;36, Z456&gt;23), "24-35", AND(Z456&lt;51, Z456&gt;35),"36-50", AND(Z456&lt;66, Z456&gt;50), "51-66", Z456&gt;65, "66+", TRUE, "?")</f>
        <v>24-35</v>
      </c>
      <c r="AB456" s="1">
        <v>2579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  <c r="AH456" s="1">
        <v>1</v>
      </c>
      <c r="AI456" s="1">
        <v>0</v>
      </c>
      <c r="AJ456" s="1">
        <v>0</v>
      </c>
      <c r="AK456" s="1">
        <v>0</v>
      </c>
      <c r="AL456" s="1">
        <v>996</v>
      </c>
      <c r="AM456" s="2">
        <v>42270</v>
      </c>
      <c r="AN456" t="str">
        <f t="shared" si="15"/>
        <v>85710,1029,0.012005600280014,0,0,5,600,20,350,29,30,33,1,6,9,10,2,0,0,0,0,1,0,0,31,24-35,2579,0,1,0,0,0,1,0,0,0,996,42270</v>
      </c>
    </row>
    <row r="457" spans="1:40" ht="13" x14ac:dyDescent="0.15">
      <c r="A457">
        <v>1066</v>
      </c>
      <c r="B457" s="1">
        <v>69759</v>
      </c>
      <c r="C457" s="1">
        <v>1029</v>
      </c>
      <c r="D457" s="4">
        <f t="shared" si="14"/>
        <v>1.475078484496624E-2</v>
      </c>
      <c r="E457" s="1">
        <v>0</v>
      </c>
      <c r="F457" s="1">
        <v>0</v>
      </c>
      <c r="G457" s="1">
        <v>38</v>
      </c>
      <c r="H457" s="1">
        <v>452</v>
      </c>
      <c r="I457" s="1">
        <v>20</v>
      </c>
      <c r="J457" s="1">
        <v>514</v>
      </c>
      <c r="K457" s="1">
        <v>13</v>
      </c>
      <c r="L457" s="1">
        <v>30</v>
      </c>
      <c r="M457" s="1">
        <v>0</v>
      </c>
      <c r="N457" s="1">
        <v>3</v>
      </c>
      <c r="O457" s="1">
        <v>4</v>
      </c>
      <c r="P457" s="1">
        <v>6</v>
      </c>
      <c r="Q457" s="1">
        <v>5</v>
      </c>
      <c r="R457" s="1">
        <v>3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</v>
      </c>
      <c r="Z457" s="1">
        <v>54</v>
      </c>
      <c r="AA457" s="1" t="str" cm="1">
        <f t="array" ref="AA457">_xlfn.IFS(AND(Z457&lt;36, Z457&gt;23), "24-35", AND(Z457&lt;51, Z457&gt;35),"36-50", AND(Z457&lt;66, Z457&gt;50), "51-66", Z457&gt;65, "66+", TRUE, "?")</f>
        <v>51-66</v>
      </c>
      <c r="AB457" s="1">
        <v>2403</v>
      </c>
      <c r="AC457" s="1">
        <v>0</v>
      </c>
      <c r="AD457" s="1">
        <v>0</v>
      </c>
      <c r="AE457" s="1">
        <v>1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1</v>
      </c>
      <c r="AL457" s="1">
        <v>1029</v>
      </c>
      <c r="AM457" s="2">
        <v>42446</v>
      </c>
      <c r="AN457" t="str">
        <f t="shared" si="15"/>
        <v>69759,1029,0.0147507848449662,0,0,38,452,20,514,13,30,0,3,4,6,5,3,0,0,0,0,0,0,1,54,51-66,2403,0,0,1,0,0,0,0,0,1,1029,42446</v>
      </c>
    </row>
    <row r="458" spans="1:40" ht="13" hidden="1" x14ac:dyDescent="0.15">
      <c r="A458">
        <v>2016</v>
      </c>
      <c r="B458" s="1">
        <v>44802</v>
      </c>
      <c r="C458" s="1">
        <v>1029</v>
      </c>
      <c r="D458" s="4">
        <f t="shared" si="14"/>
        <v>2.2967724655149322E-2</v>
      </c>
      <c r="E458" s="1">
        <v>0</v>
      </c>
      <c r="F458" s="1">
        <v>0</v>
      </c>
      <c r="G458" s="1">
        <v>71</v>
      </c>
      <c r="H458" s="1">
        <v>853</v>
      </c>
      <c r="I458" s="1">
        <v>10</v>
      </c>
      <c r="J458" s="1">
        <v>143</v>
      </c>
      <c r="K458" s="1">
        <v>13</v>
      </c>
      <c r="L458" s="1">
        <v>10</v>
      </c>
      <c r="M458" s="1">
        <v>20</v>
      </c>
      <c r="N458" s="1">
        <v>2</v>
      </c>
      <c r="O458" s="1">
        <v>9</v>
      </c>
      <c r="P458" s="1">
        <v>4</v>
      </c>
      <c r="Q458" s="1">
        <v>12</v>
      </c>
      <c r="R458" s="1">
        <v>8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50</v>
      </c>
      <c r="AA458" s="1" t="str" cm="1">
        <f t="array" ref="AA458">_xlfn.IFS(AND(Z458&lt;36, Z458&gt;23), "24-35", AND(Z458&lt;51, Z458&gt;35),"36-50", AND(Z458&lt;66, Z458&gt;50), "51-66", Z458&gt;65, "66+", TRUE, "?")</f>
        <v>36-50</v>
      </c>
      <c r="AB458" s="1">
        <v>2836</v>
      </c>
      <c r="AC458" s="1">
        <v>0</v>
      </c>
      <c r="AD458" s="1">
        <v>0</v>
      </c>
      <c r="AE458" s="1">
        <v>1</v>
      </c>
      <c r="AF458" s="1">
        <v>0</v>
      </c>
      <c r="AG458" s="1">
        <v>0</v>
      </c>
      <c r="AH458" s="1">
        <v>0</v>
      </c>
      <c r="AI458" s="1">
        <v>0</v>
      </c>
      <c r="AJ458" s="1">
        <v>1</v>
      </c>
      <c r="AK458" s="1">
        <v>0</v>
      </c>
      <c r="AL458" s="1">
        <v>1009</v>
      </c>
      <c r="AM458" s="2">
        <v>42013</v>
      </c>
      <c r="AN458" t="str">
        <f t="shared" si="15"/>
        <v>44802,1029,0.0229677246551493,0,0,71,853,10,143,13,10,20,2,9,4,12,8,0,0,0,0,0,0,0,50,36-50,2836,0,0,1,0,0,0,0,1,0,1009,42013</v>
      </c>
    </row>
    <row r="459" spans="1:40" ht="13" x14ac:dyDescent="0.15">
      <c r="A459">
        <v>1069</v>
      </c>
      <c r="B459" s="1">
        <v>63211</v>
      </c>
      <c r="C459" s="1">
        <v>1028</v>
      </c>
      <c r="D459" s="4">
        <f t="shared" si="14"/>
        <v>1.6262992200724559E-2</v>
      </c>
      <c r="E459" s="1">
        <v>0</v>
      </c>
      <c r="F459" s="1">
        <v>0</v>
      </c>
      <c r="G459" s="1">
        <v>3</v>
      </c>
      <c r="H459" s="1">
        <v>145</v>
      </c>
      <c r="I459" s="1">
        <v>193</v>
      </c>
      <c r="J459" s="1">
        <v>459</v>
      </c>
      <c r="K459" s="1">
        <v>205</v>
      </c>
      <c r="L459" s="1">
        <v>26</v>
      </c>
      <c r="M459" s="1">
        <v>145</v>
      </c>
      <c r="N459" s="1">
        <v>2</v>
      </c>
      <c r="O459" s="1">
        <v>3</v>
      </c>
      <c r="P459" s="1">
        <v>8</v>
      </c>
      <c r="Q459" s="1">
        <v>7</v>
      </c>
      <c r="R459" s="1">
        <v>2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1</v>
      </c>
      <c r="Z459" s="1">
        <v>38</v>
      </c>
      <c r="AA459" s="1" t="str" cm="1">
        <f t="array" ref="AA459">_xlfn.IFS(AND(Z459&lt;36, Z459&gt;23), "24-35", AND(Z459&lt;51, Z459&gt;35),"36-50", AND(Z459&lt;66, Z459&gt;50), "51-66", Z459&gt;65, "66+", TRUE, "?")</f>
        <v>36-50</v>
      </c>
      <c r="AB459" s="1">
        <v>2763</v>
      </c>
      <c r="AC459" s="1">
        <v>0</v>
      </c>
      <c r="AD459" s="1">
        <v>1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883</v>
      </c>
      <c r="AM459" s="2">
        <v>42086</v>
      </c>
      <c r="AN459" t="str">
        <f t="shared" si="15"/>
        <v>63211,1028,0.0162629922007246,0,0,3,145,193,459,205,26,145,2,3,8,7,2,0,0,0,0,0,0,1,38,36-50,2763,0,1,0,0,0,0,1,0,0,883,42086</v>
      </c>
    </row>
    <row r="460" spans="1:40" ht="13" hidden="1" x14ac:dyDescent="0.15">
      <c r="A460">
        <v>1852</v>
      </c>
      <c r="B460" s="1">
        <v>55914</v>
      </c>
      <c r="C460" s="1">
        <v>1028</v>
      </c>
      <c r="D460" s="4">
        <f t="shared" si="14"/>
        <v>1.8385377544085559E-2</v>
      </c>
      <c r="E460" s="1">
        <v>0</v>
      </c>
      <c r="F460" s="1">
        <v>1</v>
      </c>
      <c r="G460" s="1">
        <v>32</v>
      </c>
      <c r="H460" s="1">
        <v>384</v>
      </c>
      <c r="I460" s="1">
        <v>60</v>
      </c>
      <c r="J460" s="1">
        <v>364</v>
      </c>
      <c r="K460" s="1">
        <v>119</v>
      </c>
      <c r="L460" s="1">
        <v>101</v>
      </c>
      <c r="M460" s="1">
        <v>232</v>
      </c>
      <c r="N460" s="1">
        <v>4</v>
      </c>
      <c r="O460" s="1">
        <v>11</v>
      </c>
      <c r="P460" s="1">
        <v>6</v>
      </c>
      <c r="Q460" s="1">
        <v>8</v>
      </c>
      <c r="R460" s="1">
        <v>7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45</v>
      </c>
      <c r="AA460" s="1" t="str" cm="1">
        <f t="array" ref="AA460">_xlfn.IFS(AND(Z460&lt;36, Z460&gt;23), "24-35", AND(Z460&lt;51, Z460&gt;35),"36-50", AND(Z460&lt;66, Z460&gt;50), "51-66", Z460&gt;65, "66+", TRUE, "?")</f>
        <v>36-50</v>
      </c>
      <c r="AB460" s="1">
        <v>2585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1</v>
      </c>
      <c r="AJ460" s="1">
        <v>0</v>
      </c>
      <c r="AK460" s="1">
        <v>0</v>
      </c>
      <c r="AL460" s="1">
        <v>796</v>
      </c>
      <c r="AM460" s="2">
        <v>42264</v>
      </c>
      <c r="AN460" t="str">
        <f t="shared" si="15"/>
        <v>55914,1028,0.0183853775440856,0,1,32,384,60,364,119,101,232,4,11,6,8,7,0,0,0,0,0,0,0,45,36-50,2585,0,0,0,1,0,0,1,0,0,796,42264</v>
      </c>
    </row>
    <row r="461" spans="1:40" ht="13" hidden="1" x14ac:dyDescent="0.15">
      <c r="A461">
        <v>1573</v>
      </c>
      <c r="B461" s="1">
        <v>60230</v>
      </c>
      <c r="C461" s="1">
        <v>1027</v>
      </c>
      <c r="D461" s="4">
        <f t="shared" si="14"/>
        <v>1.7051303337207373E-2</v>
      </c>
      <c r="E461" s="1">
        <v>0</v>
      </c>
      <c r="F461" s="1">
        <v>1</v>
      </c>
      <c r="G461" s="1">
        <v>78</v>
      </c>
      <c r="H461" s="1">
        <v>520</v>
      </c>
      <c r="I461" s="1">
        <v>20</v>
      </c>
      <c r="J461" s="1">
        <v>367</v>
      </c>
      <c r="K461" s="1">
        <v>39</v>
      </c>
      <c r="L461" s="1">
        <v>81</v>
      </c>
      <c r="M461" s="1">
        <v>40</v>
      </c>
      <c r="N461" s="1">
        <v>2</v>
      </c>
      <c r="O461" s="1">
        <v>6</v>
      </c>
      <c r="P461" s="1">
        <v>3</v>
      </c>
      <c r="Q461" s="1">
        <v>6</v>
      </c>
      <c r="R461" s="1">
        <v>5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64</v>
      </c>
      <c r="AA461" s="1" t="str" cm="1">
        <f t="array" ref="AA461">_xlfn.IFS(AND(Z461&lt;36, Z461&gt;23), "24-35", AND(Z461&lt;51, Z461&gt;35),"36-50", AND(Z461&lt;66, Z461&gt;50), "51-66", Z461&gt;65, "66+", TRUE, "?")</f>
        <v>51-66</v>
      </c>
      <c r="AB461" s="1">
        <v>2564</v>
      </c>
      <c r="AC461" s="1">
        <v>0</v>
      </c>
      <c r="AD461" s="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1</v>
      </c>
      <c r="AJ461" s="1">
        <v>0</v>
      </c>
      <c r="AK461" s="1">
        <v>0</v>
      </c>
      <c r="AL461" s="1">
        <v>987</v>
      </c>
      <c r="AM461" s="2">
        <v>42285</v>
      </c>
      <c r="AN461" t="str">
        <f t="shared" si="15"/>
        <v>60230,1027,0.0170513033372074,0,1,78,520,20,367,39,81,40,2,6,3,6,5,0,0,0,0,0,0,0,64,51-66,2564,0,0,1,0,0,0,1,0,0,987,42285</v>
      </c>
    </row>
    <row r="462" spans="1:40" ht="13" hidden="1" x14ac:dyDescent="0.15">
      <c r="A462">
        <v>617</v>
      </c>
      <c r="B462" s="1">
        <v>73059</v>
      </c>
      <c r="C462" s="1">
        <v>1024</v>
      </c>
      <c r="D462" s="4">
        <f t="shared" si="14"/>
        <v>1.4016069204341697E-2</v>
      </c>
      <c r="E462" s="1">
        <v>0</v>
      </c>
      <c r="F462" s="1">
        <v>1</v>
      </c>
      <c r="G462" s="1">
        <v>36</v>
      </c>
      <c r="H462" s="1">
        <v>410</v>
      </c>
      <c r="I462" s="1">
        <v>112</v>
      </c>
      <c r="J462" s="1">
        <v>420</v>
      </c>
      <c r="K462" s="1">
        <v>0</v>
      </c>
      <c r="L462" s="1">
        <v>82</v>
      </c>
      <c r="M462" s="1">
        <v>71</v>
      </c>
      <c r="N462" s="1">
        <v>1</v>
      </c>
      <c r="O462" s="1">
        <v>9</v>
      </c>
      <c r="P462" s="1">
        <v>3</v>
      </c>
      <c r="Q462" s="1">
        <v>13</v>
      </c>
      <c r="R462" s="1">
        <v>4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73</v>
      </c>
      <c r="AA462" s="1" t="str" cm="1">
        <f t="array" ref="AA462">_xlfn.IFS(AND(Z462&lt;36, Z462&gt;23), "24-35", AND(Z462&lt;51, Z462&gt;35),"36-50", AND(Z462&lt;66, Z462&gt;50), "51-66", Z462&gt;65, "66+", TRUE, "?")</f>
        <v>66+</v>
      </c>
      <c r="AB462" s="1">
        <v>2461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1</v>
      </c>
      <c r="AL462" s="1">
        <v>953</v>
      </c>
      <c r="AM462" s="2">
        <v>42388</v>
      </c>
      <c r="AN462" t="str">
        <f t="shared" si="15"/>
        <v>73059,1024,0.0140160692043417,0,1,36,410,112,420,0,82,71,1,9,3,13,4,0,0,0,0,0,0,0,73,66+,2461,0,0,0,1,0,0,0,0,1,953,42388</v>
      </c>
    </row>
    <row r="463" spans="1:40" ht="13" x14ac:dyDescent="0.15">
      <c r="A463">
        <v>1076</v>
      </c>
      <c r="B463" s="1">
        <v>52278</v>
      </c>
      <c r="C463" s="1">
        <v>1024</v>
      </c>
      <c r="D463" s="4">
        <f t="shared" si="14"/>
        <v>1.9587589425762272E-2</v>
      </c>
      <c r="E463" s="1">
        <v>0</v>
      </c>
      <c r="F463" s="1">
        <v>1</v>
      </c>
      <c r="G463" s="1">
        <v>24</v>
      </c>
      <c r="H463" s="1">
        <v>953</v>
      </c>
      <c r="I463" s="1">
        <v>0</v>
      </c>
      <c r="J463" s="1">
        <v>71</v>
      </c>
      <c r="K463" s="1">
        <v>0</v>
      </c>
      <c r="L463" s="1">
        <v>0</v>
      </c>
      <c r="M463" s="1">
        <v>174</v>
      </c>
      <c r="N463" s="1">
        <v>6</v>
      </c>
      <c r="O463" s="1">
        <v>10</v>
      </c>
      <c r="P463" s="1">
        <v>5</v>
      </c>
      <c r="Q463" s="1">
        <v>10</v>
      </c>
      <c r="R463" s="1">
        <v>8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57</v>
      </c>
      <c r="AA463" s="1" t="str" cm="1">
        <f t="array" ref="AA463">_xlfn.IFS(AND(Z463&lt;36, Z463&gt;23), "24-35", AND(Z463&lt;51, Z463&gt;35),"36-50", AND(Z463&lt;66, Z463&gt;50), "51-66", Z463&gt;65, "66+", TRUE, "?")</f>
        <v>51-66</v>
      </c>
      <c r="AB463" s="1">
        <v>2679</v>
      </c>
      <c r="AC463" s="1">
        <v>0</v>
      </c>
      <c r="AD463" s="1">
        <v>0</v>
      </c>
      <c r="AE463" s="1">
        <v>0</v>
      </c>
      <c r="AF463" s="1">
        <v>0</v>
      </c>
      <c r="AG463" s="1">
        <v>1</v>
      </c>
      <c r="AH463" s="1">
        <v>0</v>
      </c>
      <c r="AI463" s="1">
        <v>0</v>
      </c>
      <c r="AJ463" s="1">
        <v>0</v>
      </c>
      <c r="AK463" s="1">
        <v>1</v>
      </c>
      <c r="AL463" s="1">
        <v>850</v>
      </c>
      <c r="AM463" s="2">
        <v>42170</v>
      </c>
      <c r="AN463" t="str">
        <f t="shared" si="15"/>
        <v>52278,1024,0.0195875894257623,0,1,24,953,0,71,0,0,174,6,10,5,10,8,0,0,0,0,0,0,1,57,51-66,2679,0,0,0,0,1,0,0,0,1,850,42170</v>
      </c>
    </row>
    <row r="464" spans="1:40" ht="13" hidden="1" x14ac:dyDescent="0.15">
      <c r="A464">
        <v>1743</v>
      </c>
      <c r="B464" s="1">
        <v>52278</v>
      </c>
      <c r="C464" s="1">
        <v>1024</v>
      </c>
      <c r="D464" s="4">
        <f t="shared" si="14"/>
        <v>1.9587589425762272E-2</v>
      </c>
      <c r="E464" s="1">
        <v>0</v>
      </c>
      <c r="F464" s="1">
        <v>1</v>
      </c>
      <c r="G464" s="1">
        <v>24</v>
      </c>
      <c r="H464" s="1">
        <v>953</v>
      </c>
      <c r="I464" s="1">
        <v>0</v>
      </c>
      <c r="J464" s="1">
        <v>71</v>
      </c>
      <c r="K464" s="1">
        <v>0</v>
      </c>
      <c r="L464" s="1">
        <v>0</v>
      </c>
      <c r="M464" s="1">
        <v>174</v>
      </c>
      <c r="N464" s="1">
        <v>6</v>
      </c>
      <c r="O464" s="1">
        <v>10</v>
      </c>
      <c r="P464" s="1">
        <v>5</v>
      </c>
      <c r="Q464" s="1">
        <v>10</v>
      </c>
      <c r="R464" s="1">
        <v>8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57</v>
      </c>
      <c r="AA464" s="1" t="str" cm="1">
        <f t="array" ref="AA464">_xlfn.IFS(AND(Z464&lt;36, Z464&gt;23), "24-35", AND(Z464&lt;51, Z464&gt;35),"36-50", AND(Z464&lt;66, Z464&gt;50), "51-66", Z464&gt;65, "66+", TRUE, "?")</f>
        <v>51-66</v>
      </c>
      <c r="AB464" s="1">
        <v>2679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  <c r="AH464" s="1">
        <v>0</v>
      </c>
      <c r="AI464" s="1">
        <v>0</v>
      </c>
      <c r="AJ464" s="1">
        <v>0</v>
      </c>
      <c r="AK464" s="1">
        <v>1</v>
      </c>
      <c r="AL464" s="1">
        <v>850</v>
      </c>
      <c r="AM464" s="2">
        <v>42170</v>
      </c>
      <c r="AN464" t="str">
        <f t="shared" si="15"/>
        <v>52278,1024,0.0195875894257623,0,1,24,953,0,71,0,0,174,6,10,5,10,8,0,0,0,0,0,0,0,57,51-66,2679,0,0,0,0,1,0,0,0,1,850,42170</v>
      </c>
    </row>
    <row r="465" spans="1:40" ht="13" hidden="1" x14ac:dyDescent="0.15">
      <c r="A465">
        <v>534</v>
      </c>
      <c r="B465" s="1">
        <v>66565</v>
      </c>
      <c r="C465" s="1">
        <v>1023</v>
      </c>
      <c r="D465" s="4">
        <f t="shared" si="14"/>
        <v>1.5368436866220987E-2</v>
      </c>
      <c r="E465" s="1">
        <v>0</v>
      </c>
      <c r="F465" s="1">
        <v>1</v>
      </c>
      <c r="G465" s="1">
        <v>80</v>
      </c>
      <c r="H465" s="1">
        <v>747</v>
      </c>
      <c r="I465" s="1">
        <v>10</v>
      </c>
      <c r="J465" s="1">
        <v>161</v>
      </c>
      <c r="K465" s="1">
        <v>65</v>
      </c>
      <c r="L465" s="1">
        <v>40</v>
      </c>
      <c r="M465" s="1">
        <v>42</v>
      </c>
      <c r="N465" s="1">
        <v>4</v>
      </c>
      <c r="O465" s="1">
        <v>4</v>
      </c>
      <c r="P465" s="1">
        <v>2</v>
      </c>
      <c r="Q465" s="1">
        <v>9</v>
      </c>
      <c r="R465" s="1">
        <v>8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58</v>
      </c>
      <c r="AA465" s="1" t="str" cm="1">
        <f t="array" ref="AA465">_xlfn.IFS(AND(Z465&lt;36, Z465&gt;23), "24-35", AND(Z465&lt;51, Z465&gt;35),"36-50", AND(Z465&lt;66, Z465&gt;50), "51-66", Z465&gt;65, "66+", TRUE, "?")</f>
        <v>51-66</v>
      </c>
      <c r="AB465" s="1">
        <v>2730</v>
      </c>
      <c r="AC465" s="1">
        <v>0</v>
      </c>
      <c r="AD465" s="1">
        <v>0</v>
      </c>
      <c r="AE465" s="1">
        <v>1</v>
      </c>
      <c r="AF465" s="1">
        <v>0</v>
      </c>
      <c r="AG465" s="1">
        <v>0</v>
      </c>
      <c r="AH465" s="1">
        <v>0</v>
      </c>
      <c r="AI465" s="1">
        <v>1</v>
      </c>
      <c r="AJ465" s="1">
        <v>0</v>
      </c>
      <c r="AK465" s="1">
        <v>0</v>
      </c>
      <c r="AL465" s="1">
        <v>981</v>
      </c>
      <c r="AM465" s="2">
        <v>42119</v>
      </c>
      <c r="AN465" t="str">
        <f t="shared" si="15"/>
        <v>66565,1023,0.015368436866221,0,1,80,747,10,161,65,40,42,4,4,2,9,8,0,0,0,0,0,0,0,58,51-66,2730,0,0,1,0,0,0,1,0,0,981,42119</v>
      </c>
    </row>
    <row r="466" spans="1:40" ht="13" hidden="1" x14ac:dyDescent="0.15">
      <c r="A466">
        <v>1614</v>
      </c>
      <c r="B466" s="1">
        <v>72117</v>
      </c>
      <c r="C466" s="1">
        <v>1023</v>
      </c>
      <c r="D466" s="4">
        <f t="shared" si="14"/>
        <v>1.4185282249677607E-2</v>
      </c>
      <c r="E466" s="1">
        <v>0</v>
      </c>
      <c r="F466" s="1">
        <v>1</v>
      </c>
      <c r="G466" s="1">
        <v>34</v>
      </c>
      <c r="H466" s="1">
        <v>707</v>
      </c>
      <c r="I466" s="1">
        <v>20</v>
      </c>
      <c r="J466" s="1">
        <v>171</v>
      </c>
      <c r="K466" s="1">
        <v>65</v>
      </c>
      <c r="L466" s="1">
        <v>60</v>
      </c>
      <c r="M466" s="1">
        <v>50</v>
      </c>
      <c r="N466" s="1">
        <v>1</v>
      </c>
      <c r="O466" s="1">
        <v>9</v>
      </c>
      <c r="P466" s="1">
        <v>7</v>
      </c>
      <c r="Q466" s="1">
        <v>9</v>
      </c>
      <c r="R466" s="1">
        <v>5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43</v>
      </c>
      <c r="AA466" s="1" t="str" cm="1">
        <f t="array" ref="AA466">_xlfn.IFS(AND(Z466&lt;36, Z466&gt;23), "24-35", AND(Z466&lt;51, Z466&gt;35),"36-50", AND(Z466&lt;66, Z466&gt;50), "51-66", Z466&gt;65, "66+", TRUE, "?")</f>
        <v>36-50</v>
      </c>
      <c r="AB466" s="1">
        <v>2472</v>
      </c>
      <c r="AC466" s="1">
        <v>0</v>
      </c>
      <c r="AD466" s="1">
        <v>1</v>
      </c>
      <c r="AE466" s="1">
        <v>0</v>
      </c>
      <c r="AF466" s="1">
        <v>0</v>
      </c>
      <c r="AG466" s="1">
        <v>0</v>
      </c>
      <c r="AH466" s="1">
        <v>0</v>
      </c>
      <c r="AI466" s="1">
        <v>1</v>
      </c>
      <c r="AJ466" s="1">
        <v>0</v>
      </c>
      <c r="AK466" s="1">
        <v>0</v>
      </c>
      <c r="AL466" s="1">
        <v>973</v>
      </c>
      <c r="AM466" s="2">
        <v>42377</v>
      </c>
      <c r="AN466" t="str">
        <f t="shared" si="15"/>
        <v>72117,1023,0.0141852822496776,0,1,34,707,20,171,65,60,50,1,9,7,9,5,0,0,0,0,0,0,0,43,36-50,2472,0,1,0,0,0,0,1,0,0,973,42377</v>
      </c>
    </row>
    <row r="467" spans="1:40" ht="13" hidden="1" x14ac:dyDescent="0.15">
      <c r="A467">
        <v>1649</v>
      </c>
      <c r="B467" s="1">
        <v>46757</v>
      </c>
      <c r="C467" s="1">
        <v>1021</v>
      </c>
      <c r="D467" s="4">
        <f t="shared" si="14"/>
        <v>2.1836302585709091E-2</v>
      </c>
      <c r="E467" s="1">
        <v>0</v>
      </c>
      <c r="F467" s="1">
        <v>1</v>
      </c>
      <c r="G467" s="1">
        <v>71</v>
      </c>
      <c r="H467" s="1">
        <v>777</v>
      </c>
      <c r="I467" s="1">
        <v>30</v>
      </c>
      <c r="J467" s="1">
        <v>163</v>
      </c>
      <c r="K467" s="1">
        <v>0</v>
      </c>
      <c r="L467" s="1">
        <v>51</v>
      </c>
      <c r="M467" s="1">
        <v>122</v>
      </c>
      <c r="N467" s="1">
        <v>6</v>
      </c>
      <c r="O467" s="1">
        <v>4</v>
      </c>
      <c r="P467" s="1">
        <v>4</v>
      </c>
      <c r="Q467" s="1">
        <v>7</v>
      </c>
      <c r="R467" s="1">
        <v>9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57</v>
      </c>
      <c r="AA467" s="1" t="str" cm="1">
        <f t="array" ref="AA467">_xlfn.IFS(AND(Z467&lt;36, Z467&gt;23), "24-35", AND(Z467&lt;51, Z467&gt;35),"36-50", AND(Z467&lt;66, Z467&gt;50), "51-66", Z467&gt;65, "66+", TRUE, "?")</f>
        <v>51-66</v>
      </c>
      <c r="AB467" s="1">
        <v>2749</v>
      </c>
      <c r="AC467" s="1">
        <v>0</v>
      </c>
      <c r="AD467" s="1">
        <v>0</v>
      </c>
      <c r="AE467" s="1">
        <v>1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1</v>
      </c>
      <c r="AL467" s="1">
        <v>899</v>
      </c>
      <c r="AM467" s="2">
        <v>42100</v>
      </c>
      <c r="AN467" t="str">
        <f t="shared" si="15"/>
        <v>46757,1021,0.0218363025857091,0,1,71,777,30,163,0,51,122,6,4,4,7,9,0,0,0,0,0,0,0,57,51-66,2749,0,0,1,0,0,0,0,0,1,899,42100</v>
      </c>
    </row>
    <row r="468" spans="1:40" ht="13" hidden="1" x14ac:dyDescent="0.15">
      <c r="A468">
        <v>374</v>
      </c>
      <c r="B468" s="1">
        <v>75276</v>
      </c>
      <c r="C468" s="1">
        <v>1019</v>
      </c>
      <c r="D468" s="4">
        <f t="shared" si="14"/>
        <v>1.3536851054785057E-2</v>
      </c>
      <c r="E468" s="1">
        <v>0</v>
      </c>
      <c r="F468" s="1">
        <v>0</v>
      </c>
      <c r="G468" s="1">
        <v>2</v>
      </c>
      <c r="H468" s="1">
        <v>610</v>
      </c>
      <c r="I468" s="1">
        <v>105</v>
      </c>
      <c r="J468" s="1">
        <v>125</v>
      </c>
      <c r="K468" s="1">
        <v>137</v>
      </c>
      <c r="L468" s="1">
        <v>42</v>
      </c>
      <c r="M468" s="1">
        <v>21</v>
      </c>
      <c r="N468" s="1">
        <v>1</v>
      </c>
      <c r="O468" s="1">
        <v>9</v>
      </c>
      <c r="P468" s="1">
        <v>4</v>
      </c>
      <c r="Q468" s="1">
        <v>9</v>
      </c>
      <c r="R468" s="1">
        <v>5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55</v>
      </c>
      <c r="AA468" s="1" t="str" cm="1">
        <f t="array" ref="AA468">_xlfn.IFS(AND(Z468&lt;36, Z468&gt;23), "24-35", AND(Z468&lt;51, Z468&gt;35),"36-50", AND(Z468&lt;66, Z468&gt;50), "51-66", Z468&gt;65, "66+", TRUE, "?")</f>
        <v>51-66</v>
      </c>
      <c r="AB468" s="1">
        <v>2799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1</v>
      </c>
      <c r="AJ468" s="1">
        <v>0</v>
      </c>
      <c r="AK468" s="1">
        <v>0</v>
      </c>
      <c r="AL468" s="1">
        <v>998</v>
      </c>
      <c r="AM468" s="2">
        <v>42050</v>
      </c>
      <c r="AN468" t="str">
        <f t="shared" si="15"/>
        <v>75276,1019,0.0135368510547851,0,0,2,610,105,125,137,42,21,1,9,4,9,5,0,0,0,0,0,0,0,55,51-66,2799,0,0,0,1,0,0,1,0,0,998,42050</v>
      </c>
    </row>
    <row r="469" spans="1:40" ht="13" hidden="1" x14ac:dyDescent="0.15">
      <c r="A469">
        <v>708</v>
      </c>
      <c r="B469" s="1">
        <v>58512</v>
      </c>
      <c r="C469" s="1">
        <v>1019</v>
      </c>
      <c r="D469" s="4">
        <f t="shared" si="14"/>
        <v>1.7415231063713427E-2</v>
      </c>
      <c r="E469" s="1">
        <v>0</v>
      </c>
      <c r="F469" s="1">
        <v>1</v>
      </c>
      <c r="G469" s="1">
        <v>25</v>
      </c>
      <c r="H469" s="1">
        <v>895</v>
      </c>
      <c r="I469" s="1">
        <v>10</v>
      </c>
      <c r="J469" s="1">
        <v>101</v>
      </c>
      <c r="K469" s="1">
        <v>13</v>
      </c>
      <c r="L469" s="1">
        <v>0</v>
      </c>
      <c r="M469" s="1">
        <v>152</v>
      </c>
      <c r="N469" s="1">
        <v>5</v>
      </c>
      <c r="O469" s="1">
        <v>3</v>
      </c>
      <c r="P469" s="1">
        <v>4</v>
      </c>
      <c r="Q469" s="1">
        <v>8</v>
      </c>
      <c r="R469" s="1">
        <v>8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56</v>
      </c>
      <c r="AA469" s="1" t="str" cm="1">
        <f t="array" ref="AA469">_xlfn.IFS(AND(Z469&lt;36, Z469&gt;23), "24-35", AND(Z469&lt;51, Z469&gt;35),"36-50", AND(Z469&lt;66, Z469&gt;50), "51-66", Z469&gt;65, "66+", TRUE, "?")</f>
        <v>51-66</v>
      </c>
      <c r="AB469" s="1">
        <v>2442</v>
      </c>
      <c r="AC469" s="1">
        <v>0</v>
      </c>
      <c r="AD469" s="1">
        <v>1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0</v>
      </c>
      <c r="AK469" s="1">
        <v>0</v>
      </c>
      <c r="AL469" s="1">
        <v>867</v>
      </c>
      <c r="AM469" s="2">
        <v>42407</v>
      </c>
      <c r="AN469" t="str">
        <f t="shared" si="15"/>
        <v>58512,1019,0.0174152310637134,0,1,25,895,10,101,13,0,152,5,3,4,8,8,0,0,0,0,0,0,0,56,51-66,2442,0,1,0,0,0,0,1,0,0,867,42407</v>
      </c>
    </row>
    <row r="470" spans="1:40" ht="13" hidden="1" x14ac:dyDescent="0.15">
      <c r="A470">
        <v>1919</v>
      </c>
      <c r="B470" s="1">
        <v>69805</v>
      </c>
      <c r="C470" s="1">
        <v>1018</v>
      </c>
      <c r="D470" s="4">
        <f t="shared" si="14"/>
        <v>1.4583482558555978E-2</v>
      </c>
      <c r="E470" s="1">
        <v>0</v>
      </c>
      <c r="F470" s="1">
        <v>1</v>
      </c>
      <c r="G470" s="1">
        <v>50</v>
      </c>
      <c r="H470" s="1">
        <v>750</v>
      </c>
      <c r="I470" s="1">
        <v>71</v>
      </c>
      <c r="J470" s="1">
        <v>174</v>
      </c>
      <c r="K470" s="1">
        <v>13</v>
      </c>
      <c r="L470" s="1">
        <v>10</v>
      </c>
      <c r="M470" s="1">
        <v>20</v>
      </c>
      <c r="N470" s="1">
        <v>2</v>
      </c>
      <c r="O470" s="1">
        <v>6</v>
      </c>
      <c r="P470" s="1">
        <v>8</v>
      </c>
      <c r="Q470" s="1">
        <v>11</v>
      </c>
      <c r="R470" s="1">
        <v>2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68</v>
      </c>
      <c r="AA470" s="1" t="str" cm="1">
        <f t="array" ref="AA470">_xlfn.IFS(AND(Z470&lt;36, Z470&gt;23), "24-35", AND(Z470&lt;51, Z470&gt;35),"36-50", AND(Z470&lt;66, Z470&gt;50), "51-66", Z470&gt;65, "66+", TRUE, "?")</f>
        <v>66+</v>
      </c>
      <c r="AB470" s="1">
        <v>2318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0</v>
      </c>
      <c r="AK470" s="1">
        <v>1</v>
      </c>
      <c r="AL470" s="1">
        <v>998</v>
      </c>
      <c r="AM470" s="2">
        <v>42531</v>
      </c>
      <c r="AN470" t="str">
        <f t="shared" si="15"/>
        <v>69805,1018,0.014583482558556,0,1,50,750,71,174,13,10,20,2,6,8,11,2,0,0,0,0,0,0,0,68,66+,2318,0,0,0,1,0,0,0,0,1,998,42531</v>
      </c>
    </row>
    <row r="471" spans="1:40" ht="13" hidden="1" x14ac:dyDescent="0.15">
      <c r="A471">
        <v>792</v>
      </c>
      <c r="B471" s="1">
        <v>82504</v>
      </c>
      <c r="C471" s="1">
        <v>1012</v>
      </c>
      <c r="D471" s="4">
        <f t="shared" si="14"/>
        <v>1.2266071948026763E-2</v>
      </c>
      <c r="E471" s="1">
        <v>0</v>
      </c>
      <c r="F471" s="1">
        <v>0</v>
      </c>
      <c r="G471" s="1">
        <v>2</v>
      </c>
      <c r="H471" s="1">
        <v>362</v>
      </c>
      <c r="I471" s="1">
        <v>50</v>
      </c>
      <c r="J471" s="1">
        <v>431</v>
      </c>
      <c r="K471" s="1">
        <v>134</v>
      </c>
      <c r="L471" s="1">
        <v>35</v>
      </c>
      <c r="M471" s="1">
        <v>54</v>
      </c>
      <c r="N471" s="1">
        <v>1</v>
      </c>
      <c r="O471" s="1">
        <v>3</v>
      </c>
      <c r="P471" s="1">
        <v>6</v>
      </c>
      <c r="Q471" s="1">
        <v>7</v>
      </c>
      <c r="R471" s="1">
        <v>1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60</v>
      </c>
      <c r="AA471" s="1" t="str" cm="1">
        <f t="array" ref="AA471">_xlfn.IFS(AND(Z471&lt;36, Z471&gt;23), "24-35", AND(Z471&lt;51, Z471&gt;35),"36-50", AND(Z471&lt;66, Z471&gt;50), "51-66", Z471&gt;65, "66+", TRUE, "?")</f>
        <v>51-66</v>
      </c>
      <c r="AB471" s="1">
        <v>2496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0</v>
      </c>
      <c r="AL471" s="1">
        <v>958</v>
      </c>
      <c r="AM471" s="2">
        <v>42353</v>
      </c>
      <c r="AN471" t="str">
        <f t="shared" si="15"/>
        <v>82504,1012,0.0122660719480268,0,0,2,362,50,431,134,35,54,1,3,6,7,1,0,0,0,0,0,0,0,60,51-66,2496,0,1,0,0,0,1,0,0,0,958,42353</v>
      </c>
    </row>
    <row r="472" spans="1:40" ht="13" hidden="1" x14ac:dyDescent="0.15">
      <c r="A472">
        <v>209</v>
      </c>
      <c r="B472" s="1">
        <v>51537</v>
      </c>
      <c r="C472" s="1">
        <v>1011</v>
      </c>
      <c r="D472" s="4">
        <f t="shared" si="14"/>
        <v>1.9616974212701553E-2</v>
      </c>
      <c r="E472" s="1">
        <v>0</v>
      </c>
      <c r="F472" s="1">
        <v>1</v>
      </c>
      <c r="G472" s="1">
        <v>27</v>
      </c>
      <c r="H472" s="1">
        <v>787</v>
      </c>
      <c r="I472" s="1">
        <v>20</v>
      </c>
      <c r="J472" s="1">
        <v>204</v>
      </c>
      <c r="K472" s="1">
        <v>0</v>
      </c>
      <c r="L472" s="1">
        <v>0</v>
      </c>
      <c r="M472" s="1">
        <v>92</v>
      </c>
      <c r="N472" s="1">
        <v>3</v>
      </c>
      <c r="O472" s="1">
        <v>2</v>
      </c>
      <c r="P472" s="1">
        <v>2</v>
      </c>
      <c r="Q472" s="1">
        <v>11</v>
      </c>
      <c r="R472" s="1">
        <v>8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68</v>
      </c>
      <c r="AA472" s="1" t="str" cm="1">
        <f t="array" ref="AA472">_xlfn.IFS(AND(Z472&lt;36, Z472&gt;23), "24-35", AND(Z472&lt;51, Z472&gt;35),"36-50", AND(Z472&lt;66, Z472&gt;50), "51-66", Z472&gt;65, "66+", TRUE, "?")</f>
        <v>66+</v>
      </c>
      <c r="AB472" s="1">
        <v>2726</v>
      </c>
      <c r="AC472" s="1">
        <v>1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1</v>
      </c>
      <c r="AJ472" s="1">
        <v>0</v>
      </c>
      <c r="AK472" s="1">
        <v>0</v>
      </c>
      <c r="AL472" s="1">
        <v>919</v>
      </c>
      <c r="AM472" s="2">
        <v>42123</v>
      </c>
      <c r="AN472" t="str">
        <f t="shared" si="15"/>
        <v>51537,1011,0.0196169742127016,0,1,27,787,20,204,0,0,92,3,2,2,11,8,0,0,0,0,0,0,0,68,66+,2726,1,0,0,0,0,0,1,0,0,919,42123</v>
      </c>
    </row>
    <row r="473" spans="1:40" ht="13" hidden="1" x14ac:dyDescent="0.15">
      <c r="A473">
        <v>672</v>
      </c>
      <c r="B473" s="1">
        <v>58710</v>
      </c>
      <c r="C473" s="1">
        <v>1011</v>
      </c>
      <c r="D473" s="4">
        <f t="shared" si="14"/>
        <v>1.7220235053653551E-2</v>
      </c>
      <c r="E473" s="1">
        <v>0</v>
      </c>
      <c r="F473" s="1">
        <v>1</v>
      </c>
      <c r="G473" s="1">
        <v>77</v>
      </c>
      <c r="H473" s="1">
        <v>440</v>
      </c>
      <c r="I473" s="1">
        <v>81</v>
      </c>
      <c r="J473" s="1">
        <v>368</v>
      </c>
      <c r="K473" s="1">
        <v>0</v>
      </c>
      <c r="L473" s="1">
        <v>122</v>
      </c>
      <c r="M473" s="1">
        <v>174</v>
      </c>
      <c r="N473" s="1">
        <v>6</v>
      </c>
      <c r="O473" s="1">
        <v>11</v>
      </c>
      <c r="P473" s="1">
        <v>5</v>
      </c>
      <c r="Q473" s="1">
        <v>9</v>
      </c>
      <c r="R473" s="1">
        <v>6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50</v>
      </c>
      <c r="AA473" s="1" t="str" cm="1">
        <f t="array" ref="AA473">_xlfn.IFS(AND(Z473&lt;36, Z473&gt;23), "24-35", AND(Z473&lt;51, Z473&gt;35),"36-50", AND(Z473&lt;66, Z473&gt;50), "51-66", Z473&gt;65, "66+", TRUE, "?")</f>
        <v>36-50</v>
      </c>
      <c r="AB473" s="1">
        <v>2614</v>
      </c>
      <c r="AC473" s="1">
        <v>1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1</v>
      </c>
      <c r="AJ473" s="1">
        <v>0</v>
      </c>
      <c r="AK473" s="1">
        <v>0</v>
      </c>
      <c r="AL473" s="1">
        <v>837</v>
      </c>
      <c r="AM473" s="2">
        <v>42235</v>
      </c>
      <c r="AN473" t="str">
        <f t="shared" si="15"/>
        <v>58710,1011,0.0172202350536536,0,1,77,440,81,368,0,122,174,6,11,5,9,6,0,0,0,0,0,0,0,50,36-50,2614,1,0,0,0,0,0,1,0,0,837,42235</v>
      </c>
    </row>
    <row r="474" spans="1:40" ht="13" hidden="1" x14ac:dyDescent="0.15">
      <c r="A474">
        <v>1087</v>
      </c>
      <c r="B474" s="1">
        <v>56715</v>
      </c>
      <c r="C474" s="1">
        <v>1011</v>
      </c>
      <c r="D474" s="4">
        <f t="shared" si="14"/>
        <v>1.7825971965088602E-2</v>
      </c>
      <c r="E474" s="1">
        <v>0</v>
      </c>
      <c r="F474" s="1">
        <v>0</v>
      </c>
      <c r="G474" s="1">
        <v>52</v>
      </c>
      <c r="H474" s="1">
        <v>258</v>
      </c>
      <c r="I474" s="1">
        <v>105</v>
      </c>
      <c r="J474" s="1">
        <v>239</v>
      </c>
      <c r="K474" s="1">
        <v>237</v>
      </c>
      <c r="L474" s="1">
        <v>172</v>
      </c>
      <c r="M474" s="1">
        <v>9</v>
      </c>
      <c r="N474" s="1">
        <v>1</v>
      </c>
      <c r="O474" s="1">
        <v>7</v>
      </c>
      <c r="P474" s="1">
        <v>3</v>
      </c>
      <c r="Q474" s="1">
        <v>4</v>
      </c>
      <c r="R474" s="1">
        <v>4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46</v>
      </c>
      <c r="AA474" s="1" t="str" cm="1">
        <f t="array" ref="AA474">_xlfn.IFS(AND(Z474&lt;36, Z474&gt;23), "24-35", AND(Z474&lt;51, Z474&gt;35),"36-50", AND(Z474&lt;66, Z474&gt;50), "51-66", Z474&gt;65, "66+", TRUE, "?")</f>
        <v>36-50</v>
      </c>
      <c r="AB474" s="1">
        <v>2730</v>
      </c>
      <c r="AC474" s="1">
        <v>0</v>
      </c>
      <c r="AD474" s="1">
        <v>0</v>
      </c>
      <c r="AE474" s="1">
        <v>0</v>
      </c>
      <c r="AF474" s="1">
        <v>1</v>
      </c>
      <c r="AG474" s="1">
        <v>0</v>
      </c>
      <c r="AH474" s="1">
        <v>0</v>
      </c>
      <c r="AI474" s="1">
        <v>1</v>
      </c>
      <c r="AJ474" s="1">
        <v>0</v>
      </c>
      <c r="AK474" s="1">
        <v>0</v>
      </c>
      <c r="AL474" s="1">
        <v>1002</v>
      </c>
      <c r="AM474" s="2">
        <v>42119</v>
      </c>
      <c r="AN474" t="str">
        <f t="shared" si="15"/>
        <v>56715,1011,0.0178259719650886,0,0,52,258,105,239,237,172,9,1,7,3,4,4,0,0,0,0,0,0,0,46,36-50,2730,0,0,0,1,0,0,1,0,0,1002,42119</v>
      </c>
    </row>
    <row r="475" spans="1:40" ht="13" hidden="1" x14ac:dyDescent="0.15">
      <c r="A475">
        <v>802</v>
      </c>
      <c r="B475" s="1">
        <v>60474</v>
      </c>
      <c r="C475" s="1">
        <v>1010</v>
      </c>
      <c r="D475" s="4">
        <f t="shared" si="14"/>
        <v>1.6701392333895559E-2</v>
      </c>
      <c r="E475" s="1">
        <v>0</v>
      </c>
      <c r="F475" s="1">
        <v>1</v>
      </c>
      <c r="G475" s="1">
        <v>25</v>
      </c>
      <c r="H475" s="1">
        <v>265</v>
      </c>
      <c r="I475" s="1">
        <v>199</v>
      </c>
      <c r="J475" s="1">
        <v>303</v>
      </c>
      <c r="K475" s="1">
        <v>234</v>
      </c>
      <c r="L475" s="1">
        <v>9</v>
      </c>
      <c r="M475" s="1">
        <v>170</v>
      </c>
      <c r="N475" s="1">
        <v>7</v>
      </c>
      <c r="O475" s="1">
        <v>10</v>
      </c>
      <c r="P475" s="1">
        <v>2</v>
      </c>
      <c r="Q475" s="1">
        <v>12</v>
      </c>
      <c r="R475" s="1">
        <v>7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41</v>
      </c>
      <c r="AA475" s="1" t="str" cm="1">
        <f t="array" ref="AA475">_xlfn.IFS(AND(Z475&lt;36, Z475&gt;23), "24-35", AND(Z475&lt;51, Z475&gt;35),"36-50", AND(Z475&lt;66, Z475&gt;50), "51-66", Z475&gt;65, "66+", TRUE, "?")</f>
        <v>36-50</v>
      </c>
      <c r="AB475" s="1">
        <v>2613</v>
      </c>
      <c r="AC475" s="1">
        <v>0</v>
      </c>
      <c r="AD475" s="1">
        <v>0</v>
      </c>
      <c r="AE475" s="1">
        <v>1</v>
      </c>
      <c r="AF475" s="1">
        <v>0</v>
      </c>
      <c r="AG475" s="1">
        <v>0</v>
      </c>
      <c r="AH475" s="1">
        <v>0</v>
      </c>
      <c r="AI475" s="1">
        <v>1</v>
      </c>
      <c r="AJ475" s="1">
        <v>0</v>
      </c>
      <c r="AK475" s="1">
        <v>0</v>
      </c>
      <c r="AL475" s="1">
        <v>840</v>
      </c>
      <c r="AM475" s="2">
        <v>42236</v>
      </c>
      <c r="AN475" t="str">
        <f t="shared" si="15"/>
        <v>60474,1010,0.0167013923338956,0,1,25,265,199,303,234,9,170,7,10,2,12,7,0,0,0,0,0,0,0,41,36-50,2613,0,0,1,0,0,0,1,0,0,840,42236</v>
      </c>
    </row>
    <row r="476" spans="1:40" ht="13" hidden="1" x14ac:dyDescent="0.15">
      <c r="A476">
        <v>1125</v>
      </c>
      <c r="B476" s="1">
        <v>59184</v>
      </c>
      <c r="C476" s="1">
        <v>1006</v>
      </c>
      <c r="D476" s="4">
        <f t="shared" si="14"/>
        <v>1.6997837253311707E-2</v>
      </c>
      <c r="E476" s="1">
        <v>0</v>
      </c>
      <c r="F476" s="1">
        <v>1</v>
      </c>
      <c r="G476" s="1">
        <v>6</v>
      </c>
      <c r="H476" s="1">
        <v>341</v>
      </c>
      <c r="I476" s="1">
        <v>142</v>
      </c>
      <c r="J476" s="1">
        <v>113</v>
      </c>
      <c r="K476" s="1">
        <v>259</v>
      </c>
      <c r="L476" s="1">
        <v>151</v>
      </c>
      <c r="M476" s="1">
        <v>66</v>
      </c>
      <c r="N476" s="1">
        <v>3</v>
      </c>
      <c r="O476" s="1">
        <v>6</v>
      </c>
      <c r="P476" s="1">
        <v>6</v>
      </c>
      <c r="Q476" s="1">
        <v>12</v>
      </c>
      <c r="R476" s="1">
        <v>5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59</v>
      </c>
      <c r="AA476" s="1" t="str" cm="1">
        <f t="array" ref="AA476">_xlfn.IFS(AND(Z476&lt;36, Z476&gt;23), "24-35", AND(Z476&lt;51, Z476&gt;35),"36-50", AND(Z476&lt;66, Z476&gt;50), "51-66", Z476&gt;65, "66+", TRUE, "?")</f>
        <v>51-66</v>
      </c>
      <c r="AB476" s="1">
        <v>2817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1</v>
      </c>
      <c r="AI476" s="1">
        <v>0</v>
      </c>
      <c r="AJ476" s="1">
        <v>0</v>
      </c>
      <c r="AK476" s="1">
        <v>0</v>
      </c>
      <c r="AL476" s="1">
        <v>940</v>
      </c>
      <c r="AM476" s="2">
        <v>42032</v>
      </c>
      <c r="AN476" t="str">
        <f t="shared" si="15"/>
        <v>59184,1006,0.0169978372533117,0,1,6,341,142,113,259,151,66,3,6,6,12,5,0,0,0,0,0,0,0,59,51-66,2817,0,0,0,0,1,1,0,0,0,940,42032</v>
      </c>
    </row>
    <row r="477" spans="1:40" ht="13" hidden="1" x14ac:dyDescent="0.15">
      <c r="A477">
        <v>1932</v>
      </c>
      <c r="B477" s="1">
        <v>65487</v>
      </c>
      <c r="C477" s="1">
        <v>1006</v>
      </c>
      <c r="D477" s="4">
        <f t="shared" si="14"/>
        <v>1.5361827538290043E-2</v>
      </c>
      <c r="E477" s="1">
        <v>0</v>
      </c>
      <c r="F477" s="1">
        <v>0</v>
      </c>
      <c r="G477" s="1">
        <v>48</v>
      </c>
      <c r="H477" s="1">
        <v>240</v>
      </c>
      <c r="I477" s="1">
        <v>67</v>
      </c>
      <c r="J477" s="1">
        <v>500</v>
      </c>
      <c r="K477" s="1">
        <v>199</v>
      </c>
      <c r="L477" s="1">
        <v>0</v>
      </c>
      <c r="M477" s="1">
        <v>163</v>
      </c>
      <c r="N477" s="1">
        <v>3</v>
      </c>
      <c r="O477" s="1">
        <v>3</v>
      </c>
      <c r="P477" s="1">
        <v>5</v>
      </c>
      <c r="Q477" s="1">
        <v>6</v>
      </c>
      <c r="R477" s="1">
        <v>2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63</v>
      </c>
      <c r="AA477" s="1" t="str" cm="1">
        <f t="array" ref="AA477">_xlfn.IFS(AND(Z477&lt;36, Z477&gt;23), "24-35", AND(Z477&lt;51, Z477&gt;35),"36-50", AND(Z477&lt;66, Z477&gt;50), "51-66", Z477&gt;65, "66+", TRUE, "?")</f>
        <v>51-66</v>
      </c>
      <c r="AB477" s="1">
        <v>2329</v>
      </c>
      <c r="AC477" s="1">
        <v>0</v>
      </c>
      <c r="AD477" s="1">
        <v>0</v>
      </c>
      <c r="AE477" s="1">
        <v>1</v>
      </c>
      <c r="AF477" s="1">
        <v>0</v>
      </c>
      <c r="AG477" s="1">
        <v>0</v>
      </c>
      <c r="AH477" s="1">
        <v>0</v>
      </c>
      <c r="AI477" s="1">
        <v>0</v>
      </c>
      <c r="AJ477" s="1">
        <v>1</v>
      </c>
      <c r="AK477" s="1">
        <v>0</v>
      </c>
      <c r="AL477" s="1">
        <v>843</v>
      </c>
      <c r="AM477" s="2">
        <v>42520</v>
      </c>
      <c r="AN477" t="str">
        <f t="shared" si="15"/>
        <v>65487,1006,0.01536182753829,0,0,48,240,67,500,199,0,163,3,3,5,6,2,0,0,0,0,0,0,0,63,51-66,2329,0,0,1,0,0,0,0,1,0,843,42520</v>
      </c>
    </row>
    <row r="478" spans="1:40" ht="13" hidden="1" x14ac:dyDescent="0.15">
      <c r="A478">
        <v>1980</v>
      </c>
      <c r="B478" s="1">
        <v>65487</v>
      </c>
      <c r="C478" s="1">
        <v>1006</v>
      </c>
      <c r="D478" s="4">
        <f t="shared" si="14"/>
        <v>1.5361827538290043E-2</v>
      </c>
      <c r="E478" s="1">
        <v>0</v>
      </c>
      <c r="F478" s="1">
        <v>0</v>
      </c>
      <c r="G478" s="1">
        <v>48</v>
      </c>
      <c r="H478" s="1">
        <v>240</v>
      </c>
      <c r="I478" s="1">
        <v>67</v>
      </c>
      <c r="J478" s="1">
        <v>500</v>
      </c>
      <c r="K478" s="1">
        <v>199</v>
      </c>
      <c r="L478" s="1">
        <v>0</v>
      </c>
      <c r="M478" s="1">
        <v>163</v>
      </c>
      <c r="N478" s="1">
        <v>3</v>
      </c>
      <c r="O478" s="1">
        <v>3</v>
      </c>
      <c r="P478" s="1">
        <v>5</v>
      </c>
      <c r="Q478" s="1">
        <v>6</v>
      </c>
      <c r="R478" s="1">
        <v>2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63</v>
      </c>
      <c r="AA478" s="1" t="str" cm="1">
        <f t="array" ref="AA478">_xlfn.IFS(AND(Z478&lt;36, Z478&gt;23), "24-35", AND(Z478&lt;51, Z478&gt;35),"36-50", AND(Z478&lt;66, Z478&gt;50), "51-66", Z478&gt;65, "66+", TRUE, "?")</f>
        <v>51-66</v>
      </c>
      <c r="AB478" s="1">
        <v>2329</v>
      </c>
      <c r="AC478" s="1">
        <v>0</v>
      </c>
      <c r="AD478" s="1">
        <v>0</v>
      </c>
      <c r="AE478" s="1">
        <v>0</v>
      </c>
      <c r="AF478" s="1">
        <v>1</v>
      </c>
      <c r="AG478" s="1">
        <v>0</v>
      </c>
      <c r="AH478" s="1">
        <v>0</v>
      </c>
      <c r="AI478" s="1">
        <v>0</v>
      </c>
      <c r="AJ478" s="1">
        <v>1</v>
      </c>
      <c r="AK478" s="1">
        <v>0</v>
      </c>
      <c r="AL478" s="1">
        <v>843</v>
      </c>
      <c r="AM478" s="2">
        <v>42520</v>
      </c>
      <c r="AN478" t="str">
        <f t="shared" si="15"/>
        <v>65487,1006,0.01536182753829,0,0,48,240,67,500,199,0,163,3,3,5,6,2,0,0,0,0,0,0,0,63,51-66,2329,0,0,0,1,0,0,0,1,0,843,42520</v>
      </c>
    </row>
    <row r="479" spans="1:40" ht="13" hidden="1" x14ac:dyDescent="0.15">
      <c r="A479">
        <v>1371</v>
      </c>
      <c r="B479" s="1">
        <v>57072</v>
      </c>
      <c r="C479" s="1">
        <v>1004</v>
      </c>
      <c r="D479" s="4">
        <f t="shared" si="14"/>
        <v>1.7591813849172973E-2</v>
      </c>
      <c r="E479" s="1">
        <v>0</v>
      </c>
      <c r="F479" s="1">
        <v>1</v>
      </c>
      <c r="G479" s="1">
        <v>79</v>
      </c>
      <c r="H479" s="1">
        <v>944</v>
      </c>
      <c r="I479" s="1">
        <v>0</v>
      </c>
      <c r="J479" s="1">
        <v>60</v>
      </c>
      <c r="K479" s="1">
        <v>0</v>
      </c>
      <c r="L479" s="1">
        <v>0</v>
      </c>
      <c r="M479" s="1">
        <v>30</v>
      </c>
      <c r="N479" s="1">
        <v>2</v>
      </c>
      <c r="O479" s="1">
        <v>7</v>
      </c>
      <c r="P479" s="1">
        <v>5</v>
      </c>
      <c r="Q479" s="1">
        <v>13</v>
      </c>
      <c r="R479" s="1">
        <v>5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59</v>
      </c>
      <c r="AA479" s="1" t="str" cm="1">
        <f t="array" ref="AA479">_xlfn.IFS(AND(Z479&lt;36, Z479&gt;23), "24-35", AND(Z479&lt;51, Z479&gt;35),"36-50", AND(Z479&lt;66, Z479&gt;50), "51-66", Z479&gt;65, "66+", TRUE, "?")</f>
        <v>51-66</v>
      </c>
      <c r="AB479" s="1">
        <v>2315</v>
      </c>
      <c r="AC479" s="1">
        <v>0</v>
      </c>
      <c r="AD479" s="1">
        <v>1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1</v>
      </c>
      <c r="AL479" s="1">
        <v>974</v>
      </c>
      <c r="AM479" s="2">
        <v>42534</v>
      </c>
      <c r="AN479" t="str">
        <f t="shared" si="15"/>
        <v>57072,1004,0.017591813849173,0,1,79,944,0,60,0,0,30,2,7,5,13,5,0,0,1,0,0,0,0,59,51-66,2315,0,1,0,0,0,0,0,0,1,974,42534</v>
      </c>
    </row>
    <row r="480" spans="1:40" ht="13" hidden="1" x14ac:dyDescent="0.15">
      <c r="A480">
        <v>456</v>
      </c>
      <c r="B480" s="1">
        <v>65104</v>
      </c>
      <c r="C480" s="1">
        <v>1003</v>
      </c>
      <c r="D480" s="4">
        <f t="shared" si="14"/>
        <v>1.5406119439665765E-2</v>
      </c>
      <c r="E480" s="1">
        <v>0</v>
      </c>
      <c r="F480" s="1">
        <v>1</v>
      </c>
      <c r="G480" s="1">
        <v>4</v>
      </c>
      <c r="H480" s="1">
        <v>738</v>
      </c>
      <c r="I480" s="1">
        <v>0</v>
      </c>
      <c r="J480" s="1">
        <v>232</v>
      </c>
      <c r="K480" s="1">
        <v>13</v>
      </c>
      <c r="L480" s="1">
        <v>20</v>
      </c>
      <c r="M480" s="1">
        <v>50</v>
      </c>
      <c r="N480" s="1">
        <v>2</v>
      </c>
      <c r="O480" s="1">
        <v>3</v>
      </c>
      <c r="P480" s="1">
        <v>5</v>
      </c>
      <c r="Q480" s="1">
        <v>7</v>
      </c>
      <c r="R480" s="1">
        <v>7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44</v>
      </c>
      <c r="AA480" s="1" t="str" cm="1">
        <f t="array" ref="AA480">_xlfn.IFS(AND(Z480&lt;36, Z480&gt;23), "24-35", AND(Z480&lt;51, Z480&gt;35),"36-50", AND(Z480&lt;66, Z480&gt;50), "51-66", Z480&gt;65, "66+", TRUE, "?")</f>
        <v>36-50</v>
      </c>
      <c r="AB480" s="1">
        <v>2386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1</v>
      </c>
      <c r="AK480" s="1">
        <v>0</v>
      </c>
      <c r="AL480" s="1">
        <v>953</v>
      </c>
      <c r="AM480" s="2">
        <v>42463</v>
      </c>
      <c r="AN480" t="str">
        <f t="shared" si="15"/>
        <v>65104,1003,0.0154061194396658,0,1,4,738,0,232,13,20,50,2,3,5,7,7,0,0,0,0,0,0,0,44,36-50,2386,0,0,0,1,0,0,0,1,0,953,42463</v>
      </c>
    </row>
    <row r="481" spans="1:40" ht="13" x14ac:dyDescent="0.15">
      <c r="A481">
        <v>1079</v>
      </c>
      <c r="B481" s="1">
        <v>65104</v>
      </c>
      <c r="C481" s="1">
        <v>1003</v>
      </c>
      <c r="D481" s="4">
        <f t="shared" si="14"/>
        <v>1.5406119439665765E-2</v>
      </c>
      <c r="E481" s="1">
        <v>0</v>
      </c>
      <c r="F481" s="1">
        <v>1</v>
      </c>
      <c r="G481" s="1">
        <v>4</v>
      </c>
      <c r="H481" s="1">
        <v>738</v>
      </c>
      <c r="I481" s="1">
        <v>0</v>
      </c>
      <c r="J481" s="1">
        <v>232</v>
      </c>
      <c r="K481" s="1">
        <v>13</v>
      </c>
      <c r="L481" s="1">
        <v>20</v>
      </c>
      <c r="M481" s="1">
        <v>50</v>
      </c>
      <c r="N481" s="1">
        <v>2</v>
      </c>
      <c r="O481" s="1">
        <v>3</v>
      </c>
      <c r="P481" s="1">
        <v>5</v>
      </c>
      <c r="Q481" s="1">
        <v>7</v>
      </c>
      <c r="R481" s="1">
        <v>7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44</v>
      </c>
      <c r="AA481" s="1" t="str" cm="1">
        <f t="array" ref="AA481">_xlfn.IFS(AND(Z481&lt;36, Z481&gt;23), "24-35", AND(Z481&lt;51, Z481&gt;35),"36-50", AND(Z481&lt;66, Z481&gt;50), "51-66", Z481&gt;65, "66+", TRUE, "?")</f>
        <v>36-50</v>
      </c>
      <c r="AB481" s="1">
        <v>2386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0</v>
      </c>
      <c r="AJ481" s="1">
        <v>1</v>
      </c>
      <c r="AK481" s="1">
        <v>0</v>
      </c>
      <c r="AL481" s="1">
        <v>953</v>
      </c>
      <c r="AM481" s="2">
        <v>42463</v>
      </c>
      <c r="AN481" t="str">
        <f t="shared" si="15"/>
        <v>65104,1003,0.0154061194396658,0,1,4,738,0,232,13,20,50,2,3,5,7,7,0,0,0,0,0,0,1,44,36-50,2386,0,0,0,1,0,0,0,1,0,953,42463</v>
      </c>
    </row>
    <row r="482" spans="1:40" ht="13" hidden="1" x14ac:dyDescent="0.15">
      <c r="A482">
        <v>1115</v>
      </c>
      <c r="B482" s="1">
        <v>62000</v>
      </c>
      <c r="C482" s="1">
        <v>1000</v>
      </c>
      <c r="D482" s="4">
        <f t="shared" si="14"/>
        <v>1.6129032258064516E-2</v>
      </c>
      <c r="E482" s="1">
        <v>0</v>
      </c>
      <c r="F482" s="1">
        <v>1</v>
      </c>
      <c r="G482" s="1">
        <v>25</v>
      </c>
      <c r="H482" s="1">
        <v>899</v>
      </c>
      <c r="I482" s="1">
        <v>0</v>
      </c>
      <c r="J482" s="1">
        <v>101</v>
      </c>
      <c r="K482" s="1">
        <v>0</v>
      </c>
      <c r="L482" s="1">
        <v>0</v>
      </c>
      <c r="M482" s="1">
        <v>20</v>
      </c>
      <c r="N482" s="1">
        <v>1</v>
      </c>
      <c r="O482" s="1">
        <v>6</v>
      </c>
      <c r="P482" s="1">
        <v>6</v>
      </c>
      <c r="Q482" s="1">
        <v>13</v>
      </c>
      <c r="R482" s="1">
        <v>4</v>
      </c>
      <c r="S482" s="1">
        <v>1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68</v>
      </c>
      <c r="AA482" s="1" t="str" cm="1">
        <f t="array" ref="AA482">_xlfn.IFS(AND(Z482&lt;36, Z482&gt;23), "24-35", AND(Z482&lt;51, Z482&gt;35),"36-50", AND(Z482&lt;66, Z482&gt;50), "51-66", Z482&gt;65, "66+", TRUE, "?")</f>
        <v>66+</v>
      </c>
      <c r="AB482" s="1">
        <v>2467</v>
      </c>
      <c r="AC482" s="1">
        <v>0</v>
      </c>
      <c r="AD482" s="1">
        <v>0</v>
      </c>
      <c r="AE482" s="1">
        <v>1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1</v>
      </c>
      <c r="AL482" s="1">
        <v>980</v>
      </c>
      <c r="AM482" s="2">
        <v>42382</v>
      </c>
      <c r="AN482" t="str">
        <f t="shared" si="15"/>
        <v>62000,1000,0.0161290322580645,0,1,25,899,0,101,0,0,20,1,6,6,13,4,1,0,0,0,0,0,0,68,66+,2467,0,0,1,0,0,0,0,0,1,980,42382</v>
      </c>
    </row>
    <row r="483" spans="1:40" ht="13" hidden="1" x14ac:dyDescent="0.15">
      <c r="A483">
        <v>1385</v>
      </c>
      <c r="B483" s="1">
        <v>65492</v>
      </c>
      <c r="C483" s="1">
        <v>998</v>
      </c>
      <c r="D483" s="4">
        <f t="shared" si="14"/>
        <v>1.5238502412508398E-2</v>
      </c>
      <c r="E483" s="1">
        <v>0</v>
      </c>
      <c r="F483" s="1">
        <v>0</v>
      </c>
      <c r="G483" s="1">
        <v>73</v>
      </c>
      <c r="H483" s="1">
        <v>247</v>
      </c>
      <c r="I483" s="1">
        <v>161</v>
      </c>
      <c r="J483" s="1">
        <v>295</v>
      </c>
      <c r="K483" s="1">
        <v>210</v>
      </c>
      <c r="L483" s="1">
        <v>85</v>
      </c>
      <c r="M483" s="1">
        <v>47</v>
      </c>
      <c r="N483" s="1">
        <v>2</v>
      </c>
      <c r="O483" s="1">
        <v>4</v>
      </c>
      <c r="P483" s="1">
        <v>7</v>
      </c>
      <c r="Q483" s="1">
        <v>13</v>
      </c>
      <c r="R483" s="1">
        <v>2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61</v>
      </c>
      <c r="AA483" s="1" t="str" cm="1">
        <f t="array" ref="AA483">_xlfn.IFS(AND(Z483&lt;36, Z483&gt;23), "24-35", AND(Z483&lt;51, Z483&gt;35),"36-50", AND(Z483&lt;66, Z483&gt;50), "51-66", Z483&gt;65, "66+", TRUE, "?")</f>
        <v>51-66</v>
      </c>
      <c r="AB483" s="1">
        <v>2313</v>
      </c>
      <c r="AC483" s="1">
        <v>0</v>
      </c>
      <c r="AD483" s="1">
        <v>1</v>
      </c>
      <c r="AE483" s="1">
        <v>0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951</v>
      </c>
      <c r="AM483" s="2">
        <v>42536</v>
      </c>
      <c r="AN483" t="str">
        <f t="shared" si="15"/>
        <v>65492,998,0.0152385024125084,0,0,73,247,161,295,210,85,47,2,4,7,13,2,0,0,0,0,0,0,0,61,51-66,2313,0,1,0,0,0,0,1,0,0,951,42536</v>
      </c>
    </row>
    <row r="484" spans="1:40" ht="13" hidden="1" x14ac:dyDescent="0.15">
      <c r="A484">
        <v>1641</v>
      </c>
      <c r="B484" s="1">
        <v>78416</v>
      </c>
      <c r="C484" s="1">
        <v>996</v>
      </c>
      <c r="D484" s="4">
        <f t="shared" si="14"/>
        <v>1.2701489491940421E-2</v>
      </c>
      <c r="E484" s="1">
        <v>0</v>
      </c>
      <c r="F484" s="1">
        <v>1</v>
      </c>
      <c r="G484" s="1">
        <v>99</v>
      </c>
      <c r="H484" s="1">
        <v>453</v>
      </c>
      <c r="I484" s="1">
        <v>38</v>
      </c>
      <c r="J484" s="1">
        <v>279</v>
      </c>
      <c r="K484" s="1">
        <v>188</v>
      </c>
      <c r="L484" s="1">
        <v>38</v>
      </c>
      <c r="M484" s="1">
        <v>183</v>
      </c>
      <c r="N484" s="1">
        <v>2</v>
      </c>
      <c r="O484" s="1">
        <v>7</v>
      </c>
      <c r="P484" s="1">
        <v>7</v>
      </c>
      <c r="Q484" s="1">
        <v>10</v>
      </c>
      <c r="R484" s="1">
        <v>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44</v>
      </c>
      <c r="AA484" s="1" t="str" cm="1">
        <f t="array" ref="AA484">_xlfn.IFS(AND(Z484&lt;36, Z484&gt;23), "24-35", AND(Z484&lt;51, Z484&gt;35),"36-50", AND(Z484&lt;66, Z484&gt;50), "51-66", Z484&gt;65, "66+", TRUE, "?")</f>
        <v>36-50</v>
      </c>
      <c r="AB484" s="1">
        <v>2161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1</v>
      </c>
      <c r="AJ484" s="1">
        <v>0</v>
      </c>
      <c r="AK484" s="1">
        <v>0</v>
      </c>
      <c r="AL484" s="1">
        <v>813</v>
      </c>
      <c r="AM484" s="2">
        <v>42688</v>
      </c>
      <c r="AN484" t="str">
        <f t="shared" si="15"/>
        <v>78416,996,0.0127014894919404,0,1,99,453,38,279,188,38,183,2,7,7,10,3,0,0,0,0,0,0,0,44,36-50,2161,0,0,0,1,0,0,1,0,0,813,42688</v>
      </c>
    </row>
    <row r="485" spans="1:40" ht="13" hidden="1" x14ac:dyDescent="0.15">
      <c r="A485">
        <v>154</v>
      </c>
      <c r="B485" s="1">
        <v>66951</v>
      </c>
      <c r="C485" s="1">
        <v>993</v>
      </c>
      <c r="D485" s="4">
        <f t="shared" si="14"/>
        <v>1.4831742617735358E-2</v>
      </c>
      <c r="E485" s="1">
        <v>0</v>
      </c>
      <c r="F485" s="1">
        <v>0</v>
      </c>
      <c r="G485" s="1">
        <v>46</v>
      </c>
      <c r="H485" s="1">
        <v>277</v>
      </c>
      <c r="I485" s="1">
        <v>162</v>
      </c>
      <c r="J485" s="1">
        <v>305</v>
      </c>
      <c r="K485" s="1">
        <v>173</v>
      </c>
      <c r="L485" s="1">
        <v>76</v>
      </c>
      <c r="M485" s="1">
        <v>124</v>
      </c>
      <c r="N485" s="1">
        <v>1</v>
      </c>
      <c r="O485" s="1">
        <v>3</v>
      </c>
      <c r="P485" s="1">
        <v>4</v>
      </c>
      <c r="Q485" s="1">
        <v>7</v>
      </c>
      <c r="R485" s="1">
        <v>1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32</v>
      </c>
      <c r="AA485" s="1" t="str" cm="1">
        <f t="array" ref="AA485">_xlfn.IFS(AND(Z485&lt;36, Z485&gt;23), "24-35", AND(Z485&lt;51, Z485&gt;35),"36-50", AND(Z485&lt;66, Z485&gt;50), "51-66", Z485&gt;65, "66+", TRUE, "?")</f>
        <v>24-35</v>
      </c>
      <c r="AB485" s="1">
        <v>2398</v>
      </c>
      <c r="AC485" s="1">
        <v>0</v>
      </c>
      <c r="AD485" s="1">
        <v>0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0</v>
      </c>
      <c r="AK485" s="1">
        <v>0</v>
      </c>
      <c r="AL485" s="1">
        <v>869</v>
      </c>
      <c r="AM485" s="2">
        <v>42451</v>
      </c>
      <c r="AN485" t="str">
        <f t="shared" si="15"/>
        <v>66951,993,0.0148317426177354,0,0,46,277,162,305,173,76,124,1,3,4,7,1,0,0,0,0,0,0,0,32,24-35,2398,0,0,1,0,0,0,1,0,0,869,42451</v>
      </c>
    </row>
    <row r="486" spans="1:40" ht="13" hidden="1" x14ac:dyDescent="0.15">
      <c r="A486">
        <v>1707</v>
      </c>
      <c r="B486" s="1">
        <v>69932</v>
      </c>
      <c r="C486" s="1">
        <v>992</v>
      </c>
      <c r="D486" s="4">
        <f t="shared" si="14"/>
        <v>1.4185208488245725E-2</v>
      </c>
      <c r="E486" s="1">
        <v>0</v>
      </c>
      <c r="F486" s="1">
        <v>1</v>
      </c>
      <c r="G486" s="1">
        <v>97</v>
      </c>
      <c r="H486" s="1">
        <v>412</v>
      </c>
      <c r="I486" s="1">
        <v>172</v>
      </c>
      <c r="J486" s="1">
        <v>153</v>
      </c>
      <c r="K486" s="1">
        <v>150</v>
      </c>
      <c r="L486" s="1">
        <v>105</v>
      </c>
      <c r="M486" s="1">
        <v>57</v>
      </c>
      <c r="N486" s="1">
        <v>2</v>
      </c>
      <c r="O486" s="1">
        <v>7</v>
      </c>
      <c r="P486" s="1">
        <v>6</v>
      </c>
      <c r="Q486" s="1">
        <v>11</v>
      </c>
      <c r="R486" s="1">
        <v>4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56</v>
      </c>
      <c r="AA486" s="1" t="str" cm="1">
        <f t="array" ref="AA486">_xlfn.IFS(AND(Z486&lt;36, Z486&gt;23), "24-35", AND(Z486&lt;51, Z486&gt;35),"36-50", AND(Z486&lt;66, Z486&gt;50), "51-66", Z486&gt;65, "66+", TRUE, "?")</f>
        <v>51-66</v>
      </c>
      <c r="AB486" s="1">
        <v>2541</v>
      </c>
      <c r="AC486" s="1">
        <v>1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0</v>
      </c>
      <c r="AL486" s="1">
        <v>935</v>
      </c>
      <c r="AM486" s="2">
        <v>42308</v>
      </c>
      <c r="AN486" t="str">
        <f t="shared" si="15"/>
        <v>69932,992,0.0141852084882457,0,1,97,412,172,153,150,105,57,2,7,6,11,4,0,0,0,0,0,0,0,56,51-66,2541,1,0,0,0,0,0,1,0,0,935,42308</v>
      </c>
    </row>
    <row r="487" spans="1:40" ht="13" hidden="1" x14ac:dyDescent="0.15">
      <c r="A487">
        <v>1396</v>
      </c>
      <c r="B487" s="1">
        <v>46772</v>
      </c>
      <c r="C487" s="1">
        <v>991</v>
      </c>
      <c r="D487" s="4">
        <f t="shared" si="14"/>
        <v>2.1187890190712391E-2</v>
      </c>
      <c r="E487" s="1">
        <v>0</v>
      </c>
      <c r="F487" s="1">
        <v>1</v>
      </c>
      <c r="G487" s="1">
        <v>88</v>
      </c>
      <c r="H487" s="1">
        <v>350</v>
      </c>
      <c r="I487" s="1">
        <v>104</v>
      </c>
      <c r="J487" s="1">
        <v>189</v>
      </c>
      <c r="K487" s="1">
        <v>197</v>
      </c>
      <c r="L487" s="1">
        <v>151</v>
      </c>
      <c r="M487" s="1">
        <v>57</v>
      </c>
      <c r="N487" s="1">
        <v>6</v>
      </c>
      <c r="O487" s="1">
        <v>11</v>
      </c>
      <c r="P487" s="1">
        <v>8</v>
      </c>
      <c r="Q487" s="1">
        <v>5</v>
      </c>
      <c r="R487" s="1">
        <v>8</v>
      </c>
      <c r="S487" s="1">
        <v>0</v>
      </c>
      <c r="T487" s="1">
        <v>0</v>
      </c>
      <c r="U487" s="1">
        <v>1</v>
      </c>
      <c r="V487" s="1">
        <v>0</v>
      </c>
      <c r="W487" s="1">
        <v>0</v>
      </c>
      <c r="X487" s="1">
        <v>0</v>
      </c>
      <c r="Y487" s="1">
        <v>0</v>
      </c>
      <c r="Z487" s="1">
        <v>45</v>
      </c>
      <c r="AA487" s="1" t="str" cm="1">
        <f t="array" ref="AA487">_xlfn.IFS(AND(Z487&lt;36, Z487&gt;23), "24-35", AND(Z487&lt;51, Z487&gt;35),"36-50", AND(Z487&lt;66, Z487&gt;50), "51-66", Z487&gt;65, "66+", TRUE, "?")</f>
        <v>36-50</v>
      </c>
      <c r="AB487" s="1">
        <v>2758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1</v>
      </c>
      <c r="AI487" s="1">
        <v>0</v>
      </c>
      <c r="AJ487" s="1">
        <v>0</v>
      </c>
      <c r="AK487" s="1">
        <v>0</v>
      </c>
      <c r="AL487" s="1">
        <v>934</v>
      </c>
      <c r="AM487" s="2">
        <v>42091</v>
      </c>
      <c r="AN487" t="str">
        <f t="shared" si="15"/>
        <v>46772,991,0.0211878901907124,0,1,88,350,104,189,197,151,57,6,11,8,5,8,0,0,1,0,0,0,0,45,36-50,2758,0,0,0,1,0,1,0,0,0,934,42091</v>
      </c>
    </row>
    <row r="488" spans="1:40" ht="13" hidden="1" x14ac:dyDescent="0.15">
      <c r="A488">
        <v>1137</v>
      </c>
      <c r="B488" s="1">
        <v>77044</v>
      </c>
      <c r="C488" s="1">
        <v>989</v>
      </c>
      <c r="D488" s="4">
        <f t="shared" si="14"/>
        <v>1.2836820518145475E-2</v>
      </c>
      <c r="E488" s="1">
        <v>0</v>
      </c>
      <c r="F488" s="1">
        <v>1</v>
      </c>
      <c r="G488" s="1">
        <v>12</v>
      </c>
      <c r="H488" s="1">
        <v>625</v>
      </c>
      <c r="I488" s="1">
        <v>38</v>
      </c>
      <c r="J488" s="1">
        <v>242</v>
      </c>
      <c r="K488" s="1">
        <v>50</v>
      </c>
      <c r="L488" s="1">
        <v>34</v>
      </c>
      <c r="M488" s="1">
        <v>76</v>
      </c>
      <c r="N488" s="1">
        <v>2</v>
      </c>
      <c r="O488" s="1">
        <v>7</v>
      </c>
      <c r="P488" s="1">
        <v>11</v>
      </c>
      <c r="Q488" s="1">
        <v>11</v>
      </c>
      <c r="R488" s="1">
        <v>4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1">
        <v>48</v>
      </c>
      <c r="AA488" s="1" t="str" cm="1">
        <f t="array" ref="AA488">_xlfn.IFS(AND(Z488&lt;36, Z488&gt;23), "24-35", AND(Z488&lt;51, Z488&gt;35),"36-50", AND(Z488&lt;66, Z488&gt;50), "51-66", Z488&gt;65, "66+", TRUE, "?")</f>
        <v>36-50</v>
      </c>
      <c r="AB488" s="1">
        <v>2404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  <c r="AJ488" s="1">
        <v>0</v>
      </c>
      <c r="AK488" s="1">
        <v>0</v>
      </c>
      <c r="AL488" s="1">
        <v>913</v>
      </c>
      <c r="AM488" s="2">
        <v>42445</v>
      </c>
      <c r="AN488" t="str">
        <f t="shared" si="15"/>
        <v>77044,989,0.0128368205181455,0,1,12,625,38,242,50,34,76,2,7,11,11,4,0,0,1,0,0,0,0,48,36-50,2404,0,0,0,1,0,0,1,0,0,913,42445</v>
      </c>
    </row>
    <row r="489" spans="1:40" ht="13" hidden="1" x14ac:dyDescent="0.15">
      <c r="A489">
        <v>404</v>
      </c>
      <c r="B489" s="1">
        <v>67309</v>
      </c>
      <c r="C489" s="1">
        <v>987</v>
      </c>
      <c r="D489" s="4">
        <f t="shared" si="14"/>
        <v>1.4663715104963676E-2</v>
      </c>
      <c r="E489" s="1">
        <v>1</v>
      </c>
      <c r="F489" s="1">
        <v>1</v>
      </c>
      <c r="G489" s="1">
        <v>76</v>
      </c>
      <c r="H489" s="1">
        <v>515</v>
      </c>
      <c r="I489" s="1">
        <v>47</v>
      </c>
      <c r="J489" s="1">
        <v>181</v>
      </c>
      <c r="K489" s="1">
        <v>149</v>
      </c>
      <c r="L489" s="1">
        <v>95</v>
      </c>
      <c r="M489" s="1">
        <v>95</v>
      </c>
      <c r="N489" s="1">
        <v>15</v>
      </c>
      <c r="O489" s="1">
        <v>9</v>
      </c>
      <c r="P489" s="1">
        <v>6</v>
      </c>
      <c r="Q489" s="1">
        <v>9</v>
      </c>
      <c r="R489" s="1">
        <v>7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53</v>
      </c>
      <c r="AA489" s="1" t="str" cm="1">
        <f t="array" ref="AA489">_xlfn.IFS(AND(Z489&lt;36, Z489&gt;23), "24-35", AND(Z489&lt;51, Z489&gt;35),"36-50", AND(Z489&lt;66, Z489&gt;50), "51-66", Z489&gt;65, "66+", TRUE, "?")</f>
        <v>51-66</v>
      </c>
      <c r="AB489" s="1">
        <v>2681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1</v>
      </c>
      <c r="AI489" s="1">
        <v>0</v>
      </c>
      <c r="AJ489" s="1">
        <v>0</v>
      </c>
      <c r="AK489" s="1">
        <v>0</v>
      </c>
      <c r="AL489" s="1">
        <v>892</v>
      </c>
      <c r="AM489" s="2">
        <v>42168</v>
      </c>
      <c r="AN489" t="str">
        <f t="shared" si="15"/>
        <v>67309,987,0.0146637151049637,1,1,76,515,47,181,149,95,95,15,9,6,9,7,0,0,0,0,0,0,0,53,51-66,2681,0,0,0,1,0,1,0,0,0,892,42168</v>
      </c>
    </row>
    <row r="490" spans="1:40" ht="13" hidden="1" x14ac:dyDescent="0.15">
      <c r="A490">
        <v>1238</v>
      </c>
      <c r="B490" s="1">
        <v>77382</v>
      </c>
      <c r="C490" s="1">
        <v>987</v>
      </c>
      <c r="D490" s="4">
        <f t="shared" si="14"/>
        <v>1.2754904241296425E-2</v>
      </c>
      <c r="E490" s="1">
        <v>0</v>
      </c>
      <c r="F490" s="1">
        <v>1</v>
      </c>
      <c r="G490" s="1">
        <v>36</v>
      </c>
      <c r="H490" s="1">
        <v>491</v>
      </c>
      <c r="I490" s="1">
        <v>48</v>
      </c>
      <c r="J490" s="1">
        <v>231</v>
      </c>
      <c r="K490" s="1">
        <v>112</v>
      </c>
      <c r="L490" s="1">
        <v>105</v>
      </c>
      <c r="M490" s="1">
        <v>134</v>
      </c>
      <c r="N490" s="1">
        <v>2</v>
      </c>
      <c r="O490" s="1">
        <v>5</v>
      </c>
      <c r="P490" s="1">
        <v>7</v>
      </c>
      <c r="Q490" s="1">
        <v>12</v>
      </c>
      <c r="R490" s="1">
        <v>1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0</v>
      </c>
      <c r="Y490" s="1">
        <v>0</v>
      </c>
      <c r="Z490" s="1">
        <v>52</v>
      </c>
      <c r="AA490" s="1" t="str" cm="1">
        <f t="array" ref="AA490">_xlfn.IFS(AND(Z490&lt;36, Z490&gt;23), "24-35", AND(Z490&lt;51, Z490&gt;35),"36-50", AND(Z490&lt;66, Z490&gt;50), "51-66", Z490&gt;65, "66+", TRUE, "?")</f>
        <v>51-66</v>
      </c>
      <c r="AB490" s="1">
        <v>2332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1</v>
      </c>
      <c r="AJ490" s="1">
        <v>0</v>
      </c>
      <c r="AK490" s="1">
        <v>0</v>
      </c>
      <c r="AL490" s="1">
        <v>853</v>
      </c>
      <c r="AM490" s="2">
        <v>42517</v>
      </c>
      <c r="AN490" t="str">
        <f t="shared" si="15"/>
        <v>77382,987,0.0127549042412964,0,1,36,491,48,231,112,105,134,2,5,7,12,1,0,0,0,0,1,0,0,52,51-66,2332,0,0,0,1,0,0,1,0,0,853,42517</v>
      </c>
    </row>
    <row r="491" spans="1:40" ht="13" hidden="1" x14ac:dyDescent="0.15">
      <c r="A491">
        <v>1673</v>
      </c>
      <c r="B491" s="1">
        <v>80336</v>
      </c>
      <c r="C491" s="1">
        <v>986</v>
      </c>
      <c r="D491" s="4">
        <f t="shared" si="14"/>
        <v>1.2273451503684526E-2</v>
      </c>
      <c r="E491" s="1">
        <v>0</v>
      </c>
      <c r="F491" s="1">
        <v>0</v>
      </c>
      <c r="G491" s="1">
        <v>12</v>
      </c>
      <c r="H491" s="1">
        <v>209</v>
      </c>
      <c r="I491" s="1">
        <v>19</v>
      </c>
      <c r="J491" s="1">
        <v>456</v>
      </c>
      <c r="K491" s="1">
        <v>160</v>
      </c>
      <c r="L491" s="1">
        <v>142</v>
      </c>
      <c r="M491" s="1">
        <v>66</v>
      </c>
      <c r="N491" s="1">
        <v>1</v>
      </c>
      <c r="O491" s="1">
        <v>2</v>
      </c>
      <c r="P491" s="1">
        <v>9</v>
      </c>
      <c r="Q491" s="1">
        <v>13</v>
      </c>
      <c r="R491" s="1">
        <v>1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50</v>
      </c>
      <c r="AA491" s="1" t="str" cm="1">
        <f t="array" ref="AA491">_xlfn.IFS(AND(Z491&lt;36, Z491&gt;23), "24-35", AND(Z491&lt;51, Z491&gt;35),"36-50", AND(Z491&lt;66, Z491&gt;50), "51-66", Z491&gt;65, "66+", TRUE, "?")</f>
        <v>36-50</v>
      </c>
      <c r="AB491" s="1">
        <v>2452</v>
      </c>
      <c r="AC491" s="1">
        <v>0</v>
      </c>
      <c r="AD491" s="1">
        <v>1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1</v>
      </c>
      <c r="AL491" s="1">
        <v>920</v>
      </c>
      <c r="AM491" s="2">
        <v>42397</v>
      </c>
      <c r="AN491" t="str">
        <f t="shared" si="15"/>
        <v>80336,986,0.0122734515036845,0,0,12,209,19,456,160,142,66,1,2,9,13,1,0,0,0,0,0,0,0,50,36-50,2452,0,1,0,0,0,0,0,0,1,920,42397</v>
      </c>
    </row>
    <row r="492" spans="1:40" ht="13" hidden="1" x14ac:dyDescent="0.15">
      <c r="A492">
        <v>1197</v>
      </c>
      <c r="B492" s="1">
        <v>71847</v>
      </c>
      <c r="C492" s="1">
        <v>982</v>
      </c>
      <c r="D492" s="4">
        <f t="shared" si="14"/>
        <v>1.3667933247038846E-2</v>
      </c>
      <c r="E492" s="1">
        <v>0</v>
      </c>
      <c r="F492" s="1">
        <v>0</v>
      </c>
      <c r="G492" s="1">
        <v>95</v>
      </c>
      <c r="H492" s="1">
        <v>737</v>
      </c>
      <c r="I492" s="1">
        <v>21</v>
      </c>
      <c r="J492" s="1">
        <v>106</v>
      </c>
      <c r="K492" s="1">
        <v>55</v>
      </c>
      <c r="L492" s="1">
        <v>63</v>
      </c>
      <c r="M492" s="1">
        <v>210</v>
      </c>
      <c r="N492" s="1">
        <v>0</v>
      </c>
      <c r="O492" s="1">
        <v>6</v>
      </c>
      <c r="P492" s="1">
        <v>7</v>
      </c>
      <c r="Q492" s="1">
        <v>9</v>
      </c>
      <c r="R492" s="1">
        <v>3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42</v>
      </c>
      <c r="AA492" s="1" t="str" cm="1">
        <f t="array" ref="AA492">_xlfn.IFS(AND(Z492&lt;36, Z492&gt;23), "24-35", AND(Z492&lt;51, Z492&gt;35),"36-50", AND(Z492&lt;66, Z492&gt;50), "51-66", Z492&gt;65, "66+", TRUE, "?")</f>
        <v>36-50</v>
      </c>
      <c r="AB492" s="1">
        <v>2805</v>
      </c>
      <c r="AC492" s="1">
        <v>1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>
        <v>0</v>
      </c>
      <c r="AL492" s="1">
        <v>772</v>
      </c>
      <c r="AM492" s="2">
        <v>42044</v>
      </c>
      <c r="AN492" t="str">
        <f t="shared" si="15"/>
        <v>71847,982,0.0136679332470388,0,0,95,737,21,106,55,63,210,0,6,7,9,3,1,0,0,0,0,0,0,42,36-50,2805,1,0,0,0,0,0,1,0,0,772,42044</v>
      </c>
    </row>
    <row r="493" spans="1:40" ht="13" hidden="1" x14ac:dyDescent="0.15">
      <c r="A493">
        <v>1714</v>
      </c>
      <c r="B493" s="1">
        <v>69702</v>
      </c>
      <c r="C493" s="1">
        <v>982</v>
      </c>
      <c r="D493" s="4">
        <f t="shared" si="14"/>
        <v>1.4088548391724772E-2</v>
      </c>
      <c r="E493" s="1">
        <v>0</v>
      </c>
      <c r="F493" s="1">
        <v>1</v>
      </c>
      <c r="G493" s="1">
        <v>8</v>
      </c>
      <c r="H493" s="1">
        <v>664</v>
      </c>
      <c r="I493" s="1">
        <v>9</v>
      </c>
      <c r="J493" s="1">
        <v>240</v>
      </c>
      <c r="K493" s="1">
        <v>50</v>
      </c>
      <c r="L493" s="1">
        <v>19</v>
      </c>
      <c r="M493" s="1">
        <v>57</v>
      </c>
      <c r="N493" s="1">
        <v>2</v>
      </c>
      <c r="O493" s="1">
        <v>7</v>
      </c>
      <c r="P493" s="1">
        <v>7</v>
      </c>
      <c r="Q493" s="1">
        <v>10</v>
      </c>
      <c r="R493" s="1">
        <v>4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69</v>
      </c>
      <c r="AA493" s="1" t="str" cm="1">
        <f t="array" ref="AA493">_xlfn.IFS(AND(Z493&lt;36, Z493&gt;23), "24-35", AND(Z493&lt;51, Z493&gt;35),"36-50", AND(Z493&lt;66, Z493&gt;50), "51-66", Z493&gt;65, "66+", TRUE, "?")</f>
        <v>66+</v>
      </c>
      <c r="AB493" s="1">
        <v>2654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0</v>
      </c>
      <c r="AJ493" s="1">
        <v>0</v>
      </c>
      <c r="AK493" s="1">
        <v>1</v>
      </c>
      <c r="AL493" s="1">
        <v>925</v>
      </c>
      <c r="AM493" s="2">
        <v>42195</v>
      </c>
      <c r="AN493" t="str">
        <f t="shared" si="15"/>
        <v>69702,982,0.0140885483917248,0,1,8,664,9,240,50,19,57,2,7,7,10,4,0,0,0,0,0,0,0,69,66+,2654,0,0,0,1,0,0,0,0,1,925,42195</v>
      </c>
    </row>
    <row r="494" spans="1:40" ht="13" hidden="1" x14ac:dyDescent="0.15">
      <c r="A494">
        <v>645</v>
      </c>
      <c r="B494" s="1">
        <v>69476</v>
      </c>
      <c r="C494" s="1">
        <v>977</v>
      </c>
      <c r="D494" s="4">
        <f t="shared" si="14"/>
        <v>1.4062410040877426E-2</v>
      </c>
      <c r="E494" s="1">
        <v>0</v>
      </c>
      <c r="F494" s="1">
        <v>0</v>
      </c>
      <c r="G494" s="1">
        <v>3</v>
      </c>
      <c r="H494" s="1">
        <v>260</v>
      </c>
      <c r="I494" s="1">
        <v>86</v>
      </c>
      <c r="J494" s="1">
        <v>559</v>
      </c>
      <c r="K494" s="1">
        <v>63</v>
      </c>
      <c r="L494" s="1">
        <v>9</v>
      </c>
      <c r="M494" s="1">
        <v>67</v>
      </c>
      <c r="N494" s="1">
        <v>1</v>
      </c>
      <c r="O494" s="1">
        <v>4</v>
      </c>
      <c r="P494" s="1">
        <v>6</v>
      </c>
      <c r="Q494" s="1">
        <v>4</v>
      </c>
      <c r="R494" s="1">
        <v>2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51</v>
      </c>
      <c r="AA494" s="1" t="str" cm="1">
        <f t="array" ref="AA494">_xlfn.IFS(AND(Z494&lt;36, Z494&gt;23), "24-35", AND(Z494&lt;51, Z494&gt;35),"36-50", AND(Z494&lt;66, Z494&gt;50), "51-66", Z494&gt;65, "66+", TRUE, "?")</f>
        <v>51-66</v>
      </c>
      <c r="AB494" s="1">
        <v>2431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0</v>
      </c>
      <c r="AJ494" s="1">
        <v>0</v>
      </c>
      <c r="AK494" s="1">
        <v>1</v>
      </c>
      <c r="AL494" s="1">
        <v>910</v>
      </c>
      <c r="AM494" s="2">
        <v>42418</v>
      </c>
      <c r="AN494" t="str">
        <f t="shared" si="15"/>
        <v>69476,977,0.0140624100408774,0,0,3,260,86,559,63,9,67,1,4,6,4,2,0,0,0,0,0,0,0,51,51-66,2431,0,0,0,1,0,0,0,0,1,910,42418</v>
      </c>
    </row>
    <row r="495" spans="1:40" ht="13" hidden="1" x14ac:dyDescent="0.15">
      <c r="A495">
        <v>468</v>
      </c>
      <c r="B495" s="1">
        <v>67911</v>
      </c>
      <c r="C495" s="1">
        <v>976</v>
      </c>
      <c r="D495" s="4">
        <f t="shared" si="14"/>
        <v>1.437175126268204E-2</v>
      </c>
      <c r="E495" s="1">
        <v>0</v>
      </c>
      <c r="F495" s="1">
        <v>1</v>
      </c>
      <c r="G495" s="1">
        <v>63</v>
      </c>
      <c r="H495" s="1">
        <v>529</v>
      </c>
      <c r="I495" s="1">
        <v>0</v>
      </c>
      <c r="J495" s="1">
        <v>356</v>
      </c>
      <c r="K495" s="1">
        <v>63</v>
      </c>
      <c r="L495" s="1">
        <v>28</v>
      </c>
      <c r="M495" s="1">
        <v>0</v>
      </c>
      <c r="N495" s="1">
        <v>3</v>
      </c>
      <c r="O495" s="1">
        <v>6</v>
      </c>
      <c r="P495" s="1">
        <v>7</v>
      </c>
      <c r="Q495" s="1">
        <v>11</v>
      </c>
      <c r="R495" s="1">
        <v>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71</v>
      </c>
      <c r="AA495" s="1" t="str" cm="1">
        <f t="array" ref="AA495">_xlfn.IFS(AND(Z495&lt;36, Z495&gt;23), "24-35", AND(Z495&lt;51, Z495&gt;35),"36-50", AND(Z495&lt;66, Z495&gt;50), "51-66", Z495&gt;65, "66+", TRUE, "?")</f>
        <v>66+</v>
      </c>
      <c r="AB495" s="1">
        <v>2197</v>
      </c>
      <c r="AC495" s="1">
        <v>0</v>
      </c>
      <c r="AD495" s="1">
        <v>0</v>
      </c>
      <c r="AE495" s="1">
        <v>0</v>
      </c>
      <c r="AF495" s="1">
        <v>1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976</v>
      </c>
      <c r="AM495" s="2">
        <v>42652</v>
      </c>
      <c r="AN495" t="str">
        <f t="shared" si="15"/>
        <v>67911,976,0.014371751262682,0,1,63,529,0,356,63,28,0,3,6,7,11,3,0,0,0,0,0,0,0,71,66+,2197,0,0,0,1,0,0,0,0,1,976,42652</v>
      </c>
    </row>
    <row r="496" spans="1:40" ht="13" hidden="1" x14ac:dyDescent="0.15">
      <c r="A496">
        <v>883</v>
      </c>
      <c r="B496" s="1">
        <v>64831</v>
      </c>
      <c r="C496" s="1">
        <v>976</v>
      </c>
      <c r="D496" s="4">
        <f t="shared" si="14"/>
        <v>1.5054526383982971E-2</v>
      </c>
      <c r="E496" s="1">
        <v>1</v>
      </c>
      <c r="F496" s="1">
        <v>1</v>
      </c>
      <c r="G496" s="1">
        <v>51</v>
      </c>
      <c r="H496" s="1">
        <v>480</v>
      </c>
      <c r="I496" s="1">
        <v>86</v>
      </c>
      <c r="J496" s="1">
        <v>249</v>
      </c>
      <c r="K496" s="1">
        <v>75</v>
      </c>
      <c r="L496" s="1">
        <v>86</v>
      </c>
      <c r="M496" s="1">
        <v>144</v>
      </c>
      <c r="N496" s="1">
        <v>8</v>
      </c>
      <c r="O496" s="1">
        <v>6</v>
      </c>
      <c r="P496" s="1">
        <v>3</v>
      </c>
      <c r="Q496" s="1">
        <v>5</v>
      </c>
      <c r="R496" s="1">
        <v>6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68</v>
      </c>
      <c r="AA496" s="1" t="str" cm="1">
        <f t="array" ref="AA496">_xlfn.IFS(AND(Z496&lt;36, Z496&gt;23), "24-35", AND(Z496&lt;51, Z496&gt;35),"36-50", AND(Z496&lt;66, Z496&gt;50), "51-66", Z496&gt;65, "66+", TRUE, "?")</f>
        <v>66+</v>
      </c>
      <c r="AB496" s="1">
        <v>2543</v>
      </c>
      <c r="AC496" s="1">
        <v>0</v>
      </c>
      <c r="AD496" s="1">
        <v>0</v>
      </c>
      <c r="AE496" s="1">
        <v>1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v>0</v>
      </c>
      <c r="AL496" s="1">
        <v>832</v>
      </c>
      <c r="AM496" s="2">
        <v>42306</v>
      </c>
      <c r="AN496" t="str">
        <f t="shared" si="15"/>
        <v>64831,976,0.015054526383983,1,1,51,480,86,249,75,86,144,8,6,3,5,6,0,0,0,0,0,0,0,68,66+,2543,0,0,1,0,0,1,0,0,0,832,42306</v>
      </c>
    </row>
    <row r="497" spans="1:40" ht="13" hidden="1" x14ac:dyDescent="0.15">
      <c r="A497">
        <v>861</v>
      </c>
      <c r="B497" s="1">
        <v>73113</v>
      </c>
      <c r="C497" s="1">
        <v>973</v>
      </c>
      <c r="D497" s="4">
        <f t="shared" si="14"/>
        <v>1.3308166810279978E-2</v>
      </c>
      <c r="E497" s="1">
        <v>0</v>
      </c>
      <c r="F497" s="1">
        <v>0</v>
      </c>
      <c r="G497" s="1">
        <v>86</v>
      </c>
      <c r="H497" s="1">
        <v>741</v>
      </c>
      <c r="I497" s="1">
        <v>19</v>
      </c>
      <c r="J497" s="1">
        <v>154</v>
      </c>
      <c r="K497" s="1">
        <v>50</v>
      </c>
      <c r="L497" s="1">
        <v>9</v>
      </c>
      <c r="M497" s="1">
        <v>28</v>
      </c>
      <c r="N497" s="1">
        <v>1</v>
      </c>
      <c r="O497" s="1">
        <v>3</v>
      </c>
      <c r="P497" s="1">
        <v>4</v>
      </c>
      <c r="Q497" s="1">
        <v>7</v>
      </c>
      <c r="R497" s="1">
        <v>2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60</v>
      </c>
      <c r="AA497" s="1" t="str" cm="1">
        <f t="array" ref="AA497">_xlfn.IFS(AND(Z497&lt;36, Z497&gt;23), "24-35", AND(Z497&lt;51, Z497&gt;35),"36-50", AND(Z497&lt;66, Z497&gt;50), "51-66", Z497&gt;65, "66+", TRUE, "?")</f>
        <v>51-66</v>
      </c>
      <c r="AB497" s="1">
        <v>2344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0</v>
      </c>
      <c r="AJ497" s="1">
        <v>1</v>
      </c>
      <c r="AK497" s="1">
        <v>0</v>
      </c>
      <c r="AL497" s="1">
        <v>945</v>
      </c>
      <c r="AM497" s="2">
        <v>42505</v>
      </c>
      <c r="AN497" t="str">
        <f t="shared" si="15"/>
        <v>73113,973,0.01330816681028,0,0,86,741,19,154,50,9,28,1,3,4,7,2,0,0,0,0,0,0,0,60,51-66,2344,0,0,0,1,0,0,0,1,0,945,42505</v>
      </c>
    </row>
    <row r="498" spans="1:40" ht="13" x14ac:dyDescent="0.15">
      <c r="A498">
        <v>1083</v>
      </c>
      <c r="B498" s="1">
        <v>84835</v>
      </c>
      <c r="C498" s="1">
        <v>972</v>
      </c>
      <c r="D498" s="4">
        <f t="shared" si="14"/>
        <v>1.1457535215418166E-2</v>
      </c>
      <c r="E498" s="1">
        <v>0</v>
      </c>
      <c r="F498" s="1">
        <v>0</v>
      </c>
      <c r="G498" s="1">
        <v>0</v>
      </c>
      <c r="H498" s="1">
        <v>189</v>
      </c>
      <c r="I498" s="1">
        <v>104</v>
      </c>
      <c r="J498" s="1">
        <v>379</v>
      </c>
      <c r="K498" s="1">
        <v>111</v>
      </c>
      <c r="L498" s="1">
        <v>189</v>
      </c>
      <c r="M498" s="1">
        <v>218</v>
      </c>
      <c r="N498" s="1">
        <v>1</v>
      </c>
      <c r="O498" s="1">
        <v>4</v>
      </c>
      <c r="P498" s="1">
        <v>4</v>
      </c>
      <c r="Q498" s="1">
        <v>6</v>
      </c>
      <c r="R498" s="1">
        <v>1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1</v>
      </c>
      <c r="Z498" s="1">
        <v>50</v>
      </c>
      <c r="AA498" s="1" t="str" cm="1">
        <f t="array" ref="AA498">_xlfn.IFS(AND(Z498&lt;36, Z498&gt;23), "24-35", AND(Z498&lt;51, Z498&gt;35),"36-50", AND(Z498&lt;66, Z498&gt;50), "51-66", Z498&gt;65, "66+", TRUE, "?")</f>
        <v>36-50</v>
      </c>
      <c r="AB498" s="1">
        <v>2172</v>
      </c>
      <c r="AC498" s="1">
        <v>1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s="1">
        <v>754</v>
      </c>
      <c r="AM498" s="2">
        <v>42677</v>
      </c>
      <c r="AN498" t="str">
        <f t="shared" si="15"/>
        <v>84835,972,0.0114575352154182,0,0,0,189,104,379,111,189,218,1,4,4,6,1,0,0,0,0,0,0,1,50,36-50,2172,1,0,0,0,0,0,1,0,0,754,42677</v>
      </c>
    </row>
    <row r="499" spans="1:40" ht="13" hidden="1" x14ac:dyDescent="0.15">
      <c r="A499">
        <v>222</v>
      </c>
      <c r="B499" s="1">
        <v>64961</v>
      </c>
      <c r="C499" s="1">
        <v>971</v>
      </c>
      <c r="D499" s="4">
        <f t="shared" si="14"/>
        <v>1.4947429996459415E-2</v>
      </c>
      <c r="E499" s="1">
        <v>0</v>
      </c>
      <c r="F499" s="1">
        <v>1</v>
      </c>
      <c r="G499" s="1">
        <v>97</v>
      </c>
      <c r="H499" s="1">
        <v>382</v>
      </c>
      <c r="I499" s="1">
        <v>114</v>
      </c>
      <c r="J499" s="1">
        <v>276</v>
      </c>
      <c r="K499" s="1">
        <v>75</v>
      </c>
      <c r="L499" s="1">
        <v>124</v>
      </c>
      <c r="M499" s="1">
        <v>38</v>
      </c>
      <c r="N499" s="1">
        <v>2</v>
      </c>
      <c r="O499" s="1">
        <v>6</v>
      </c>
      <c r="P499" s="1">
        <v>4</v>
      </c>
      <c r="Q499" s="1">
        <v>4</v>
      </c>
      <c r="R499" s="1">
        <v>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62</v>
      </c>
      <c r="AA499" s="1" t="str" cm="1">
        <f t="array" ref="AA499">_xlfn.IFS(AND(Z499&lt;36, Z499&gt;23), "24-35", AND(Z499&lt;51, Z499&gt;35),"36-50", AND(Z499&lt;66, Z499&gt;50), "51-66", Z499&gt;65, "66+", TRUE, "?")</f>
        <v>51-66</v>
      </c>
      <c r="AB499" s="1">
        <v>2712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933</v>
      </c>
      <c r="AM499" s="2">
        <v>42137</v>
      </c>
      <c r="AN499" t="str">
        <f t="shared" si="15"/>
        <v>64961,971,0.0149474299964594,0,1,97,382,114,276,75,124,38,2,6,4,4,3,0,0,0,0,0,0,0,62,51-66,2712,0,0,0,1,0,0,1,0,0,933,42137</v>
      </c>
    </row>
    <row r="500" spans="1:40" ht="13" x14ac:dyDescent="0.15">
      <c r="A500">
        <v>1086</v>
      </c>
      <c r="B500" s="1">
        <v>79244</v>
      </c>
      <c r="C500" s="1">
        <v>971</v>
      </c>
      <c r="D500" s="4">
        <f t="shared" si="14"/>
        <v>1.2253293624753924E-2</v>
      </c>
      <c r="E500" s="1">
        <v>0</v>
      </c>
      <c r="F500" s="1">
        <v>0</v>
      </c>
      <c r="G500" s="1">
        <v>58</v>
      </c>
      <c r="H500" s="1">
        <v>471</v>
      </c>
      <c r="I500" s="1">
        <v>102</v>
      </c>
      <c r="J500" s="1">
        <v>125</v>
      </c>
      <c r="K500" s="1">
        <v>212</v>
      </c>
      <c r="L500" s="1">
        <v>61</v>
      </c>
      <c r="M500" s="1">
        <v>245</v>
      </c>
      <c r="N500" s="1">
        <v>1</v>
      </c>
      <c r="O500" s="1">
        <v>4</v>
      </c>
      <c r="P500" s="1">
        <v>10</v>
      </c>
      <c r="Q500" s="1">
        <v>7</v>
      </c>
      <c r="R500" s="1">
        <v>1</v>
      </c>
      <c r="S500" s="1">
        <v>1</v>
      </c>
      <c r="T500" s="1">
        <v>0</v>
      </c>
      <c r="U500" s="1">
        <v>0</v>
      </c>
      <c r="V500" s="1">
        <v>0</v>
      </c>
      <c r="W500" s="1">
        <v>1</v>
      </c>
      <c r="X500" s="1">
        <v>0</v>
      </c>
      <c r="Y500" s="1">
        <v>1</v>
      </c>
      <c r="Z500" s="1">
        <v>27</v>
      </c>
      <c r="AA500" s="1" t="str" cm="1">
        <f t="array" ref="AA500">_xlfn.IFS(AND(Z500&lt;36, Z500&gt;23), "24-35", AND(Z500&lt;51, Z500&gt;35),"36-50", AND(Z500&lt;66, Z500&gt;50), "51-66", Z500&gt;65, "66+", TRUE, "?")</f>
        <v>24-35</v>
      </c>
      <c r="AB500" s="1">
        <v>2716</v>
      </c>
      <c r="AC500" s="1">
        <v>0</v>
      </c>
      <c r="AD500" s="1">
        <v>0</v>
      </c>
      <c r="AE500" s="1">
        <v>1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>
        <v>0</v>
      </c>
      <c r="AL500" s="1">
        <v>726</v>
      </c>
      <c r="AM500" s="2">
        <v>42133</v>
      </c>
      <c r="AN500" t="str">
        <f t="shared" si="15"/>
        <v>79244,971,0.0122532936247539,0,0,58,471,102,125,212,61,245,1,4,10,7,1,1,0,0,0,1,0,1,27,24-35,2716,0,0,1,0,0,0,1,0,0,726,42133</v>
      </c>
    </row>
    <row r="501" spans="1:40" ht="13" hidden="1" x14ac:dyDescent="0.15">
      <c r="A501">
        <v>655</v>
      </c>
      <c r="B501" s="1">
        <v>78468</v>
      </c>
      <c r="C501" s="1">
        <v>970</v>
      </c>
      <c r="D501" s="4">
        <f t="shared" si="14"/>
        <v>1.2361727073456695E-2</v>
      </c>
      <c r="E501" s="1">
        <v>0</v>
      </c>
      <c r="F501" s="1">
        <v>0</v>
      </c>
      <c r="G501" s="1">
        <v>29</v>
      </c>
      <c r="H501" s="1">
        <v>434</v>
      </c>
      <c r="I501" s="1">
        <v>22</v>
      </c>
      <c r="J501" s="1">
        <v>388</v>
      </c>
      <c r="K501" s="1">
        <v>104</v>
      </c>
      <c r="L501" s="1">
        <v>22</v>
      </c>
      <c r="M501" s="1">
        <v>34</v>
      </c>
      <c r="N501" s="1">
        <v>1</v>
      </c>
      <c r="O501" s="1">
        <v>10</v>
      </c>
      <c r="P501" s="1">
        <v>7</v>
      </c>
      <c r="Q501" s="1">
        <v>10</v>
      </c>
      <c r="R501" s="1">
        <v>4</v>
      </c>
      <c r="S501" s="1">
        <v>1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60</v>
      </c>
      <c r="AA501" s="1" t="str" cm="1">
        <f t="array" ref="AA501">_xlfn.IFS(AND(Z501&lt;36, Z501&gt;23), "24-35", AND(Z501&lt;51, Z501&gt;35),"36-50", AND(Z501&lt;66, Z501&gt;50), "51-66", Z501&gt;65, "66+", TRUE, "?")</f>
        <v>51-66</v>
      </c>
      <c r="AB501" s="1">
        <v>2240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936</v>
      </c>
      <c r="AM501" s="2">
        <v>42609</v>
      </c>
      <c r="AN501" t="str">
        <f t="shared" si="15"/>
        <v>78468,970,0.0123617270734567,0,0,29,434,22,388,104,22,34,1,10,7,10,4,1,0,0,0,0,0,0,60,51-66,2240,0,0,0,1,0,0,1,0,0,936,42609</v>
      </c>
    </row>
    <row r="502" spans="1:40" ht="13" hidden="1" x14ac:dyDescent="0.15">
      <c r="A502">
        <v>1074</v>
      </c>
      <c r="B502" s="1">
        <v>63285</v>
      </c>
      <c r="C502" s="1">
        <v>969</v>
      </c>
      <c r="D502" s="4">
        <f t="shared" si="14"/>
        <v>1.5311685233467646E-2</v>
      </c>
      <c r="E502" s="1">
        <v>0</v>
      </c>
      <c r="F502" s="1">
        <v>0</v>
      </c>
      <c r="G502" s="1">
        <v>84</v>
      </c>
      <c r="H502" s="1">
        <v>508</v>
      </c>
      <c r="I502" s="1">
        <v>124</v>
      </c>
      <c r="J502" s="1">
        <v>249</v>
      </c>
      <c r="K502" s="1">
        <v>50</v>
      </c>
      <c r="L502" s="1">
        <v>38</v>
      </c>
      <c r="M502" s="1">
        <v>134</v>
      </c>
      <c r="N502" s="1">
        <v>1</v>
      </c>
      <c r="O502" s="1">
        <v>6</v>
      </c>
      <c r="P502" s="1">
        <v>5</v>
      </c>
      <c r="Q502" s="1">
        <v>13</v>
      </c>
      <c r="R502" s="1">
        <v>3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75</v>
      </c>
      <c r="AA502" s="1" t="str" cm="1">
        <f t="array" ref="AA502">_xlfn.IFS(AND(Z502&lt;36, Z502&gt;23), "24-35", AND(Z502&lt;51, Z502&gt;35),"36-50", AND(Z502&lt;66, Z502&gt;50), "51-66", Z502&gt;65, "66+", TRUE, "?")</f>
        <v>66+</v>
      </c>
      <c r="AB502" s="1">
        <v>2395</v>
      </c>
      <c r="AC502" s="1">
        <v>0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  <c r="AI502" s="1">
        <v>1</v>
      </c>
      <c r="AJ502" s="1">
        <v>0</v>
      </c>
      <c r="AK502" s="1">
        <v>0</v>
      </c>
      <c r="AL502" s="1">
        <v>835</v>
      </c>
      <c r="AM502" s="2">
        <v>42454</v>
      </c>
      <c r="AN502" t="str">
        <f t="shared" si="15"/>
        <v>63285,969,0.0153116852334676,0,0,84,508,124,249,50,38,134,1,6,5,13,3,0,0,0,0,0,0,0,75,66+,2395,0,0,0,0,1,0,1,0,0,835,42454</v>
      </c>
    </row>
    <row r="503" spans="1:40" ht="13" x14ac:dyDescent="0.15">
      <c r="A503">
        <v>1110</v>
      </c>
      <c r="B503" s="1">
        <v>101970</v>
      </c>
      <c r="C503" s="1">
        <v>967</v>
      </c>
      <c r="D503" s="4">
        <f t="shared" si="14"/>
        <v>9.4831813278415215E-3</v>
      </c>
      <c r="E503" s="1">
        <v>0</v>
      </c>
      <c r="F503" s="1">
        <v>0</v>
      </c>
      <c r="G503" s="1">
        <v>69</v>
      </c>
      <c r="H503" s="1">
        <v>722</v>
      </c>
      <c r="I503" s="1">
        <v>27</v>
      </c>
      <c r="J503" s="1">
        <v>102</v>
      </c>
      <c r="K503" s="1">
        <v>44</v>
      </c>
      <c r="L503" s="1">
        <v>72</v>
      </c>
      <c r="M503" s="1">
        <v>168</v>
      </c>
      <c r="N503" s="1">
        <v>0</v>
      </c>
      <c r="O503" s="1">
        <v>6</v>
      </c>
      <c r="P503" s="1">
        <v>8</v>
      </c>
      <c r="Q503" s="1">
        <v>13</v>
      </c>
      <c r="R503" s="1">
        <v>2</v>
      </c>
      <c r="S503" s="1">
        <v>1</v>
      </c>
      <c r="T503" s="1">
        <v>0</v>
      </c>
      <c r="U503" s="1">
        <v>0</v>
      </c>
      <c r="V503" s="1">
        <v>1</v>
      </c>
      <c r="W503" s="1">
        <v>1</v>
      </c>
      <c r="X503" s="1">
        <v>0</v>
      </c>
      <c r="Y503" s="1">
        <v>1</v>
      </c>
      <c r="Z503" s="1">
        <v>37</v>
      </c>
      <c r="AA503" s="1" t="str" cm="1">
        <f t="array" ref="AA503">_xlfn.IFS(AND(Z503&lt;36, Z503&gt;23), "24-35", AND(Z503&lt;51, Z503&gt;35),"36-50", AND(Z503&lt;66, Z503&gt;50), "51-66", Z503&gt;65, "66+", TRUE, "?")</f>
        <v>36-50</v>
      </c>
      <c r="AB503" s="1">
        <v>2633</v>
      </c>
      <c r="AC503" s="1">
        <v>0</v>
      </c>
      <c r="AD503" s="1">
        <v>0</v>
      </c>
      <c r="AE503" s="1">
        <v>1</v>
      </c>
      <c r="AF503" s="1">
        <v>0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799</v>
      </c>
      <c r="AM503" s="2">
        <v>42216</v>
      </c>
      <c r="AN503" t="str">
        <f t="shared" si="15"/>
        <v>101970,967,0.00948318132784152,0,0,69,722,27,102,44,72,168,0,6,8,13,2,1,0,0,1,1,0,1,37,36-50,2633,0,0,1,0,0,0,1,0,0,799,42216</v>
      </c>
    </row>
    <row r="504" spans="1:40" ht="13" hidden="1" x14ac:dyDescent="0.15">
      <c r="A504">
        <v>903</v>
      </c>
      <c r="B504" s="1">
        <v>70647</v>
      </c>
      <c r="C504" s="1">
        <v>965</v>
      </c>
      <c r="D504" s="4">
        <f t="shared" si="14"/>
        <v>1.3659461831358728E-2</v>
      </c>
      <c r="E504" s="1">
        <v>0</v>
      </c>
      <c r="F504" s="1">
        <v>1</v>
      </c>
      <c r="G504" s="1">
        <v>65</v>
      </c>
      <c r="H504" s="1">
        <v>561</v>
      </c>
      <c r="I504" s="1">
        <v>85</v>
      </c>
      <c r="J504" s="1">
        <v>171</v>
      </c>
      <c r="K504" s="1">
        <v>25</v>
      </c>
      <c r="L504" s="1">
        <v>123</v>
      </c>
      <c r="M504" s="1">
        <v>114</v>
      </c>
      <c r="N504" s="1">
        <v>2</v>
      </c>
      <c r="O504" s="1">
        <v>4</v>
      </c>
      <c r="P504" s="1">
        <v>7</v>
      </c>
      <c r="Q504" s="1">
        <v>13</v>
      </c>
      <c r="R504" s="1">
        <v>2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53</v>
      </c>
      <c r="AA504" s="1" t="str" cm="1">
        <f t="array" ref="AA504">_xlfn.IFS(AND(Z504&lt;36, Z504&gt;23), "24-35", AND(Z504&lt;51, Z504&gt;35),"36-50", AND(Z504&lt;66, Z504&gt;50), "51-66", Z504&gt;65, "66+", TRUE, "?")</f>
        <v>51-66</v>
      </c>
      <c r="AB504" s="1">
        <v>2805</v>
      </c>
      <c r="AC504" s="1">
        <v>1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1</v>
      </c>
      <c r="AJ504" s="1">
        <v>0</v>
      </c>
      <c r="AK504" s="1">
        <v>0</v>
      </c>
      <c r="AL504" s="1">
        <v>851</v>
      </c>
      <c r="AM504" s="2">
        <v>42044</v>
      </c>
      <c r="AN504" t="str">
        <f t="shared" si="15"/>
        <v>70647,965,0.0136594618313587,0,1,65,561,85,171,25,123,114,2,4,7,13,2,0,0,0,0,0,0,0,53,51-66,2805,1,0,0,0,0,0,1,0,0,851,42044</v>
      </c>
    </row>
    <row r="505" spans="1:40" ht="13" hidden="1" x14ac:dyDescent="0.15">
      <c r="A505">
        <v>1967</v>
      </c>
      <c r="B505" s="1">
        <v>71965</v>
      </c>
      <c r="C505" s="1">
        <v>965</v>
      </c>
      <c r="D505" s="4">
        <f t="shared" si="14"/>
        <v>1.34092961856458E-2</v>
      </c>
      <c r="E505" s="1">
        <v>0</v>
      </c>
      <c r="F505" s="1">
        <v>1</v>
      </c>
      <c r="G505" s="1">
        <v>21</v>
      </c>
      <c r="H505" s="1">
        <v>572</v>
      </c>
      <c r="I505" s="1">
        <v>19</v>
      </c>
      <c r="J505" s="1">
        <v>286</v>
      </c>
      <c r="K505" s="1">
        <v>50</v>
      </c>
      <c r="L505" s="1">
        <v>38</v>
      </c>
      <c r="M505" s="1">
        <v>248</v>
      </c>
      <c r="N505" s="1">
        <v>3</v>
      </c>
      <c r="O505" s="1">
        <v>6</v>
      </c>
      <c r="P505" s="1">
        <v>3</v>
      </c>
      <c r="Q505" s="1">
        <v>5</v>
      </c>
      <c r="R505" s="1">
        <v>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69</v>
      </c>
      <c r="AA505" s="1" t="str" cm="1">
        <f t="array" ref="AA505">_xlfn.IFS(AND(Z505&lt;36, Z505&gt;23), "24-35", AND(Z505&lt;51, Z505&gt;35),"36-50", AND(Z505&lt;66, Z505&gt;50), "51-66", Z505&gt;65, "66+", TRUE, "?")</f>
        <v>66+</v>
      </c>
      <c r="AB505" s="1">
        <v>2494</v>
      </c>
      <c r="AC505" s="1">
        <v>0</v>
      </c>
      <c r="AD505" s="1">
        <v>1</v>
      </c>
      <c r="AE505" s="1">
        <v>0</v>
      </c>
      <c r="AF505" s="1">
        <v>0</v>
      </c>
      <c r="AG505" s="1">
        <v>0</v>
      </c>
      <c r="AH505" s="1">
        <v>0</v>
      </c>
      <c r="AI505" s="1">
        <v>1</v>
      </c>
      <c r="AJ505" s="1">
        <v>0</v>
      </c>
      <c r="AK505" s="1">
        <v>0</v>
      </c>
      <c r="AL505" s="1">
        <v>717</v>
      </c>
      <c r="AM505" s="2">
        <v>42355</v>
      </c>
      <c r="AN505" t="str">
        <f t="shared" si="15"/>
        <v>71965,965,0.0134092961856458,0,1,21,572,19,286,50,38,248,3,6,3,5,3,0,0,0,0,0,0,0,69,66+,2494,0,1,0,0,0,0,1,0,0,717,42355</v>
      </c>
    </row>
    <row r="506" spans="1:40" ht="13" hidden="1" x14ac:dyDescent="0.15">
      <c r="A506">
        <v>422</v>
      </c>
      <c r="B506" s="1">
        <v>56796</v>
      </c>
      <c r="C506" s="1">
        <v>964</v>
      </c>
      <c r="D506" s="4">
        <f t="shared" si="14"/>
        <v>1.6973026269455595E-2</v>
      </c>
      <c r="E506" s="1">
        <v>0</v>
      </c>
      <c r="F506" s="1">
        <v>1</v>
      </c>
      <c r="G506" s="1">
        <v>24</v>
      </c>
      <c r="H506" s="1">
        <v>656</v>
      </c>
      <c r="I506" s="1">
        <v>38</v>
      </c>
      <c r="J506" s="1">
        <v>161</v>
      </c>
      <c r="K506" s="1">
        <v>62</v>
      </c>
      <c r="L506" s="1">
        <v>47</v>
      </c>
      <c r="M506" s="1">
        <v>37</v>
      </c>
      <c r="N506" s="1">
        <v>3</v>
      </c>
      <c r="O506" s="1">
        <v>8</v>
      </c>
      <c r="P506" s="1">
        <v>9</v>
      </c>
      <c r="Q506" s="1">
        <v>7</v>
      </c>
      <c r="R506" s="1">
        <v>7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51</v>
      </c>
      <c r="AA506" s="1" t="str" cm="1">
        <f t="array" ref="AA506">_xlfn.IFS(AND(Z506&lt;36, Z506&gt;23), "24-35", AND(Z506&lt;51, Z506&gt;35),"36-50", AND(Z506&lt;66, Z506&gt;50), "51-66", Z506&gt;65, "66+", TRUE, "?")</f>
        <v>51-66</v>
      </c>
      <c r="AB506" s="1">
        <v>2657</v>
      </c>
      <c r="AC506" s="1">
        <v>0</v>
      </c>
      <c r="AD506" s="1">
        <v>1</v>
      </c>
      <c r="AE506" s="1">
        <v>0</v>
      </c>
      <c r="AF506" s="1">
        <v>0</v>
      </c>
      <c r="AG506" s="1">
        <v>0</v>
      </c>
      <c r="AH506" s="1">
        <v>0</v>
      </c>
      <c r="AI506" s="1">
        <v>1</v>
      </c>
      <c r="AJ506" s="1">
        <v>0</v>
      </c>
      <c r="AK506" s="1">
        <v>0</v>
      </c>
      <c r="AL506" s="1">
        <v>927</v>
      </c>
      <c r="AM506" s="2">
        <v>42192</v>
      </c>
      <c r="AN506" t="str">
        <f t="shared" si="15"/>
        <v>56796,964,0.0169730262694556,0,1,24,656,38,161,62,47,37,3,8,9,7,7,0,0,0,0,0,0,0,51,51-66,2657,0,1,0,0,0,0,1,0,0,927,42192</v>
      </c>
    </row>
    <row r="507" spans="1:40" ht="13" x14ac:dyDescent="0.15">
      <c r="A507">
        <v>1118</v>
      </c>
      <c r="B507" s="1">
        <v>102692</v>
      </c>
      <c r="C507" s="1">
        <v>964</v>
      </c>
      <c r="D507" s="4">
        <f t="shared" si="14"/>
        <v>9.3872940443267237E-3</v>
      </c>
      <c r="E507" s="1">
        <v>0</v>
      </c>
      <c r="F507" s="1">
        <v>0</v>
      </c>
      <c r="G507" s="1">
        <v>5</v>
      </c>
      <c r="H507" s="1">
        <v>168</v>
      </c>
      <c r="I507" s="1">
        <v>148</v>
      </c>
      <c r="J507" s="1">
        <v>444</v>
      </c>
      <c r="K507" s="1">
        <v>32</v>
      </c>
      <c r="L507" s="1">
        <v>172</v>
      </c>
      <c r="M507" s="1">
        <v>148</v>
      </c>
      <c r="N507" s="1">
        <v>1</v>
      </c>
      <c r="O507" s="1">
        <v>6</v>
      </c>
      <c r="P507" s="1">
        <v>9</v>
      </c>
      <c r="Q507" s="1">
        <v>13</v>
      </c>
      <c r="R507" s="1">
        <v>2</v>
      </c>
      <c r="S507" s="1">
        <v>1</v>
      </c>
      <c r="T507" s="1">
        <v>1</v>
      </c>
      <c r="U507" s="1">
        <v>0</v>
      </c>
      <c r="V507" s="1">
        <v>1</v>
      </c>
      <c r="W507" s="1">
        <v>1</v>
      </c>
      <c r="X507" s="1">
        <v>0</v>
      </c>
      <c r="Y507" s="1">
        <v>1</v>
      </c>
      <c r="Z507" s="1">
        <v>46</v>
      </c>
      <c r="AA507" s="1" t="str" cm="1">
        <f t="array" ref="AA507">_xlfn.IFS(AND(Z507&lt;36, Z507&gt;23), "24-35", AND(Z507&lt;51, Z507&gt;35),"36-50", AND(Z507&lt;66, Z507&gt;50), "51-66", Z507&gt;65, "66+", TRUE, "?")</f>
        <v>36-50</v>
      </c>
      <c r="AB507" s="1">
        <v>2609</v>
      </c>
      <c r="AC507" s="1">
        <v>1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1</v>
      </c>
      <c r="AJ507" s="1">
        <v>0</v>
      </c>
      <c r="AK507" s="1">
        <v>0</v>
      </c>
      <c r="AL507" s="1">
        <v>816</v>
      </c>
      <c r="AM507" s="2">
        <v>42240</v>
      </c>
      <c r="AN507" t="str">
        <f t="shared" si="15"/>
        <v>102692,964,0.00938729404432672,0,0,5,168,148,444,32,172,148,1,6,9,13,2,1,1,0,1,1,0,1,46,36-50,2609,1,0,0,0,0,0,1,0,0,816,42240</v>
      </c>
    </row>
    <row r="508" spans="1:40" ht="13" hidden="1" x14ac:dyDescent="0.15">
      <c r="A508">
        <v>425</v>
      </c>
      <c r="B508" s="1">
        <v>65991</v>
      </c>
      <c r="C508" s="1">
        <v>962</v>
      </c>
      <c r="D508" s="4">
        <f t="shared" si="14"/>
        <v>1.4577745450137141E-2</v>
      </c>
      <c r="E508" s="1">
        <v>0</v>
      </c>
      <c r="F508" s="1">
        <v>1</v>
      </c>
      <c r="G508" s="1">
        <v>21</v>
      </c>
      <c r="H508" s="1">
        <v>507</v>
      </c>
      <c r="I508" s="1">
        <v>19</v>
      </c>
      <c r="J508" s="1">
        <v>364</v>
      </c>
      <c r="K508" s="1">
        <v>25</v>
      </c>
      <c r="L508" s="1">
        <v>47</v>
      </c>
      <c r="M508" s="1">
        <v>9</v>
      </c>
      <c r="N508" s="1">
        <v>3</v>
      </c>
      <c r="O508" s="1">
        <v>9</v>
      </c>
      <c r="P508" s="1">
        <v>5</v>
      </c>
      <c r="Q508" s="1">
        <v>10</v>
      </c>
      <c r="R508" s="1">
        <v>7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44</v>
      </c>
      <c r="AA508" s="1" t="str" cm="1">
        <f t="array" ref="AA508">_xlfn.IFS(AND(Z508&lt;36, Z508&gt;23), "24-35", AND(Z508&lt;51, Z508&gt;35),"36-50", AND(Z508&lt;66, Z508&gt;50), "51-66", Z508&gt;65, "66+", TRUE, "?")</f>
        <v>36-50</v>
      </c>
      <c r="AB508" s="1">
        <v>2819</v>
      </c>
      <c r="AC508" s="1">
        <v>0</v>
      </c>
      <c r="AD508" s="1">
        <v>1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0</v>
      </c>
      <c r="AL508" s="1">
        <v>953</v>
      </c>
      <c r="AM508" s="2">
        <v>42030</v>
      </c>
      <c r="AN508" t="str">
        <f t="shared" si="15"/>
        <v>65991,962,0.0145777454501371,0,1,21,507,19,364,25,47,9,3,9,5,10,7,0,0,0,0,0,0,0,44,36-50,2819,0,1,0,0,0,0,1,0,0,953,42030</v>
      </c>
    </row>
    <row r="509" spans="1:40" ht="13" hidden="1" x14ac:dyDescent="0.15">
      <c r="A509">
        <v>1174</v>
      </c>
      <c r="B509" s="1">
        <v>67433</v>
      </c>
      <c r="C509" s="1">
        <v>962</v>
      </c>
      <c r="D509" s="4">
        <f t="shared" si="14"/>
        <v>1.426601218987736E-2</v>
      </c>
      <c r="E509" s="1">
        <v>0</v>
      </c>
      <c r="F509" s="1">
        <v>2</v>
      </c>
      <c r="G509" s="1">
        <v>51</v>
      </c>
      <c r="H509" s="1">
        <v>615</v>
      </c>
      <c r="I509" s="1">
        <v>28</v>
      </c>
      <c r="J509" s="1">
        <v>259</v>
      </c>
      <c r="K509" s="1">
        <v>12</v>
      </c>
      <c r="L509" s="1">
        <v>48</v>
      </c>
      <c r="M509" s="1">
        <v>30</v>
      </c>
      <c r="N509" s="1">
        <v>4</v>
      </c>
      <c r="O509" s="1">
        <v>6</v>
      </c>
      <c r="P509" s="1">
        <v>5</v>
      </c>
      <c r="Q509" s="1">
        <v>13</v>
      </c>
      <c r="R509" s="1">
        <v>4</v>
      </c>
      <c r="S509" s="1">
        <v>0</v>
      </c>
      <c r="T509" s="1">
        <v>0</v>
      </c>
      <c r="U509" s="1">
        <v>0</v>
      </c>
      <c r="V509" s="1">
        <v>1</v>
      </c>
      <c r="W509" s="1">
        <v>0</v>
      </c>
      <c r="X509" s="1">
        <v>0</v>
      </c>
      <c r="Y509" s="1">
        <v>0</v>
      </c>
      <c r="Z509" s="1">
        <v>68</v>
      </c>
      <c r="AA509" s="1" t="str" cm="1">
        <f t="array" ref="AA509">_xlfn.IFS(AND(Z509&lt;36, Z509&gt;23), "24-35", AND(Z509&lt;51, Z509&gt;35),"36-50", AND(Z509&lt;66, Z509&gt;50), "51-66", Z509&gt;65, "66+", TRUE, "?")</f>
        <v>66+</v>
      </c>
      <c r="AB509" s="1">
        <v>2507</v>
      </c>
      <c r="AC509" s="1">
        <v>0</v>
      </c>
      <c r="AD509" s="1">
        <v>1</v>
      </c>
      <c r="AE509" s="1">
        <v>0</v>
      </c>
      <c r="AF509" s="1">
        <v>0</v>
      </c>
      <c r="AG509" s="1">
        <v>0</v>
      </c>
      <c r="AH509" s="1">
        <v>0</v>
      </c>
      <c r="AI509" s="1">
        <v>1</v>
      </c>
      <c r="AJ509" s="1">
        <v>0</v>
      </c>
      <c r="AK509" s="1">
        <v>0</v>
      </c>
      <c r="AL509" s="1">
        <v>932</v>
      </c>
      <c r="AM509" s="2">
        <v>42342</v>
      </c>
      <c r="AN509" t="str">
        <f t="shared" si="15"/>
        <v>67433,962,0.0142660121898774,0,2,51,615,28,259,12,48,30,4,6,5,13,4,0,0,0,1,0,0,0,68,66+,2507,0,1,0,0,0,0,1,0,0,932,42342</v>
      </c>
    </row>
    <row r="510" spans="1:40" ht="13" hidden="1" x14ac:dyDescent="0.15">
      <c r="A510">
        <v>1367</v>
      </c>
      <c r="B510" s="1">
        <v>65148</v>
      </c>
      <c r="C510" s="1">
        <v>962</v>
      </c>
      <c r="D510" s="4">
        <f t="shared" si="14"/>
        <v>1.4766378092957574E-2</v>
      </c>
      <c r="E510" s="1">
        <v>0</v>
      </c>
      <c r="F510" s="1">
        <v>1</v>
      </c>
      <c r="G510" s="1">
        <v>9</v>
      </c>
      <c r="H510" s="1">
        <v>460</v>
      </c>
      <c r="I510" s="1">
        <v>35</v>
      </c>
      <c r="J510" s="1">
        <v>422</v>
      </c>
      <c r="K510" s="1">
        <v>33</v>
      </c>
      <c r="L510" s="1">
        <v>12</v>
      </c>
      <c r="M510" s="1">
        <v>153</v>
      </c>
      <c r="N510" s="1">
        <v>2</v>
      </c>
      <c r="O510" s="1">
        <v>6</v>
      </c>
      <c r="P510" s="1">
        <v>6</v>
      </c>
      <c r="Q510" s="1">
        <v>7</v>
      </c>
      <c r="R510" s="1">
        <v>4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62</v>
      </c>
      <c r="AA510" s="1" t="str" cm="1">
        <f t="array" ref="AA510">_xlfn.IFS(AND(Z510&lt;36, Z510&gt;23), "24-35", AND(Z510&lt;51, Z510&gt;35),"36-50", AND(Z510&lt;66, Z510&gt;50), "51-66", Z510&gt;65, "66+", TRUE, "?")</f>
        <v>51-66</v>
      </c>
      <c r="AB510" s="1">
        <v>2749</v>
      </c>
      <c r="AC510" s="1">
        <v>0</v>
      </c>
      <c r="AD510" s="1">
        <v>1</v>
      </c>
      <c r="AE510" s="1">
        <v>0</v>
      </c>
      <c r="AF510" s="1">
        <v>0</v>
      </c>
      <c r="AG510" s="1">
        <v>0</v>
      </c>
      <c r="AH510" s="1">
        <v>0</v>
      </c>
      <c r="AI510" s="1">
        <v>1</v>
      </c>
      <c r="AJ510" s="1">
        <v>0</v>
      </c>
      <c r="AK510" s="1">
        <v>0</v>
      </c>
      <c r="AL510" s="1">
        <v>809</v>
      </c>
      <c r="AM510" s="2">
        <v>42100</v>
      </c>
      <c r="AN510" t="str">
        <f t="shared" si="15"/>
        <v>65148,962,0.0147663780929576,0,1,9,460,35,422,33,12,153,2,6,6,7,4,0,0,0,0,0,0,0,62,51-66,2749,0,1,0,0,0,0,1,0,0,809,42100</v>
      </c>
    </row>
    <row r="511" spans="1:40" ht="13" x14ac:dyDescent="0.15">
      <c r="A511">
        <v>1119</v>
      </c>
      <c r="B511" s="1">
        <v>81698</v>
      </c>
      <c r="C511" s="1">
        <v>961</v>
      </c>
      <c r="D511" s="4">
        <f t="shared" si="14"/>
        <v>1.1762833851501873E-2</v>
      </c>
      <c r="E511" s="1">
        <v>0</v>
      </c>
      <c r="F511" s="1">
        <v>0</v>
      </c>
      <c r="G511" s="1">
        <v>4</v>
      </c>
      <c r="H511" s="1">
        <v>179</v>
      </c>
      <c r="I511" s="1">
        <v>28</v>
      </c>
      <c r="J511" s="1">
        <v>520</v>
      </c>
      <c r="K511" s="1">
        <v>111</v>
      </c>
      <c r="L511" s="1">
        <v>123</v>
      </c>
      <c r="M511" s="1">
        <v>47</v>
      </c>
      <c r="N511" s="1">
        <v>1</v>
      </c>
      <c r="O511" s="1">
        <v>3</v>
      </c>
      <c r="P511" s="1">
        <v>8</v>
      </c>
      <c r="Q511" s="1">
        <v>13</v>
      </c>
      <c r="R511" s="1">
        <v>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  <c r="Z511" s="1">
        <v>71</v>
      </c>
      <c r="AA511" s="1" t="str" cm="1">
        <f t="array" ref="AA511">_xlfn.IFS(AND(Z511&lt;36, Z511&gt;23), "24-35", AND(Z511&lt;51, Z511&gt;35),"36-50", AND(Z511&lt;66, Z511&gt;50), "51-66", Z511&gt;65, "66+", TRUE, "?")</f>
        <v>66+</v>
      </c>
      <c r="AB511" s="1">
        <v>2394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914</v>
      </c>
      <c r="AM511" s="2">
        <v>42455</v>
      </c>
      <c r="AN511" t="str">
        <f t="shared" si="15"/>
        <v>81698,961,0.0117628338515019,0,0,4,179,28,520,111,123,47,1,3,8,13,1,0,0,0,0,0,0,1,71,66+,2394,0,1,0,0,0,0,0,1,0,914,42455</v>
      </c>
    </row>
    <row r="512" spans="1:40" ht="13" hidden="1" x14ac:dyDescent="0.15">
      <c r="A512">
        <v>1190</v>
      </c>
      <c r="B512" s="1">
        <v>55956</v>
      </c>
      <c r="C512" s="1">
        <v>961</v>
      </c>
      <c r="D512" s="4">
        <f t="shared" si="14"/>
        <v>1.7174208306526557E-2</v>
      </c>
      <c r="E512" s="1">
        <v>0</v>
      </c>
      <c r="F512" s="1">
        <v>0</v>
      </c>
      <c r="G512" s="1">
        <v>22</v>
      </c>
      <c r="H512" s="1">
        <v>760</v>
      </c>
      <c r="I512" s="1">
        <v>38</v>
      </c>
      <c r="J512" s="1">
        <v>104</v>
      </c>
      <c r="K512" s="1">
        <v>50</v>
      </c>
      <c r="L512" s="1">
        <v>9</v>
      </c>
      <c r="M512" s="1">
        <v>38</v>
      </c>
      <c r="N512" s="1">
        <v>2</v>
      </c>
      <c r="O512" s="1">
        <v>7</v>
      </c>
      <c r="P512" s="1">
        <v>3</v>
      </c>
      <c r="Q512" s="1">
        <v>4</v>
      </c>
      <c r="R512" s="1">
        <v>4</v>
      </c>
      <c r="S512" s="1">
        <v>0</v>
      </c>
      <c r="T512" s="1">
        <v>0</v>
      </c>
      <c r="U512" s="1">
        <v>0</v>
      </c>
      <c r="V512" s="1">
        <v>1</v>
      </c>
      <c r="W512" s="1">
        <v>0</v>
      </c>
      <c r="X512" s="1">
        <v>0</v>
      </c>
      <c r="Y512" s="1">
        <v>0</v>
      </c>
      <c r="Z512" s="1">
        <v>76</v>
      </c>
      <c r="AA512" s="1" t="str" cm="1">
        <f t="array" ref="AA512">_xlfn.IFS(AND(Z512&lt;36, Z512&gt;23), "24-35", AND(Z512&lt;51, Z512&gt;35),"36-50", AND(Z512&lt;66, Z512&gt;50), "51-66", Z512&gt;65, "66+", TRUE, "?")</f>
        <v>66+</v>
      </c>
      <c r="AB512" s="1">
        <v>2242</v>
      </c>
      <c r="AC512" s="1">
        <v>0</v>
      </c>
      <c r="AD512" s="1">
        <v>1</v>
      </c>
      <c r="AE512" s="1">
        <v>0</v>
      </c>
      <c r="AF512" s="1">
        <v>0</v>
      </c>
      <c r="AG512" s="1">
        <v>0</v>
      </c>
      <c r="AH512" s="1">
        <v>0</v>
      </c>
      <c r="AI512" s="1">
        <v>1</v>
      </c>
      <c r="AJ512" s="1">
        <v>0</v>
      </c>
      <c r="AK512" s="1">
        <v>0</v>
      </c>
      <c r="AL512" s="1">
        <v>923</v>
      </c>
      <c r="AM512" s="2">
        <v>42607</v>
      </c>
      <c r="AN512" t="str">
        <f t="shared" si="15"/>
        <v>55956,961,0.0171742083065266,0,0,22,760,38,104,50,9,38,2,7,3,4,4,0,0,0,1,0,0,0,76,66+,2242,0,1,0,0,0,0,1,0,0,923,42607</v>
      </c>
    </row>
    <row r="513" spans="1:40" ht="13" hidden="1" x14ac:dyDescent="0.15">
      <c r="A513">
        <v>1977</v>
      </c>
      <c r="B513" s="1">
        <v>67716</v>
      </c>
      <c r="C513" s="1">
        <v>960</v>
      </c>
      <c r="D513" s="4">
        <f t="shared" si="14"/>
        <v>1.417685628211944E-2</v>
      </c>
      <c r="E513" s="1">
        <v>0</v>
      </c>
      <c r="F513" s="1">
        <v>1</v>
      </c>
      <c r="G513" s="1">
        <v>8</v>
      </c>
      <c r="H513" s="1">
        <v>530</v>
      </c>
      <c r="I513" s="1">
        <v>142</v>
      </c>
      <c r="J513" s="1">
        <v>217</v>
      </c>
      <c r="K513" s="1">
        <v>62</v>
      </c>
      <c r="L513" s="1">
        <v>9</v>
      </c>
      <c r="M513" s="1">
        <v>56</v>
      </c>
      <c r="N513" s="1">
        <v>4</v>
      </c>
      <c r="O513" s="1">
        <v>7</v>
      </c>
      <c r="P513" s="1">
        <v>4</v>
      </c>
      <c r="Q513" s="1">
        <v>13</v>
      </c>
      <c r="R513" s="1">
        <v>5</v>
      </c>
      <c r="S513" s="1">
        <v>0</v>
      </c>
      <c r="T513" s="1">
        <v>0</v>
      </c>
      <c r="U513" s="1">
        <v>0</v>
      </c>
      <c r="V513" s="1">
        <v>1</v>
      </c>
      <c r="W513" s="1">
        <v>0</v>
      </c>
      <c r="X513" s="1">
        <v>0</v>
      </c>
      <c r="Y513" s="1">
        <v>0</v>
      </c>
      <c r="Z513" s="1">
        <v>60</v>
      </c>
      <c r="AA513" s="1" t="str" cm="1">
        <f t="array" ref="AA513">_xlfn.IFS(AND(Z513&lt;36, Z513&gt;23), "24-35", AND(Z513&lt;51, Z513&gt;35),"36-50", AND(Z513&lt;66, Z513&gt;50), "51-66", Z513&gt;65, "66+", TRUE, "?")</f>
        <v>51-66</v>
      </c>
      <c r="AB513" s="1">
        <v>2694</v>
      </c>
      <c r="AC513" s="1">
        <v>0</v>
      </c>
      <c r="AD513" s="1">
        <v>1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904</v>
      </c>
      <c r="AM513" s="2">
        <v>42155</v>
      </c>
      <c r="AN513" t="str">
        <f t="shared" si="15"/>
        <v>67716,960,0.0141768562821194,0,1,8,530,142,217,62,9,56,4,7,4,13,5,0,0,0,1,0,0,0,60,51-66,2694,0,1,0,0,0,0,1,0,0,904,42155</v>
      </c>
    </row>
    <row r="514" spans="1:40" ht="13" hidden="1" x14ac:dyDescent="0.15">
      <c r="A514">
        <v>1457</v>
      </c>
      <c r="B514" s="1">
        <v>82460</v>
      </c>
      <c r="C514" s="1">
        <v>959</v>
      </c>
      <c r="D514" s="4">
        <f t="shared" ref="D514:D577" si="16">C514/B514</f>
        <v>1.1629881154499151E-2</v>
      </c>
      <c r="E514" s="1">
        <v>0</v>
      </c>
      <c r="F514" s="1">
        <v>0</v>
      </c>
      <c r="G514" s="1">
        <v>78</v>
      </c>
      <c r="H514" s="1">
        <v>255</v>
      </c>
      <c r="I514" s="1">
        <v>47</v>
      </c>
      <c r="J514" s="1">
        <v>573</v>
      </c>
      <c r="K514" s="1">
        <v>52</v>
      </c>
      <c r="L514" s="1">
        <v>32</v>
      </c>
      <c r="M514" s="1">
        <v>15</v>
      </c>
      <c r="N514" s="1">
        <v>1</v>
      </c>
      <c r="O514" s="1">
        <v>5</v>
      </c>
      <c r="P514" s="1">
        <v>3</v>
      </c>
      <c r="Q514" s="1">
        <v>6</v>
      </c>
      <c r="R514" s="1">
        <v>1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70</v>
      </c>
      <c r="AA514" s="1" t="str" cm="1">
        <f t="array" ref="AA514">_xlfn.IFS(AND(Z514&lt;36, Z514&gt;23), "24-35", AND(Z514&lt;51, Z514&gt;35),"36-50", AND(Z514&lt;66, Z514&gt;50), "51-66", Z514&gt;65, "66+", TRUE, "?")</f>
        <v>66+</v>
      </c>
      <c r="AB514" s="1">
        <v>2368</v>
      </c>
      <c r="AC514" s="1">
        <v>1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1</v>
      </c>
      <c r="AJ514" s="1">
        <v>0</v>
      </c>
      <c r="AK514" s="1">
        <v>0</v>
      </c>
      <c r="AL514" s="1">
        <v>944</v>
      </c>
      <c r="AM514" s="2">
        <v>42481</v>
      </c>
      <c r="AN514" t="str">
        <f t="shared" ref="AN514:AN577" si="17">_xlfn.TEXTJOIN(",",TRUE,B514:AM514)</f>
        <v>82460,959,0.0116298811544992,0,0,78,255,47,573,52,32,15,1,5,3,6,1,0,0,0,0,0,0,0,70,66+,2368,1,0,0,0,0,0,1,0,0,944,42481</v>
      </c>
    </row>
    <row r="515" spans="1:40" ht="13" hidden="1" x14ac:dyDescent="0.15">
      <c r="A515">
        <v>818</v>
      </c>
      <c r="B515" s="1">
        <v>62450</v>
      </c>
      <c r="C515" s="1">
        <v>957</v>
      </c>
      <c r="D515" s="4">
        <f t="shared" si="16"/>
        <v>1.5324259407526021E-2</v>
      </c>
      <c r="E515" s="1">
        <v>0</v>
      </c>
      <c r="F515" s="1">
        <v>1</v>
      </c>
      <c r="G515" s="1">
        <v>61</v>
      </c>
      <c r="H515" s="1">
        <v>515</v>
      </c>
      <c r="I515" s="1">
        <v>47</v>
      </c>
      <c r="J515" s="1">
        <v>267</v>
      </c>
      <c r="K515" s="1">
        <v>62</v>
      </c>
      <c r="L515" s="1">
        <v>66</v>
      </c>
      <c r="M515" s="1">
        <v>38</v>
      </c>
      <c r="N515" s="1">
        <v>2</v>
      </c>
      <c r="O515" s="1">
        <v>5</v>
      </c>
      <c r="P515" s="1">
        <v>5</v>
      </c>
      <c r="Q515" s="1">
        <v>4</v>
      </c>
      <c r="R515" s="1">
        <v>3</v>
      </c>
      <c r="S515" s="1">
        <v>0</v>
      </c>
      <c r="T515" s="1">
        <v>0</v>
      </c>
      <c r="U515" s="1">
        <v>0</v>
      </c>
      <c r="V515" s="1">
        <v>1</v>
      </c>
      <c r="W515" s="1">
        <v>0</v>
      </c>
      <c r="X515" s="1">
        <v>0</v>
      </c>
      <c r="Y515" s="1">
        <v>0</v>
      </c>
      <c r="Z515" s="1">
        <v>61</v>
      </c>
      <c r="AA515" s="1" t="str" cm="1">
        <f t="array" ref="AA515">_xlfn.IFS(AND(Z515&lt;36, Z515&gt;23), "24-35", AND(Z515&lt;51, Z515&gt;35),"36-50", AND(Z515&lt;66, Z515&gt;50), "51-66", Z515&gt;65, "66+", TRUE, "?")</f>
        <v>51-66</v>
      </c>
      <c r="AB515" s="1">
        <v>2333</v>
      </c>
      <c r="AC515" s="1">
        <v>0</v>
      </c>
      <c r="AD515" s="1">
        <v>0</v>
      </c>
      <c r="AE515" s="1">
        <v>1</v>
      </c>
      <c r="AF515" s="1">
        <v>0</v>
      </c>
      <c r="AG515" s="1">
        <v>0</v>
      </c>
      <c r="AH515" s="1">
        <v>0</v>
      </c>
      <c r="AI515" s="1">
        <v>1</v>
      </c>
      <c r="AJ515" s="1">
        <v>0</v>
      </c>
      <c r="AK515" s="1">
        <v>0</v>
      </c>
      <c r="AL515" s="1">
        <v>919</v>
      </c>
      <c r="AM515" s="2">
        <v>42516</v>
      </c>
      <c r="AN515" t="str">
        <f t="shared" si="17"/>
        <v>62450,957,0.015324259407526,0,1,61,515,47,267,62,66,38,2,5,5,4,3,0,0,0,1,0,0,0,61,51-66,2333,0,0,1,0,0,0,1,0,0,919,42516</v>
      </c>
    </row>
    <row r="516" spans="1:40" ht="13" hidden="1" x14ac:dyDescent="0.15">
      <c r="A516">
        <v>1680</v>
      </c>
      <c r="B516" s="1">
        <v>68148</v>
      </c>
      <c r="C516" s="1">
        <v>957</v>
      </c>
      <c r="D516" s="4">
        <f t="shared" si="16"/>
        <v>1.4042965310794154E-2</v>
      </c>
      <c r="E516" s="1">
        <v>0</v>
      </c>
      <c r="F516" s="1">
        <v>0</v>
      </c>
      <c r="G516" s="1">
        <v>86</v>
      </c>
      <c r="H516" s="1">
        <v>389</v>
      </c>
      <c r="I516" s="1">
        <v>66</v>
      </c>
      <c r="J516" s="1">
        <v>408</v>
      </c>
      <c r="K516" s="1">
        <v>37</v>
      </c>
      <c r="L516" s="1">
        <v>57</v>
      </c>
      <c r="M516" s="1">
        <v>85</v>
      </c>
      <c r="N516" s="1">
        <v>1</v>
      </c>
      <c r="O516" s="1">
        <v>4</v>
      </c>
      <c r="P516" s="1">
        <v>4</v>
      </c>
      <c r="Q516" s="1">
        <v>6</v>
      </c>
      <c r="R516" s="1">
        <v>2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63</v>
      </c>
      <c r="AA516" s="1" t="str" cm="1">
        <f t="array" ref="AA516">_xlfn.IFS(AND(Z516&lt;36, Z516&gt;23), "24-35", AND(Z516&lt;51, Z516&gt;35),"36-50", AND(Z516&lt;66, Z516&gt;50), "51-66", Z516&gt;65, "66+", TRUE, "?")</f>
        <v>51-66</v>
      </c>
      <c r="AB516" s="1">
        <v>2461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872</v>
      </c>
      <c r="AM516" s="2">
        <v>42388</v>
      </c>
      <c r="AN516" t="str">
        <f t="shared" si="17"/>
        <v>68148,957,0.0140429653107942,0,0,86,389,66,408,37,57,85,1,4,4,6,2,0,0,0,0,0,0,0,63,51-66,2461,0,0,0,1,0,0,0,1,0,872,42388</v>
      </c>
    </row>
    <row r="517" spans="1:40" ht="13" hidden="1" x14ac:dyDescent="0.15">
      <c r="A517">
        <v>674</v>
      </c>
      <c r="B517" s="1">
        <v>74806</v>
      </c>
      <c r="C517" s="1">
        <v>956</v>
      </c>
      <c r="D517" s="4">
        <f t="shared" si="16"/>
        <v>1.2779723551586771E-2</v>
      </c>
      <c r="E517" s="1">
        <v>0</v>
      </c>
      <c r="F517" s="1">
        <v>1</v>
      </c>
      <c r="G517" s="1">
        <v>1</v>
      </c>
      <c r="H517" s="1">
        <v>670</v>
      </c>
      <c r="I517" s="1">
        <v>9</v>
      </c>
      <c r="J517" s="1">
        <v>249</v>
      </c>
      <c r="K517" s="1">
        <v>0</v>
      </c>
      <c r="L517" s="1">
        <v>28</v>
      </c>
      <c r="M517" s="1">
        <v>9</v>
      </c>
      <c r="N517" s="1">
        <v>2</v>
      </c>
      <c r="O517" s="1">
        <v>5</v>
      </c>
      <c r="P517" s="1">
        <v>4</v>
      </c>
      <c r="Q517" s="1">
        <v>5</v>
      </c>
      <c r="R517" s="1">
        <v>4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55</v>
      </c>
      <c r="AA517" s="1" t="str" cm="1">
        <f t="array" ref="AA517">_xlfn.IFS(AND(Z517&lt;36, Z517&gt;23), "24-35", AND(Z517&lt;51, Z517&gt;35),"36-50", AND(Z517&lt;66, Z517&gt;50), "51-66", Z517&gt;65, "66+", TRUE, "?")</f>
        <v>51-66</v>
      </c>
      <c r="AB517" s="1">
        <v>2716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1</v>
      </c>
      <c r="AK517" s="1">
        <v>0</v>
      </c>
      <c r="AL517" s="1">
        <v>947</v>
      </c>
      <c r="AM517" s="2">
        <v>42133</v>
      </c>
      <c r="AN517" t="str">
        <f t="shared" si="17"/>
        <v>74806,956,0.0127797235515868,0,1,1,670,9,249,0,28,9,2,5,4,5,4,0,0,0,0,0,0,0,55,51-66,2716,0,1,0,0,0,0,0,1,0,947,42133</v>
      </c>
    </row>
    <row r="518" spans="1:40" ht="13" hidden="1" x14ac:dyDescent="0.15">
      <c r="A518">
        <v>1794</v>
      </c>
      <c r="B518" s="1">
        <v>55686</v>
      </c>
      <c r="C518" s="1">
        <v>956</v>
      </c>
      <c r="D518" s="4">
        <f t="shared" si="16"/>
        <v>1.716769026326186E-2</v>
      </c>
      <c r="E518" s="1">
        <v>0</v>
      </c>
      <c r="F518" s="1">
        <v>1</v>
      </c>
      <c r="G518" s="1">
        <v>27</v>
      </c>
      <c r="H518" s="1">
        <v>673</v>
      </c>
      <c r="I518" s="1">
        <v>0</v>
      </c>
      <c r="J518" s="1">
        <v>199</v>
      </c>
      <c r="K518" s="1">
        <v>37</v>
      </c>
      <c r="L518" s="1">
        <v>47</v>
      </c>
      <c r="M518" s="1">
        <v>26</v>
      </c>
      <c r="N518" s="1">
        <v>2</v>
      </c>
      <c r="O518" s="1">
        <v>6</v>
      </c>
      <c r="P518" s="1">
        <v>3</v>
      </c>
      <c r="Q518" s="1">
        <v>5</v>
      </c>
      <c r="R518" s="1">
        <v>4</v>
      </c>
      <c r="S518" s="1">
        <v>0</v>
      </c>
      <c r="T518" s="1">
        <v>0</v>
      </c>
      <c r="U518" s="1">
        <v>1</v>
      </c>
      <c r="V518" s="1">
        <v>0</v>
      </c>
      <c r="W518" s="1">
        <v>0</v>
      </c>
      <c r="X518" s="1">
        <v>0</v>
      </c>
      <c r="Y518" s="1">
        <v>0</v>
      </c>
      <c r="Z518" s="1">
        <v>54</v>
      </c>
      <c r="AA518" s="1" t="str" cm="1">
        <f t="array" ref="AA518">_xlfn.IFS(AND(Z518&lt;36, Z518&gt;23), "24-35", AND(Z518&lt;51, Z518&gt;35),"36-50", AND(Z518&lt;66, Z518&gt;50), "51-66", Z518&gt;65, "66+", TRUE, "?")</f>
        <v>51-66</v>
      </c>
      <c r="AB518" s="1">
        <v>2659</v>
      </c>
      <c r="AC518" s="1">
        <v>1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1</v>
      </c>
      <c r="AJ518" s="1">
        <v>0</v>
      </c>
      <c r="AK518" s="1">
        <v>0</v>
      </c>
      <c r="AL518" s="1">
        <v>930</v>
      </c>
      <c r="AM518" s="2">
        <v>42190</v>
      </c>
      <c r="AN518" t="str">
        <f t="shared" si="17"/>
        <v>55686,956,0.0171676902632619,0,1,27,673,0,199,37,47,26,2,6,3,5,4,0,0,1,0,0,0,0,54,51-66,2659,1,0,0,0,0,0,1,0,0,930,42190</v>
      </c>
    </row>
    <row r="519" spans="1:40" ht="13" hidden="1" x14ac:dyDescent="0.15">
      <c r="A519">
        <v>1917</v>
      </c>
      <c r="B519" s="1">
        <v>66476</v>
      </c>
      <c r="C519" s="1">
        <v>956</v>
      </c>
      <c r="D519" s="4">
        <f t="shared" si="16"/>
        <v>1.4381130031891209E-2</v>
      </c>
      <c r="E519" s="1">
        <v>0</v>
      </c>
      <c r="F519" s="1">
        <v>1</v>
      </c>
      <c r="G519" s="1">
        <v>80</v>
      </c>
      <c r="H519" s="1">
        <v>742</v>
      </c>
      <c r="I519" s="1">
        <v>28</v>
      </c>
      <c r="J519" s="1">
        <v>152</v>
      </c>
      <c r="K519" s="1">
        <v>25</v>
      </c>
      <c r="L519" s="1">
        <v>9</v>
      </c>
      <c r="M519" s="1">
        <v>57</v>
      </c>
      <c r="N519" s="1">
        <v>2</v>
      </c>
      <c r="O519" s="1">
        <v>6</v>
      </c>
      <c r="P519" s="1">
        <v>8</v>
      </c>
      <c r="Q519" s="1">
        <v>10</v>
      </c>
      <c r="R519" s="1">
        <v>4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51</v>
      </c>
      <c r="AA519" s="1" t="str" cm="1">
        <f t="array" ref="AA519">_xlfn.IFS(AND(Z519&lt;36, Z519&gt;23), "24-35", AND(Z519&lt;51, Z519&gt;35),"36-50", AND(Z519&lt;66, Z519&gt;50), "51-66", Z519&gt;65, "66+", TRUE, "?")</f>
        <v>51-66</v>
      </c>
      <c r="AB519" s="1">
        <v>2366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0</v>
      </c>
      <c r="AJ519" s="1">
        <v>1</v>
      </c>
      <c r="AK519" s="1">
        <v>0</v>
      </c>
      <c r="AL519" s="1">
        <v>899</v>
      </c>
      <c r="AM519" s="2">
        <v>42483</v>
      </c>
      <c r="AN519" t="str">
        <f t="shared" si="17"/>
        <v>66476,956,0.0143811300318912,0,1,80,742,28,152,25,9,57,2,6,8,10,4,0,0,0,0,0,0,0,51,51-66,2366,0,0,0,1,0,0,0,1,0,899,42483</v>
      </c>
    </row>
    <row r="520" spans="1:40" ht="13" hidden="1" x14ac:dyDescent="0.15">
      <c r="A520">
        <v>997</v>
      </c>
      <c r="B520" s="1">
        <v>65196</v>
      </c>
      <c r="C520" s="1">
        <v>955</v>
      </c>
      <c r="D520" s="4">
        <f t="shared" si="16"/>
        <v>1.4648137922571938E-2</v>
      </c>
      <c r="E520" s="1">
        <v>0</v>
      </c>
      <c r="F520" s="1">
        <v>2</v>
      </c>
      <c r="G520" s="1">
        <v>34</v>
      </c>
      <c r="H520" s="1">
        <v>743</v>
      </c>
      <c r="I520" s="1">
        <v>19</v>
      </c>
      <c r="J520" s="1">
        <v>181</v>
      </c>
      <c r="K520" s="1">
        <v>12</v>
      </c>
      <c r="L520" s="1">
        <v>0</v>
      </c>
      <c r="M520" s="1">
        <v>200</v>
      </c>
      <c r="N520" s="1">
        <v>2</v>
      </c>
      <c r="O520" s="1">
        <v>7</v>
      </c>
      <c r="P520" s="1">
        <v>6</v>
      </c>
      <c r="Q520" s="1">
        <v>11</v>
      </c>
      <c r="R520" s="1">
        <v>5</v>
      </c>
      <c r="S520" s="1">
        <v>0</v>
      </c>
      <c r="T520" s="1">
        <v>0</v>
      </c>
      <c r="U520" s="1">
        <v>1</v>
      </c>
      <c r="V520" s="1">
        <v>0</v>
      </c>
      <c r="W520" s="1">
        <v>0</v>
      </c>
      <c r="X520" s="1">
        <v>0</v>
      </c>
      <c r="Y520" s="1">
        <v>0</v>
      </c>
      <c r="Z520" s="1">
        <v>62</v>
      </c>
      <c r="AA520" s="1" t="str" cm="1">
        <f t="array" ref="AA520">_xlfn.IFS(AND(Z520&lt;36, Z520&gt;23), "24-35", AND(Z520&lt;51, Z520&gt;35),"36-50", AND(Z520&lt;66, Z520&gt;50), "51-66", Z520&gt;65, "66+", TRUE, "?")</f>
        <v>51-66</v>
      </c>
      <c r="AB520" s="1">
        <v>2498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755</v>
      </c>
      <c r="AM520" s="2">
        <v>42351</v>
      </c>
      <c r="AN520" t="str">
        <f t="shared" si="17"/>
        <v>65196,955,0.0146481379225719,0,2,34,743,19,181,12,0,200,2,7,6,11,5,0,0,1,0,0,0,0,62,51-66,2498,0,0,0,1,0,0,1,0,0,755,42351</v>
      </c>
    </row>
    <row r="521" spans="1:40" ht="13" hidden="1" x14ac:dyDescent="0.15">
      <c r="A521">
        <v>405</v>
      </c>
      <c r="B521" s="1">
        <v>75236</v>
      </c>
      <c r="C521" s="1">
        <v>954</v>
      </c>
      <c r="D521" s="4">
        <f t="shared" si="16"/>
        <v>1.2680099952150567E-2</v>
      </c>
      <c r="E521" s="1">
        <v>0</v>
      </c>
      <c r="F521" s="1">
        <v>1</v>
      </c>
      <c r="G521" s="1">
        <v>27</v>
      </c>
      <c r="H521" s="1">
        <v>438</v>
      </c>
      <c r="I521" s="1">
        <v>66</v>
      </c>
      <c r="J521" s="1">
        <v>400</v>
      </c>
      <c r="K521" s="1">
        <v>12</v>
      </c>
      <c r="L521" s="1">
        <v>38</v>
      </c>
      <c r="M521" s="1">
        <v>114</v>
      </c>
      <c r="N521" s="1">
        <v>1</v>
      </c>
      <c r="O521" s="1">
        <v>8</v>
      </c>
      <c r="P521" s="1">
        <v>3</v>
      </c>
      <c r="Q521" s="1">
        <v>13</v>
      </c>
      <c r="R521" s="1">
        <v>4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56</v>
      </c>
      <c r="AA521" s="1" t="str" cm="1">
        <f t="array" ref="AA521">_xlfn.IFS(AND(Z521&lt;36, Z521&gt;23), "24-35", AND(Z521&lt;51, Z521&gt;35),"36-50", AND(Z521&lt;66, Z521&gt;50), "51-66", Z521&gt;65, "66+", TRUE, "?")</f>
        <v>51-66</v>
      </c>
      <c r="AB521" s="1">
        <v>2375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  <c r="AH521" s="1">
        <v>0</v>
      </c>
      <c r="AI521" s="1">
        <v>1</v>
      </c>
      <c r="AJ521" s="1">
        <v>0</v>
      </c>
      <c r="AK521" s="1">
        <v>0</v>
      </c>
      <c r="AL521" s="1">
        <v>840</v>
      </c>
      <c r="AM521" s="2">
        <v>42474</v>
      </c>
      <c r="AN521" t="str">
        <f t="shared" si="17"/>
        <v>75236,954,0.0126800999521506,0,1,27,438,66,400,12,38,114,1,8,3,13,4,0,0,0,0,0,0,0,56,51-66,2375,0,1,0,0,0,0,1,0,0,840,42474</v>
      </c>
    </row>
    <row r="522" spans="1:40" ht="13" hidden="1" x14ac:dyDescent="0.15">
      <c r="A522">
        <v>1172</v>
      </c>
      <c r="B522" s="1">
        <v>65106</v>
      </c>
      <c r="C522" s="1">
        <v>954</v>
      </c>
      <c r="D522" s="4">
        <f t="shared" si="16"/>
        <v>1.4653027370749239E-2</v>
      </c>
      <c r="E522" s="1">
        <v>0</v>
      </c>
      <c r="F522" s="1">
        <v>1</v>
      </c>
      <c r="G522" s="1">
        <v>55</v>
      </c>
      <c r="H522" s="1">
        <v>790</v>
      </c>
      <c r="I522" s="1">
        <v>19</v>
      </c>
      <c r="J522" s="1">
        <v>133</v>
      </c>
      <c r="K522" s="1">
        <v>12</v>
      </c>
      <c r="L522" s="1">
        <v>0</v>
      </c>
      <c r="M522" s="1">
        <v>19</v>
      </c>
      <c r="N522" s="1">
        <v>3</v>
      </c>
      <c r="O522" s="1">
        <v>8</v>
      </c>
      <c r="P522" s="1">
        <v>3</v>
      </c>
      <c r="Q522" s="1">
        <v>13</v>
      </c>
      <c r="R522" s="1">
        <v>6</v>
      </c>
      <c r="S522" s="1">
        <v>0</v>
      </c>
      <c r="T522" s="1">
        <v>0</v>
      </c>
      <c r="U522" s="1">
        <v>0</v>
      </c>
      <c r="V522" s="1">
        <v>1</v>
      </c>
      <c r="W522" s="1">
        <v>0</v>
      </c>
      <c r="X522" s="1">
        <v>0</v>
      </c>
      <c r="Y522" s="1">
        <v>0</v>
      </c>
      <c r="Z522" s="1">
        <v>45</v>
      </c>
      <c r="AA522" s="1" t="str" cm="1">
        <f t="array" ref="AA522">_xlfn.IFS(AND(Z522&lt;36, Z522&gt;23), "24-35", AND(Z522&lt;51, Z522&gt;35),"36-50", AND(Z522&lt;66, Z522&gt;50), "51-66", Z522&gt;65, "66+", TRUE, "?")</f>
        <v>36-50</v>
      </c>
      <c r="AB522" s="1">
        <v>2195</v>
      </c>
      <c r="AC522" s="1">
        <v>0</v>
      </c>
      <c r="AD522" s="1">
        <v>1</v>
      </c>
      <c r="AE522" s="1">
        <v>0</v>
      </c>
      <c r="AF522" s="1">
        <v>0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935</v>
      </c>
      <c r="AM522" s="2">
        <v>42654</v>
      </c>
      <c r="AN522" t="str">
        <f t="shared" si="17"/>
        <v>65106,954,0.0146530273707492,0,1,55,790,19,133,12,0,19,3,8,3,13,6,0,0,0,1,0,0,0,45,36-50,2195,0,1,0,0,0,0,1,0,0,935,42654</v>
      </c>
    </row>
    <row r="523" spans="1:40" ht="13" hidden="1" x14ac:dyDescent="0.15">
      <c r="A523">
        <v>22</v>
      </c>
      <c r="B523" s="1">
        <v>58607</v>
      </c>
      <c r="C523" s="1">
        <v>953</v>
      </c>
      <c r="D523" s="4">
        <f t="shared" si="16"/>
        <v>1.6260856211715323E-2</v>
      </c>
      <c r="E523" s="1">
        <v>0</v>
      </c>
      <c r="F523" s="1">
        <v>1</v>
      </c>
      <c r="G523" s="1">
        <v>63</v>
      </c>
      <c r="H523" s="1">
        <v>867</v>
      </c>
      <c r="I523" s="1">
        <v>0</v>
      </c>
      <c r="J523" s="1">
        <v>86</v>
      </c>
      <c r="K523" s="1">
        <v>0</v>
      </c>
      <c r="L523" s="1">
        <v>0</v>
      </c>
      <c r="M523" s="1">
        <v>19</v>
      </c>
      <c r="N523" s="1">
        <v>3</v>
      </c>
      <c r="O523" s="1">
        <v>2</v>
      </c>
      <c r="P523" s="1">
        <v>3</v>
      </c>
      <c r="Q523" s="1">
        <v>9</v>
      </c>
      <c r="R523" s="1">
        <v>8</v>
      </c>
      <c r="S523" s="1">
        <v>0</v>
      </c>
      <c r="T523" s="1">
        <v>0</v>
      </c>
      <c r="U523" s="1">
        <v>0</v>
      </c>
      <c r="V523" s="1">
        <v>1</v>
      </c>
      <c r="W523" s="1">
        <v>0</v>
      </c>
      <c r="X523" s="1">
        <v>0</v>
      </c>
      <c r="Y523" s="1">
        <v>0</v>
      </c>
      <c r="Z523" s="1">
        <v>71</v>
      </c>
      <c r="AA523" s="1" t="str" cm="1">
        <f t="array" ref="AA523">_xlfn.IFS(AND(Z523&lt;36, Z523&gt;23), "24-35", AND(Z523&lt;51, Z523&gt;35),"36-50", AND(Z523&lt;66, Z523&gt;50), "51-66", Z523&gt;65, "66+", TRUE, "?")</f>
        <v>66+</v>
      </c>
      <c r="AB523" s="1">
        <v>2712</v>
      </c>
      <c r="AC523" s="1">
        <v>0</v>
      </c>
      <c r="AD523" s="1">
        <v>1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1</v>
      </c>
      <c r="AL523" s="1">
        <v>934</v>
      </c>
      <c r="AM523" s="2">
        <v>42137</v>
      </c>
      <c r="AN523" t="str">
        <f t="shared" si="17"/>
        <v>58607,953,0.0162608562117153,0,1,63,867,0,86,0,0,19,3,2,3,9,8,0,0,0,1,0,0,0,71,66+,2712,0,1,0,0,0,0,0,0,1,934,42137</v>
      </c>
    </row>
    <row r="524" spans="1:40" ht="13" hidden="1" x14ac:dyDescent="0.15">
      <c r="A524">
        <v>1447</v>
      </c>
      <c r="B524" s="1">
        <v>75283</v>
      </c>
      <c r="C524" s="1">
        <v>953</v>
      </c>
      <c r="D524" s="4">
        <f t="shared" si="16"/>
        <v>1.2658900415764516E-2</v>
      </c>
      <c r="E524" s="1">
        <v>1</v>
      </c>
      <c r="F524" s="1">
        <v>2</v>
      </c>
      <c r="G524" s="1">
        <v>26</v>
      </c>
      <c r="H524" s="1">
        <v>733</v>
      </c>
      <c r="I524" s="1">
        <v>9</v>
      </c>
      <c r="J524" s="1">
        <v>180</v>
      </c>
      <c r="K524" s="1">
        <v>12</v>
      </c>
      <c r="L524" s="1">
        <v>19</v>
      </c>
      <c r="M524" s="1">
        <v>66</v>
      </c>
      <c r="N524" s="1">
        <v>11</v>
      </c>
      <c r="O524" s="1">
        <v>6</v>
      </c>
      <c r="P524" s="1">
        <v>3</v>
      </c>
      <c r="Q524" s="1">
        <v>5</v>
      </c>
      <c r="R524" s="1">
        <v>4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63</v>
      </c>
      <c r="AA524" s="1" t="str" cm="1">
        <f t="array" ref="AA524">_xlfn.IFS(AND(Z524&lt;36, Z524&gt;23), "24-35", AND(Z524&lt;51, Z524&gt;35),"36-50", AND(Z524&lt;66, Z524&gt;50), "51-66", Z524&gt;65, "66+", TRUE, "?")</f>
        <v>51-66</v>
      </c>
      <c r="AB524" s="1">
        <v>2618</v>
      </c>
      <c r="AC524" s="1">
        <v>0</v>
      </c>
      <c r="AD524" s="1">
        <v>1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1</v>
      </c>
      <c r="AL524" s="1">
        <v>887</v>
      </c>
      <c r="AM524" s="2">
        <v>42231</v>
      </c>
      <c r="AN524" t="str">
        <f t="shared" si="17"/>
        <v>75283,953,0.0126589004157645,1,2,26,733,9,180,12,19,66,11,6,3,5,4,0,0,0,0,0,0,0,63,51-66,2618,0,1,0,0,0,0,0,0,1,887,42231</v>
      </c>
    </row>
    <row r="525" spans="1:40" ht="13" hidden="1" x14ac:dyDescent="0.15">
      <c r="A525">
        <v>1488</v>
      </c>
      <c r="B525" s="1">
        <v>52973</v>
      </c>
      <c r="C525" s="1">
        <v>953</v>
      </c>
      <c r="D525" s="4">
        <f t="shared" si="16"/>
        <v>1.7990296943726048E-2</v>
      </c>
      <c r="E525" s="1">
        <v>0</v>
      </c>
      <c r="F525" s="1">
        <v>1</v>
      </c>
      <c r="G525" s="1">
        <v>92</v>
      </c>
      <c r="H525" s="1">
        <v>856</v>
      </c>
      <c r="I525" s="1">
        <v>0</v>
      </c>
      <c r="J525" s="1">
        <v>76</v>
      </c>
      <c r="K525" s="1">
        <v>12</v>
      </c>
      <c r="L525" s="1">
        <v>9</v>
      </c>
      <c r="M525" s="1">
        <v>199</v>
      </c>
      <c r="N525" s="1">
        <v>7</v>
      </c>
      <c r="O525" s="1">
        <v>9</v>
      </c>
      <c r="P525" s="1">
        <v>6</v>
      </c>
      <c r="Q525" s="1">
        <v>9</v>
      </c>
      <c r="R525" s="1">
        <v>8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64</v>
      </c>
      <c r="AA525" s="1" t="str" cm="1">
        <f t="array" ref="AA525">_xlfn.IFS(AND(Z525&lt;36, Z525&gt;23), "24-35", AND(Z525&lt;51, Z525&gt;35),"36-50", AND(Z525&lt;66, Z525&gt;50), "51-66", Z525&gt;65, "66+", TRUE, "?")</f>
        <v>51-66</v>
      </c>
      <c r="AB525" s="1">
        <v>2757</v>
      </c>
      <c r="AC525" s="1">
        <v>0</v>
      </c>
      <c r="AD525" s="1">
        <v>1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1</v>
      </c>
      <c r="AK525" s="1">
        <v>0</v>
      </c>
      <c r="AL525" s="1">
        <v>754</v>
      </c>
      <c r="AM525" s="2">
        <v>42092</v>
      </c>
      <c r="AN525" t="str">
        <f t="shared" si="17"/>
        <v>52973,953,0.017990296943726,0,1,92,856,0,76,12,9,199,7,9,6,9,8,0,0,0,0,0,0,0,64,51-66,2757,0,1,0,0,0,0,0,1,0,754,42092</v>
      </c>
    </row>
    <row r="526" spans="1:40" ht="13" hidden="1" x14ac:dyDescent="0.15">
      <c r="A526">
        <v>343</v>
      </c>
      <c r="B526" s="1">
        <v>52614</v>
      </c>
      <c r="C526" s="1">
        <v>952</v>
      </c>
      <c r="D526" s="4">
        <f t="shared" si="16"/>
        <v>1.8094043410499108E-2</v>
      </c>
      <c r="E526" s="1">
        <v>0</v>
      </c>
      <c r="F526" s="1">
        <v>1</v>
      </c>
      <c r="G526" s="1">
        <v>63</v>
      </c>
      <c r="H526" s="1">
        <v>789</v>
      </c>
      <c r="I526" s="1">
        <v>0</v>
      </c>
      <c r="J526" s="1">
        <v>142</v>
      </c>
      <c r="K526" s="1">
        <v>12</v>
      </c>
      <c r="L526" s="1">
        <v>9</v>
      </c>
      <c r="M526" s="1">
        <v>38</v>
      </c>
      <c r="N526" s="1">
        <v>2</v>
      </c>
      <c r="O526" s="1">
        <v>2</v>
      </c>
      <c r="P526" s="1">
        <v>4</v>
      </c>
      <c r="Q526" s="1">
        <v>8</v>
      </c>
      <c r="R526" s="1">
        <v>8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45</v>
      </c>
      <c r="AA526" s="1" t="str" cm="1">
        <f t="array" ref="AA526">_xlfn.IFS(AND(Z526&lt;36, Z526&gt;23), "24-35", AND(Z526&lt;51, Z526&gt;35),"36-50", AND(Z526&lt;66, Z526&gt;50), "51-66", Z526&gt;65, "66+", TRUE, "?")</f>
        <v>36-50</v>
      </c>
      <c r="AB526" s="1">
        <v>2734</v>
      </c>
      <c r="AC526" s="1">
        <v>0</v>
      </c>
      <c r="AD526" s="1">
        <v>0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1</v>
      </c>
      <c r="AL526" s="1">
        <v>914</v>
      </c>
      <c r="AM526" s="2">
        <v>42115</v>
      </c>
      <c r="AN526" t="str">
        <f t="shared" si="17"/>
        <v>52614,952,0.0180940434104991,0,1,63,789,0,142,12,9,38,2,2,4,8,8,0,0,0,0,0,0,0,45,36-50,2734,0,0,1,0,0,0,0,0,1,914,42115</v>
      </c>
    </row>
    <row r="527" spans="1:40" ht="13" x14ac:dyDescent="0.15">
      <c r="A527">
        <v>1129</v>
      </c>
      <c r="B527" s="1">
        <v>84953</v>
      </c>
      <c r="C527" s="1">
        <v>952</v>
      </c>
      <c r="D527" s="4">
        <f t="shared" si="16"/>
        <v>1.1206196367403153E-2</v>
      </c>
      <c r="E527" s="1">
        <v>0</v>
      </c>
      <c r="F527" s="1">
        <v>0</v>
      </c>
      <c r="G527" s="1">
        <v>73</v>
      </c>
      <c r="H527" s="1">
        <v>167</v>
      </c>
      <c r="I527" s="1">
        <v>48</v>
      </c>
      <c r="J527" s="1">
        <v>602</v>
      </c>
      <c r="K527" s="1">
        <v>63</v>
      </c>
      <c r="L527" s="1">
        <v>72</v>
      </c>
      <c r="M527" s="1">
        <v>72</v>
      </c>
      <c r="N527" s="1">
        <v>1</v>
      </c>
      <c r="O527" s="1">
        <v>3</v>
      </c>
      <c r="P527" s="1">
        <v>10</v>
      </c>
      <c r="Q527" s="1">
        <v>4</v>
      </c>
      <c r="R527" s="1">
        <v>2</v>
      </c>
      <c r="S527" s="1">
        <v>1</v>
      </c>
      <c r="T527" s="1">
        <v>0</v>
      </c>
      <c r="U527" s="1">
        <v>0</v>
      </c>
      <c r="V527" s="1">
        <v>1</v>
      </c>
      <c r="W527" s="1">
        <v>1</v>
      </c>
      <c r="X527" s="1">
        <v>0</v>
      </c>
      <c r="Y527" s="1">
        <v>1</v>
      </c>
      <c r="Z527" s="1">
        <v>67</v>
      </c>
      <c r="AA527" s="1" t="str" cm="1">
        <f t="array" ref="AA527">_xlfn.IFS(AND(Z527&lt;36, Z527&gt;23), "24-35", AND(Z527&lt;51, Z527&gt;35),"36-50", AND(Z527&lt;66, Z527&gt;50), "51-66", Z527&gt;65, "66+", TRUE, "?")</f>
        <v>66+</v>
      </c>
      <c r="AB527" s="1">
        <v>2550</v>
      </c>
      <c r="AC527" s="1">
        <v>0</v>
      </c>
      <c r="AD527" s="1">
        <v>0</v>
      </c>
      <c r="AE527" s="1">
        <v>0</v>
      </c>
      <c r="AF527" s="1">
        <v>0</v>
      </c>
      <c r="AG527" s="1">
        <v>1</v>
      </c>
      <c r="AH527" s="1">
        <v>0</v>
      </c>
      <c r="AI527" s="1">
        <v>0</v>
      </c>
      <c r="AJ527" s="1">
        <v>1</v>
      </c>
      <c r="AK527" s="1">
        <v>0</v>
      </c>
      <c r="AL527" s="1">
        <v>880</v>
      </c>
      <c r="AM527" s="2">
        <v>42299</v>
      </c>
      <c r="AN527" t="str">
        <f t="shared" si="17"/>
        <v>84953,952,0.0112061963674032,0,0,73,167,48,602,63,72,72,1,3,10,4,2,1,0,0,1,1,0,1,67,66+,2550,0,0,0,0,1,0,0,1,0,880,42299</v>
      </c>
    </row>
    <row r="528" spans="1:40" ht="13" hidden="1" x14ac:dyDescent="0.15">
      <c r="A528">
        <v>1736</v>
      </c>
      <c r="B528" s="1">
        <v>60491</v>
      </c>
      <c r="C528" s="1">
        <v>952</v>
      </c>
      <c r="D528" s="4">
        <f t="shared" si="16"/>
        <v>1.5737878362070391E-2</v>
      </c>
      <c r="E528" s="1">
        <v>0</v>
      </c>
      <c r="F528" s="1">
        <v>1</v>
      </c>
      <c r="G528" s="1">
        <v>81</v>
      </c>
      <c r="H528" s="1">
        <v>637</v>
      </c>
      <c r="I528" s="1">
        <v>47</v>
      </c>
      <c r="J528" s="1">
        <v>237</v>
      </c>
      <c r="K528" s="1">
        <v>12</v>
      </c>
      <c r="L528" s="1">
        <v>19</v>
      </c>
      <c r="M528" s="1">
        <v>76</v>
      </c>
      <c r="N528" s="1">
        <v>4</v>
      </c>
      <c r="O528" s="1">
        <v>6</v>
      </c>
      <c r="P528" s="1">
        <v>11</v>
      </c>
      <c r="Q528" s="1">
        <v>7</v>
      </c>
      <c r="R528" s="1">
        <v>5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49</v>
      </c>
      <c r="AA528" s="1" t="str" cm="1">
        <f t="array" ref="AA528">_xlfn.IFS(AND(Z528&lt;36, Z528&gt;23), "24-35", AND(Z528&lt;51, Z528&gt;35),"36-50", AND(Z528&lt;66, Z528&gt;50), "51-66", Z528&gt;65, "66+", TRUE, "?")</f>
        <v>36-50</v>
      </c>
      <c r="AB528" s="1">
        <v>2455</v>
      </c>
      <c r="AC528" s="1">
        <v>0</v>
      </c>
      <c r="AD528" s="1">
        <v>1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1</v>
      </c>
      <c r="AL528" s="1">
        <v>876</v>
      </c>
      <c r="AM528" s="2">
        <v>42394</v>
      </c>
      <c r="AN528" t="str">
        <f t="shared" si="17"/>
        <v>60491,952,0.0157378783620704,0,1,81,637,47,237,12,19,76,4,6,11,7,5,0,0,0,0,0,0,0,49,36-50,2455,0,1,0,0,0,0,0,0,1,876,42394</v>
      </c>
    </row>
    <row r="529" spans="1:40" ht="13" hidden="1" x14ac:dyDescent="0.15">
      <c r="A529">
        <v>225</v>
      </c>
      <c r="B529" s="1">
        <v>61074</v>
      </c>
      <c r="C529" s="1">
        <v>950</v>
      </c>
      <c r="D529" s="4">
        <f t="shared" si="16"/>
        <v>1.5554900612371877E-2</v>
      </c>
      <c r="E529" s="1">
        <v>0</v>
      </c>
      <c r="F529" s="1">
        <v>1</v>
      </c>
      <c r="G529" s="1">
        <v>37</v>
      </c>
      <c r="H529" s="1">
        <v>789</v>
      </c>
      <c r="I529" s="1">
        <v>0</v>
      </c>
      <c r="J529" s="1">
        <v>133</v>
      </c>
      <c r="K529" s="1">
        <v>0</v>
      </c>
      <c r="L529" s="1">
        <v>28</v>
      </c>
      <c r="M529" s="1">
        <v>152</v>
      </c>
      <c r="N529" s="1">
        <v>7</v>
      </c>
      <c r="O529" s="1">
        <v>11</v>
      </c>
      <c r="P529" s="1">
        <v>5</v>
      </c>
      <c r="Q529" s="1">
        <v>8</v>
      </c>
      <c r="R529" s="1">
        <v>7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62</v>
      </c>
      <c r="AA529" s="1" t="str" cm="1">
        <f t="array" ref="AA529">_xlfn.IFS(AND(Z529&lt;36, Z529&gt;23), "24-35", AND(Z529&lt;51, Z529&gt;35),"36-50", AND(Z529&lt;66, Z529&gt;50), "51-66", Z529&gt;65, "66+", TRUE, "?")</f>
        <v>51-66</v>
      </c>
      <c r="AB529" s="1">
        <v>2840</v>
      </c>
      <c r="AC529" s="1">
        <v>0</v>
      </c>
      <c r="AD529" s="1">
        <v>1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798</v>
      </c>
      <c r="AM529" s="2">
        <v>42009</v>
      </c>
      <c r="AN529" t="str">
        <f t="shared" si="17"/>
        <v>61074,950,0.0155549006123719,0,1,37,789,0,133,0,28,152,7,11,5,8,7,0,0,0,0,0,0,0,62,51-66,2840,0,1,0,0,0,0,1,0,0,798,42009</v>
      </c>
    </row>
    <row r="530" spans="1:40" ht="13" hidden="1" x14ac:dyDescent="0.15">
      <c r="A530">
        <v>1092</v>
      </c>
      <c r="B530" s="1">
        <v>80685</v>
      </c>
      <c r="C530" s="1">
        <v>950</v>
      </c>
      <c r="D530" s="4">
        <f t="shared" si="16"/>
        <v>1.1774183553324657E-2</v>
      </c>
      <c r="E530" s="1">
        <v>0</v>
      </c>
      <c r="F530" s="1">
        <v>0</v>
      </c>
      <c r="G530" s="1">
        <v>55</v>
      </c>
      <c r="H530" s="1">
        <v>241</v>
      </c>
      <c r="I530" s="1">
        <v>45</v>
      </c>
      <c r="J530" s="1">
        <v>604</v>
      </c>
      <c r="K530" s="1">
        <v>34</v>
      </c>
      <c r="L530" s="1">
        <v>26</v>
      </c>
      <c r="M530" s="1">
        <v>54</v>
      </c>
      <c r="N530" s="1">
        <v>1</v>
      </c>
      <c r="O530" s="1">
        <v>6</v>
      </c>
      <c r="P530" s="1">
        <v>4</v>
      </c>
      <c r="Q530" s="1">
        <v>10</v>
      </c>
      <c r="R530" s="1">
        <v>2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26</v>
      </c>
      <c r="AA530" s="1" t="str" cm="1">
        <f t="array" ref="AA530">_xlfn.IFS(AND(Z530&lt;36, Z530&gt;23), "24-35", AND(Z530&lt;51, Z530&gt;35),"36-50", AND(Z530&lt;66, Z530&gt;50), "51-66", Z530&gt;65, "66+", TRUE, "?")</f>
        <v>24-35</v>
      </c>
      <c r="AB530" s="1">
        <v>2835</v>
      </c>
      <c r="AC530" s="1">
        <v>0</v>
      </c>
      <c r="AD530" s="1">
        <v>0</v>
      </c>
      <c r="AE530" s="1">
        <v>0</v>
      </c>
      <c r="AF530" s="1">
        <v>1</v>
      </c>
      <c r="AG530" s="1">
        <v>0</v>
      </c>
      <c r="AH530" s="1">
        <v>0</v>
      </c>
      <c r="AI530" s="1">
        <v>1</v>
      </c>
      <c r="AJ530" s="1">
        <v>0</v>
      </c>
      <c r="AK530" s="1">
        <v>0</v>
      </c>
      <c r="AL530" s="1">
        <v>896</v>
      </c>
      <c r="AM530" s="2">
        <v>42014</v>
      </c>
      <c r="AN530" t="str">
        <f t="shared" si="17"/>
        <v>80685,950,0.0117741835533247,0,0,55,241,45,604,34,26,54,1,6,4,10,2,0,0,0,0,0,0,0,26,24-35,2835,0,0,0,1,0,0,1,0,0,896,42014</v>
      </c>
    </row>
    <row r="531" spans="1:40" ht="13" hidden="1" x14ac:dyDescent="0.15">
      <c r="A531">
        <v>387</v>
      </c>
      <c r="B531" s="1">
        <v>75072</v>
      </c>
      <c r="C531" s="1">
        <v>948</v>
      </c>
      <c r="D531" s="4">
        <f t="shared" si="16"/>
        <v>1.2627877237851663E-2</v>
      </c>
      <c r="E531" s="1">
        <v>0</v>
      </c>
      <c r="F531" s="1">
        <v>1</v>
      </c>
      <c r="G531" s="1">
        <v>83</v>
      </c>
      <c r="H531" s="1">
        <v>583</v>
      </c>
      <c r="I531" s="1">
        <v>34</v>
      </c>
      <c r="J531" s="1">
        <v>309</v>
      </c>
      <c r="K531" s="1">
        <v>0</v>
      </c>
      <c r="L531" s="1">
        <v>22</v>
      </c>
      <c r="M531" s="1">
        <v>125</v>
      </c>
      <c r="N531" s="1">
        <v>2</v>
      </c>
      <c r="O531" s="1">
        <v>5</v>
      </c>
      <c r="P531" s="1">
        <v>4</v>
      </c>
      <c r="Q531" s="1">
        <v>8</v>
      </c>
      <c r="R531" s="1">
        <v>3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58</v>
      </c>
      <c r="AA531" s="1" t="str" cm="1">
        <f t="array" ref="AA531">_xlfn.IFS(AND(Z531&lt;36, Z531&gt;23), "24-35", AND(Z531&lt;51, Z531&gt;35),"36-50", AND(Z531&lt;66, Z531&gt;50), "51-66", Z531&gt;65, "66+", TRUE, "?")</f>
        <v>51-66</v>
      </c>
      <c r="AB531" s="1">
        <v>2681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1</v>
      </c>
      <c r="AJ531" s="1">
        <v>0</v>
      </c>
      <c r="AK531" s="1">
        <v>0</v>
      </c>
      <c r="AL531" s="1">
        <v>823</v>
      </c>
      <c r="AM531" s="2">
        <v>42168</v>
      </c>
      <c r="AN531" t="str">
        <f t="shared" si="17"/>
        <v>75072,948,0.0126278772378517,0,1,83,583,34,309,0,22,125,2,5,4,8,3,0,0,0,0,0,0,0,58,51-66,2681,0,0,0,1,0,0,1,0,0,823,42168</v>
      </c>
    </row>
    <row r="532" spans="1:40" ht="13" hidden="1" x14ac:dyDescent="0.15">
      <c r="A532">
        <v>892</v>
      </c>
      <c r="B532" s="1">
        <v>67893</v>
      </c>
      <c r="C532" s="1">
        <v>948</v>
      </c>
      <c r="D532" s="4">
        <f t="shared" si="16"/>
        <v>1.3963147894481021E-2</v>
      </c>
      <c r="E532" s="1">
        <v>0</v>
      </c>
      <c r="F532" s="1">
        <v>1</v>
      </c>
      <c r="G532" s="1">
        <v>31</v>
      </c>
      <c r="H532" s="1">
        <v>711</v>
      </c>
      <c r="I532" s="1">
        <v>28</v>
      </c>
      <c r="J532" s="1">
        <v>142</v>
      </c>
      <c r="K532" s="1">
        <v>49</v>
      </c>
      <c r="L532" s="1">
        <v>18</v>
      </c>
      <c r="M532" s="1">
        <v>47</v>
      </c>
      <c r="N532" s="1">
        <v>2</v>
      </c>
      <c r="O532" s="1">
        <v>3</v>
      </c>
      <c r="P532" s="1">
        <v>2</v>
      </c>
      <c r="Q532" s="1">
        <v>9</v>
      </c>
      <c r="R532" s="1">
        <v>8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45</v>
      </c>
      <c r="AA532" s="1" t="str" cm="1">
        <f t="array" ref="AA532">_xlfn.IFS(AND(Z532&lt;36, Z532&gt;23), "24-35", AND(Z532&lt;51, Z532&gt;35),"36-50", AND(Z532&lt;66, Z532&gt;50), "51-66", Z532&gt;65, "66+", TRUE, "?")</f>
        <v>36-50</v>
      </c>
      <c r="AB532" s="1">
        <v>2795</v>
      </c>
      <c r="AC532" s="1">
        <v>1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0</v>
      </c>
      <c r="AL532" s="1">
        <v>901</v>
      </c>
      <c r="AM532" s="2">
        <v>42054</v>
      </c>
      <c r="AN532" t="str">
        <f t="shared" si="17"/>
        <v>67893,948,0.013963147894481,0,1,31,711,28,142,49,18,47,2,3,2,9,8,0,0,0,0,0,0,0,45,36-50,2795,1,0,0,0,0,1,0,0,0,901,42054</v>
      </c>
    </row>
    <row r="533" spans="1:40" ht="13" hidden="1" x14ac:dyDescent="0.15">
      <c r="A533">
        <v>141</v>
      </c>
      <c r="B533" s="1">
        <v>61010</v>
      </c>
      <c r="C533" s="1">
        <v>945</v>
      </c>
      <c r="D533" s="4">
        <f t="shared" si="16"/>
        <v>1.5489264055072938E-2</v>
      </c>
      <c r="E533" s="1">
        <v>0</v>
      </c>
      <c r="F533" s="1">
        <v>1</v>
      </c>
      <c r="G533" s="1">
        <v>57</v>
      </c>
      <c r="H533" s="1">
        <v>888</v>
      </c>
      <c r="I533" s="1">
        <v>0</v>
      </c>
      <c r="J533" s="1">
        <v>57</v>
      </c>
      <c r="K533" s="1">
        <v>0</v>
      </c>
      <c r="L533" s="1">
        <v>0</v>
      </c>
      <c r="M533" s="1">
        <v>76</v>
      </c>
      <c r="N533" s="1">
        <v>2</v>
      </c>
      <c r="O533" s="1">
        <v>8</v>
      </c>
      <c r="P533" s="1">
        <v>5</v>
      </c>
      <c r="Q533" s="1">
        <v>11</v>
      </c>
      <c r="R533" s="1">
        <v>5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68</v>
      </c>
      <c r="AA533" s="1" t="str" cm="1">
        <f t="array" ref="AA533">_xlfn.IFS(AND(Z533&lt;36, Z533&gt;23), "24-35", AND(Z533&lt;51, Z533&gt;35),"36-50", AND(Z533&lt;66, Z533&gt;50), "51-66", Z533&gt;65, "66+", TRUE, "?")</f>
        <v>66+</v>
      </c>
      <c r="AB533" s="1">
        <v>2787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0</v>
      </c>
      <c r="AJ533" s="1">
        <v>0</v>
      </c>
      <c r="AK533" s="1">
        <v>1</v>
      </c>
      <c r="AL533" s="1">
        <v>869</v>
      </c>
      <c r="AM533" s="2">
        <v>42062</v>
      </c>
      <c r="AN533" t="str">
        <f t="shared" si="17"/>
        <v>61010,945,0.0154892640550729,0,1,57,888,0,57,0,0,76,2,8,5,11,5,0,0,0,0,0,0,0,68,66+,2787,0,0,0,1,0,0,0,0,1,869,42062</v>
      </c>
    </row>
    <row r="534" spans="1:40" ht="13" hidden="1" x14ac:dyDescent="0.15">
      <c r="A534">
        <v>991</v>
      </c>
      <c r="B534" s="1">
        <v>70596</v>
      </c>
      <c r="C534" s="1">
        <v>942</v>
      </c>
      <c r="D534" s="4">
        <f t="shared" si="16"/>
        <v>1.3343532211456739E-2</v>
      </c>
      <c r="E534" s="1">
        <v>0</v>
      </c>
      <c r="F534" s="1">
        <v>0</v>
      </c>
      <c r="G534" s="1">
        <v>68</v>
      </c>
      <c r="H534" s="1">
        <v>347</v>
      </c>
      <c r="I534" s="1">
        <v>44</v>
      </c>
      <c r="J534" s="1">
        <v>534</v>
      </c>
      <c r="K534" s="1">
        <v>17</v>
      </c>
      <c r="L534" s="1">
        <v>0</v>
      </c>
      <c r="M534" s="1">
        <v>26</v>
      </c>
      <c r="N534" s="1">
        <v>1</v>
      </c>
      <c r="O534" s="1">
        <v>3</v>
      </c>
      <c r="P534" s="1">
        <v>5</v>
      </c>
      <c r="Q534" s="1">
        <v>12</v>
      </c>
      <c r="R534" s="1">
        <v>2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35</v>
      </c>
      <c r="AA534" s="1" t="str" cm="1">
        <f t="array" ref="AA534">_xlfn.IFS(AND(Z534&lt;36, Z534&gt;23), "24-35", AND(Z534&lt;51, Z534&gt;35),"36-50", AND(Z534&lt;66, Z534&gt;50), "51-66", Z534&gt;65, "66+", TRUE, "?")</f>
        <v>24-35</v>
      </c>
      <c r="AB534" s="1">
        <v>2791</v>
      </c>
      <c r="AC534" s="1">
        <v>0</v>
      </c>
      <c r="AD534" s="1">
        <v>0</v>
      </c>
      <c r="AE534" s="1">
        <v>1</v>
      </c>
      <c r="AF534" s="1">
        <v>0</v>
      </c>
      <c r="AG534" s="1">
        <v>0</v>
      </c>
      <c r="AH534" s="1">
        <v>0</v>
      </c>
      <c r="AI534" s="1">
        <v>1</v>
      </c>
      <c r="AJ534" s="1">
        <v>0</v>
      </c>
      <c r="AK534" s="1">
        <v>0</v>
      </c>
      <c r="AL534" s="1">
        <v>916</v>
      </c>
      <c r="AM534" s="2">
        <v>42058</v>
      </c>
      <c r="AN534" t="str">
        <f t="shared" si="17"/>
        <v>70596,942,0.0133435322114567,0,0,68,347,44,534,17,0,26,1,3,5,12,2,0,0,0,0,0,0,0,35,24-35,2791,0,0,1,0,0,0,1,0,0,916,42058</v>
      </c>
    </row>
    <row r="535" spans="1:40" ht="13" x14ac:dyDescent="0.15">
      <c r="A535">
        <v>1140</v>
      </c>
      <c r="B535" s="1">
        <v>94871</v>
      </c>
      <c r="C535" s="1">
        <v>934</v>
      </c>
      <c r="D535" s="4">
        <f t="shared" si="16"/>
        <v>9.8449473495588746E-3</v>
      </c>
      <c r="E535" s="1">
        <v>0</v>
      </c>
      <c r="F535" s="1">
        <v>2</v>
      </c>
      <c r="G535" s="1">
        <v>99</v>
      </c>
      <c r="H535" s="1">
        <v>169</v>
      </c>
      <c r="I535" s="1">
        <v>24</v>
      </c>
      <c r="J535" s="1">
        <v>553</v>
      </c>
      <c r="K535" s="1">
        <v>188</v>
      </c>
      <c r="L535" s="1">
        <v>0</v>
      </c>
      <c r="M535" s="1">
        <v>144</v>
      </c>
      <c r="N535" s="1">
        <v>1</v>
      </c>
      <c r="O535" s="1">
        <v>8</v>
      </c>
      <c r="P535" s="1">
        <v>5</v>
      </c>
      <c r="Q535" s="1">
        <v>4</v>
      </c>
      <c r="R535" s="1">
        <v>7</v>
      </c>
      <c r="S535" s="1">
        <v>0</v>
      </c>
      <c r="T535" s="1">
        <v>0</v>
      </c>
      <c r="U535" s="1">
        <v>0</v>
      </c>
      <c r="V535" s="1">
        <v>1</v>
      </c>
      <c r="W535" s="1">
        <v>1</v>
      </c>
      <c r="X535" s="1">
        <v>0</v>
      </c>
      <c r="Y535" s="1">
        <v>1</v>
      </c>
      <c r="Z535" s="1">
        <v>51</v>
      </c>
      <c r="AA535" s="1" t="str" cm="1">
        <f t="array" ref="AA535">_xlfn.IFS(AND(Z535&lt;36, Z535&gt;23), "24-35", AND(Z535&lt;51, Z535&gt;35),"36-50", AND(Z535&lt;66, Z535&gt;50), "51-66", Z535&gt;65, "66+", TRUE, "?")</f>
        <v>51-66</v>
      </c>
      <c r="AB535" s="1">
        <v>2825</v>
      </c>
      <c r="AC535" s="1">
        <v>0</v>
      </c>
      <c r="AD535" s="1">
        <v>1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1</v>
      </c>
      <c r="AL535" s="1">
        <v>790</v>
      </c>
      <c r="AM535" s="2">
        <v>42024</v>
      </c>
      <c r="AN535" t="str">
        <f t="shared" si="17"/>
        <v>94871,934,0.00984494734955887,0,2,99,169,24,553,188,0,144,1,8,5,4,7,0,0,0,1,1,0,1,51,51-66,2825,0,1,0,0,0,0,0,0,1,790,42024</v>
      </c>
    </row>
    <row r="536" spans="1:40" ht="13" hidden="1" x14ac:dyDescent="0.15">
      <c r="A536">
        <v>879</v>
      </c>
      <c r="B536" s="1">
        <v>71796</v>
      </c>
      <c r="C536" s="1">
        <v>928</v>
      </c>
      <c r="D536" s="4">
        <f t="shared" si="16"/>
        <v>1.2925511170538749E-2</v>
      </c>
      <c r="E536" s="1">
        <v>0</v>
      </c>
      <c r="F536" s="1">
        <v>0</v>
      </c>
      <c r="G536" s="1">
        <v>54</v>
      </c>
      <c r="H536" s="1">
        <v>354</v>
      </c>
      <c r="I536" s="1">
        <v>21</v>
      </c>
      <c r="J536" s="1">
        <v>311</v>
      </c>
      <c r="K536" s="1">
        <v>167</v>
      </c>
      <c r="L536" s="1">
        <v>75</v>
      </c>
      <c r="M536" s="1">
        <v>32</v>
      </c>
      <c r="N536" s="1">
        <v>1</v>
      </c>
      <c r="O536" s="1">
        <v>9</v>
      </c>
      <c r="P536" s="1">
        <v>3</v>
      </c>
      <c r="Q536" s="1">
        <v>4</v>
      </c>
      <c r="R536" s="1">
        <v>4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49</v>
      </c>
      <c r="AA536" s="1" t="str" cm="1">
        <f t="array" ref="AA536">_xlfn.IFS(AND(Z536&lt;36, Z536&gt;23), "24-35", AND(Z536&lt;51, Z536&gt;35),"36-50", AND(Z536&lt;66, Z536&gt;50), "51-66", Z536&gt;65, "66+", TRUE, "?")</f>
        <v>36-50</v>
      </c>
      <c r="AB536" s="1">
        <v>2407</v>
      </c>
      <c r="AC536" s="1">
        <v>0</v>
      </c>
      <c r="AD536" s="1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1</v>
      </c>
      <c r="AJ536" s="1">
        <v>0</v>
      </c>
      <c r="AK536" s="1">
        <v>0</v>
      </c>
      <c r="AL536" s="1">
        <v>896</v>
      </c>
      <c r="AM536" s="2">
        <v>42442</v>
      </c>
      <c r="AN536" t="str">
        <f t="shared" si="17"/>
        <v>71796,928,0.0129255111705387,0,0,54,354,21,311,167,75,32,1,9,3,4,4,0,0,0,0,0,0,0,49,36-50,2407,0,0,0,1,0,0,1,0,0,896,42442</v>
      </c>
    </row>
    <row r="537" spans="1:40" ht="13" hidden="1" x14ac:dyDescent="0.15">
      <c r="A537">
        <v>860</v>
      </c>
      <c r="B537" s="1">
        <v>62820</v>
      </c>
      <c r="C537" s="1">
        <v>923</v>
      </c>
      <c r="D537" s="4">
        <f t="shared" si="16"/>
        <v>1.469277300222859E-2</v>
      </c>
      <c r="E537" s="1">
        <v>0</v>
      </c>
      <c r="F537" s="1">
        <v>0</v>
      </c>
      <c r="G537" s="1">
        <v>51</v>
      </c>
      <c r="H537" s="1">
        <v>398</v>
      </c>
      <c r="I537" s="1">
        <v>61</v>
      </c>
      <c r="J537" s="1">
        <v>265</v>
      </c>
      <c r="K537" s="1">
        <v>138</v>
      </c>
      <c r="L537" s="1">
        <v>61</v>
      </c>
      <c r="M537" s="1">
        <v>53</v>
      </c>
      <c r="N537" s="1">
        <v>1</v>
      </c>
      <c r="O537" s="1">
        <v>3</v>
      </c>
      <c r="P537" s="1">
        <v>4</v>
      </c>
      <c r="Q537" s="1">
        <v>6</v>
      </c>
      <c r="R537" s="1">
        <v>1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66</v>
      </c>
      <c r="AA537" s="1" t="str" cm="1">
        <f t="array" ref="AA537">_xlfn.IFS(AND(Z537&lt;36, Z537&gt;23), "24-35", AND(Z537&lt;51, Z537&gt;35),"36-50", AND(Z537&lt;66, Z537&gt;50), "51-66", Z537&gt;65, "66+", TRUE, "?")</f>
        <v>66+</v>
      </c>
      <c r="AB537" s="1">
        <v>2573</v>
      </c>
      <c r="AC537" s="1">
        <v>0</v>
      </c>
      <c r="AD537" s="1">
        <v>1</v>
      </c>
      <c r="AE537" s="1">
        <v>0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>
        <v>0</v>
      </c>
      <c r="AL537" s="1">
        <v>870</v>
      </c>
      <c r="AM537" s="2">
        <v>42276</v>
      </c>
      <c r="AN537" t="str">
        <f t="shared" si="17"/>
        <v>62820,923,0.0146927730022286,0,0,51,398,61,265,138,61,53,1,3,4,6,1,0,0,0,0,0,0,0,66,66+,2573,0,1,0,0,0,0,1,0,0,870,42276</v>
      </c>
    </row>
    <row r="538" spans="1:40" ht="13" hidden="1" x14ac:dyDescent="0.15">
      <c r="A538">
        <v>1784</v>
      </c>
      <c r="B538" s="1">
        <v>70053</v>
      </c>
      <c r="C538" s="1">
        <v>923</v>
      </c>
      <c r="D538" s="4">
        <f t="shared" si="16"/>
        <v>1.3175738369520221E-2</v>
      </c>
      <c r="E538" s="1">
        <v>0</v>
      </c>
      <c r="F538" s="1">
        <v>1</v>
      </c>
      <c r="G538" s="1">
        <v>38</v>
      </c>
      <c r="H538" s="1">
        <v>512</v>
      </c>
      <c r="I538" s="1">
        <v>53</v>
      </c>
      <c r="J538" s="1">
        <v>98</v>
      </c>
      <c r="K538" s="1">
        <v>81</v>
      </c>
      <c r="L538" s="1">
        <v>179</v>
      </c>
      <c r="M538" s="1">
        <v>89</v>
      </c>
      <c r="N538" s="1">
        <v>3</v>
      </c>
      <c r="O538" s="1">
        <v>8</v>
      </c>
      <c r="P538" s="1">
        <v>5</v>
      </c>
      <c r="Q538" s="1">
        <v>10</v>
      </c>
      <c r="R538" s="1">
        <v>5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55</v>
      </c>
      <c r="AA538" s="1" t="str" cm="1">
        <f t="array" ref="AA538">_xlfn.IFS(AND(Z538&lt;36, Z538&gt;23), "24-35", AND(Z538&lt;51, Z538&gt;35),"36-50", AND(Z538&lt;66, Z538&gt;50), "51-66", Z538&gt;65, "66+", TRUE, "?")</f>
        <v>51-66</v>
      </c>
      <c r="AB538" s="1">
        <v>2520</v>
      </c>
      <c r="AC538" s="1">
        <v>0</v>
      </c>
      <c r="AD538" s="1">
        <v>1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1</v>
      </c>
      <c r="AK538" s="1">
        <v>0</v>
      </c>
      <c r="AL538" s="1">
        <v>834</v>
      </c>
      <c r="AM538" s="2">
        <v>42329</v>
      </c>
      <c r="AN538" t="str">
        <f t="shared" si="17"/>
        <v>70053,923,0.0131757383695202,0,1,38,512,53,98,81,179,89,3,8,5,10,5,0,0,0,0,0,0,0,55,51-66,2520,0,1,0,0,0,0,0,1,0,834,42329</v>
      </c>
    </row>
    <row r="539" spans="1:40" ht="13" hidden="1" x14ac:dyDescent="0.15">
      <c r="A539">
        <v>1548</v>
      </c>
      <c r="B539" s="1">
        <v>58350</v>
      </c>
      <c r="C539" s="1">
        <v>921</v>
      </c>
      <c r="D539" s="4">
        <f t="shared" si="16"/>
        <v>1.5784061696658098E-2</v>
      </c>
      <c r="E539" s="1">
        <v>0</v>
      </c>
      <c r="F539" s="1">
        <v>1</v>
      </c>
      <c r="G539" s="1">
        <v>5</v>
      </c>
      <c r="H539" s="1">
        <v>493</v>
      </c>
      <c r="I539" s="1">
        <v>26</v>
      </c>
      <c r="J539" s="1">
        <v>206</v>
      </c>
      <c r="K539" s="1">
        <v>116</v>
      </c>
      <c r="L539" s="1">
        <v>80</v>
      </c>
      <c r="M539" s="1">
        <v>80</v>
      </c>
      <c r="N539" s="1">
        <v>4</v>
      </c>
      <c r="O539" s="1">
        <v>8</v>
      </c>
      <c r="P539" s="1">
        <v>3</v>
      </c>
      <c r="Q539" s="1">
        <v>12</v>
      </c>
      <c r="R539" s="1">
        <v>6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49</v>
      </c>
      <c r="AA539" s="1" t="str" cm="1">
        <f t="array" ref="AA539">_xlfn.IFS(AND(Z539&lt;36, Z539&gt;23), "24-35", AND(Z539&lt;51, Z539&gt;35),"36-50", AND(Z539&lt;66, Z539&gt;50), "51-66", Z539&gt;65, "66+", TRUE, "?")</f>
        <v>36-50</v>
      </c>
      <c r="AB539" s="1">
        <v>2700</v>
      </c>
      <c r="AC539" s="1">
        <v>0</v>
      </c>
      <c r="AD539" s="1">
        <v>0</v>
      </c>
      <c r="AE539" s="1">
        <v>1</v>
      </c>
      <c r="AF539" s="1">
        <v>0</v>
      </c>
      <c r="AG539" s="1">
        <v>0</v>
      </c>
      <c r="AH539" s="1">
        <v>0</v>
      </c>
      <c r="AI539" s="1">
        <v>1</v>
      </c>
      <c r="AJ539" s="1">
        <v>0</v>
      </c>
      <c r="AK539" s="1">
        <v>0</v>
      </c>
      <c r="AL539" s="1">
        <v>841</v>
      </c>
      <c r="AM539" s="2">
        <v>42149</v>
      </c>
      <c r="AN539" t="str">
        <f t="shared" si="17"/>
        <v>58350,921,0.0157840616966581,0,1,5,493,26,206,116,80,80,4,8,3,12,6,0,0,0,0,0,0,0,49,36-50,2700,0,0,1,0,0,0,1,0,0,841,42149</v>
      </c>
    </row>
    <row r="540" spans="1:40" ht="13" hidden="1" x14ac:dyDescent="0.15">
      <c r="A540">
        <v>1089</v>
      </c>
      <c r="B540" s="1">
        <v>57304</v>
      </c>
      <c r="C540" s="1">
        <v>920</v>
      </c>
      <c r="D540" s="4">
        <f t="shared" si="16"/>
        <v>1.6054725673600445E-2</v>
      </c>
      <c r="E540" s="1">
        <v>0</v>
      </c>
      <c r="F540" s="1">
        <v>1</v>
      </c>
      <c r="G540" s="1">
        <v>61</v>
      </c>
      <c r="H540" s="1">
        <v>356</v>
      </c>
      <c r="I540" s="1">
        <v>80</v>
      </c>
      <c r="J540" s="1">
        <v>329</v>
      </c>
      <c r="K540" s="1">
        <v>138</v>
      </c>
      <c r="L540" s="1">
        <v>17</v>
      </c>
      <c r="M540" s="1">
        <v>106</v>
      </c>
      <c r="N540" s="1">
        <v>2</v>
      </c>
      <c r="O540" s="1">
        <v>7</v>
      </c>
      <c r="P540" s="1">
        <v>6</v>
      </c>
      <c r="Q540" s="1">
        <v>10</v>
      </c>
      <c r="R540" s="1">
        <v>5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69</v>
      </c>
      <c r="AA540" s="1" t="str" cm="1">
        <f t="array" ref="AA540">_xlfn.IFS(AND(Z540&lt;36, Z540&gt;23), "24-35", AND(Z540&lt;51, Z540&gt;35),"36-50", AND(Z540&lt;66, Z540&gt;50), "51-66", Z540&gt;65, "66+", TRUE, "?")</f>
        <v>66+</v>
      </c>
      <c r="AB540" s="1">
        <v>2634</v>
      </c>
      <c r="AC540" s="1">
        <v>0</v>
      </c>
      <c r="AD540" s="1">
        <v>1</v>
      </c>
      <c r="AE540" s="1">
        <v>0</v>
      </c>
      <c r="AF540" s="1">
        <v>0</v>
      </c>
      <c r="AG540" s="1">
        <v>0</v>
      </c>
      <c r="AH540" s="1">
        <v>0</v>
      </c>
      <c r="AI540" s="1">
        <v>1</v>
      </c>
      <c r="AJ540" s="1">
        <v>0</v>
      </c>
      <c r="AK540" s="1">
        <v>0</v>
      </c>
      <c r="AL540" s="1">
        <v>814</v>
      </c>
      <c r="AM540" s="2">
        <v>42215</v>
      </c>
      <c r="AN540" t="str">
        <f t="shared" si="17"/>
        <v>57304,920,0.0160547256736004,0,1,61,356,80,329,138,17,106,2,7,6,10,5,0,0,0,0,0,0,0,69,66+,2634,0,1,0,0,0,0,1,0,0,814,42215</v>
      </c>
    </row>
    <row r="541" spans="1:40" ht="13" hidden="1" x14ac:dyDescent="0.15">
      <c r="A541">
        <v>918</v>
      </c>
      <c r="B541" s="1">
        <v>83715</v>
      </c>
      <c r="C541" s="1">
        <v>918</v>
      </c>
      <c r="D541" s="4">
        <f t="shared" si="16"/>
        <v>1.0965776742519261E-2</v>
      </c>
      <c r="E541" s="1">
        <v>0</v>
      </c>
      <c r="F541" s="1">
        <v>0</v>
      </c>
      <c r="G541" s="1">
        <v>2</v>
      </c>
      <c r="H541" s="1">
        <v>318</v>
      </c>
      <c r="I541" s="1">
        <v>8</v>
      </c>
      <c r="J541" s="1">
        <v>407</v>
      </c>
      <c r="K541" s="1">
        <v>150</v>
      </c>
      <c r="L541" s="1">
        <v>35</v>
      </c>
      <c r="M541" s="1">
        <v>8</v>
      </c>
      <c r="N541" s="1">
        <v>1</v>
      </c>
      <c r="O541" s="1">
        <v>2</v>
      </c>
      <c r="P541" s="1">
        <v>8</v>
      </c>
      <c r="Q541" s="1">
        <v>13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58</v>
      </c>
      <c r="AA541" s="1" t="str" cm="1">
        <f t="array" ref="AA541">_xlfn.IFS(AND(Z541&lt;36, Z541&gt;23), "24-35", AND(Z541&lt;51, Z541&gt;35),"36-50", AND(Z541&lt;66, Z541&gt;50), "51-66", Z541&gt;65, "66+", TRUE, "?")</f>
        <v>51-66</v>
      </c>
      <c r="AB541" s="1">
        <v>2305</v>
      </c>
      <c r="AC541" s="1">
        <v>0</v>
      </c>
      <c r="AD541" s="1">
        <v>1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910</v>
      </c>
      <c r="AM541" s="2">
        <v>42544</v>
      </c>
      <c r="AN541" t="str">
        <f t="shared" si="17"/>
        <v>83715,918,0.0109657767425193,0,0,2,318,8,407,150,35,8,1,2,8,13,0,0,0,0,0,0,0,0,58,51-66,2305,0,1,0,0,0,0,1,0,0,910,42544</v>
      </c>
    </row>
    <row r="542" spans="1:40" ht="13" hidden="1" x14ac:dyDescent="0.15">
      <c r="A542">
        <v>706</v>
      </c>
      <c r="B542" s="1">
        <v>63855</v>
      </c>
      <c r="C542" s="1">
        <v>917</v>
      </c>
      <c r="D542" s="4">
        <f t="shared" si="16"/>
        <v>1.4360660872288778E-2</v>
      </c>
      <c r="E542" s="1">
        <v>0</v>
      </c>
      <c r="F542" s="1">
        <v>0</v>
      </c>
      <c r="G542" s="1">
        <v>28</v>
      </c>
      <c r="H542" s="1">
        <v>359</v>
      </c>
      <c r="I542" s="1">
        <v>35</v>
      </c>
      <c r="J542" s="1">
        <v>314</v>
      </c>
      <c r="K542" s="1">
        <v>93</v>
      </c>
      <c r="L542" s="1">
        <v>116</v>
      </c>
      <c r="M542" s="1">
        <v>89</v>
      </c>
      <c r="N542" s="1">
        <v>1</v>
      </c>
      <c r="O542" s="1">
        <v>7</v>
      </c>
      <c r="P542" s="1">
        <v>3</v>
      </c>
      <c r="Q542" s="1">
        <v>13</v>
      </c>
      <c r="R542" s="1">
        <v>4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42</v>
      </c>
      <c r="AA542" s="1" t="str" cm="1">
        <f t="array" ref="AA542">_xlfn.IFS(AND(Z542&lt;36, Z542&gt;23), "24-35", AND(Z542&lt;51, Z542&gt;35),"36-50", AND(Z542&lt;66, Z542&gt;50), "51-66", Z542&gt;65, "66+", TRUE, "?")</f>
        <v>36-50</v>
      </c>
      <c r="AB542" s="1">
        <v>2664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1</v>
      </c>
      <c r="AI542" s="1">
        <v>0</v>
      </c>
      <c r="AJ542" s="1">
        <v>0</v>
      </c>
      <c r="AK542" s="1">
        <v>0</v>
      </c>
      <c r="AL542" s="1">
        <v>828</v>
      </c>
      <c r="AM542" s="2">
        <v>42185</v>
      </c>
      <c r="AN542" t="str">
        <f t="shared" si="17"/>
        <v>63855,917,0.0143606608722888,0,0,28,359,35,314,93,116,89,1,7,3,13,4,0,0,0,0,0,0,0,42,36-50,2664,0,0,0,1,0,1,0,0,0,828,42185</v>
      </c>
    </row>
    <row r="543" spans="1:40" ht="13" hidden="1" x14ac:dyDescent="0.15">
      <c r="A543">
        <v>1661</v>
      </c>
      <c r="B543" s="1">
        <v>52513</v>
      </c>
      <c r="C543" s="1">
        <v>917</v>
      </c>
      <c r="D543" s="4">
        <f t="shared" si="16"/>
        <v>1.7462342658008494E-2</v>
      </c>
      <c r="E543" s="1">
        <v>0</v>
      </c>
      <c r="F543" s="1">
        <v>0</v>
      </c>
      <c r="G543" s="1">
        <v>84</v>
      </c>
      <c r="H543" s="1">
        <v>367</v>
      </c>
      <c r="I543" s="1">
        <v>17</v>
      </c>
      <c r="J543" s="1">
        <v>241</v>
      </c>
      <c r="K543" s="1">
        <v>104</v>
      </c>
      <c r="L543" s="1">
        <v>188</v>
      </c>
      <c r="M543" s="1">
        <v>232</v>
      </c>
      <c r="N543" s="1">
        <v>2</v>
      </c>
      <c r="O543" s="1">
        <v>9</v>
      </c>
      <c r="P543" s="1">
        <v>5</v>
      </c>
      <c r="Q543" s="1">
        <v>9</v>
      </c>
      <c r="R543" s="1">
        <v>7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42</v>
      </c>
      <c r="AA543" s="1" t="str" cm="1">
        <f t="array" ref="AA543">_xlfn.IFS(AND(Z543&lt;36, Z543&gt;23), "24-35", AND(Z543&lt;51, Z543&gt;35),"36-50", AND(Z543&lt;66, Z543&gt;50), "51-66", Z543&gt;65, "66+", TRUE, "?")</f>
        <v>36-50</v>
      </c>
      <c r="AB543" s="1">
        <v>2822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1</v>
      </c>
      <c r="AI543" s="1">
        <v>0</v>
      </c>
      <c r="AJ543" s="1">
        <v>0</v>
      </c>
      <c r="AK543" s="1">
        <v>0</v>
      </c>
      <c r="AL543" s="1">
        <v>685</v>
      </c>
      <c r="AM543" s="2">
        <v>42027</v>
      </c>
      <c r="AN543" t="str">
        <f t="shared" si="17"/>
        <v>52513,917,0.0174623426580085,0,0,84,367,17,241,104,188,232,2,9,5,9,7,0,0,0,0,0,0,0,42,36-50,2822,0,0,0,1,0,1,0,0,0,685,42027</v>
      </c>
    </row>
    <row r="544" spans="1:40" ht="13" hidden="1" x14ac:dyDescent="0.15">
      <c r="A544">
        <v>475</v>
      </c>
      <c r="B544" s="1">
        <v>65665</v>
      </c>
      <c r="C544" s="1">
        <v>916</v>
      </c>
      <c r="D544" s="4">
        <f t="shared" si="16"/>
        <v>1.394959262925455E-2</v>
      </c>
      <c r="E544" s="1">
        <v>0</v>
      </c>
      <c r="F544" s="1">
        <v>1</v>
      </c>
      <c r="G544" s="1">
        <v>77</v>
      </c>
      <c r="H544" s="1">
        <v>225</v>
      </c>
      <c r="I544" s="1">
        <v>162</v>
      </c>
      <c r="J544" s="1">
        <v>387</v>
      </c>
      <c r="K544" s="1">
        <v>106</v>
      </c>
      <c r="L544" s="1">
        <v>36</v>
      </c>
      <c r="M544" s="1">
        <v>29</v>
      </c>
      <c r="N544" s="1">
        <v>1</v>
      </c>
      <c r="O544" s="1">
        <v>5</v>
      </c>
      <c r="P544" s="1">
        <v>10</v>
      </c>
      <c r="Q544" s="1">
        <v>8</v>
      </c>
      <c r="R544" s="1">
        <v>3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44</v>
      </c>
      <c r="AA544" s="1" t="str" cm="1">
        <f t="array" ref="AA544">_xlfn.IFS(AND(Z544&lt;36, Z544&gt;23), "24-35", AND(Z544&lt;51, Z544&gt;35),"36-50", AND(Z544&lt;66, Z544&gt;50), "51-66", Z544&gt;65, "66+", TRUE, "?")</f>
        <v>36-50</v>
      </c>
      <c r="AB544" s="1">
        <v>2368</v>
      </c>
      <c r="AC544" s="1">
        <v>0</v>
      </c>
      <c r="AD544" s="1">
        <v>1</v>
      </c>
      <c r="AE544" s="1">
        <v>0</v>
      </c>
      <c r="AF544" s="1">
        <v>0</v>
      </c>
      <c r="AG544" s="1">
        <v>0</v>
      </c>
      <c r="AH544" s="1">
        <v>0</v>
      </c>
      <c r="AI544" s="1">
        <v>1</v>
      </c>
      <c r="AJ544" s="1">
        <v>0</v>
      </c>
      <c r="AK544" s="1">
        <v>0</v>
      </c>
      <c r="AL544" s="1">
        <v>887</v>
      </c>
      <c r="AM544" s="2">
        <v>42481</v>
      </c>
      <c r="AN544" t="str">
        <f t="shared" si="17"/>
        <v>65665,916,0.0139495926292545,0,1,77,225,162,387,106,36,29,1,5,10,8,3,0,0,0,0,0,0,0,44,36-50,2368,0,1,0,0,0,0,1,0,0,887,42481</v>
      </c>
    </row>
    <row r="545" spans="1:40" ht="13" hidden="1" x14ac:dyDescent="0.15">
      <c r="A545">
        <v>699</v>
      </c>
      <c r="B545" s="1">
        <v>71163</v>
      </c>
      <c r="C545" s="1">
        <v>916</v>
      </c>
      <c r="D545" s="4">
        <f t="shared" si="16"/>
        <v>1.2871857566431994E-2</v>
      </c>
      <c r="E545" s="1">
        <v>0</v>
      </c>
      <c r="F545" s="1">
        <v>0</v>
      </c>
      <c r="G545" s="1">
        <v>30</v>
      </c>
      <c r="H545" s="1">
        <v>283</v>
      </c>
      <c r="I545" s="1">
        <v>17</v>
      </c>
      <c r="J545" s="1">
        <v>372</v>
      </c>
      <c r="K545" s="1">
        <v>138</v>
      </c>
      <c r="L545" s="1">
        <v>106</v>
      </c>
      <c r="M545" s="1">
        <v>44</v>
      </c>
      <c r="N545" s="1">
        <v>1</v>
      </c>
      <c r="O545" s="1">
        <v>3</v>
      </c>
      <c r="P545" s="1">
        <v>8</v>
      </c>
      <c r="Q545" s="1">
        <v>12</v>
      </c>
      <c r="R545" s="1">
        <v>1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25</v>
      </c>
      <c r="AA545" s="1" t="str" cm="1">
        <f t="array" ref="AA545">_xlfn.IFS(AND(Z545&lt;36, Z545&gt;23), "24-35", AND(Z545&lt;51, Z545&gt;35),"36-50", AND(Z545&lt;66, Z545&gt;50), "51-66", Z545&gt;65, "66+", TRUE, "?")</f>
        <v>24-35</v>
      </c>
      <c r="AB545" s="1">
        <v>2271</v>
      </c>
      <c r="AC545" s="1">
        <v>0</v>
      </c>
      <c r="AD545" s="1">
        <v>0</v>
      </c>
      <c r="AE545" s="1">
        <v>1</v>
      </c>
      <c r="AF545" s="1">
        <v>0</v>
      </c>
      <c r="AG545" s="1">
        <v>0</v>
      </c>
      <c r="AH545" s="1">
        <v>0</v>
      </c>
      <c r="AI545" s="1">
        <v>1</v>
      </c>
      <c r="AJ545" s="1">
        <v>0</v>
      </c>
      <c r="AK545" s="1">
        <v>0</v>
      </c>
      <c r="AL545" s="1">
        <v>872</v>
      </c>
      <c r="AM545" s="2">
        <v>42578</v>
      </c>
      <c r="AN545" t="str">
        <f t="shared" si="17"/>
        <v>71163,916,0.012871857566432,0,0,30,283,17,372,138,106,44,1,3,8,12,1,0,0,0,0,0,0,0,25,24-35,2271,0,0,1,0,0,0,1,0,0,872,42578</v>
      </c>
    </row>
    <row r="546" spans="1:40" ht="13" hidden="1" x14ac:dyDescent="0.15">
      <c r="A546">
        <v>1616</v>
      </c>
      <c r="B546" s="1">
        <v>67131</v>
      </c>
      <c r="C546" s="1">
        <v>914</v>
      </c>
      <c r="D546" s="4">
        <f t="shared" si="16"/>
        <v>1.361517033859171E-2</v>
      </c>
      <c r="E546" s="1">
        <v>0</v>
      </c>
      <c r="F546" s="1">
        <v>1</v>
      </c>
      <c r="G546" s="1">
        <v>72</v>
      </c>
      <c r="H546" s="1">
        <v>465</v>
      </c>
      <c r="I546" s="1">
        <v>71</v>
      </c>
      <c r="J546" s="1">
        <v>250</v>
      </c>
      <c r="K546" s="1">
        <v>93</v>
      </c>
      <c r="L546" s="1">
        <v>35</v>
      </c>
      <c r="M546" s="1">
        <v>62</v>
      </c>
      <c r="N546" s="1">
        <v>3</v>
      </c>
      <c r="O546" s="1">
        <v>9</v>
      </c>
      <c r="P546" s="1">
        <v>2</v>
      </c>
      <c r="Q546" s="1">
        <v>12</v>
      </c>
      <c r="R546" s="1">
        <v>6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64</v>
      </c>
      <c r="AA546" s="1" t="str" cm="1">
        <f t="array" ref="AA546">_xlfn.IFS(AND(Z546&lt;36, Z546&gt;23), "24-35", AND(Z546&lt;51, Z546&gt;35),"36-50", AND(Z546&lt;66, Z546&gt;50), "51-66", Z546&gt;65, "66+", TRUE, "?")</f>
        <v>51-66</v>
      </c>
      <c r="AB546" s="1">
        <v>2619</v>
      </c>
      <c r="AC546" s="1">
        <v>0</v>
      </c>
      <c r="AD546" s="1">
        <v>1</v>
      </c>
      <c r="AE546" s="1">
        <v>0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>
        <v>0</v>
      </c>
      <c r="AL546" s="1">
        <v>852</v>
      </c>
      <c r="AM546" s="2">
        <v>42230</v>
      </c>
      <c r="AN546" t="str">
        <f t="shared" si="17"/>
        <v>67131,914,0.0136151703385917,0,1,72,465,71,250,93,35,62,3,9,2,12,6,0,0,0,0,0,0,0,64,51-66,2619,0,1,0,0,0,0,1,0,0,852,42230</v>
      </c>
    </row>
    <row r="547" spans="1:40" ht="13" hidden="1" x14ac:dyDescent="0.15">
      <c r="A547">
        <v>620</v>
      </c>
      <c r="B547" s="1">
        <v>58330</v>
      </c>
      <c r="C547" s="1">
        <v>913</v>
      </c>
      <c r="D547" s="4">
        <f t="shared" si="16"/>
        <v>1.5652322989885135E-2</v>
      </c>
      <c r="E547" s="1">
        <v>0</v>
      </c>
      <c r="F547" s="1">
        <v>1</v>
      </c>
      <c r="G547" s="1">
        <v>87</v>
      </c>
      <c r="H547" s="1">
        <v>445</v>
      </c>
      <c r="I547" s="1">
        <v>53</v>
      </c>
      <c r="J547" s="1">
        <v>213</v>
      </c>
      <c r="K547" s="1">
        <v>104</v>
      </c>
      <c r="L547" s="1">
        <v>98</v>
      </c>
      <c r="M547" s="1">
        <v>151</v>
      </c>
      <c r="N547" s="1">
        <v>1</v>
      </c>
      <c r="O547" s="1">
        <v>6</v>
      </c>
      <c r="P547" s="1">
        <v>4</v>
      </c>
      <c r="Q547" s="1">
        <v>13</v>
      </c>
      <c r="R547" s="1">
        <v>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45</v>
      </c>
      <c r="AA547" s="1" t="str" cm="1">
        <f t="array" ref="AA547">_xlfn.IFS(AND(Z547&lt;36, Z547&gt;23), "24-35", AND(Z547&lt;51, Z547&gt;35),"36-50", AND(Z547&lt;66, Z547&gt;50), "51-66", Z547&gt;65, "66+", TRUE, "?")</f>
        <v>36-50</v>
      </c>
      <c r="AB547" s="1">
        <v>2345</v>
      </c>
      <c r="AC547" s="1">
        <v>0</v>
      </c>
      <c r="AD547" s="1">
        <v>0</v>
      </c>
      <c r="AE547" s="1">
        <v>0</v>
      </c>
      <c r="AF547" s="1">
        <v>0</v>
      </c>
      <c r="AG547" s="1">
        <v>1</v>
      </c>
      <c r="AH547" s="1">
        <v>0</v>
      </c>
      <c r="AI547" s="1">
        <v>1</v>
      </c>
      <c r="AJ547" s="1">
        <v>0</v>
      </c>
      <c r="AK547" s="1">
        <v>0</v>
      </c>
      <c r="AL547" s="1">
        <v>762</v>
      </c>
      <c r="AM547" s="2">
        <v>42504</v>
      </c>
      <c r="AN547" t="str">
        <f t="shared" si="17"/>
        <v>58330,913,0.0156523229898851,0,1,87,445,53,213,104,98,151,1,6,4,13,4,0,0,0,0,0,0,0,45,36-50,2345,0,0,0,0,1,0,1,0,0,762,42504</v>
      </c>
    </row>
    <row r="548" spans="1:40" ht="13" hidden="1" x14ac:dyDescent="0.15">
      <c r="A548">
        <v>1891</v>
      </c>
      <c r="B548" s="1">
        <v>87000</v>
      </c>
      <c r="C548" s="1">
        <v>912</v>
      </c>
      <c r="D548" s="4">
        <f t="shared" si="16"/>
        <v>1.0482758620689656E-2</v>
      </c>
      <c r="E548" s="1">
        <v>0</v>
      </c>
      <c r="F548" s="1">
        <v>0</v>
      </c>
      <c r="G548" s="1">
        <v>61</v>
      </c>
      <c r="H548" s="1">
        <v>196</v>
      </c>
      <c r="I548" s="1">
        <v>25</v>
      </c>
      <c r="J548" s="1">
        <v>607</v>
      </c>
      <c r="K548" s="1">
        <v>67</v>
      </c>
      <c r="L548" s="1">
        <v>17</v>
      </c>
      <c r="M548" s="1">
        <v>49</v>
      </c>
      <c r="N548" s="1">
        <v>1</v>
      </c>
      <c r="O548" s="1">
        <v>4</v>
      </c>
      <c r="P548" s="1">
        <v>6</v>
      </c>
      <c r="Q548" s="1">
        <v>7</v>
      </c>
      <c r="R548" s="1">
        <v>2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28</v>
      </c>
      <c r="AA548" s="1" t="str" cm="1">
        <f t="array" ref="AA548">_xlfn.IFS(AND(Z548&lt;36, Z548&gt;23), "24-35", AND(Z548&lt;51, Z548&gt;35),"36-50", AND(Z548&lt;66, Z548&gt;50), "51-66", Z548&gt;65, "66+", TRUE, "?")</f>
        <v>24-35</v>
      </c>
      <c r="AB548" s="1">
        <v>2720</v>
      </c>
      <c r="AC548" s="1">
        <v>0</v>
      </c>
      <c r="AD548" s="1">
        <v>1</v>
      </c>
      <c r="AE548" s="1">
        <v>0</v>
      </c>
      <c r="AF548" s="1">
        <v>0</v>
      </c>
      <c r="AG548" s="1">
        <v>0</v>
      </c>
      <c r="AH548" s="1">
        <v>1</v>
      </c>
      <c r="AI548" s="1">
        <v>0</v>
      </c>
      <c r="AJ548" s="1">
        <v>0</v>
      </c>
      <c r="AK548" s="1">
        <v>0</v>
      </c>
      <c r="AL548" s="1">
        <v>863</v>
      </c>
      <c r="AM548" s="2">
        <v>42129</v>
      </c>
      <c r="AN548" t="str">
        <f t="shared" si="17"/>
        <v>87000,912,0.0104827586206897,0,0,61,196,25,607,67,17,49,1,4,6,7,2,0,0,0,0,0,0,0,28,24-35,2720,0,1,0,0,0,1,0,0,0,863,42129</v>
      </c>
    </row>
    <row r="549" spans="1:40" ht="13" hidden="1" x14ac:dyDescent="0.15">
      <c r="A549">
        <v>1276</v>
      </c>
      <c r="B549" s="1">
        <v>52203</v>
      </c>
      <c r="C549" s="1">
        <v>911</v>
      </c>
      <c r="D549" s="4">
        <f t="shared" si="16"/>
        <v>1.74511043426623E-2</v>
      </c>
      <c r="E549" s="1">
        <v>0</v>
      </c>
      <c r="F549" s="1">
        <v>0</v>
      </c>
      <c r="G549" s="1">
        <v>36</v>
      </c>
      <c r="H549" s="1">
        <v>488</v>
      </c>
      <c r="I549" s="1">
        <v>21</v>
      </c>
      <c r="J549" s="1">
        <v>238</v>
      </c>
      <c r="K549" s="1">
        <v>56</v>
      </c>
      <c r="L549" s="1">
        <v>108</v>
      </c>
      <c r="M549" s="1">
        <v>28</v>
      </c>
      <c r="N549" s="1">
        <v>1</v>
      </c>
      <c r="O549" s="1">
        <v>8</v>
      </c>
      <c r="P549" s="1">
        <v>7</v>
      </c>
      <c r="Q549" s="1">
        <v>11</v>
      </c>
      <c r="R549" s="1">
        <v>6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70</v>
      </c>
      <c r="AA549" s="1" t="str" cm="1">
        <f t="array" ref="AA549">_xlfn.IFS(AND(Z549&lt;36, Z549&gt;23), "24-35", AND(Z549&lt;51, Z549&gt;35),"36-50", AND(Z549&lt;66, Z549&gt;50), "51-66", Z549&gt;65, "66+", TRUE, "?")</f>
        <v>66+</v>
      </c>
      <c r="AB549" s="1">
        <v>2857</v>
      </c>
      <c r="AC549" s="1">
        <v>0</v>
      </c>
      <c r="AD549" s="1">
        <v>0</v>
      </c>
      <c r="AE549" s="1">
        <v>0</v>
      </c>
      <c r="AF549" s="1">
        <v>1</v>
      </c>
      <c r="AG549" s="1">
        <v>0</v>
      </c>
      <c r="AH549" s="1">
        <v>1</v>
      </c>
      <c r="AI549" s="1">
        <v>0</v>
      </c>
      <c r="AJ549" s="1">
        <v>0</v>
      </c>
      <c r="AK549" s="1">
        <v>0</v>
      </c>
      <c r="AL549" s="1">
        <v>883</v>
      </c>
      <c r="AM549" s="2">
        <v>41992</v>
      </c>
      <c r="AN549" t="str">
        <f t="shared" si="17"/>
        <v>52203,911,0.0174511043426623,0,0,36,488,21,238,56,108,28,1,8,7,11,6,0,0,0,0,0,0,0,70,66+,2857,0,0,0,1,0,1,0,0,0,883,41992</v>
      </c>
    </row>
    <row r="550" spans="1:40" ht="13" hidden="1" x14ac:dyDescent="0.15">
      <c r="A550">
        <v>1425</v>
      </c>
      <c r="B550" s="1">
        <v>74881</v>
      </c>
      <c r="C550" s="1">
        <v>910</v>
      </c>
      <c r="D550" s="4">
        <f t="shared" si="16"/>
        <v>1.2152615483233396E-2</v>
      </c>
      <c r="E550" s="1">
        <v>1</v>
      </c>
      <c r="F550" s="1">
        <v>1</v>
      </c>
      <c r="G550" s="1">
        <v>48</v>
      </c>
      <c r="H550" s="1">
        <v>505</v>
      </c>
      <c r="I550" s="1">
        <v>72</v>
      </c>
      <c r="J550" s="1">
        <v>270</v>
      </c>
      <c r="K550" s="1">
        <v>36</v>
      </c>
      <c r="L550" s="1">
        <v>27</v>
      </c>
      <c r="M550" s="1">
        <v>54</v>
      </c>
      <c r="N550" s="1">
        <v>4</v>
      </c>
      <c r="O550" s="1">
        <v>9</v>
      </c>
      <c r="P550" s="1">
        <v>2</v>
      </c>
      <c r="Q550" s="1">
        <v>12</v>
      </c>
      <c r="R550" s="1">
        <v>5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59</v>
      </c>
      <c r="AA550" s="1" t="str" cm="1">
        <f t="array" ref="AA550">_xlfn.IFS(AND(Z550&lt;36, Z550&gt;23), "24-35", AND(Z550&lt;51, Z550&gt;35),"36-50", AND(Z550&lt;66, Z550&gt;50), "51-66", Z550&gt;65, "66+", TRUE, "?")</f>
        <v>51-66</v>
      </c>
      <c r="AB550" s="1">
        <v>2637</v>
      </c>
      <c r="AC550" s="1">
        <v>0</v>
      </c>
      <c r="AD550" s="1">
        <v>0</v>
      </c>
      <c r="AE550" s="1">
        <v>0</v>
      </c>
      <c r="AF550" s="1">
        <v>1</v>
      </c>
      <c r="AG550" s="1">
        <v>0</v>
      </c>
      <c r="AH550" s="1">
        <v>0</v>
      </c>
      <c r="AI550" s="1">
        <v>0</v>
      </c>
      <c r="AJ550" s="1">
        <v>1</v>
      </c>
      <c r="AK550" s="1">
        <v>0</v>
      </c>
      <c r="AL550" s="1">
        <v>856</v>
      </c>
      <c r="AM550" s="2">
        <v>42212</v>
      </c>
      <c r="AN550" t="str">
        <f t="shared" si="17"/>
        <v>74881,910,0.0121526154832334,1,1,48,505,72,270,36,27,54,4,9,2,12,5,0,0,0,0,0,0,0,59,51-66,2637,0,0,0,1,0,0,0,1,0,856,42212</v>
      </c>
    </row>
    <row r="551" spans="1:40" ht="13" hidden="1" x14ac:dyDescent="0.15">
      <c r="A551">
        <v>595</v>
      </c>
      <c r="B551" s="1">
        <v>65488</v>
      </c>
      <c r="C551" s="1">
        <v>909</v>
      </c>
      <c r="D551" s="4">
        <f t="shared" si="16"/>
        <v>1.3880405570486197E-2</v>
      </c>
      <c r="E551" s="1">
        <v>0</v>
      </c>
      <c r="F551" s="1">
        <v>0</v>
      </c>
      <c r="G551" s="1">
        <v>46</v>
      </c>
      <c r="H551" s="1">
        <v>603</v>
      </c>
      <c r="I551" s="1">
        <v>45</v>
      </c>
      <c r="J551" s="1">
        <v>207</v>
      </c>
      <c r="K551" s="1">
        <v>36</v>
      </c>
      <c r="L551" s="1">
        <v>18</v>
      </c>
      <c r="M551" s="1">
        <v>54</v>
      </c>
      <c r="N551" s="1">
        <v>1</v>
      </c>
      <c r="O551" s="1">
        <v>3</v>
      </c>
      <c r="P551" s="1">
        <v>4</v>
      </c>
      <c r="Q551" s="1">
        <v>6</v>
      </c>
      <c r="R551" s="1">
        <v>1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62</v>
      </c>
      <c r="AA551" s="1" t="str" cm="1">
        <f t="array" ref="AA551">_xlfn.IFS(AND(Z551&lt;36, Z551&gt;23), "24-35", AND(Z551&lt;51, Z551&gt;35),"36-50", AND(Z551&lt;66, Z551&gt;50), "51-66", Z551&gt;65, "66+", TRUE, "?")</f>
        <v>51-66</v>
      </c>
      <c r="AB551" s="1">
        <v>2175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0</v>
      </c>
      <c r="AJ551" s="1">
        <v>0</v>
      </c>
      <c r="AK551" s="1">
        <v>1</v>
      </c>
      <c r="AL551" s="1">
        <v>855</v>
      </c>
      <c r="AM551" s="2">
        <v>42674</v>
      </c>
      <c r="AN551" t="str">
        <f t="shared" si="17"/>
        <v>65488,909,0.0138804055704862,0,0,46,603,45,207,36,18,54,1,3,4,6,1,0,0,0,0,0,0,0,62,51-66,2175,0,0,0,1,0,0,0,0,1,855,42674</v>
      </c>
    </row>
    <row r="552" spans="1:40" ht="13" hidden="1" x14ac:dyDescent="0.15">
      <c r="A552">
        <v>1124</v>
      </c>
      <c r="B552" s="1">
        <v>78075</v>
      </c>
      <c r="C552" s="1">
        <v>908</v>
      </c>
      <c r="D552" s="4">
        <f t="shared" si="16"/>
        <v>1.1629843099583734E-2</v>
      </c>
      <c r="E552" s="1">
        <v>0</v>
      </c>
      <c r="F552" s="1">
        <v>0</v>
      </c>
      <c r="G552" s="1">
        <v>72</v>
      </c>
      <c r="H552" s="1">
        <v>572</v>
      </c>
      <c r="I552" s="1">
        <v>8</v>
      </c>
      <c r="J552" s="1">
        <v>259</v>
      </c>
      <c r="K552" s="1">
        <v>34</v>
      </c>
      <c r="L552" s="1">
        <v>35</v>
      </c>
      <c r="M552" s="1">
        <v>80</v>
      </c>
      <c r="N552" s="1">
        <v>1</v>
      </c>
      <c r="O552" s="1">
        <v>3</v>
      </c>
      <c r="P552" s="1">
        <v>5</v>
      </c>
      <c r="Q552" s="1">
        <v>5</v>
      </c>
      <c r="R552" s="1">
        <v>1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48</v>
      </c>
      <c r="AA552" s="1" t="str" cm="1">
        <f t="array" ref="AA552">_xlfn.IFS(AND(Z552&lt;36, Z552&gt;23), "24-35", AND(Z552&lt;51, Z552&gt;35),"36-50", AND(Z552&lt;66, Z552&gt;50), "51-66", Z552&gt;65, "66+", TRUE, "?")</f>
        <v>36-50</v>
      </c>
      <c r="AB552" s="1">
        <v>2244</v>
      </c>
      <c r="AC552" s="1">
        <v>0</v>
      </c>
      <c r="AD552" s="1">
        <v>1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1</v>
      </c>
      <c r="AL552" s="1">
        <v>828</v>
      </c>
      <c r="AM552" s="2">
        <v>42605</v>
      </c>
      <c r="AN552" t="str">
        <f t="shared" si="17"/>
        <v>78075,908,0.0116298430995837,0,0,72,572,8,259,34,35,80,1,3,5,5,1,0,0,0,0,0,0,0,48,36-50,2244,0,1,0,0,0,0,0,0,1,828,42605</v>
      </c>
    </row>
    <row r="553" spans="1:40" ht="13" hidden="1" x14ac:dyDescent="0.15">
      <c r="A553">
        <v>1397</v>
      </c>
      <c r="B553" s="1">
        <v>78931</v>
      </c>
      <c r="C553" s="1">
        <v>908</v>
      </c>
      <c r="D553" s="4">
        <f t="shared" si="16"/>
        <v>1.1503718437622735E-2</v>
      </c>
      <c r="E553" s="1">
        <v>0</v>
      </c>
      <c r="F553" s="1">
        <v>0</v>
      </c>
      <c r="G553" s="1">
        <v>19</v>
      </c>
      <c r="H553" s="1">
        <v>331</v>
      </c>
      <c r="I553" s="1">
        <v>197</v>
      </c>
      <c r="J553" s="1">
        <v>170</v>
      </c>
      <c r="K553" s="1">
        <v>58</v>
      </c>
      <c r="L553" s="1">
        <v>152</v>
      </c>
      <c r="M553" s="1">
        <v>35</v>
      </c>
      <c r="N553" s="1">
        <v>1</v>
      </c>
      <c r="O553" s="1">
        <v>2</v>
      </c>
      <c r="P553" s="1">
        <v>8</v>
      </c>
      <c r="Q553" s="1">
        <v>13</v>
      </c>
      <c r="R553" s="1">
        <v>1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49</v>
      </c>
      <c r="AA553" s="1" t="str" cm="1">
        <f t="array" ref="AA553">_xlfn.IFS(AND(Z553&lt;36, Z553&gt;23), "24-35", AND(Z553&lt;51, Z553&gt;35),"36-50", AND(Z553&lt;66, Z553&gt;50), "51-66", Z553&gt;65, "66+", TRUE, "?")</f>
        <v>36-50</v>
      </c>
      <c r="AB553" s="1">
        <v>2406</v>
      </c>
      <c r="AC553" s="1">
        <v>0</v>
      </c>
      <c r="AD553" s="1">
        <v>1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1</v>
      </c>
      <c r="AL553" s="1">
        <v>873</v>
      </c>
      <c r="AM553" s="2">
        <v>42443</v>
      </c>
      <c r="AN553" t="str">
        <f t="shared" si="17"/>
        <v>78931,908,0.0115037184376227,0,0,19,331,197,170,58,152,35,1,2,8,13,1,0,0,0,0,0,0,0,49,36-50,2406,0,1,0,0,0,0,0,0,1,873,42443</v>
      </c>
    </row>
    <row r="554" spans="1:40" ht="13" hidden="1" x14ac:dyDescent="0.15">
      <c r="A554">
        <v>1699</v>
      </c>
      <c r="B554" s="1">
        <v>70886</v>
      </c>
      <c r="C554" s="1">
        <v>907</v>
      </c>
      <c r="D554" s="4">
        <f t="shared" si="16"/>
        <v>1.2795192280563158E-2</v>
      </c>
      <c r="E554" s="1">
        <v>1</v>
      </c>
      <c r="F554" s="1">
        <v>0</v>
      </c>
      <c r="G554" s="1">
        <v>65</v>
      </c>
      <c r="H554" s="1">
        <v>407</v>
      </c>
      <c r="I554" s="1">
        <v>70</v>
      </c>
      <c r="J554" s="1">
        <v>239</v>
      </c>
      <c r="K554" s="1">
        <v>103</v>
      </c>
      <c r="L554" s="1">
        <v>88</v>
      </c>
      <c r="M554" s="1">
        <v>53</v>
      </c>
      <c r="N554" s="1">
        <v>1</v>
      </c>
      <c r="O554" s="1">
        <v>5</v>
      </c>
      <c r="P554" s="1">
        <v>4</v>
      </c>
      <c r="Q554" s="1">
        <v>4</v>
      </c>
      <c r="R554" s="1">
        <v>2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49</v>
      </c>
      <c r="AA554" s="1" t="str" cm="1">
        <f t="array" ref="AA554">_xlfn.IFS(AND(Z554&lt;36, Z554&gt;23), "24-35", AND(Z554&lt;51, Z554&gt;35),"36-50", AND(Z554&lt;66, Z554&gt;50), "51-66", Z554&gt;65, "66+", TRUE, "?")</f>
        <v>36-50</v>
      </c>
      <c r="AB554" s="1">
        <v>2417</v>
      </c>
      <c r="AC554" s="1">
        <v>0</v>
      </c>
      <c r="AD554" s="1">
        <v>1</v>
      </c>
      <c r="AE554" s="1">
        <v>0</v>
      </c>
      <c r="AF554" s="1">
        <v>0</v>
      </c>
      <c r="AG554" s="1">
        <v>0</v>
      </c>
      <c r="AH554" s="1">
        <v>0</v>
      </c>
      <c r="AI554" s="1">
        <v>1</v>
      </c>
      <c r="AJ554" s="1">
        <v>0</v>
      </c>
      <c r="AK554" s="1">
        <v>0</v>
      </c>
      <c r="AL554" s="1">
        <v>854</v>
      </c>
      <c r="AM554" s="2">
        <v>42432</v>
      </c>
      <c r="AN554" t="str">
        <f t="shared" si="17"/>
        <v>70886,907,0.0127951922805632,1,0,65,407,70,239,103,88,53,1,5,4,4,2,0,0,0,0,0,0,0,49,36-50,2417,0,1,0,0,0,0,1,0,0,854,42432</v>
      </c>
    </row>
    <row r="555" spans="1:40" ht="13" hidden="1" x14ac:dyDescent="0.15">
      <c r="A555">
        <v>586</v>
      </c>
      <c r="B555" s="1">
        <v>72298</v>
      </c>
      <c r="C555" s="1">
        <v>904</v>
      </c>
      <c r="D555" s="4">
        <f t="shared" si="16"/>
        <v>1.2503803701347202E-2</v>
      </c>
      <c r="E555" s="1">
        <v>0</v>
      </c>
      <c r="F555" s="1">
        <v>0</v>
      </c>
      <c r="G555" s="1">
        <v>52</v>
      </c>
      <c r="H555" s="1">
        <v>625</v>
      </c>
      <c r="I555" s="1">
        <v>35</v>
      </c>
      <c r="J555" s="1">
        <v>169</v>
      </c>
      <c r="K555" s="1">
        <v>58</v>
      </c>
      <c r="L555" s="1">
        <v>17</v>
      </c>
      <c r="M555" s="1">
        <v>35</v>
      </c>
      <c r="N555" s="1">
        <v>1</v>
      </c>
      <c r="O555" s="1">
        <v>4</v>
      </c>
      <c r="P555" s="1">
        <v>3</v>
      </c>
      <c r="Q555" s="1">
        <v>6</v>
      </c>
      <c r="R555" s="1">
        <v>1</v>
      </c>
      <c r="S555" s="1">
        <v>0</v>
      </c>
      <c r="T555" s="1">
        <v>0</v>
      </c>
      <c r="U555" s="1">
        <v>0</v>
      </c>
      <c r="V555" s="1">
        <v>1</v>
      </c>
      <c r="W555" s="1">
        <v>1</v>
      </c>
      <c r="X555" s="1">
        <v>0</v>
      </c>
      <c r="Y555" s="1">
        <v>0</v>
      </c>
      <c r="Z555" s="1">
        <v>71</v>
      </c>
      <c r="AA555" s="1" t="str" cm="1">
        <f t="array" ref="AA555">_xlfn.IFS(AND(Z555&lt;36, Z555&gt;23), "24-35", AND(Z555&lt;51, Z555&gt;35),"36-50", AND(Z555&lt;66, Z555&gt;50), "51-66", Z555&gt;65, "66+", TRUE, "?")</f>
        <v>66+</v>
      </c>
      <c r="AB555" s="1">
        <v>2270</v>
      </c>
      <c r="AC555" s="1">
        <v>0</v>
      </c>
      <c r="AD555" s="1">
        <v>0</v>
      </c>
      <c r="AE555" s="1">
        <v>0</v>
      </c>
      <c r="AF555" s="1">
        <v>0</v>
      </c>
      <c r="AG555" s="1">
        <v>1</v>
      </c>
      <c r="AH555" s="1">
        <v>0</v>
      </c>
      <c r="AI555" s="1">
        <v>1</v>
      </c>
      <c r="AJ555" s="1">
        <v>0</v>
      </c>
      <c r="AK555" s="1">
        <v>0</v>
      </c>
      <c r="AL555" s="1">
        <v>869</v>
      </c>
      <c r="AM555" s="2">
        <v>42579</v>
      </c>
      <c r="AN555" t="str">
        <f t="shared" si="17"/>
        <v>72298,904,0.0125038037013472,0,0,52,625,35,169,58,17,35,1,4,3,6,1,0,0,0,1,1,0,0,71,66+,2270,0,0,0,0,1,0,1,0,0,869,42579</v>
      </c>
    </row>
    <row r="556" spans="1:40" ht="13" hidden="1" x14ac:dyDescent="0.15">
      <c r="A556">
        <v>876</v>
      </c>
      <c r="B556" s="1">
        <v>64950</v>
      </c>
      <c r="C556" s="1">
        <v>903</v>
      </c>
      <c r="D556" s="4">
        <f t="shared" si="16"/>
        <v>1.3903002309468821E-2</v>
      </c>
      <c r="E556" s="1">
        <v>0</v>
      </c>
      <c r="F556" s="1">
        <v>1</v>
      </c>
      <c r="G556" s="1">
        <v>29</v>
      </c>
      <c r="H556" s="1">
        <v>819</v>
      </c>
      <c r="I556" s="1">
        <v>0</v>
      </c>
      <c r="J556" s="1">
        <v>72</v>
      </c>
      <c r="K556" s="1">
        <v>12</v>
      </c>
      <c r="L556" s="1">
        <v>0</v>
      </c>
      <c r="M556" s="1">
        <v>63</v>
      </c>
      <c r="N556" s="1">
        <v>2</v>
      </c>
      <c r="O556" s="1">
        <v>11</v>
      </c>
      <c r="P556" s="1">
        <v>2</v>
      </c>
      <c r="Q556" s="1">
        <v>10</v>
      </c>
      <c r="R556" s="1">
        <v>7</v>
      </c>
      <c r="S556" s="1">
        <v>0</v>
      </c>
      <c r="T556" s="1">
        <v>0</v>
      </c>
      <c r="U556" s="1">
        <v>0</v>
      </c>
      <c r="V556" s="1">
        <v>1</v>
      </c>
      <c r="W556" s="1">
        <v>0</v>
      </c>
      <c r="X556" s="1">
        <v>0</v>
      </c>
      <c r="Y556" s="1">
        <v>0</v>
      </c>
      <c r="Z556" s="1">
        <v>69</v>
      </c>
      <c r="AA556" s="1" t="str" cm="1">
        <f t="array" ref="AA556">_xlfn.IFS(AND(Z556&lt;36, Z556&gt;23), "24-35", AND(Z556&lt;51, Z556&gt;35),"36-50", AND(Z556&lt;66, Z556&gt;50), "51-66", Z556&gt;65, "66+", TRUE, "?")</f>
        <v>66+</v>
      </c>
      <c r="AB556" s="1">
        <v>2845</v>
      </c>
      <c r="AC556" s="1">
        <v>0</v>
      </c>
      <c r="AD556" s="1">
        <v>0</v>
      </c>
      <c r="AE556" s="1">
        <v>1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1</v>
      </c>
      <c r="AL556" s="1">
        <v>840</v>
      </c>
      <c r="AM556" s="2">
        <v>42004</v>
      </c>
      <c r="AN556" t="str">
        <f t="shared" si="17"/>
        <v>64950,903,0.0139030023094688,0,1,29,819,0,72,12,0,63,2,11,2,10,7,0,0,0,1,0,0,0,69,66+,2845,0,0,1,0,0,0,0,0,1,840,42004</v>
      </c>
    </row>
    <row r="557" spans="1:40" ht="13" hidden="1" x14ac:dyDescent="0.15">
      <c r="A557">
        <v>784</v>
      </c>
      <c r="B557" s="1">
        <v>71391</v>
      </c>
      <c r="C557" s="1">
        <v>902</v>
      </c>
      <c r="D557" s="4">
        <f t="shared" si="16"/>
        <v>1.2634645823703269E-2</v>
      </c>
      <c r="E557" s="1">
        <v>0</v>
      </c>
      <c r="F557" s="1">
        <v>1</v>
      </c>
      <c r="G557" s="1">
        <v>50</v>
      </c>
      <c r="H557" s="1">
        <v>336</v>
      </c>
      <c r="I557" s="1">
        <v>123</v>
      </c>
      <c r="J557" s="1">
        <v>274</v>
      </c>
      <c r="K557" s="1">
        <v>46</v>
      </c>
      <c r="L557" s="1">
        <v>123</v>
      </c>
      <c r="M557" s="1">
        <v>141</v>
      </c>
      <c r="N557" s="1">
        <v>5</v>
      </c>
      <c r="O557" s="1">
        <v>6</v>
      </c>
      <c r="P557" s="1">
        <v>5</v>
      </c>
      <c r="Q557" s="1">
        <v>12</v>
      </c>
      <c r="R557" s="1">
        <v>3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64</v>
      </c>
      <c r="AA557" s="1" t="str" cm="1">
        <f t="array" ref="AA557">_xlfn.IFS(AND(Z557&lt;36, Z557&gt;23), "24-35", AND(Z557&lt;51, Z557&gt;35),"36-50", AND(Z557&lt;66, Z557&gt;50), "51-66", Z557&gt;65, "66+", TRUE, "?")</f>
        <v>51-66</v>
      </c>
      <c r="AB557" s="1">
        <v>2616</v>
      </c>
      <c r="AC557" s="1">
        <v>0</v>
      </c>
      <c r="AD557" s="1">
        <v>1</v>
      </c>
      <c r="AE557" s="1">
        <v>0</v>
      </c>
      <c r="AF557" s="1">
        <v>0</v>
      </c>
      <c r="AG557" s="1">
        <v>0</v>
      </c>
      <c r="AH557" s="1">
        <v>0</v>
      </c>
      <c r="AI557" s="1">
        <v>1</v>
      </c>
      <c r="AJ557" s="1">
        <v>0</v>
      </c>
      <c r="AK557" s="1">
        <v>0</v>
      </c>
      <c r="AL557" s="1">
        <v>761</v>
      </c>
      <c r="AM557" s="2">
        <v>42233</v>
      </c>
      <c r="AN557" t="str">
        <f t="shared" si="17"/>
        <v>71391,902,0.0126346458237033,0,1,50,336,123,274,46,123,141,5,6,5,12,3,0,0,0,0,0,0,0,64,51-66,2616,0,1,0,0,0,0,1,0,0,761,42233</v>
      </c>
    </row>
    <row r="558" spans="1:40" ht="13" hidden="1" x14ac:dyDescent="0.15">
      <c r="A558">
        <v>1033</v>
      </c>
      <c r="B558" s="1">
        <v>56775</v>
      </c>
      <c r="C558" s="1">
        <v>902</v>
      </c>
      <c r="D558" s="4">
        <f t="shared" si="16"/>
        <v>1.5887274328489652E-2</v>
      </c>
      <c r="E558" s="1">
        <v>0</v>
      </c>
      <c r="F558" s="1">
        <v>1</v>
      </c>
      <c r="G558" s="1">
        <v>62</v>
      </c>
      <c r="H558" s="1">
        <v>614</v>
      </c>
      <c r="I558" s="1">
        <v>35</v>
      </c>
      <c r="J558" s="1">
        <v>160</v>
      </c>
      <c r="K558" s="1">
        <v>58</v>
      </c>
      <c r="L558" s="1">
        <v>35</v>
      </c>
      <c r="M558" s="1">
        <v>35</v>
      </c>
      <c r="N558" s="1">
        <v>2</v>
      </c>
      <c r="O558" s="1">
        <v>5</v>
      </c>
      <c r="P558" s="1">
        <v>8</v>
      </c>
      <c r="Q558" s="1">
        <v>10</v>
      </c>
      <c r="R558" s="1">
        <v>5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41</v>
      </c>
      <c r="AA558" s="1" t="str" cm="1">
        <f t="array" ref="AA558">_xlfn.IFS(AND(Z558&lt;36, Z558&gt;23), "24-35", AND(Z558&lt;51, Z558&gt;35),"36-50", AND(Z558&lt;66, Z558&gt;50), "51-66", Z558&gt;65, "66+", TRUE, "?")</f>
        <v>36-50</v>
      </c>
      <c r="AB558" s="1">
        <v>2702</v>
      </c>
      <c r="AC558" s="1">
        <v>0</v>
      </c>
      <c r="AD558" s="1">
        <v>1</v>
      </c>
      <c r="AE558" s="1">
        <v>0</v>
      </c>
      <c r="AF558" s="1">
        <v>0</v>
      </c>
      <c r="AG558" s="1">
        <v>0</v>
      </c>
      <c r="AH558" s="1">
        <v>0</v>
      </c>
      <c r="AI558" s="1">
        <v>1</v>
      </c>
      <c r="AJ558" s="1">
        <v>0</v>
      </c>
      <c r="AK558" s="1">
        <v>0</v>
      </c>
      <c r="AL558" s="1">
        <v>867</v>
      </c>
      <c r="AM558" s="2">
        <v>42147</v>
      </c>
      <c r="AN558" t="str">
        <f t="shared" si="17"/>
        <v>56775,902,0.0158872743284897,0,1,62,614,35,160,58,35,35,2,5,8,10,5,0,0,0,0,0,0,0,41,36-50,2702,0,1,0,0,0,0,1,0,0,867,42147</v>
      </c>
    </row>
    <row r="559" spans="1:40" ht="13" hidden="1" x14ac:dyDescent="0.15">
      <c r="A559">
        <v>1394</v>
      </c>
      <c r="B559" s="1">
        <v>63206</v>
      </c>
      <c r="C559" s="1">
        <v>902</v>
      </c>
      <c r="D559" s="4">
        <f t="shared" si="16"/>
        <v>1.427079707622694E-2</v>
      </c>
      <c r="E559" s="1">
        <v>0</v>
      </c>
      <c r="F559" s="1">
        <v>0</v>
      </c>
      <c r="G559" s="1">
        <v>65</v>
      </c>
      <c r="H559" s="1">
        <v>750</v>
      </c>
      <c r="I559" s="1">
        <v>8</v>
      </c>
      <c r="J559" s="1">
        <v>125</v>
      </c>
      <c r="K559" s="1">
        <v>11</v>
      </c>
      <c r="L559" s="1">
        <v>8</v>
      </c>
      <c r="M559" s="1">
        <v>26</v>
      </c>
      <c r="N559" s="1">
        <v>1</v>
      </c>
      <c r="O559" s="1">
        <v>4</v>
      </c>
      <c r="P559" s="1">
        <v>3</v>
      </c>
      <c r="Q559" s="1">
        <v>6</v>
      </c>
      <c r="R559" s="1">
        <v>2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46</v>
      </c>
      <c r="AA559" s="1" t="str" cm="1">
        <f t="array" ref="AA559">_xlfn.IFS(AND(Z559&lt;36, Z559&gt;23), "24-35", AND(Z559&lt;51, Z559&gt;35),"36-50", AND(Z559&lt;66, Z559&gt;50), "51-66", Z559&gt;65, "66+", TRUE, "?")</f>
        <v>36-50</v>
      </c>
      <c r="AB559" s="1">
        <v>2260</v>
      </c>
      <c r="AC559" s="1">
        <v>0</v>
      </c>
      <c r="AD559" s="1">
        <v>1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1</v>
      </c>
      <c r="AK559" s="1">
        <v>0</v>
      </c>
      <c r="AL559" s="1">
        <v>876</v>
      </c>
      <c r="AM559" s="2">
        <v>42589</v>
      </c>
      <c r="AN559" t="str">
        <f t="shared" si="17"/>
        <v>63206,902,0.0142707970762269,0,0,65,750,8,125,11,8,26,1,4,3,6,2,0,0,0,0,1,0,0,46,36-50,2260,0,1,0,0,0,0,0,1,0,876,42589</v>
      </c>
    </row>
    <row r="560" spans="1:40" ht="13" hidden="1" x14ac:dyDescent="0.15">
      <c r="A560">
        <v>1697</v>
      </c>
      <c r="B560" s="1">
        <v>69063</v>
      </c>
      <c r="C560" s="1">
        <v>902</v>
      </c>
      <c r="D560" s="4">
        <f t="shared" si="16"/>
        <v>1.3060538928224954E-2</v>
      </c>
      <c r="E560" s="1">
        <v>0</v>
      </c>
      <c r="F560" s="1">
        <v>1</v>
      </c>
      <c r="G560" s="1">
        <v>16</v>
      </c>
      <c r="H560" s="1">
        <v>666</v>
      </c>
      <c r="I560" s="1">
        <v>35</v>
      </c>
      <c r="J560" s="1">
        <v>124</v>
      </c>
      <c r="K560" s="1">
        <v>69</v>
      </c>
      <c r="L560" s="1">
        <v>8</v>
      </c>
      <c r="M560" s="1">
        <v>26</v>
      </c>
      <c r="N560" s="1">
        <v>1</v>
      </c>
      <c r="O560" s="1">
        <v>5</v>
      </c>
      <c r="P560" s="1">
        <v>3</v>
      </c>
      <c r="Q560" s="1">
        <v>5</v>
      </c>
      <c r="R560" s="1">
        <v>3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54</v>
      </c>
      <c r="AA560" s="1" t="str" cm="1">
        <f t="array" ref="AA560">_xlfn.IFS(AND(Z560&lt;36, Z560&gt;23), "24-35", AND(Z560&lt;51, Z560&gt;35),"36-50", AND(Z560&lt;66, Z560&gt;50), "51-66", Z560&gt;65, "66+", TRUE, "?")</f>
        <v>51-66</v>
      </c>
      <c r="AB560" s="1">
        <v>2758</v>
      </c>
      <c r="AC560" s="1">
        <v>0</v>
      </c>
      <c r="AD560" s="1">
        <v>1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1</v>
      </c>
      <c r="AL560" s="1">
        <v>876</v>
      </c>
      <c r="AM560" s="2">
        <v>42091</v>
      </c>
      <c r="AN560" t="str">
        <f t="shared" si="17"/>
        <v>69063,902,0.013060538928225,0,1,16,666,35,124,69,8,26,1,5,3,5,3,0,0,0,0,0,0,0,54,51-66,2758,0,1,0,0,0,0,0,0,1,876,42091</v>
      </c>
    </row>
    <row r="561" spans="1:40" ht="13" hidden="1" x14ac:dyDescent="0.15">
      <c r="A561">
        <v>1440</v>
      </c>
      <c r="B561" s="1">
        <v>70179</v>
      </c>
      <c r="C561" s="1">
        <v>901</v>
      </c>
      <c r="D561" s="4">
        <f t="shared" si="16"/>
        <v>1.2838598441129112E-2</v>
      </c>
      <c r="E561" s="1">
        <v>0</v>
      </c>
      <c r="F561" s="1">
        <v>1</v>
      </c>
      <c r="G561" s="1">
        <v>10</v>
      </c>
      <c r="H561" s="1">
        <v>532</v>
      </c>
      <c r="I561" s="1">
        <v>88</v>
      </c>
      <c r="J561" s="1">
        <v>168</v>
      </c>
      <c r="K561" s="1">
        <v>69</v>
      </c>
      <c r="L561" s="1">
        <v>44</v>
      </c>
      <c r="M561" s="1">
        <v>133</v>
      </c>
      <c r="N561" s="1">
        <v>3</v>
      </c>
      <c r="O561" s="1">
        <v>7</v>
      </c>
      <c r="P561" s="1">
        <v>3</v>
      </c>
      <c r="Q561" s="1">
        <v>13</v>
      </c>
      <c r="R561" s="1">
        <v>5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44</v>
      </c>
      <c r="AA561" s="1" t="str" cm="1">
        <f t="array" ref="AA561">_xlfn.IFS(AND(Z561&lt;36, Z561&gt;23), "24-35", AND(Z561&lt;51, Z561&gt;35),"36-50", AND(Z561&lt;66, Z561&gt;50), "51-66", Z561&gt;65, "66+", TRUE, "?")</f>
        <v>36-50</v>
      </c>
      <c r="AB561" s="1">
        <v>2502</v>
      </c>
      <c r="AC561" s="1">
        <v>1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1</v>
      </c>
      <c r="AL561" s="1">
        <v>768</v>
      </c>
      <c r="AM561" s="2">
        <v>42347</v>
      </c>
      <c r="AN561" t="str">
        <f t="shared" si="17"/>
        <v>70179,901,0.0128385984411291,0,1,10,532,88,168,69,44,133,3,7,3,13,5,0,0,0,0,0,0,0,44,36-50,2502,1,0,0,0,0,0,0,0,1,768,42347</v>
      </c>
    </row>
    <row r="562" spans="1:40" ht="13" hidden="1" x14ac:dyDescent="0.15">
      <c r="A562">
        <v>1559</v>
      </c>
      <c r="B562" s="1">
        <v>61064</v>
      </c>
      <c r="C562" s="1">
        <v>900</v>
      </c>
      <c r="D562" s="4">
        <f t="shared" si="16"/>
        <v>1.4738634874885366E-2</v>
      </c>
      <c r="E562" s="1">
        <v>0</v>
      </c>
      <c r="F562" s="1">
        <v>1</v>
      </c>
      <c r="G562" s="1">
        <v>80</v>
      </c>
      <c r="H562" s="1">
        <v>387</v>
      </c>
      <c r="I562" s="1">
        <v>126</v>
      </c>
      <c r="J562" s="1">
        <v>342</v>
      </c>
      <c r="K562" s="1">
        <v>0</v>
      </c>
      <c r="L562" s="1">
        <v>45</v>
      </c>
      <c r="M562" s="1">
        <v>180</v>
      </c>
      <c r="N562" s="1">
        <v>5</v>
      </c>
      <c r="O562" s="1">
        <v>8</v>
      </c>
      <c r="P562" s="1">
        <v>4</v>
      </c>
      <c r="Q562" s="1">
        <v>11</v>
      </c>
      <c r="R562" s="1">
        <v>6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44</v>
      </c>
      <c r="AA562" s="1" t="str" cm="1">
        <f t="array" ref="AA562">_xlfn.IFS(AND(Z562&lt;36, Z562&gt;23), "24-35", AND(Z562&lt;51, Z562&gt;35),"36-50", AND(Z562&lt;66, Z562&gt;50), "51-66", Z562&gt;65, "66+", TRUE, "?")</f>
        <v>36-50</v>
      </c>
      <c r="AB562" s="1">
        <v>2826</v>
      </c>
      <c r="AC562" s="1">
        <v>0</v>
      </c>
      <c r="AD562" s="1">
        <v>1</v>
      </c>
      <c r="AE562" s="1">
        <v>0</v>
      </c>
      <c r="AF562" s="1">
        <v>0</v>
      </c>
      <c r="AG562" s="1">
        <v>0</v>
      </c>
      <c r="AH562" s="1">
        <v>0</v>
      </c>
      <c r="AI562" s="1">
        <v>1</v>
      </c>
      <c r="AJ562" s="1">
        <v>0</v>
      </c>
      <c r="AK562" s="1">
        <v>0</v>
      </c>
      <c r="AL562" s="1">
        <v>720</v>
      </c>
      <c r="AM562" s="2">
        <v>42023</v>
      </c>
      <c r="AN562" t="str">
        <f t="shared" si="17"/>
        <v>61064,900,0.0147386348748854,0,1,80,387,126,342,0,45,180,5,8,4,11,6,0,0,0,0,0,0,0,44,36-50,2826,0,1,0,0,0,0,1,0,0,720,42023</v>
      </c>
    </row>
    <row r="563" spans="1:40" ht="13" hidden="1" x14ac:dyDescent="0.15">
      <c r="A563">
        <v>1629</v>
      </c>
      <c r="B563" s="1">
        <v>71232</v>
      </c>
      <c r="C563" s="1">
        <v>900</v>
      </c>
      <c r="D563" s="4">
        <f t="shared" si="16"/>
        <v>1.2634770889487871E-2</v>
      </c>
      <c r="E563" s="1">
        <v>0</v>
      </c>
      <c r="F563" s="1">
        <v>1</v>
      </c>
      <c r="G563" s="1">
        <v>91</v>
      </c>
      <c r="H563" s="1">
        <v>653</v>
      </c>
      <c r="I563" s="1">
        <v>17</v>
      </c>
      <c r="J563" s="1">
        <v>170</v>
      </c>
      <c r="K563" s="1">
        <v>34</v>
      </c>
      <c r="L563" s="1">
        <v>26</v>
      </c>
      <c r="M563" s="1">
        <v>17</v>
      </c>
      <c r="N563" s="1">
        <v>2</v>
      </c>
      <c r="O563" s="1">
        <v>11</v>
      </c>
      <c r="P563" s="1">
        <v>2</v>
      </c>
      <c r="Q563" s="1">
        <v>10</v>
      </c>
      <c r="R563" s="1">
        <v>7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61</v>
      </c>
      <c r="AA563" s="1" t="str" cm="1">
        <f t="array" ref="AA563">_xlfn.IFS(AND(Z563&lt;36, Z563&gt;23), "24-35", AND(Z563&lt;51, Z563&gt;35),"36-50", AND(Z563&lt;66, Z563&gt;50), "51-66", Z563&gt;65, "66+", TRUE, "?")</f>
        <v>51-66</v>
      </c>
      <c r="AB563" s="1">
        <v>2372</v>
      </c>
      <c r="AC563" s="1">
        <v>0</v>
      </c>
      <c r="AD563" s="1">
        <v>0</v>
      </c>
      <c r="AE563" s="1">
        <v>0</v>
      </c>
      <c r="AF563" s="1">
        <v>1</v>
      </c>
      <c r="AG563" s="1">
        <v>0</v>
      </c>
      <c r="AH563" s="1">
        <v>0</v>
      </c>
      <c r="AI563" s="1">
        <v>1</v>
      </c>
      <c r="AJ563" s="1">
        <v>0</v>
      </c>
      <c r="AK563" s="1">
        <v>0</v>
      </c>
      <c r="AL563" s="1">
        <v>883</v>
      </c>
      <c r="AM563" s="2">
        <v>42477</v>
      </c>
      <c r="AN563" t="str">
        <f t="shared" si="17"/>
        <v>71232,900,0.0126347708894879,0,1,91,653,17,170,34,26,17,2,11,2,10,7,0,0,0,0,0,0,0,61,51-66,2372,0,0,0,1,0,0,1,0,0,883,42477</v>
      </c>
    </row>
    <row r="564" spans="1:40" ht="13" x14ac:dyDescent="0.15">
      <c r="A564">
        <v>1151</v>
      </c>
      <c r="B564" s="1">
        <v>56937</v>
      </c>
      <c r="C564" s="1">
        <v>898</v>
      </c>
      <c r="D564" s="4">
        <f t="shared" si="16"/>
        <v>1.5771817974252245E-2</v>
      </c>
      <c r="E564" s="1">
        <v>1</v>
      </c>
      <c r="F564" s="1">
        <v>0</v>
      </c>
      <c r="G564" s="1">
        <v>81</v>
      </c>
      <c r="H564" s="1">
        <v>746</v>
      </c>
      <c r="I564" s="1">
        <v>8</v>
      </c>
      <c r="J564" s="1">
        <v>125</v>
      </c>
      <c r="K564" s="1">
        <v>11</v>
      </c>
      <c r="L564" s="1">
        <v>8</v>
      </c>
      <c r="M564" s="1">
        <v>8</v>
      </c>
      <c r="N564" s="1">
        <v>7</v>
      </c>
      <c r="O564" s="1">
        <v>8</v>
      </c>
      <c r="P564" s="1">
        <v>6</v>
      </c>
      <c r="Q564" s="1">
        <v>9</v>
      </c>
      <c r="R564" s="1">
        <v>6</v>
      </c>
      <c r="S564" s="1">
        <v>0</v>
      </c>
      <c r="T564" s="1">
        <v>0</v>
      </c>
      <c r="U564" s="1">
        <v>0</v>
      </c>
      <c r="V564" s="1">
        <v>1</v>
      </c>
      <c r="W564" s="1">
        <v>0</v>
      </c>
      <c r="X564" s="1">
        <v>0</v>
      </c>
      <c r="Y564" s="1">
        <v>1</v>
      </c>
      <c r="Z564" s="1">
        <v>39</v>
      </c>
      <c r="AA564" s="1" t="str" cm="1">
        <f t="array" ref="AA564">_xlfn.IFS(AND(Z564&lt;36, Z564&gt;23), "24-35", AND(Z564&lt;51, Z564&gt;35),"36-50", AND(Z564&lt;66, Z564&gt;50), "51-66", Z564&gt;65, "66+", TRUE, "?")</f>
        <v>36-50</v>
      </c>
      <c r="AB564" s="1">
        <v>2853</v>
      </c>
      <c r="AC564" s="1">
        <v>0</v>
      </c>
      <c r="AD564" s="1">
        <v>0</v>
      </c>
      <c r="AE564" s="1">
        <v>0</v>
      </c>
      <c r="AF564" s="1">
        <v>1</v>
      </c>
      <c r="AG564" s="1">
        <v>0</v>
      </c>
      <c r="AH564" s="1">
        <v>0</v>
      </c>
      <c r="AI564" s="1">
        <v>0</v>
      </c>
      <c r="AJ564" s="1">
        <v>0</v>
      </c>
      <c r="AK564" s="1">
        <v>1</v>
      </c>
      <c r="AL564" s="1">
        <v>890</v>
      </c>
      <c r="AM564" s="2">
        <v>41996</v>
      </c>
      <c r="AN564" t="str">
        <f t="shared" si="17"/>
        <v>56937,898,0.0157718179742522,1,0,81,746,8,125,11,8,8,7,8,6,9,6,0,0,0,1,0,0,1,39,36-50,2853,0,0,0,1,0,0,0,0,1,890,41996</v>
      </c>
    </row>
    <row r="565" spans="1:40" ht="13" hidden="1" x14ac:dyDescent="0.15">
      <c r="A565">
        <v>842</v>
      </c>
      <c r="B565" s="1">
        <v>55260</v>
      </c>
      <c r="C565" s="1">
        <v>897</v>
      </c>
      <c r="D565" s="4">
        <f t="shared" si="16"/>
        <v>1.6232356134636264E-2</v>
      </c>
      <c r="E565" s="1">
        <v>0</v>
      </c>
      <c r="F565" s="1">
        <v>1</v>
      </c>
      <c r="G565" s="1">
        <v>81</v>
      </c>
      <c r="H565" s="1">
        <v>825</v>
      </c>
      <c r="I565" s="1">
        <v>8</v>
      </c>
      <c r="J565" s="1">
        <v>53</v>
      </c>
      <c r="K565" s="1">
        <v>11</v>
      </c>
      <c r="L565" s="1">
        <v>0</v>
      </c>
      <c r="M565" s="1">
        <v>242</v>
      </c>
      <c r="N565" s="1">
        <v>2</v>
      </c>
      <c r="O565" s="1">
        <v>8</v>
      </c>
      <c r="P565" s="1">
        <v>10</v>
      </c>
      <c r="Q565" s="1">
        <v>5</v>
      </c>
      <c r="R565" s="1">
        <v>6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48</v>
      </c>
      <c r="AA565" s="1" t="str" cm="1">
        <f t="array" ref="AA565">_xlfn.IFS(AND(Z565&lt;36, Z565&gt;23), "24-35", AND(Z565&lt;51, Z565&gt;35),"36-50", AND(Z565&lt;66, Z565&gt;50), "51-66", Z565&gt;65, "66+", TRUE, "?")</f>
        <v>36-50</v>
      </c>
      <c r="AB565" s="1">
        <v>2723</v>
      </c>
      <c r="AC565" s="1">
        <v>0</v>
      </c>
      <c r="AD565" s="1">
        <v>0</v>
      </c>
      <c r="AE565" s="1">
        <v>1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1</v>
      </c>
      <c r="AL565" s="1">
        <v>655</v>
      </c>
      <c r="AM565" s="2">
        <v>42126</v>
      </c>
      <c r="AN565" t="str">
        <f t="shared" si="17"/>
        <v>55260,897,0.0162323561346363,0,1,81,825,8,53,11,0,242,2,8,10,5,6,0,0,0,0,0,0,0,48,36-50,2723,0,0,1,0,0,0,0,0,1,655,42126</v>
      </c>
    </row>
    <row r="566" spans="1:40" ht="13" hidden="1" x14ac:dyDescent="0.15">
      <c r="A566">
        <v>1650</v>
      </c>
      <c r="B566" s="1">
        <v>79734</v>
      </c>
      <c r="C566" s="1">
        <v>897</v>
      </c>
      <c r="D566" s="4">
        <f t="shared" si="16"/>
        <v>1.1249905937241327E-2</v>
      </c>
      <c r="E566" s="1">
        <v>0</v>
      </c>
      <c r="F566" s="1">
        <v>0</v>
      </c>
      <c r="G566" s="1">
        <v>72</v>
      </c>
      <c r="H566" s="1">
        <v>572</v>
      </c>
      <c r="I566" s="1">
        <v>8</v>
      </c>
      <c r="J566" s="1">
        <v>232</v>
      </c>
      <c r="K566" s="1">
        <v>23</v>
      </c>
      <c r="L566" s="1">
        <v>62</v>
      </c>
      <c r="M566" s="1">
        <v>17</v>
      </c>
      <c r="N566" s="1">
        <v>1</v>
      </c>
      <c r="O566" s="1">
        <v>4</v>
      </c>
      <c r="P566" s="1">
        <v>3</v>
      </c>
      <c r="Q566" s="1">
        <v>6</v>
      </c>
      <c r="R566" s="1">
        <v>1</v>
      </c>
      <c r="S566" s="1">
        <v>1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51</v>
      </c>
      <c r="AA566" s="1" t="str" cm="1">
        <f t="array" ref="AA566">_xlfn.IFS(AND(Z566&lt;36, Z566&gt;23), "24-35", AND(Z566&lt;51, Z566&gt;35),"36-50", AND(Z566&lt;66, Z566&gt;50), "51-66", Z566&gt;65, "66+", TRUE, "?")</f>
        <v>51-66</v>
      </c>
      <c r="AB566" s="1">
        <v>2160</v>
      </c>
      <c r="AC566" s="1">
        <v>0</v>
      </c>
      <c r="AD566" s="1">
        <v>1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1</v>
      </c>
      <c r="AK566" s="1">
        <v>0</v>
      </c>
      <c r="AL566" s="1">
        <v>880</v>
      </c>
      <c r="AM566" s="2">
        <v>42689</v>
      </c>
      <c r="AN566" t="str">
        <f t="shared" si="17"/>
        <v>79734,897,0.0112499059372413,0,0,72,572,8,232,23,62,17,1,4,3,6,1,1,0,0,0,0,0,0,51,51-66,2160,0,1,0,0,0,0,0,1,0,880,42689</v>
      </c>
    </row>
    <row r="567" spans="1:40" ht="13" hidden="1" x14ac:dyDescent="0.15">
      <c r="A567">
        <v>1871</v>
      </c>
      <c r="B567" s="1">
        <v>76320</v>
      </c>
      <c r="C567" s="1">
        <v>897</v>
      </c>
      <c r="D567" s="4">
        <f t="shared" si="16"/>
        <v>1.1753144654088051E-2</v>
      </c>
      <c r="E567" s="1">
        <v>0</v>
      </c>
      <c r="F567" s="1">
        <v>1</v>
      </c>
      <c r="G567" s="1">
        <v>49</v>
      </c>
      <c r="H567" s="1">
        <v>526</v>
      </c>
      <c r="I567" s="1">
        <v>35</v>
      </c>
      <c r="J567" s="1">
        <v>214</v>
      </c>
      <c r="K567" s="1">
        <v>69</v>
      </c>
      <c r="L567" s="1">
        <v>53</v>
      </c>
      <c r="M567" s="1">
        <v>35</v>
      </c>
      <c r="N567" s="1">
        <v>2</v>
      </c>
      <c r="O567" s="1">
        <v>6</v>
      </c>
      <c r="P567" s="1">
        <v>3</v>
      </c>
      <c r="Q567" s="1">
        <v>4</v>
      </c>
      <c r="R567" s="1">
        <v>2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61</v>
      </c>
      <c r="AA567" s="1" t="str" cm="1">
        <f t="array" ref="AA567">_xlfn.IFS(AND(Z567&lt;36, Z567&gt;23), "24-35", AND(Z567&lt;51, Z567&gt;35),"36-50", AND(Z567&lt;66, Z567&gt;50), "51-66", Z567&gt;65, "66+", TRUE, "?")</f>
        <v>51-66</v>
      </c>
      <c r="AB567" s="1">
        <v>2166</v>
      </c>
      <c r="AC567" s="1">
        <v>0</v>
      </c>
      <c r="AD567" s="1">
        <v>0</v>
      </c>
      <c r="AE567" s="1">
        <v>0</v>
      </c>
      <c r="AF567" s="1">
        <v>0</v>
      </c>
      <c r="AG567" s="1">
        <v>1</v>
      </c>
      <c r="AH567" s="1">
        <v>0</v>
      </c>
      <c r="AI567" s="1">
        <v>1</v>
      </c>
      <c r="AJ567" s="1">
        <v>0</v>
      </c>
      <c r="AK567" s="1">
        <v>0</v>
      </c>
      <c r="AL567" s="1">
        <v>862</v>
      </c>
      <c r="AM567" s="2">
        <v>42683</v>
      </c>
      <c r="AN567" t="str">
        <f t="shared" si="17"/>
        <v>76320,897,0.0117531446540881,0,1,49,526,35,214,69,53,35,2,6,3,4,2,0,0,0,0,0,0,0,61,51-66,2166,0,0,0,0,1,0,1,0,0,862,42683</v>
      </c>
    </row>
    <row r="568" spans="1:40" ht="13" hidden="1" x14ac:dyDescent="0.15">
      <c r="A568">
        <v>1913</v>
      </c>
      <c r="B568" s="1">
        <v>44953</v>
      </c>
      <c r="C568" s="1">
        <v>897</v>
      </c>
      <c r="D568" s="4">
        <f t="shared" si="16"/>
        <v>1.9954174359886993E-2</v>
      </c>
      <c r="E568" s="1">
        <v>0</v>
      </c>
      <c r="F568" s="1">
        <v>0</v>
      </c>
      <c r="G568" s="1">
        <v>31</v>
      </c>
      <c r="H568" s="1">
        <v>728</v>
      </c>
      <c r="I568" s="1">
        <v>17</v>
      </c>
      <c r="J568" s="1">
        <v>133</v>
      </c>
      <c r="K568" s="1">
        <v>11</v>
      </c>
      <c r="L568" s="1">
        <v>8</v>
      </c>
      <c r="M568" s="1">
        <v>124</v>
      </c>
      <c r="N568" s="1">
        <v>1</v>
      </c>
      <c r="O568" s="1">
        <v>7</v>
      </c>
      <c r="P568" s="1">
        <v>3</v>
      </c>
      <c r="Q568" s="1">
        <v>13</v>
      </c>
      <c r="R568" s="1">
        <v>6</v>
      </c>
      <c r="S568" s="1">
        <v>0</v>
      </c>
      <c r="T568" s="1">
        <v>0</v>
      </c>
      <c r="U568" s="1">
        <v>1</v>
      </c>
      <c r="V568" s="1">
        <v>0</v>
      </c>
      <c r="W568" s="1">
        <v>0</v>
      </c>
      <c r="X568" s="1">
        <v>0</v>
      </c>
      <c r="Y568" s="1">
        <v>0</v>
      </c>
      <c r="Z568" s="1">
        <v>39</v>
      </c>
      <c r="AA568" s="1" t="str" cm="1">
        <f t="array" ref="AA568">_xlfn.IFS(AND(Z568&lt;36, Z568&gt;23), "24-35", AND(Z568&lt;51, Z568&gt;35),"36-50", AND(Z568&lt;66, Z568&gt;50), "51-66", Z568&gt;65, "66+", TRUE, "?")</f>
        <v>36-50</v>
      </c>
      <c r="AB568" s="1">
        <v>2714</v>
      </c>
      <c r="AC568" s="1">
        <v>0</v>
      </c>
      <c r="AD568" s="1">
        <v>0</v>
      </c>
      <c r="AE568" s="1">
        <v>0</v>
      </c>
      <c r="AF568" s="1">
        <v>1</v>
      </c>
      <c r="AG568" s="1">
        <v>0</v>
      </c>
      <c r="AH568" s="1">
        <v>0</v>
      </c>
      <c r="AI568" s="1">
        <v>0</v>
      </c>
      <c r="AJ568" s="1">
        <v>0</v>
      </c>
      <c r="AK568" s="1">
        <v>1</v>
      </c>
      <c r="AL568" s="1">
        <v>773</v>
      </c>
      <c r="AM568" s="2">
        <v>42135</v>
      </c>
      <c r="AN568" t="str">
        <f t="shared" si="17"/>
        <v>44953,897,0.019954174359887,0,0,31,728,17,133,11,8,124,1,7,3,13,6,0,0,1,0,0,0,0,39,36-50,2714,0,0,0,1,0,0,0,0,1,773,42135</v>
      </c>
    </row>
    <row r="569" spans="1:40" ht="13" hidden="1" x14ac:dyDescent="0.15">
      <c r="A569">
        <v>1417</v>
      </c>
      <c r="B569" s="1">
        <v>69283</v>
      </c>
      <c r="C569" s="1">
        <v>896</v>
      </c>
      <c r="D569" s="4">
        <f t="shared" si="16"/>
        <v>1.2932465395551578E-2</v>
      </c>
      <c r="E569" s="1">
        <v>0</v>
      </c>
      <c r="F569" s="1">
        <v>1</v>
      </c>
      <c r="G569" s="1">
        <v>41</v>
      </c>
      <c r="H569" s="1">
        <v>674</v>
      </c>
      <c r="I569" s="1">
        <v>62</v>
      </c>
      <c r="J569" s="1">
        <v>134</v>
      </c>
      <c r="K569" s="1">
        <v>0</v>
      </c>
      <c r="L569" s="1">
        <v>26</v>
      </c>
      <c r="M569" s="1">
        <v>8</v>
      </c>
      <c r="N569" s="1">
        <v>4</v>
      </c>
      <c r="O569" s="1">
        <v>7</v>
      </c>
      <c r="P569" s="1">
        <v>3</v>
      </c>
      <c r="Q569" s="1">
        <v>13</v>
      </c>
      <c r="R569" s="1">
        <v>5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45</v>
      </c>
      <c r="AA569" s="1" t="str" cm="1">
        <f t="array" ref="AA569">_xlfn.IFS(AND(Z569&lt;36, Z569&gt;23), "24-35", AND(Z569&lt;51, Z569&gt;35),"36-50", AND(Z569&lt;66, Z569&gt;50), "51-66", Z569&gt;65, "66+", TRUE, "?")</f>
        <v>36-50</v>
      </c>
      <c r="AB569" s="1">
        <v>2174</v>
      </c>
      <c r="AC569" s="1">
        <v>0</v>
      </c>
      <c r="AD569" s="1">
        <v>1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1</v>
      </c>
      <c r="AL569" s="1">
        <v>888</v>
      </c>
      <c r="AM569" s="2">
        <v>42675</v>
      </c>
      <c r="AN569" t="str">
        <f t="shared" si="17"/>
        <v>69283,896,0.0129324653955516,0,1,41,674,62,134,0,26,8,4,7,3,13,5,0,0,0,0,0,0,0,45,36-50,2174,0,1,0,0,0,0,0,0,1,888,42675</v>
      </c>
    </row>
    <row r="570" spans="1:40" ht="13" hidden="1" x14ac:dyDescent="0.15">
      <c r="A570">
        <v>748</v>
      </c>
      <c r="B570" s="1">
        <v>60161</v>
      </c>
      <c r="C570" s="1">
        <v>894</v>
      </c>
      <c r="D570" s="4">
        <f t="shared" si="16"/>
        <v>1.4860125330363525E-2</v>
      </c>
      <c r="E570" s="1">
        <v>0</v>
      </c>
      <c r="F570" s="1">
        <v>1</v>
      </c>
      <c r="G570" s="1">
        <v>17</v>
      </c>
      <c r="H570" s="1">
        <v>584</v>
      </c>
      <c r="I570" s="1">
        <v>44</v>
      </c>
      <c r="J570" s="1">
        <v>212</v>
      </c>
      <c r="K570" s="1">
        <v>46</v>
      </c>
      <c r="L570" s="1">
        <v>8</v>
      </c>
      <c r="M570" s="1">
        <v>177</v>
      </c>
      <c r="N570" s="1">
        <v>3</v>
      </c>
      <c r="O570" s="1">
        <v>11</v>
      </c>
      <c r="P570" s="1">
        <v>4</v>
      </c>
      <c r="Q570" s="1">
        <v>8</v>
      </c>
      <c r="R570" s="1">
        <v>8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55</v>
      </c>
      <c r="AA570" s="1" t="str" cm="1">
        <f t="array" ref="AA570">_xlfn.IFS(AND(Z570&lt;36, Z570&gt;23), "24-35", AND(Z570&lt;51, Z570&gt;35),"36-50", AND(Z570&lt;66, Z570&gt;50), "51-66", Z570&gt;65, "66+", TRUE, "?")</f>
        <v>51-66</v>
      </c>
      <c r="AB570" s="1">
        <v>2773</v>
      </c>
      <c r="AC570" s="1">
        <v>1</v>
      </c>
      <c r="AD570" s="1">
        <v>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>
        <v>0</v>
      </c>
      <c r="AL570" s="1">
        <v>717</v>
      </c>
      <c r="AM570" s="2">
        <v>42076</v>
      </c>
      <c r="AN570" t="str">
        <f t="shared" si="17"/>
        <v>60161,894,0.0148601253303635,0,1,17,584,44,212,46,8,177,3,11,4,8,8,0,0,0,0,0,0,0,55,51-66,2773,1,0,0,0,0,1,0,0,0,717,42076</v>
      </c>
    </row>
    <row r="571" spans="1:40" ht="13" hidden="1" x14ac:dyDescent="0.15">
      <c r="A571">
        <v>759</v>
      </c>
      <c r="B571" s="1">
        <v>59666</v>
      </c>
      <c r="C571" s="1">
        <v>894</v>
      </c>
      <c r="D571" s="4">
        <f t="shared" si="16"/>
        <v>1.4983407635839507E-2</v>
      </c>
      <c r="E571" s="1">
        <v>1</v>
      </c>
      <c r="F571" s="1">
        <v>1</v>
      </c>
      <c r="G571" s="1">
        <v>87</v>
      </c>
      <c r="H571" s="1">
        <v>623</v>
      </c>
      <c r="I571" s="1">
        <v>53</v>
      </c>
      <c r="J571" s="1">
        <v>178</v>
      </c>
      <c r="K571" s="1">
        <v>23</v>
      </c>
      <c r="L571" s="1">
        <v>17</v>
      </c>
      <c r="M571" s="1">
        <v>133</v>
      </c>
      <c r="N571" s="1">
        <v>7</v>
      </c>
      <c r="O571" s="1">
        <v>3</v>
      </c>
      <c r="P571" s="1">
        <v>2</v>
      </c>
      <c r="Q571" s="1">
        <v>8</v>
      </c>
      <c r="R571" s="1">
        <v>8</v>
      </c>
      <c r="S571" s="1">
        <v>0</v>
      </c>
      <c r="T571" s="1">
        <v>0</v>
      </c>
      <c r="U571" s="1">
        <v>0</v>
      </c>
      <c r="V571" s="1">
        <v>1</v>
      </c>
      <c r="W571" s="1">
        <v>0</v>
      </c>
      <c r="X571" s="1">
        <v>0</v>
      </c>
      <c r="Y571" s="1">
        <v>0</v>
      </c>
      <c r="Z571" s="1">
        <v>48</v>
      </c>
      <c r="AA571" s="1" t="str" cm="1">
        <f t="array" ref="AA571">_xlfn.IFS(AND(Z571&lt;36, Z571&gt;23), "24-35", AND(Z571&lt;51, Z571&gt;35),"36-50", AND(Z571&lt;66, Z571&gt;50), "51-66", Z571&gt;65, "66+", TRUE, "?")</f>
        <v>36-50</v>
      </c>
      <c r="AB571" s="1">
        <v>2623</v>
      </c>
      <c r="AC571" s="1">
        <v>0</v>
      </c>
      <c r="AD571" s="1">
        <v>1</v>
      </c>
      <c r="AE571" s="1">
        <v>0</v>
      </c>
      <c r="AF571" s="1">
        <v>0</v>
      </c>
      <c r="AG571" s="1">
        <v>0</v>
      </c>
      <c r="AH571" s="1">
        <v>0</v>
      </c>
      <c r="AI571" s="1">
        <v>1</v>
      </c>
      <c r="AJ571" s="1">
        <v>0</v>
      </c>
      <c r="AK571" s="1">
        <v>0</v>
      </c>
      <c r="AL571" s="1">
        <v>761</v>
      </c>
      <c r="AM571" s="2">
        <v>42226</v>
      </c>
      <c r="AN571" t="str">
        <f t="shared" si="17"/>
        <v>59666,894,0.0149834076358395,1,1,87,623,53,178,23,17,133,7,3,2,8,8,0,0,0,1,0,0,0,48,36-50,2623,0,1,0,0,0,0,1,0,0,761,42226</v>
      </c>
    </row>
    <row r="572" spans="1:40" ht="13" x14ac:dyDescent="0.15">
      <c r="A572">
        <v>1173</v>
      </c>
      <c r="B572" s="1">
        <v>68117</v>
      </c>
      <c r="C572" s="1">
        <v>894</v>
      </c>
      <c r="D572" s="4">
        <f t="shared" si="16"/>
        <v>1.3124477002803999E-2</v>
      </c>
      <c r="E572" s="1">
        <v>0</v>
      </c>
      <c r="F572" s="1">
        <v>1</v>
      </c>
      <c r="G572" s="1">
        <v>80</v>
      </c>
      <c r="H572" s="1">
        <v>618</v>
      </c>
      <c r="I572" s="1">
        <v>44</v>
      </c>
      <c r="J572" s="1">
        <v>215</v>
      </c>
      <c r="K572" s="1">
        <v>0</v>
      </c>
      <c r="L572" s="1">
        <v>17</v>
      </c>
      <c r="M572" s="1">
        <v>36</v>
      </c>
      <c r="N572" s="1">
        <v>2</v>
      </c>
      <c r="O572" s="1">
        <v>11</v>
      </c>
      <c r="P572" s="1">
        <v>8</v>
      </c>
      <c r="Q572" s="1">
        <v>4</v>
      </c>
      <c r="R572" s="1">
        <v>6</v>
      </c>
      <c r="S572" s="1">
        <v>0</v>
      </c>
      <c r="T572" s="1">
        <v>0</v>
      </c>
      <c r="U572" s="1">
        <v>1</v>
      </c>
      <c r="V572" s="1">
        <v>0</v>
      </c>
      <c r="W572" s="1">
        <v>0</v>
      </c>
      <c r="X572" s="1">
        <v>0</v>
      </c>
      <c r="Y572" s="1">
        <v>1</v>
      </c>
      <c r="Z572" s="1">
        <v>73</v>
      </c>
      <c r="AA572" s="1" t="str" cm="1">
        <f t="array" ref="AA572">_xlfn.IFS(AND(Z572&lt;36, Z572&gt;23), "24-35", AND(Z572&lt;51, Z572&gt;35),"36-50", AND(Z572&lt;66, Z572&gt;50), "51-66", Z572&gt;65, "66+", TRUE, "?")</f>
        <v>66+</v>
      </c>
      <c r="AB572" s="1">
        <v>2635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0</v>
      </c>
      <c r="AI572" s="1">
        <v>0</v>
      </c>
      <c r="AJ572" s="1">
        <v>0</v>
      </c>
      <c r="AK572" s="1">
        <v>1</v>
      </c>
      <c r="AL572" s="1">
        <v>858</v>
      </c>
      <c r="AM572" s="2">
        <v>42214</v>
      </c>
      <c r="AN572" t="str">
        <f t="shared" si="17"/>
        <v>68117,894,0.013124477002804,0,1,80,618,44,215,0,17,36,2,11,8,4,6,0,0,1,0,0,0,1,73,66+,2635,0,0,0,0,1,0,0,0,1,858,42214</v>
      </c>
    </row>
    <row r="573" spans="1:40" ht="13" hidden="1" x14ac:dyDescent="0.15">
      <c r="A573">
        <v>1669</v>
      </c>
      <c r="B573" s="1">
        <v>54693</v>
      </c>
      <c r="C573" s="1">
        <v>894</v>
      </c>
      <c r="D573" s="4">
        <f t="shared" si="16"/>
        <v>1.6345784652514947E-2</v>
      </c>
      <c r="E573" s="1">
        <v>0</v>
      </c>
      <c r="F573" s="1">
        <v>1</v>
      </c>
      <c r="G573" s="1">
        <v>72</v>
      </c>
      <c r="H573" s="1">
        <v>686</v>
      </c>
      <c r="I573" s="1">
        <v>17</v>
      </c>
      <c r="J573" s="1">
        <v>142</v>
      </c>
      <c r="K573" s="1">
        <v>23</v>
      </c>
      <c r="L573" s="1">
        <v>26</v>
      </c>
      <c r="M573" s="1">
        <v>35</v>
      </c>
      <c r="N573" s="1">
        <v>8</v>
      </c>
      <c r="O573" s="1">
        <v>6</v>
      </c>
      <c r="P573" s="1">
        <v>4</v>
      </c>
      <c r="Q573" s="1">
        <v>13</v>
      </c>
      <c r="R573" s="1">
        <v>6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58</v>
      </c>
      <c r="AA573" s="1" t="str" cm="1">
        <f t="array" ref="AA573">_xlfn.IFS(AND(Z573&lt;36, Z573&gt;23), "24-35", AND(Z573&lt;51, Z573&gt;35),"36-50", AND(Z573&lt;66, Z573&gt;50), "51-66", Z573&gt;65, "66+", TRUE, "?")</f>
        <v>51-66</v>
      </c>
      <c r="AB573" s="1">
        <v>2656</v>
      </c>
      <c r="AC573" s="1">
        <v>0</v>
      </c>
      <c r="AD573" s="1">
        <v>1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1</v>
      </c>
      <c r="AL573" s="1">
        <v>859</v>
      </c>
      <c r="AM573" s="2">
        <v>42193</v>
      </c>
      <c r="AN573" t="str">
        <f t="shared" si="17"/>
        <v>54693,894,0.0163457846525149,0,1,72,686,17,142,23,26,35,8,6,4,13,6,0,0,0,0,0,0,0,58,51-66,2656,0,1,0,0,0,0,0,0,1,859,42193</v>
      </c>
    </row>
    <row r="574" spans="1:40" ht="13" hidden="1" x14ac:dyDescent="0.15">
      <c r="A574">
        <v>1097</v>
      </c>
      <c r="B574" s="1">
        <v>77142</v>
      </c>
      <c r="C574" s="1">
        <v>893</v>
      </c>
      <c r="D574" s="4">
        <f t="shared" si="16"/>
        <v>1.1576054548754246E-2</v>
      </c>
      <c r="E574" s="1">
        <v>0</v>
      </c>
      <c r="F574" s="1">
        <v>0</v>
      </c>
      <c r="G574" s="1">
        <v>54</v>
      </c>
      <c r="H574" s="1">
        <v>476</v>
      </c>
      <c r="I574" s="1">
        <v>75</v>
      </c>
      <c r="J574" s="1">
        <v>162</v>
      </c>
      <c r="K574" s="1">
        <v>29</v>
      </c>
      <c r="L574" s="1">
        <v>151</v>
      </c>
      <c r="M574" s="1">
        <v>97</v>
      </c>
      <c r="N574" s="1">
        <v>1</v>
      </c>
      <c r="O574" s="1">
        <v>4</v>
      </c>
      <c r="P574" s="1">
        <v>4</v>
      </c>
      <c r="Q574" s="1">
        <v>8</v>
      </c>
      <c r="R574" s="1">
        <v>2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72</v>
      </c>
      <c r="AA574" s="1" t="str" cm="1">
        <f t="array" ref="AA574">_xlfn.IFS(AND(Z574&lt;36, Z574&gt;23), "24-35", AND(Z574&lt;51, Z574&gt;35),"36-50", AND(Z574&lt;66, Z574&gt;50), "51-66", Z574&gt;65, "66+", TRUE, "?")</f>
        <v>66+</v>
      </c>
      <c r="AB574" s="1">
        <v>2555</v>
      </c>
      <c r="AC574" s="1">
        <v>0</v>
      </c>
      <c r="AD574" s="1">
        <v>1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796</v>
      </c>
      <c r="AM574" s="2">
        <v>42294</v>
      </c>
      <c r="AN574" t="str">
        <f t="shared" si="17"/>
        <v>77142,893,0.0115760545487542,0,0,54,476,75,162,29,151,97,1,4,4,8,2,0,0,0,0,0,0,0,72,66+,2555,0,1,0,0,0,0,1,0,0,796,42294</v>
      </c>
    </row>
    <row r="575" spans="1:40" ht="13" hidden="1" x14ac:dyDescent="0.15">
      <c r="A575">
        <v>166</v>
      </c>
      <c r="B575" s="1">
        <v>66835</v>
      </c>
      <c r="C575" s="1">
        <v>892</v>
      </c>
      <c r="D575" s="4">
        <f t="shared" si="16"/>
        <v>1.3346300591007705E-2</v>
      </c>
      <c r="E575" s="1">
        <v>0</v>
      </c>
      <c r="F575" s="1">
        <v>0</v>
      </c>
      <c r="G575" s="1">
        <v>21</v>
      </c>
      <c r="H575" s="1">
        <v>620</v>
      </c>
      <c r="I575" s="1">
        <v>26</v>
      </c>
      <c r="J575" s="1">
        <v>195</v>
      </c>
      <c r="K575" s="1">
        <v>34</v>
      </c>
      <c r="L575" s="1">
        <v>17</v>
      </c>
      <c r="M575" s="1">
        <v>141</v>
      </c>
      <c r="N575" s="1">
        <v>1</v>
      </c>
      <c r="O575" s="1">
        <v>6</v>
      </c>
      <c r="P575" s="1">
        <v>4</v>
      </c>
      <c r="Q575" s="1">
        <v>13</v>
      </c>
      <c r="R575" s="1">
        <v>2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74</v>
      </c>
      <c r="AA575" s="1" t="str" cm="1">
        <f t="array" ref="AA575">_xlfn.IFS(AND(Z575&lt;36, Z575&gt;23), "24-35", AND(Z575&lt;51, Z575&gt;35),"36-50", AND(Z575&lt;66, Z575&gt;50), "51-66", Z575&gt;65, "66+", TRUE, "?")</f>
        <v>66+</v>
      </c>
      <c r="AB575" s="1">
        <v>2433</v>
      </c>
      <c r="AC575" s="1">
        <v>0</v>
      </c>
      <c r="AD575" s="1">
        <v>1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1</v>
      </c>
      <c r="AK575" s="1">
        <v>0</v>
      </c>
      <c r="AL575" s="1">
        <v>751</v>
      </c>
      <c r="AM575" s="2">
        <v>42416</v>
      </c>
      <c r="AN575" t="str">
        <f t="shared" si="17"/>
        <v>66835,892,0.0133463005910077,0,0,21,620,26,195,34,17,141,1,6,4,13,2,0,0,0,0,0,0,0,74,66+,2433,0,1,0,0,0,0,0,1,0,751,42416</v>
      </c>
    </row>
    <row r="576" spans="1:40" ht="13" hidden="1" x14ac:dyDescent="0.15">
      <c r="A576">
        <v>333</v>
      </c>
      <c r="B576" s="1">
        <v>65073</v>
      </c>
      <c r="C576" s="1">
        <v>892</v>
      </c>
      <c r="D576" s="4">
        <f t="shared" si="16"/>
        <v>1.3707682141594825E-2</v>
      </c>
      <c r="E576" s="1">
        <v>0</v>
      </c>
      <c r="F576" s="1">
        <v>0</v>
      </c>
      <c r="G576" s="1">
        <v>65</v>
      </c>
      <c r="H576" s="1">
        <v>629</v>
      </c>
      <c r="I576" s="1">
        <v>17</v>
      </c>
      <c r="J576" s="1">
        <v>177</v>
      </c>
      <c r="K576" s="1">
        <v>69</v>
      </c>
      <c r="L576" s="1">
        <v>0</v>
      </c>
      <c r="M576" s="1">
        <v>8</v>
      </c>
      <c r="N576" s="1">
        <v>1</v>
      </c>
      <c r="O576" s="1">
        <v>5</v>
      </c>
      <c r="P576" s="1">
        <v>3</v>
      </c>
      <c r="Q576" s="1">
        <v>5</v>
      </c>
      <c r="R576" s="1">
        <v>2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1</v>
      </c>
      <c r="Y576" s="1">
        <v>0</v>
      </c>
      <c r="Z576" s="1">
        <v>77</v>
      </c>
      <c r="AA576" s="1" t="str" cm="1">
        <f t="array" ref="AA576">_xlfn.IFS(AND(Z576&lt;36, Z576&gt;23), "24-35", AND(Z576&lt;51, Z576&gt;35),"36-50", AND(Z576&lt;66, Z576&gt;50), "51-66", Z576&gt;65, "66+", TRUE, "?")</f>
        <v>66+</v>
      </c>
      <c r="AB576" s="1">
        <v>2472</v>
      </c>
      <c r="AC576" s="1">
        <v>0</v>
      </c>
      <c r="AD576" s="1">
        <v>1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1</v>
      </c>
      <c r="AK576" s="1">
        <v>0</v>
      </c>
      <c r="AL576" s="1">
        <v>884</v>
      </c>
      <c r="AM576" s="2">
        <v>42377</v>
      </c>
      <c r="AN576" t="str">
        <f t="shared" si="17"/>
        <v>65073,892,0.0137076821415948,0,0,65,629,17,177,69,0,8,1,5,3,5,2,0,0,0,0,0,1,0,77,66+,2472,0,1,0,0,0,0,0,1,0,884,42377</v>
      </c>
    </row>
    <row r="577" spans="1:40" ht="13" hidden="1" x14ac:dyDescent="0.15">
      <c r="A577">
        <v>1658</v>
      </c>
      <c r="B577" s="1">
        <v>62568</v>
      </c>
      <c r="C577" s="1">
        <v>892</v>
      </c>
      <c r="D577" s="4">
        <f t="shared" si="16"/>
        <v>1.4256488940033243E-2</v>
      </c>
      <c r="E577" s="1">
        <v>0</v>
      </c>
      <c r="F577" s="1">
        <v>1</v>
      </c>
      <c r="G577" s="1">
        <v>99</v>
      </c>
      <c r="H577" s="1">
        <v>362</v>
      </c>
      <c r="I577" s="1">
        <v>17</v>
      </c>
      <c r="J577" s="1">
        <v>398</v>
      </c>
      <c r="K577" s="1">
        <v>80</v>
      </c>
      <c r="L577" s="1">
        <v>35</v>
      </c>
      <c r="M577" s="1">
        <v>61</v>
      </c>
      <c r="N577" s="1">
        <v>3</v>
      </c>
      <c r="O577" s="1">
        <v>5</v>
      </c>
      <c r="P577" s="1">
        <v>3</v>
      </c>
      <c r="Q577" s="1">
        <v>5</v>
      </c>
      <c r="R577" s="1">
        <v>4</v>
      </c>
      <c r="S577" s="1">
        <v>1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58</v>
      </c>
      <c r="AA577" s="1" t="str" cm="1">
        <f t="array" ref="AA577">_xlfn.IFS(AND(Z577&lt;36, Z577&gt;23), "24-35", AND(Z577&lt;51, Z577&gt;35),"36-50", AND(Z577&lt;66, Z577&gt;50), "51-66", Z577&gt;65, "66+", TRUE, "?")</f>
        <v>51-66</v>
      </c>
      <c r="AB577" s="1">
        <v>2242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1</v>
      </c>
      <c r="AJ577" s="1">
        <v>0</v>
      </c>
      <c r="AK577" s="1">
        <v>0</v>
      </c>
      <c r="AL577" s="1">
        <v>831</v>
      </c>
      <c r="AM577" s="2">
        <v>42607</v>
      </c>
      <c r="AN577" t="str">
        <f t="shared" si="17"/>
        <v>62568,892,0.0142564889400332,0,1,99,362,17,398,80,35,61,3,5,3,5,4,1,0,0,0,0,0,0,58,51-66,2242,0,0,0,1,0,0,1,0,0,831,42607</v>
      </c>
    </row>
    <row r="578" spans="1:40" ht="13" hidden="1" x14ac:dyDescent="0.15">
      <c r="A578">
        <v>1876</v>
      </c>
      <c r="B578" s="1">
        <v>59462</v>
      </c>
      <c r="C578" s="1">
        <v>892</v>
      </c>
      <c r="D578" s="4">
        <f t="shared" ref="D578:D641" si="18">C578/B578</f>
        <v>1.5001177222427768E-2</v>
      </c>
      <c r="E578" s="1">
        <v>0</v>
      </c>
      <c r="F578" s="1">
        <v>1</v>
      </c>
      <c r="G578" s="1">
        <v>29</v>
      </c>
      <c r="H578" s="1">
        <v>724</v>
      </c>
      <c r="I578" s="1">
        <v>17</v>
      </c>
      <c r="J578" s="1">
        <v>143</v>
      </c>
      <c r="K578" s="1">
        <v>0</v>
      </c>
      <c r="L578" s="1">
        <v>8</v>
      </c>
      <c r="M578" s="1">
        <v>196</v>
      </c>
      <c r="N578" s="1">
        <v>2</v>
      </c>
      <c r="O578" s="1">
        <v>9</v>
      </c>
      <c r="P578" s="1">
        <v>2</v>
      </c>
      <c r="Q578" s="1">
        <v>12</v>
      </c>
      <c r="R578" s="1">
        <v>7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70</v>
      </c>
      <c r="AA578" s="1" t="str" cm="1">
        <f t="array" ref="AA578">_xlfn.IFS(AND(Z578&lt;36, Z578&gt;23), "24-35", AND(Z578&lt;51, Z578&gt;35),"36-50", AND(Z578&lt;66, Z578&gt;50), "51-66", Z578&gt;65, "66+", TRUE, "?")</f>
        <v>66+</v>
      </c>
      <c r="AB578" s="1">
        <v>2699</v>
      </c>
      <c r="AC578" s="1">
        <v>0</v>
      </c>
      <c r="AD578" s="1">
        <v>1</v>
      </c>
      <c r="AE578" s="1">
        <v>0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>
        <v>0</v>
      </c>
      <c r="AL578" s="1">
        <v>696</v>
      </c>
      <c r="AM578" s="2">
        <v>42150</v>
      </c>
      <c r="AN578" t="str">
        <f t="shared" ref="AN578:AN641" si="19">_xlfn.TEXTJOIN(",",TRUE,B578:AM578)</f>
        <v>59462,892,0.0150011772224278,0,1,29,724,17,143,0,8,196,2,9,2,12,7,0,0,0,0,0,0,0,70,66+,2699,0,1,0,0,0,0,1,0,0,696,42150</v>
      </c>
    </row>
    <row r="579" spans="1:40" ht="13" hidden="1" x14ac:dyDescent="0.15">
      <c r="A579">
        <v>99</v>
      </c>
      <c r="B579" s="1">
        <v>77298</v>
      </c>
      <c r="C579" s="1">
        <v>890</v>
      </c>
      <c r="D579" s="4">
        <f t="shared" si="18"/>
        <v>1.1513881342337447E-2</v>
      </c>
      <c r="E579" s="1">
        <v>0</v>
      </c>
      <c r="F579" s="1">
        <v>1</v>
      </c>
      <c r="G579" s="1">
        <v>46</v>
      </c>
      <c r="H579" s="1">
        <v>425</v>
      </c>
      <c r="I579" s="1">
        <v>115</v>
      </c>
      <c r="J579" s="1">
        <v>292</v>
      </c>
      <c r="K579" s="1">
        <v>23</v>
      </c>
      <c r="L579" s="1">
        <v>35</v>
      </c>
      <c r="M579" s="1">
        <v>79</v>
      </c>
      <c r="N579" s="1">
        <v>1</v>
      </c>
      <c r="O579" s="1">
        <v>6</v>
      </c>
      <c r="P579" s="1">
        <v>6</v>
      </c>
      <c r="Q579" s="1">
        <v>11</v>
      </c>
      <c r="R579" s="1">
        <v>3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41</v>
      </c>
      <c r="AA579" s="1" t="str" cm="1">
        <f t="array" ref="AA579">_xlfn.IFS(AND(Z579&lt;36, Z579&gt;23), "24-35", AND(Z579&lt;51, Z579&gt;35),"36-50", AND(Z579&lt;66, Z579&gt;50), "51-66", Z579&gt;65, "66+", TRUE, "?")</f>
        <v>36-50</v>
      </c>
      <c r="AB579" s="1">
        <v>2398</v>
      </c>
      <c r="AC579" s="1">
        <v>0</v>
      </c>
      <c r="AD579" s="1">
        <v>0</v>
      </c>
      <c r="AE579" s="1">
        <v>0</v>
      </c>
      <c r="AF579" s="1">
        <v>1</v>
      </c>
      <c r="AG579" s="1">
        <v>0</v>
      </c>
      <c r="AH579" s="1">
        <v>0</v>
      </c>
      <c r="AI579" s="1">
        <v>1</v>
      </c>
      <c r="AJ579" s="1">
        <v>0</v>
      </c>
      <c r="AK579" s="1">
        <v>0</v>
      </c>
      <c r="AL579" s="1">
        <v>811</v>
      </c>
      <c r="AM579" s="2">
        <v>42451</v>
      </c>
      <c r="AN579" t="str">
        <f t="shared" si="19"/>
        <v>77298,890,0.0115138813423374,0,1,46,425,115,292,23,35,79,1,6,6,11,3,0,0,0,0,0,0,0,41,36-50,2398,0,0,0,1,0,0,1,0,0,811,42451</v>
      </c>
    </row>
    <row r="580" spans="1:40" ht="13" hidden="1" x14ac:dyDescent="0.15">
      <c r="A580">
        <v>921</v>
      </c>
      <c r="B580" s="1">
        <v>53103</v>
      </c>
      <c r="C580" s="1">
        <v>890</v>
      </c>
      <c r="D580" s="4">
        <f t="shared" si="18"/>
        <v>1.6759881739261434E-2</v>
      </c>
      <c r="E580" s="1">
        <v>0</v>
      </c>
      <c r="F580" s="1">
        <v>1</v>
      </c>
      <c r="G580" s="1">
        <v>70</v>
      </c>
      <c r="H580" s="1">
        <v>729</v>
      </c>
      <c r="I580" s="1">
        <v>17</v>
      </c>
      <c r="J580" s="1">
        <v>133</v>
      </c>
      <c r="K580" s="1">
        <v>11</v>
      </c>
      <c r="L580" s="1">
        <v>0</v>
      </c>
      <c r="M580" s="1">
        <v>195</v>
      </c>
      <c r="N580" s="1">
        <v>5</v>
      </c>
      <c r="O580" s="1">
        <v>10</v>
      </c>
      <c r="P580" s="1">
        <v>6</v>
      </c>
      <c r="Q580" s="1">
        <v>7</v>
      </c>
      <c r="R580" s="1">
        <v>7</v>
      </c>
      <c r="S580" s="1">
        <v>0</v>
      </c>
      <c r="T580" s="1">
        <v>0</v>
      </c>
      <c r="U580" s="1">
        <v>1</v>
      </c>
      <c r="V580" s="1">
        <v>0</v>
      </c>
      <c r="W580" s="1">
        <v>0</v>
      </c>
      <c r="X580" s="1">
        <v>0</v>
      </c>
      <c r="Y580" s="1">
        <v>0</v>
      </c>
      <c r="Z580" s="1">
        <v>66</v>
      </c>
      <c r="AA580" s="1" t="str" cm="1">
        <f t="array" ref="AA580">_xlfn.IFS(AND(Z580&lt;36, Z580&gt;23), "24-35", AND(Z580&lt;51, Z580&gt;35),"36-50", AND(Z580&lt;66, Z580&gt;50), "51-66", Z580&gt;65, "66+", TRUE, "?")</f>
        <v>66+</v>
      </c>
      <c r="AB580" s="1">
        <v>2449</v>
      </c>
      <c r="AC580" s="1">
        <v>0</v>
      </c>
      <c r="AD580" s="1">
        <v>0</v>
      </c>
      <c r="AE580" s="1">
        <v>0</v>
      </c>
      <c r="AF580" s="1">
        <v>1</v>
      </c>
      <c r="AG580" s="1">
        <v>0</v>
      </c>
      <c r="AH580" s="1">
        <v>0</v>
      </c>
      <c r="AI580" s="1">
        <v>1</v>
      </c>
      <c r="AJ580" s="1">
        <v>0</v>
      </c>
      <c r="AK580" s="1">
        <v>0</v>
      </c>
      <c r="AL580" s="1">
        <v>695</v>
      </c>
      <c r="AM580" s="2">
        <v>42400</v>
      </c>
      <c r="AN580" t="str">
        <f t="shared" si="19"/>
        <v>53103,890,0.0167598817392614,0,1,70,729,17,133,11,0,195,5,10,6,7,7,0,0,1,0,0,0,0,66,66+,2449,0,0,0,1,0,0,1,0,0,695,42400</v>
      </c>
    </row>
    <row r="581" spans="1:40" ht="13" hidden="1" x14ac:dyDescent="0.15">
      <c r="A581">
        <v>384</v>
      </c>
      <c r="B581" s="1">
        <v>53858</v>
      </c>
      <c r="C581" s="1">
        <v>889</v>
      </c>
      <c r="D581" s="4">
        <f t="shared" si="18"/>
        <v>1.6506368598908239E-2</v>
      </c>
      <c r="E581" s="1">
        <v>0</v>
      </c>
      <c r="F581" s="1">
        <v>1</v>
      </c>
      <c r="G581" s="1">
        <v>50</v>
      </c>
      <c r="H581" s="1">
        <v>407</v>
      </c>
      <c r="I581" s="1">
        <v>53</v>
      </c>
      <c r="J581" s="1">
        <v>221</v>
      </c>
      <c r="K581" s="1">
        <v>58</v>
      </c>
      <c r="L581" s="1">
        <v>150</v>
      </c>
      <c r="M581" s="1">
        <v>26</v>
      </c>
      <c r="N581" s="1">
        <v>4</v>
      </c>
      <c r="O581" s="1">
        <v>4</v>
      </c>
      <c r="P581" s="1">
        <v>3</v>
      </c>
      <c r="Q581" s="1">
        <v>6</v>
      </c>
      <c r="R581" s="1">
        <v>4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44</v>
      </c>
      <c r="AA581" s="1" t="str" cm="1">
        <f t="array" ref="AA581">_xlfn.IFS(AND(Z581&lt;36, Z581&gt;23), "24-35", AND(Z581&lt;51, Z581&gt;35),"36-50", AND(Z581&lt;66, Z581&gt;50), "51-66", Z581&gt;65, "66+", TRUE, "?")</f>
        <v>36-50</v>
      </c>
      <c r="AB581" s="1">
        <v>2756</v>
      </c>
      <c r="AC581" s="1">
        <v>0</v>
      </c>
      <c r="AD581" s="1">
        <v>1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>
        <v>0</v>
      </c>
      <c r="AL581" s="1">
        <v>863</v>
      </c>
      <c r="AM581" s="2">
        <v>42093</v>
      </c>
      <c r="AN581" t="str">
        <f t="shared" si="19"/>
        <v>53858,889,0.0165063685989082,0,1,50,407,53,221,58,150,26,4,4,3,6,4,0,0,0,0,0,0,0,44,36-50,2756,0,1,0,0,0,0,1,0,0,863,42093</v>
      </c>
    </row>
    <row r="582" spans="1:40" ht="13" hidden="1" x14ac:dyDescent="0.15">
      <c r="A582">
        <v>1005</v>
      </c>
      <c r="B582" s="1">
        <v>67023</v>
      </c>
      <c r="C582" s="1">
        <v>889</v>
      </c>
      <c r="D582" s="4">
        <f t="shared" si="18"/>
        <v>1.3264103367500708E-2</v>
      </c>
      <c r="E582" s="1">
        <v>0</v>
      </c>
      <c r="F582" s="1">
        <v>0</v>
      </c>
      <c r="G582" s="1">
        <v>93</v>
      </c>
      <c r="H582" s="1">
        <v>444</v>
      </c>
      <c r="I582" s="1">
        <v>44</v>
      </c>
      <c r="J582" s="1">
        <v>382</v>
      </c>
      <c r="K582" s="1">
        <v>11</v>
      </c>
      <c r="L582" s="1">
        <v>8</v>
      </c>
      <c r="M582" s="1">
        <v>17</v>
      </c>
      <c r="N582" s="1">
        <v>1</v>
      </c>
      <c r="O582" s="1">
        <v>3</v>
      </c>
      <c r="P582" s="1">
        <v>7</v>
      </c>
      <c r="Q582" s="1">
        <v>13</v>
      </c>
      <c r="R582" s="1">
        <v>2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1</v>
      </c>
      <c r="Y582" s="1">
        <v>0</v>
      </c>
      <c r="Z582" s="1">
        <v>42</v>
      </c>
      <c r="AA582" s="1" t="str" cm="1">
        <f t="array" ref="AA582">_xlfn.IFS(AND(Z582&lt;36, Z582&gt;23), "24-35", AND(Z582&lt;51, Z582&gt;35),"36-50", AND(Z582&lt;66, Z582&gt;50), "51-66", Z582&gt;65, "66+", TRUE, "?")</f>
        <v>36-50</v>
      </c>
      <c r="AB582" s="1">
        <v>2276</v>
      </c>
      <c r="AC582" s="1">
        <v>0</v>
      </c>
      <c r="AD582" s="1">
        <v>1</v>
      </c>
      <c r="AE582" s="1">
        <v>0</v>
      </c>
      <c r="AF582" s="1">
        <v>0</v>
      </c>
      <c r="AG582" s="1">
        <v>0</v>
      </c>
      <c r="AH582" s="1">
        <v>0</v>
      </c>
      <c r="AI582" s="1">
        <v>1</v>
      </c>
      <c r="AJ582" s="1">
        <v>0</v>
      </c>
      <c r="AK582" s="1">
        <v>0</v>
      </c>
      <c r="AL582" s="1">
        <v>872</v>
      </c>
      <c r="AM582" s="2">
        <v>42573</v>
      </c>
      <c r="AN582" t="str">
        <f t="shared" si="19"/>
        <v>67023,889,0.0132641033675007,0,0,93,444,44,382,11,8,17,1,3,7,13,2,0,0,0,0,0,1,0,42,36-50,2276,0,1,0,0,0,0,1,0,0,872,42573</v>
      </c>
    </row>
    <row r="583" spans="1:40" ht="13" hidden="1" x14ac:dyDescent="0.15">
      <c r="A583">
        <v>630</v>
      </c>
      <c r="B583" s="1">
        <v>66731</v>
      </c>
      <c r="C583" s="1">
        <v>888</v>
      </c>
      <c r="D583" s="4">
        <f t="shared" si="18"/>
        <v>1.3307158591958759E-2</v>
      </c>
      <c r="E583" s="1">
        <v>0</v>
      </c>
      <c r="F583" s="1">
        <v>1</v>
      </c>
      <c r="G583" s="1">
        <v>33</v>
      </c>
      <c r="H583" s="1">
        <v>371</v>
      </c>
      <c r="I583" s="1">
        <v>159</v>
      </c>
      <c r="J583" s="1">
        <v>194</v>
      </c>
      <c r="K583" s="1">
        <v>58</v>
      </c>
      <c r="L583" s="1">
        <v>106</v>
      </c>
      <c r="M583" s="1">
        <v>141</v>
      </c>
      <c r="N583" s="1">
        <v>4</v>
      </c>
      <c r="O583" s="1">
        <v>4</v>
      </c>
      <c r="P583" s="1">
        <v>3</v>
      </c>
      <c r="Q583" s="1">
        <v>6</v>
      </c>
      <c r="R583" s="1">
        <v>3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50</v>
      </c>
      <c r="AA583" s="1" t="str" cm="1">
        <f t="array" ref="AA583">_xlfn.IFS(AND(Z583&lt;36, Z583&gt;23), "24-35", AND(Z583&lt;51, Z583&gt;35),"36-50", AND(Z583&lt;66, Z583&gt;50), "51-66", Z583&gt;65, "66+", TRUE, "?")</f>
        <v>36-50</v>
      </c>
      <c r="AB583" s="1">
        <v>2814</v>
      </c>
      <c r="AC583" s="1">
        <v>0</v>
      </c>
      <c r="AD583" s="1">
        <v>0</v>
      </c>
      <c r="AE583" s="1">
        <v>0</v>
      </c>
      <c r="AF583" s="1">
        <v>0</v>
      </c>
      <c r="AG583" s="1">
        <v>1</v>
      </c>
      <c r="AH583" s="1">
        <v>0</v>
      </c>
      <c r="AI583" s="1">
        <v>1</v>
      </c>
      <c r="AJ583" s="1">
        <v>0</v>
      </c>
      <c r="AK583" s="1">
        <v>0</v>
      </c>
      <c r="AL583" s="1">
        <v>747</v>
      </c>
      <c r="AM583" s="2">
        <v>42035</v>
      </c>
      <c r="AN583" t="str">
        <f t="shared" si="19"/>
        <v>66731,888,0.0133071585919588,0,1,33,371,159,194,58,106,141,4,4,3,6,3,0,0,0,0,0,0,0,50,36-50,2814,0,0,0,0,1,0,1,0,0,747,42035</v>
      </c>
    </row>
    <row r="584" spans="1:40" ht="13" hidden="1" x14ac:dyDescent="0.15">
      <c r="A584">
        <v>1062</v>
      </c>
      <c r="B584" s="1">
        <v>67381</v>
      </c>
      <c r="C584" s="1">
        <v>887</v>
      </c>
      <c r="D584" s="4">
        <f t="shared" si="18"/>
        <v>1.3163948294029474E-2</v>
      </c>
      <c r="E584" s="1">
        <v>0</v>
      </c>
      <c r="F584" s="1">
        <v>1</v>
      </c>
      <c r="G584" s="1">
        <v>67</v>
      </c>
      <c r="H584" s="1">
        <v>815</v>
      </c>
      <c r="I584" s="1">
        <v>8</v>
      </c>
      <c r="J584" s="1">
        <v>53</v>
      </c>
      <c r="K584" s="1">
        <v>11</v>
      </c>
      <c r="L584" s="1">
        <v>0</v>
      </c>
      <c r="M584" s="1">
        <v>70</v>
      </c>
      <c r="N584" s="1">
        <v>4</v>
      </c>
      <c r="O584" s="1">
        <v>2</v>
      </c>
      <c r="P584" s="1">
        <v>2</v>
      </c>
      <c r="Q584" s="1">
        <v>9</v>
      </c>
      <c r="R584" s="1">
        <v>7</v>
      </c>
      <c r="S584" s="1">
        <v>0</v>
      </c>
      <c r="T584" s="1">
        <v>0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69</v>
      </c>
      <c r="AA584" s="1" t="str" cm="1">
        <f t="array" ref="AA584">_xlfn.IFS(AND(Z584&lt;36, Z584&gt;23), "24-35", AND(Z584&lt;51, Z584&gt;35),"36-50", AND(Z584&lt;66, Z584&gt;50), "51-66", Z584&gt;65, "66+", TRUE, "?")</f>
        <v>66+</v>
      </c>
      <c r="AB584" s="1">
        <v>2689</v>
      </c>
      <c r="AC584" s="1">
        <v>0</v>
      </c>
      <c r="AD584" s="1">
        <v>1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1</v>
      </c>
      <c r="AK584" s="1">
        <v>0</v>
      </c>
      <c r="AL584" s="1">
        <v>817</v>
      </c>
      <c r="AM584" s="2">
        <v>42160</v>
      </c>
      <c r="AN584" t="str">
        <f t="shared" si="19"/>
        <v>67381,887,0.0131639482940295,0,1,67,815,8,53,11,0,70,4,2,2,9,7,0,0,0,1,0,0,0,69,66+,2689,0,1,0,0,0,0,0,1,0,817,42160</v>
      </c>
    </row>
    <row r="585" spans="1:40" ht="13" hidden="1" x14ac:dyDescent="0.15">
      <c r="A585">
        <v>1878</v>
      </c>
      <c r="B585" s="1">
        <v>67046</v>
      </c>
      <c r="C585" s="1">
        <v>886</v>
      </c>
      <c r="D585" s="4">
        <f t="shared" si="18"/>
        <v>1.3214807743936999E-2</v>
      </c>
      <c r="E585" s="1">
        <v>0</v>
      </c>
      <c r="F585" s="1">
        <v>1</v>
      </c>
      <c r="G585" s="1">
        <v>92</v>
      </c>
      <c r="H585" s="1">
        <v>544</v>
      </c>
      <c r="I585" s="1">
        <v>35</v>
      </c>
      <c r="J585" s="1">
        <v>133</v>
      </c>
      <c r="K585" s="1">
        <v>23</v>
      </c>
      <c r="L585" s="1">
        <v>151</v>
      </c>
      <c r="M585" s="1">
        <v>107</v>
      </c>
      <c r="N585" s="1">
        <v>2</v>
      </c>
      <c r="O585" s="1">
        <v>4</v>
      </c>
      <c r="P585" s="1">
        <v>5</v>
      </c>
      <c r="Q585" s="1">
        <v>4</v>
      </c>
      <c r="R585" s="1">
        <v>2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69</v>
      </c>
      <c r="AA585" s="1" t="str" cm="1">
        <f t="array" ref="AA585">_xlfn.IFS(AND(Z585&lt;36, Z585&gt;23), "24-35", AND(Z585&lt;51, Z585&gt;35),"36-50", AND(Z585&lt;66, Z585&gt;50), "51-66", Z585&gt;65, "66+", TRUE, "?")</f>
        <v>66+</v>
      </c>
      <c r="AB585" s="1">
        <v>2698</v>
      </c>
      <c r="AC585" s="1">
        <v>0</v>
      </c>
      <c r="AD585" s="1">
        <v>0</v>
      </c>
      <c r="AE585" s="1">
        <v>0</v>
      </c>
      <c r="AF585" s="1">
        <v>0</v>
      </c>
      <c r="AG585" s="1">
        <v>1</v>
      </c>
      <c r="AH585" s="1">
        <v>0</v>
      </c>
      <c r="AI585" s="1">
        <v>1</v>
      </c>
      <c r="AJ585" s="1">
        <v>0</v>
      </c>
      <c r="AK585" s="1">
        <v>0</v>
      </c>
      <c r="AL585" s="1">
        <v>779</v>
      </c>
      <c r="AM585" s="2">
        <v>42151</v>
      </c>
      <c r="AN585" t="str">
        <f t="shared" si="19"/>
        <v>67046,886,0.013214807743937,0,1,92,544,35,133,23,151,107,2,4,5,4,2,0,0,0,0,0,0,0,69,66+,2698,0,0,0,0,1,0,1,0,0,779,42151</v>
      </c>
    </row>
    <row r="586" spans="1:40" ht="13" hidden="1" x14ac:dyDescent="0.15">
      <c r="A586">
        <v>1640</v>
      </c>
      <c r="B586" s="1">
        <v>63404</v>
      </c>
      <c r="C586" s="1">
        <v>885</v>
      </c>
      <c r="D586" s="4">
        <f t="shared" si="18"/>
        <v>1.3958109898429121E-2</v>
      </c>
      <c r="E586" s="1">
        <v>0</v>
      </c>
      <c r="F586" s="1">
        <v>2</v>
      </c>
      <c r="G586" s="1">
        <v>97</v>
      </c>
      <c r="H586" s="1">
        <v>734</v>
      </c>
      <c r="I586" s="1">
        <v>26</v>
      </c>
      <c r="J586" s="1">
        <v>70</v>
      </c>
      <c r="K586" s="1">
        <v>11</v>
      </c>
      <c r="L586" s="1">
        <v>44</v>
      </c>
      <c r="M586" s="1">
        <v>17</v>
      </c>
      <c r="N586" s="1">
        <v>2</v>
      </c>
      <c r="O586" s="1">
        <v>6</v>
      </c>
      <c r="P586" s="1">
        <v>3</v>
      </c>
      <c r="Q586" s="1">
        <v>4</v>
      </c>
      <c r="R586" s="1">
        <v>4</v>
      </c>
      <c r="S586" s="1">
        <v>1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56</v>
      </c>
      <c r="AA586" s="1" t="str" cm="1">
        <f t="array" ref="AA586">_xlfn.IFS(AND(Z586&lt;36, Z586&gt;23), "24-35", AND(Z586&lt;51, Z586&gt;35),"36-50", AND(Z586&lt;66, Z586&gt;50), "51-66", Z586&gt;65, "66+", TRUE, "?")</f>
        <v>51-66</v>
      </c>
      <c r="AB586" s="1">
        <v>2182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1</v>
      </c>
      <c r="AJ586" s="1">
        <v>0</v>
      </c>
      <c r="AK586" s="1">
        <v>0</v>
      </c>
      <c r="AL586" s="1">
        <v>868</v>
      </c>
      <c r="AM586" s="2">
        <v>42667</v>
      </c>
      <c r="AN586" t="str">
        <f t="shared" si="19"/>
        <v>63404,885,0.0139581098984291,0,2,97,734,26,70,11,44,17,2,6,3,4,4,1,0,0,0,0,0,0,56,51-66,2182,0,0,0,1,0,0,1,0,0,868,42667</v>
      </c>
    </row>
    <row r="587" spans="1:40" ht="13" hidden="1" x14ac:dyDescent="0.15">
      <c r="A587">
        <v>995</v>
      </c>
      <c r="B587" s="1">
        <v>67605</v>
      </c>
      <c r="C587" s="1">
        <v>884</v>
      </c>
      <c r="D587" s="4">
        <f t="shared" si="18"/>
        <v>1.3075955920420088E-2</v>
      </c>
      <c r="E587" s="1">
        <v>0</v>
      </c>
      <c r="F587" s="1">
        <v>0</v>
      </c>
      <c r="G587" s="1">
        <v>84</v>
      </c>
      <c r="H587" s="1">
        <v>336</v>
      </c>
      <c r="I587" s="1">
        <v>28</v>
      </c>
      <c r="J587" s="1">
        <v>282</v>
      </c>
      <c r="K587" s="1">
        <v>184</v>
      </c>
      <c r="L587" s="1">
        <v>54</v>
      </c>
      <c r="M587" s="1">
        <v>54</v>
      </c>
      <c r="N587" s="1">
        <v>1</v>
      </c>
      <c r="O587" s="1">
        <v>2</v>
      </c>
      <c r="P587" s="1">
        <v>8</v>
      </c>
      <c r="Q587" s="1">
        <v>6</v>
      </c>
      <c r="R587" s="1">
        <v>1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33</v>
      </c>
      <c r="AA587" s="1" t="str" cm="1">
        <f t="array" ref="AA587">_xlfn.IFS(AND(Z587&lt;36, Z587&gt;23), "24-35", AND(Z587&lt;51, Z587&gt;35),"36-50", AND(Z587&lt;66, Z587&gt;50), "51-66", Z587&gt;65, "66+", TRUE, "?")</f>
        <v>24-35</v>
      </c>
      <c r="AB587" s="1">
        <v>2614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1</v>
      </c>
      <c r="AJ587" s="1">
        <v>0</v>
      </c>
      <c r="AK587" s="1">
        <v>0</v>
      </c>
      <c r="AL587" s="1">
        <v>830</v>
      </c>
      <c r="AM587" s="2">
        <v>42235</v>
      </c>
      <c r="AN587" t="str">
        <f t="shared" si="19"/>
        <v>67605,884,0.0130759559204201,0,0,84,336,28,282,184,54,54,1,2,8,6,1,0,0,0,0,0,0,0,33,24-35,2614,0,0,0,1,0,0,1,0,0,830,42235</v>
      </c>
    </row>
    <row r="588" spans="1:40" ht="13" hidden="1" x14ac:dyDescent="0.15">
      <c r="A588">
        <v>1285</v>
      </c>
      <c r="B588" s="1">
        <v>56242</v>
      </c>
      <c r="C588" s="1">
        <v>883</v>
      </c>
      <c r="D588" s="4">
        <f t="shared" si="18"/>
        <v>1.5700010668183918E-2</v>
      </c>
      <c r="E588" s="1">
        <v>0</v>
      </c>
      <c r="F588" s="1">
        <v>1</v>
      </c>
      <c r="G588" s="1">
        <v>72</v>
      </c>
      <c r="H588" s="1">
        <v>689</v>
      </c>
      <c r="I588" s="1">
        <v>8</v>
      </c>
      <c r="J588" s="1">
        <v>167</v>
      </c>
      <c r="K588" s="1">
        <v>11</v>
      </c>
      <c r="L588" s="1">
        <v>8</v>
      </c>
      <c r="M588" s="1">
        <v>88</v>
      </c>
      <c r="N588" s="1">
        <v>5</v>
      </c>
      <c r="O588" s="1">
        <v>8</v>
      </c>
      <c r="P588" s="1">
        <v>4</v>
      </c>
      <c r="Q588" s="1">
        <v>11</v>
      </c>
      <c r="R588" s="1">
        <v>6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51</v>
      </c>
      <c r="AA588" s="1" t="str" cm="1">
        <f t="array" ref="AA588">_xlfn.IFS(AND(Z588&lt;36, Z588&gt;23), "24-35", AND(Z588&lt;51, Z588&gt;35),"36-50", AND(Z588&lt;66, Z588&gt;50), "51-66", Z588&gt;65, "66+", TRUE, "?")</f>
        <v>51-66</v>
      </c>
      <c r="AB588" s="1">
        <v>2642</v>
      </c>
      <c r="AC588" s="1">
        <v>0</v>
      </c>
      <c r="AD588" s="1">
        <v>1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1</v>
      </c>
      <c r="AL588" s="1">
        <v>795</v>
      </c>
      <c r="AM588" s="2">
        <v>42207</v>
      </c>
      <c r="AN588" t="str">
        <f t="shared" si="19"/>
        <v>56242,883,0.0157000106681839,0,1,72,689,8,167,11,8,88,5,8,4,11,6,0,0,0,0,0,0,0,51,51-66,2642,0,1,0,0,0,0,0,0,1,795,42207</v>
      </c>
    </row>
    <row r="589" spans="1:40" ht="13" hidden="1" x14ac:dyDescent="0.15">
      <c r="A589">
        <v>277</v>
      </c>
      <c r="B589" s="1">
        <v>57912</v>
      </c>
      <c r="C589" s="1">
        <v>881</v>
      </c>
      <c r="D589" s="4">
        <f t="shared" si="18"/>
        <v>1.5212736565824008E-2</v>
      </c>
      <c r="E589" s="1">
        <v>0</v>
      </c>
      <c r="F589" s="1">
        <v>1</v>
      </c>
      <c r="G589" s="1">
        <v>34</v>
      </c>
      <c r="H589" s="1">
        <v>801</v>
      </c>
      <c r="I589" s="1">
        <v>0</v>
      </c>
      <c r="J589" s="1">
        <v>80</v>
      </c>
      <c r="K589" s="1">
        <v>0</v>
      </c>
      <c r="L589" s="1">
        <v>0</v>
      </c>
      <c r="M589" s="1">
        <v>35</v>
      </c>
      <c r="N589" s="1">
        <v>5</v>
      </c>
      <c r="O589" s="1">
        <v>8</v>
      </c>
      <c r="P589" s="1">
        <v>3</v>
      </c>
      <c r="Q589" s="1">
        <v>12</v>
      </c>
      <c r="R589" s="1">
        <v>5</v>
      </c>
      <c r="S589" s="1">
        <v>0</v>
      </c>
      <c r="T589" s="1">
        <v>0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55</v>
      </c>
      <c r="AA589" s="1" t="str" cm="1">
        <f t="array" ref="AA589">_xlfn.IFS(AND(Z589&lt;36, Z589&gt;23), "24-35", AND(Z589&lt;51, Z589&gt;35),"36-50", AND(Z589&lt;66, Z589&gt;50), "51-66", Z589&gt;65, "66+", TRUE, "?")</f>
        <v>51-66</v>
      </c>
      <c r="AB589" s="1">
        <v>2263</v>
      </c>
      <c r="AC589" s="1">
        <v>1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1</v>
      </c>
      <c r="AL589" s="1">
        <v>846</v>
      </c>
      <c r="AM589" s="2">
        <v>42586</v>
      </c>
      <c r="AN589" t="str">
        <f t="shared" si="19"/>
        <v>57912,881,0.015212736565824,0,1,34,801,0,80,0,0,35,5,8,3,12,5,0,0,0,1,0,0,0,55,51-66,2263,1,0,0,0,0,0,0,0,1,846,42586</v>
      </c>
    </row>
    <row r="590" spans="1:40" ht="13" hidden="1" x14ac:dyDescent="0.15">
      <c r="A590">
        <v>35</v>
      </c>
      <c r="B590" s="1">
        <v>67353</v>
      </c>
      <c r="C590" s="1">
        <v>878</v>
      </c>
      <c r="D590" s="4">
        <f t="shared" si="18"/>
        <v>1.3035796475286921E-2</v>
      </c>
      <c r="E590" s="1">
        <v>0</v>
      </c>
      <c r="F590" s="1">
        <v>1</v>
      </c>
      <c r="G590" s="1">
        <v>37</v>
      </c>
      <c r="H590" s="1">
        <v>702</v>
      </c>
      <c r="I590" s="1">
        <v>17</v>
      </c>
      <c r="J590" s="1">
        <v>151</v>
      </c>
      <c r="K590" s="1">
        <v>0</v>
      </c>
      <c r="L590" s="1">
        <v>8</v>
      </c>
      <c r="M590" s="1">
        <v>35</v>
      </c>
      <c r="N590" s="1">
        <v>5</v>
      </c>
      <c r="O590" s="1">
        <v>5</v>
      </c>
      <c r="P590" s="1">
        <v>6</v>
      </c>
      <c r="Q590" s="1">
        <v>12</v>
      </c>
      <c r="R590" s="1">
        <v>2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50</v>
      </c>
      <c r="AA590" s="1" t="str" cm="1">
        <f t="array" ref="AA590">_xlfn.IFS(AND(Z590&lt;36, Z590&gt;23), "24-35", AND(Z590&lt;51, Z590&gt;35),"36-50", AND(Z590&lt;66, Z590&gt;50), "51-66", Z590&gt;65, "66+", TRUE, "?")</f>
        <v>36-50</v>
      </c>
      <c r="AB590" s="1">
        <v>2339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1</v>
      </c>
      <c r="AL590" s="1">
        <v>843</v>
      </c>
      <c r="AM590" s="2">
        <v>42510</v>
      </c>
      <c r="AN590" t="str">
        <f t="shared" si="19"/>
        <v>67353,878,0.0130357964752869,0,1,37,702,17,151,0,8,35,5,5,6,12,2,0,0,0,0,0,0,0,50,36-50,2339,0,1,0,0,0,0,0,0,1,843,42510</v>
      </c>
    </row>
    <row r="591" spans="1:40" ht="13" x14ac:dyDescent="0.15">
      <c r="A591">
        <v>1175</v>
      </c>
      <c r="B591" s="1">
        <v>78825</v>
      </c>
      <c r="C591" s="1">
        <v>877</v>
      </c>
      <c r="D591" s="4">
        <f t="shared" si="18"/>
        <v>1.1125911830003171E-2</v>
      </c>
      <c r="E591" s="1">
        <v>0</v>
      </c>
      <c r="F591" s="1">
        <v>0</v>
      </c>
      <c r="G591" s="1">
        <v>35</v>
      </c>
      <c r="H591" s="1">
        <v>483</v>
      </c>
      <c r="I591" s="1">
        <v>74</v>
      </c>
      <c r="J591" s="1">
        <v>114</v>
      </c>
      <c r="K591" s="1">
        <v>169</v>
      </c>
      <c r="L591" s="1">
        <v>37</v>
      </c>
      <c r="M591" s="1">
        <v>18</v>
      </c>
      <c r="N591" s="1">
        <v>1</v>
      </c>
      <c r="O591" s="1">
        <v>5</v>
      </c>
      <c r="P591" s="1">
        <v>10</v>
      </c>
      <c r="Q591" s="1">
        <v>13</v>
      </c>
      <c r="R591" s="1">
        <v>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1</v>
      </c>
      <c r="Z591" s="1">
        <v>56</v>
      </c>
      <c r="AA591" s="1" t="str" cm="1">
        <f t="array" ref="AA591">_xlfn.IFS(AND(Z591&lt;36, Z591&gt;23), "24-35", AND(Z591&lt;51, Z591&gt;35),"36-50", AND(Z591&lt;66, Z591&gt;50), "51-66", Z591&gt;65, "66+", TRUE, "?")</f>
        <v>51-66</v>
      </c>
      <c r="AB591" s="1">
        <v>2812</v>
      </c>
      <c r="AC591" s="1">
        <v>1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1</v>
      </c>
      <c r="AL591" s="1">
        <v>859</v>
      </c>
      <c r="AM591" s="2">
        <v>42037</v>
      </c>
      <c r="AN591" t="str">
        <f t="shared" si="19"/>
        <v>78825,877,0.0111259118300032,0,0,35,483,74,114,169,37,18,1,5,10,13,3,0,0,0,0,0,0,1,56,51-66,2812,1,0,0,0,0,0,0,0,1,859,42037</v>
      </c>
    </row>
    <row r="592" spans="1:40" ht="13" hidden="1" x14ac:dyDescent="0.15">
      <c r="A592">
        <v>680</v>
      </c>
      <c r="B592" s="1">
        <v>75012</v>
      </c>
      <c r="C592" s="1">
        <v>876</v>
      </c>
      <c r="D592" s="4">
        <f t="shared" si="18"/>
        <v>1.1678131498960166E-2</v>
      </c>
      <c r="E592" s="1">
        <v>0</v>
      </c>
      <c r="F592" s="1">
        <v>0</v>
      </c>
      <c r="G592" s="1">
        <v>41</v>
      </c>
      <c r="H592" s="1">
        <v>294</v>
      </c>
      <c r="I592" s="1">
        <v>142</v>
      </c>
      <c r="J592" s="1">
        <v>218</v>
      </c>
      <c r="K592" s="1">
        <v>164</v>
      </c>
      <c r="L592" s="1">
        <v>58</v>
      </c>
      <c r="M592" s="1">
        <v>151</v>
      </c>
      <c r="N592" s="1">
        <v>1</v>
      </c>
      <c r="O592" s="1">
        <v>3</v>
      </c>
      <c r="P592" s="1">
        <v>8</v>
      </c>
      <c r="Q592" s="1">
        <v>11</v>
      </c>
      <c r="R592" s="1">
        <v>1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44</v>
      </c>
      <c r="AA592" s="1" t="str" cm="1">
        <f t="array" ref="AA592">_xlfn.IFS(AND(Z592&lt;36, Z592&gt;23), "24-35", AND(Z592&lt;51, Z592&gt;35),"36-50", AND(Z592&lt;66, Z592&gt;50), "51-66", Z592&gt;65, "66+", TRUE, "?")</f>
        <v>36-50</v>
      </c>
      <c r="AB592" s="1">
        <v>2314</v>
      </c>
      <c r="AC592" s="1">
        <v>1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1</v>
      </c>
      <c r="AK592" s="1">
        <v>0</v>
      </c>
      <c r="AL592" s="1">
        <v>725</v>
      </c>
      <c r="AM592" s="2">
        <v>42535</v>
      </c>
      <c r="AN592" t="str">
        <f t="shared" si="19"/>
        <v>75012,876,0.0116781314989602,0,0,41,294,142,218,164,58,151,1,3,8,11,1,0,0,0,0,0,0,0,44,36-50,2314,1,0,0,0,0,0,0,1,0,725,42535</v>
      </c>
    </row>
    <row r="593" spans="1:40" ht="13" hidden="1" x14ac:dyDescent="0.15">
      <c r="A593">
        <v>588</v>
      </c>
      <c r="B593" s="1">
        <v>72635</v>
      </c>
      <c r="C593" s="1">
        <v>874</v>
      </c>
      <c r="D593" s="4">
        <f t="shared" si="18"/>
        <v>1.2032766572588973E-2</v>
      </c>
      <c r="E593" s="1">
        <v>0</v>
      </c>
      <c r="F593" s="1">
        <v>0</v>
      </c>
      <c r="G593" s="1">
        <v>54</v>
      </c>
      <c r="H593" s="1">
        <v>390</v>
      </c>
      <c r="I593" s="1">
        <v>22</v>
      </c>
      <c r="J593" s="1">
        <v>323</v>
      </c>
      <c r="K593" s="1">
        <v>104</v>
      </c>
      <c r="L593" s="1">
        <v>35</v>
      </c>
      <c r="M593" s="1">
        <v>107</v>
      </c>
      <c r="N593" s="1">
        <v>1</v>
      </c>
      <c r="O593" s="1">
        <v>6</v>
      </c>
      <c r="P593" s="1">
        <v>8</v>
      </c>
      <c r="Q593" s="1">
        <v>6</v>
      </c>
      <c r="R593" s="1">
        <v>3</v>
      </c>
      <c r="S593" s="1">
        <v>1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65</v>
      </c>
      <c r="AA593" s="1" t="str" cm="1">
        <f t="array" ref="AA593">_xlfn.IFS(AND(Z593&lt;36, Z593&gt;23), "24-35", AND(Z593&lt;51, Z593&gt;35),"36-50", AND(Z593&lt;66, Z593&gt;50), "51-66", Z593&gt;65, "66+", TRUE, "?")</f>
        <v>51-66</v>
      </c>
      <c r="AB593" s="1">
        <v>2550</v>
      </c>
      <c r="AC593" s="1">
        <v>0</v>
      </c>
      <c r="AD593" s="1">
        <v>1</v>
      </c>
      <c r="AE593" s="1">
        <v>0</v>
      </c>
      <c r="AF593" s="1">
        <v>0</v>
      </c>
      <c r="AG593" s="1">
        <v>0</v>
      </c>
      <c r="AH593" s="1">
        <v>1</v>
      </c>
      <c r="AI593" s="1">
        <v>0</v>
      </c>
      <c r="AJ593" s="1">
        <v>0</v>
      </c>
      <c r="AK593" s="1">
        <v>0</v>
      </c>
      <c r="AL593" s="1">
        <v>767</v>
      </c>
      <c r="AM593" s="2">
        <v>42299</v>
      </c>
      <c r="AN593" t="str">
        <f t="shared" si="19"/>
        <v>72635,874,0.012032766572589,0,0,54,390,22,323,104,35,107,1,6,8,6,3,1,0,0,0,0,0,0,65,51-66,2550,0,1,0,0,0,1,0,0,0,767,42299</v>
      </c>
    </row>
    <row r="594" spans="1:40" ht="13" hidden="1" x14ac:dyDescent="0.15">
      <c r="A594">
        <v>937</v>
      </c>
      <c r="B594" s="1">
        <v>52845</v>
      </c>
      <c r="C594" s="1">
        <v>872</v>
      </c>
      <c r="D594" s="4">
        <f t="shared" si="18"/>
        <v>1.6501088087803956E-2</v>
      </c>
      <c r="E594" s="1">
        <v>1</v>
      </c>
      <c r="F594" s="1">
        <v>0</v>
      </c>
      <c r="G594" s="1">
        <v>7</v>
      </c>
      <c r="H594" s="1">
        <v>384</v>
      </c>
      <c r="I594" s="1">
        <v>25</v>
      </c>
      <c r="J594" s="1">
        <v>292</v>
      </c>
      <c r="K594" s="1">
        <v>130</v>
      </c>
      <c r="L594" s="1">
        <v>41</v>
      </c>
      <c r="M594" s="1">
        <v>64</v>
      </c>
      <c r="N594" s="1">
        <v>3</v>
      </c>
      <c r="O594" s="1">
        <v>8</v>
      </c>
      <c r="P594" s="1">
        <v>8</v>
      </c>
      <c r="Q594" s="1">
        <v>6</v>
      </c>
      <c r="R594" s="1">
        <v>6</v>
      </c>
      <c r="S594" s="1">
        <v>0</v>
      </c>
      <c r="T594" s="1">
        <v>0</v>
      </c>
      <c r="U594" s="1">
        <v>1</v>
      </c>
      <c r="V594" s="1">
        <v>0</v>
      </c>
      <c r="W594" s="1">
        <v>0</v>
      </c>
      <c r="X594" s="1">
        <v>0</v>
      </c>
      <c r="Y594" s="1">
        <v>0</v>
      </c>
      <c r="Z594" s="1">
        <v>47</v>
      </c>
      <c r="AA594" s="1" t="str" cm="1">
        <f t="array" ref="AA594">_xlfn.IFS(AND(Z594&lt;36, Z594&gt;23), "24-35", AND(Z594&lt;51, Z594&gt;35),"36-50", AND(Z594&lt;66, Z594&gt;50), "51-66", Z594&gt;65, "66+", TRUE, "?")</f>
        <v>36-50</v>
      </c>
      <c r="AB594" s="1">
        <v>2479</v>
      </c>
      <c r="AC594" s="1">
        <v>0</v>
      </c>
      <c r="AD594" s="1">
        <v>1</v>
      </c>
      <c r="AE594" s="1">
        <v>0</v>
      </c>
      <c r="AF594" s="1">
        <v>0</v>
      </c>
      <c r="AG594" s="1">
        <v>0</v>
      </c>
      <c r="AH594" s="1">
        <v>0</v>
      </c>
      <c r="AI594" s="1">
        <v>1</v>
      </c>
      <c r="AJ594" s="1">
        <v>0</v>
      </c>
      <c r="AK594" s="1">
        <v>0</v>
      </c>
      <c r="AL594" s="1">
        <v>808</v>
      </c>
      <c r="AM594" s="2">
        <v>42370</v>
      </c>
      <c r="AN594" t="str">
        <f t="shared" si="19"/>
        <v>52845,872,0.016501088087804,1,0,7,384,25,292,130,41,64,3,8,8,6,6,0,0,1,0,0,0,0,47,36-50,2479,0,1,0,0,0,0,1,0,0,808,42370</v>
      </c>
    </row>
    <row r="595" spans="1:40" ht="13" hidden="1" x14ac:dyDescent="0.15">
      <c r="A595">
        <v>846</v>
      </c>
      <c r="B595" s="1">
        <v>81320</v>
      </c>
      <c r="C595" s="1">
        <v>871</v>
      </c>
      <c r="D595" s="4">
        <f t="shared" si="18"/>
        <v>1.0710772257747171E-2</v>
      </c>
      <c r="E595" s="1">
        <v>0</v>
      </c>
      <c r="F595" s="1">
        <v>0</v>
      </c>
      <c r="G595" s="1">
        <v>61</v>
      </c>
      <c r="H595" s="1">
        <v>183</v>
      </c>
      <c r="I595" s="1">
        <v>33</v>
      </c>
      <c r="J595" s="1">
        <v>493</v>
      </c>
      <c r="K595" s="1">
        <v>59</v>
      </c>
      <c r="L595" s="1">
        <v>103</v>
      </c>
      <c r="M595" s="1">
        <v>57</v>
      </c>
      <c r="N595" s="1">
        <v>1</v>
      </c>
      <c r="O595" s="1">
        <v>4</v>
      </c>
      <c r="P595" s="1">
        <v>3</v>
      </c>
      <c r="Q595" s="1">
        <v>10</v>
      </c>
      <c r="R595" s="1">
        <v>2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62</v>
      </c>
      <c r="AA595" s="1" t="str" cm="1">
        <f t="array" ref="AA595">_xlfn.IFS(AND(Z595&lt;36, Z595&gt;23), "24-35", AND(Z595&lt;51, Z595&gt;35),"36-50", AND(Z595&lt;66, Z595&gt;50), "51-66", Z595&gt;65, "66+", TRUE, "?")</f>
        <v>51-66</v>
      </c>
      <c r="AB595" s="1">
        <v>2667</v>
      </c>
      <c r="AC595" s="1">
        <v>0</v>
      </c>
      <c r="AD595" s="1">
        <v>1</v>
      </c>
      <c r="AE595" s="1">
        <v>0</v>
      </c>
      <c r="AF595" s="1">
        <v>0</v>
      </c>
      <c r="AG595" s="1">
        <v>0</v>
      </c>
      <c r="AH595" s="1">
        <v>0</v>
      </c>
      <c r="AI595" s="1">
        <v>1</v>
      </c>
      <c r="AJ595" s="1">
        <v>0</v>
      </c>
      <c r="AK595" s="1">
        <v>0</v>
      </c>
      <c r="AL595" s="1">
        <v>814</v>
      </c>
      <c r="AM595" s="2">
        <v>42182</v>
      </c>
      <c r="AN595" t="str">
        <f t="shared" si="19"/>
        <v>81320,871,0.0107107722577472,0,0,61,183,33,493,59,103,57,1,4,3,10,2,0,0,0,0,0,0,0,62,51-66,2667,0,1,0,0,0,0,1,0,0,814,42182</v>
      </c>
    </row>
    <row r="596" spans="1:40" ht="13" x14ac:dyDescent="0.15">
      <c r="A596">
        <v>1177</v>
      </c>
      <c r="B596" s="1">
        <v>69867</v>
      </c>
      <c r="C596" s="1">
        <v>871</v>
      </c>
      <c r="D596" s="4">
        <f t="shared" si="18"/>
        <v>1.2466543575650879E-2</v>
      </c>
      <c r="E596" s="1">
        <v>0</v>
      </c>
      <c r="F596" s="1">
        <v>0</v>
      </c>
      <c r="G596" s="1">
        <v>30</v>
      </c>
      <c r="H596" s="1">
        <v>196</v>
      </c>
      <c r="I596" s="1">
        <v>0</v>
      </c>
      <c r="J596" s="1">
        <v>512</v>
      </c>
      <c r="K596" s="1">
        <v>33</v>
      </c>
      <c r="L596" s="1">
        <v>130</v>
      </c>
      <c r="M596" s="1">
        <v>54</v>
      </c>
      <c r="N596" s="1">
        <v>1</v>
      </c>
      <c r="O596" s="1">
        <v>3</v>
      </c>
      <c r="P596" s="1">
        <v>5</v>
      </c>
      <c r="Q596" s="1">
        <v>8</v>
      </c>
      <c r="R596" s="1">
        <v>1</v>
      </c>
      <c r="S596" s="1">
        <v>1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</v>
      </c>
      <c r="Z596" s="1">
        <v>34</v>
      </c>
      <c r="AA596" s="1" t="str" cm="1">
        <f t="array" ref="AA596">_xlfn.IFS(AND(Z596&lt;36, Z596&gt;23), "24-35", AND(Z596&lt;51, Z596&gt;35),"36-50", AND(Z596&lt;66, Z596&gt;50), "51-66", Z596&gt;65, "66+", TRUE, "?")</f>
        <v>24-35</v>
      </c>
      <c r="AB596" s="1">
        <v>2612</v>
      </c>
      <c r="AC596" s="1">
        <v>0</v>
      </c>
      <c r="AD596" s="1">
        <v>0</v>
      </c>
      <c r="AE596" s="1">
        <v>1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1</v>
      </c>
      <c r="AL596" s="1">
        <v>817</v>
      </c>
      <c r="AM596" s="2">
        <v>42237</v>
      </c>
      <c r="AN596" t="str">
        <f t="shared" si="19"/>
        <v>69867,871,0.0124665435756509,0,0,30,196,0,512,33,130,54,1,3,5,8,1,1,0,0,0,0,0,1,34,24-35,2612,0,0,1,0,0,0,0,0,1,817,42237</v>
      </c>
    </row>
    <row r="597" spans="1:40" ht="13" hidden="1" x14ac:dyDescent="0.15">
      <c r="A597">
        <v>1978</v>
      </c>
      <c r="B597" s="1">
        <v>76234</v>
      </c>
      <c r="C597" s="1">
        <v>866</v>
      </c>
      <c r="D597" s="4">
        <f t="shared" si="18"/>
        <v>1.1359760736679173E-2</v>
      </c>
      <c r="E597" s="1">
        <v>0</v>
      </c>
      <c r="F597" s="1">
        <v>1</v>
      </c>
      <c r="G597" s="1">
        <v>21</v>
      </c>
      <c r="H597" s="1">
        <v>519</v>
      </c>
      <c r="I597" s="1">
        <v>50</v>
      </c>
      <c r="J597" s="1">
        <v>167</v>
      </c>
      <c r="K597" s="1">
        <v>130</v>
      </c>
      <c r="L597" s="1">
        <v>0</v>
      </c>
      <c r="M597" s="1">
        <v>41</v>
      </c>
      <c r="N597" s="1">
        <v>1</v>
      </c>
      <c r="O597" s="1">
        <v>8</v>
      </c>
      <c r="P597" s="1">
        <v>3</v>
      </c>
      <c r="Q597" s="1">
        <v>11</v>
      </c>
      <c r="R597" s="1">
        <v>3</v>
      </c>
      <c r="S597" s="1">
        <v>0</v>
      </c>
      <c r="T597" s="1">
        <v>0</v>
      </c>
      <c r="U597" s="1">
        <v>0</v>
      </c>
      <c r="V597" s="1">
        <v>1</v>
      </c>
      <c r="W597" s="1">
        <v>0</v>
      </c>
      <c r="X597" s="1">
        <v>0</v>
      </c>
      <c r="Y597" s="1">
        <v>0</v>
      </c>
      <c r="Z597" s="1">
        <v>48</v>
      </c>
      <c r="AA597" s="1" t="str" cm="1">
        <f t="array" ref="AA597">_xlfn.IFS(AND(Z597&lt;36, Z597&gt;23), "24-35", AND(Z597&lt;51, Z597&gt;35),"36-50", AND(Z597&lt;66, Z597&gt;50), "51-66", Z597&gt;65, "66+", TRUE, "?")</f>
        <v>36-50</v>
      </c>
      <c r="AB597" s="1">
        <v>2302</v>
      </c>
      <c r="AC597" s="1">
        <v>0</v>
      </c>
      <c r="AD597" s="1">
        <v>1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1</v>
      </c>
      <c r="AK597" s="1">
        <v>0</v>
      </c>
      <c r="AL597" s="1">
        <v>825</v>
      </c>
      <c r="AM597" s="2">
        <v>42547</v>
      </c>
      <c r="AN597" t="str">
        <f t="shared" si="19"/>
        <v>76234,866,0.0113597607366792,0,1,21,519,50,167,130,0,41,1,8,3,11,3,0,0,0,1,0,0,0,48,36-50,2302,0,1,0,0,0,0,0,1,0,825,42547</v>
      </c>
    </row>
    <row r="598" spans="1:40" ht="13" hidden="1" x14ac:dyDescent="0.15">
      <c r="A598">
        <v>249</v>
      </c>
      <c r="B598" s="1">
        <v>72940</v>
      </c>
      <c r="C598" s="1">
        <v>865</v>
      </c>
      <c r="D598" s="4">
        <f t="shared" si="18"/>
        <v>1.1859062242939403E-2</v>
      </c>
      <c r="E598" s="1">
        <v>0</v>
      </c>
      <c r="F598" s="1">
        <v>0</v>
      </c>
      <c r="G598" s="1">
        <v>13</v>
      </c>
      <c r="H598" s="1">
        <v>182</v>
      </c>
      <c r="I598" s="1">
        <v>74</v>
      </c>
      <c r="J598" s="1">
        <v>298</v>
      </c>
      <c r="K598" s="1">
        <v>162</v>
      </c>
      <c r="L598" s="1">
        <v>149</v>
      </c>
      <c r="M598" s="1">
        <v>116</v>
      </c>
      <c r="N598" s="1">
        <v>1</v>
      </c>
      <c r="O598" s="1">
        <v>3</v>
      </c>
      <c r="P598" s="1">
        <v>3</v>
      </c>
      <c r="Q598" s="1">
        <v>6</v>
      </c>
      <c r="R598" s="1">
        <v>1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50</v>
      </c>
      <c r="AA598" s="1" t="str" cm="1">
        <f t="array" ref="AA598">_xlfn.IFS(AND(Z598&lt;36, Z598&gt;23), "24-35", AND(Z598&lt;51, Z598&gt;35),"36-50", AND(Z598&lt;66, Z598&gt;50), "51-66", Z598&gt;65, "66+", TRUE, "?")</f>
        <v>36-50</v>
      </c>
      <c r="AB598" s="1">
        <v>2534</v>
      </c>
      <c r="AC598" s="1">
        <v>0</v>
      </c>
      <c r="AD598" s="1">
        <v>1</v>
      </c>
      <c r="AE598" s="1">
        <v>0</v>
      </c>
      <c r="AF598" s="1">
        <v>0</v>
      </c>
      <c r="AG598" s="1">
        <v>0</v>
      </c>
      <c r="AH598" s="1">
        <v>0</v>
      </c>
      <c r="AI598" s="1">
        <v>1</v>
      </c>
      <c r="AJ598" s="1">
        <v>0</v>
      </c>
      <c r="AK598" s="1">
        <v>0</v>
      </c>
      <c r="AL598" s="1">
        <v>749</v>
      </c>
      <c r="AM598" s="2">
        <v>42315</v>
      </c>
      <c r="AN598" t="str">
        <f t="shared" si="19"/>
        <v>72940,865,0.0118590622429394,0,0,13,182,74,298,162,149,116,1,3,3,6,1,0,0,0,0,0,0,0,50,36-50,2534,0,1,0,0,0,0,1,0,0,749,42315</v>
      </c>
    </row>
    <row r="599" spans="1:40" ht="13" hidden="1" x14ac:dyDescent="0.15">
      <c r="A599">
        <v>1769</v>
      </c>
      <c r="B599" s="1">
        <v>72570</v>
      </c>
      <c r="C599" s="1">
        <v>865</v>
      </c>
      <c r="D599" s="4">
        <f t="shared" si="18"/>
        <v>1.1919525974920766E-2</v>
      </c>
      <c r="E599" s="1">
        <v>0</v>
      </c>
      <c r="F599" s="1">
        <v>0</v>
      </c>
      <c r="G599" s="1">
        <v>67</v>
      </c>
      <c r="H599" s="1">
        <v>274</v>
      </c>
      <c r="I599" s="1">
        <v>83</v>
      </c>
      <c r="J599" s="1">
        <v>216</v>
      </c>
      <c r="K599" s="1">
        <v>151</v>
      </c>
      <c r="L599" s="1">
        <v>141</v>
      </c>
      <c r="M599" s="1">
        <v>224</v>
      </c>
      <c r="N599" s="1">
        <v>1</v>
      </c>
      <c r="O599" s="1">
        <v>4</v>
      </c>
      <c r="P599" s="1">
        <v>6</v>
      </c>
      <c r="Q599" s="1">
        <v>12</v>
      </c>
      <c r="R599" s="1">
        <v>1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36</v>
      </c>
      <c r="AA599" s="1" t="str" cm="1">
        <f t="array" ref="AA599">_xlfn.IFS(AND(Z599&lt;36, Z599&gt;23), "24-35", AND(Z599&lt;51, Z599&gt;35),"36-50", AND(Z599&lt;66, Z599&gt;50), "51-66", Z599&gt;65, "66+", TRUE, "?")</f>
        <v>36-50</v>
      </c>
      <c r="AB599" s="1">
        <v>2224</v>
      </c>
      <c r="AC599" s="1">
        <v>0</v>
      </c>
      <c r="AD599" s="1">
        <v>1</v>
      </c>
      <c r="AE599" s="1">
        <v>0</v>
      </c>
      <c r="AF599" s="1">
        <v>0</v>
      </c>
      <c r="AG599" s="1">
        <v>0</v>
      </c>
      <c r="AH599" s="1">
        <v>0</v>
      </c>
      <c r="AI599" s="1">
        <v>1</v>
      </c>
      <c r="AJ599" s="1">
        <v>0</v>
      </c>
      <c r="AK599" s="1">
        <v>0</v>
      </c>
      <c r="AL599" s="1">
        <v>641</v>
      </c>
      <c r="AM599" s="2">
        <v>42625</v>
      </c>
      <c r="AN599" t="str">
        <f t="shared" si="19"/>
        <v>72570,865,0.0119195259749208,0,0,67,274,83,216,151,141,224,1,4,6,12,1,0,0,0,0,0,0,0,36,36-50,2224,0,1,0,0,0,0,1,0,0,641,42625</v>
      </c>
    </row>
    <row r="600" spans="1:40" ht="13" hidden="1" x14ac:dyDescent="0.15">
      <c r="A600">
        <v>696</v>
      </c>
      <c r="B600" s="1">
        <v>82224</v>
      </c>
      <c r="C600" s="1">
        <v>862</v>
      </c>
      <c r="D600" s="4">
        <f t="shared" si="18"/>
        <v>1.0483557112278653E-2</v>
      </c>
      <c r="E600" s="1">
        <v>0</v>
      </c>
      <c r="F600" s="1">
        <v>0</v>
      </c>
      <c r="G600" s="1">
        <v>83</v>
      </c>
      <c r="H600" s="1">
        <v>307</v>
      </c>
      <c r="I600" s="1">
        <v>26</v>
      </c>
      <c r="J600" s="1">
        <v>360</v>
      </c>
      <c r="K600" s="1">
        <v>138</v>
      </c>
      <c r="L600" s="1">
        <v>31</v>
      </c>
      <c r="M600" s="1">
        <v>40</v>
      </c>
      <c r="N600" s="1">
        <v>1</v>
      </c>
      <c r="O600" s="1">
        <v>6</v>
      </c>
      <c r="P600" s="1">
        <v>9</v>
      </c>
      <c r="Q600" s="1">
        <v>5</v>
      </c>
      <c r="R600" s="1">
        <v>3</v>
      </c>
      <c r="S600" s="1">
        <v>1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56</v>
      </c>
      <c r="AA600" s="1" t="str" cm="1">
        <f t="array" ref="AA600">_xlfn.IFS(AND(Z600&lt;36, Z600&gt;23), "24-35", AND(Z600&lt;51, Z600&gt;35),"36-50", AND(Z600&lt;66, Z600&gt;50), "51-66", Z600&gt;65, "66+", TRUE, "?")</f>
        <v>51-66</v>
      </c>
      <c r="AB600" s="1">
        <v>2314</v>
      </c>
      <c r="AC600" s="1">
        <v>0</v>
      </c>
      <c r="AD600" s="1">
        <v>1</v>
      </c>
      <c r="AE600" s="1">
        <v>0</v>
      </c>
      <c r="AF600" s="1">
        <v>0</v>
      </c>
      <c r="AG600" s="1">
        <v>0</v>
      </c>
      <c r="AH600" s="1">
        <v>0</v>
      </c>
      <c r="AI600" s="1">
        <v>1</v>
      </c>
      <c r="AJ600" s="1">
        <v>0</v>
      </c>
      <c r="AK600" s="1">
        <v>0</v>
      </c>
      <c r="AL600" s="1">
        <v>822</v>
      </c>
      <c r="AM600" s="2">
        <v>42535</v>
      </c>
      <c r="AN600" t="str">
        <f t="shared" si="19"/>
        <v>82224,862,0.0104835571122787,0,0,83,307,26,360,138,31,40,1,6,9,5,3,1,0,0,0,0,0,0,56,51-66,2314,0,1,0,0,0,0,1,0,0,822,42535</v>
      </c>
    </row>
    <row r="601" spans="1:40" ht="13" x14ac:dyDescent="0.15">
      <c r="A601">
        <v>1178</v>
      </c>
      <c r="B601" s="1">
        <v>48948</v>
      </c>
      <c r="C601" s="1">
        <v>860</v>
      </c>
      <c r="D601" s="4">
        <f t="shared" si="18"/>
        <v>1.7569665767753536E-2</v>
      </c>
      <c r="E601" s="1">
        <v>0</v>
      </c>
      <c r="F601" s="1">
        <v>0</v>
      </c>
      <c r="G601" s="1">
        <v>53</v>
      </c>
      <c r="H601" s="1">
        <v>437</v>
      </c>
      <c r="I601" s="1">
        <v>8</v>
      </c>
      <c r="J601" s="1">
        <v>206</v>
      </c>
      <c r="K601" s="1">
        <v>160</v>
      </c>
      <c r="L601" s="1">
        <v>49</v>
      </c>
      <c r="M601" s="1">
        <v>42</v>
      </c>
      <c r="N601" s="1">
        <v>2</v>
      </c>
      <c r="O601" s="1">
        <v>7</v>
      </c>
      <c r="P601" s="1">
        <v>10</v>
      </c>
      <c r="Q601" s="1">
        <v>5</v>
      </c>
      <c r="R601" s="1">
        <v>6</v>
      </c>
      <c r="S601" s="1">
        <v>0</v>
      </c>
      <c r="T601" s="1">
        <v>0</v>
      </c>
      <c r="U601" s="1">
        <v>1</v>
      </c>
      <c r="V601" s="1">
        <v>0</v>
      </c>
      <c r="W601" s="1">
        <v>0</v>
      </c>
      <c r="X601" s="1">
        <v>0</v>
      </c>
      <c r="Y601" s="1">
        <v>1</v>
      </c>
      <c r="Z601" s="1">
        <v>77</v>
      </c>
      <c r="AA601" s="1" t="str" cm="1">
        <f t="array" ref="AA601">_xlfn.IFS(AND(Z601&lt;36, Z601&gt;23), "24-35", AND(Z601&lt;51, Z601&gt;35),"36-50", AND(Z601&lt;66, Z601&gt;50), "51-66", Z601&gt;65, "66+", TRUE, "?")</f>
        <v>66+</v>
      </c>
      <c r="AB601" s="1">
        <v>2672</v>
      </c>
      <c r="AC601" s="1">
        <v>1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1</v>
      </c>
      <c r="AL601" s="1">
        <v>818</v>
      </c>
      <c r="AM601" s="2">
        <v>42177</v>
      </c>
      <c r="AN601" t="str">
        <f t="shared" si="19"/>
        <v>48948,860,0.0175696657677535,0,0,53,437,8,206,160,49,42,2,7,10,5,6,0,0,1,0,0,0,1,77,66+,2672,1,0,0,0,0,0,0,0,1,818,42177</v>
      </c>
    </row>
    <row r="602" spans="1:40" ht="13" hidden="1" x14ac:dyDescent="0.15">
      <c r="A602">
        <v>647</v>
      </c>
      <c r="B602" s="1">
        <v>61209</v>
      </c>
      <c r="C602" s="1">
        <v>858</v>
      </c>
      <c r="D602" s="4">
        <f t="shared" si="18"/>
        <v>1.4017546439249131E-2</v>
      </c>
      <c r="E602" s="1">
        <v>0</v>
      </c>
      <c r="F602" s="1">
        <v>0</v>
      </c>
      <c r="G602" s="1">
        <v>73</v>
      </c>
      <c r="H602" s="1">
        <v>466</v>
      </c>
      <c r="I602" s="1">
        <v>0</v>
      </c>
      <c r="J602" s="1">
        <v>224</v>
      </c>
      <c r="K602" s="1">
        <v>119</v>
      </c>
      <c r="L602" s="1">
        <v>49</v>
      </c>
      <c r="M602" s="1">
        <v>99</v>
      </c>
      <c r="N602" s="1">
        <v>1</v>
      </c>
      <c r="O602" s="1">
        <v>5</v>
      </c>
      <c r="P602" s="1">
        <v>3</v>
      </c>
      <c r="Q602" s="1">
        <v>4</v>
      </c>
      <c r="R602" s="1">
        <v>2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50</v>
      </c>
      <c r="AA602" s="1" t="str" cm="1">
        <f t="array" ref="AA602">_xlfn.IFS(AND(Z602&lt;36, Z602&gt;23), "24-35", AND(Z602&lt;51, Z602&gt;35),"36-50", AND(Z602&lt;66, Z602&gt;50), "51-66", Z602&gt;65, "66+", TRUE, "?")</f>
        <v>36-50</v>
      </c>
      <c r="AB602" s="1">
        <v>2467</v>
      </c>
      <c r="AC602" s="1">
        <v>0</v>
      </c>
      <c r="AD602" s="1">
        <v>0</v>
      </c>
      <c r="AE602" s="1">
        <v>1</v>
      </c>
      <c r="AF602" s="1">
        <v>0</v>
      </c>
      <c r="AG602" s="1">
        <v>0</v>
      </c>
      <c r="AH602" s="1">
        <v>0</v>
      </c>
      <c r="AI602" s="1">
        <v>1</v>
      </c>
      <c r="AJ602" s="1">
        <v>0</v>
      </c>
      <c r="AK602" s="1">
        <v>0</v>
      </c>
      <c r="AL602" s="1">
        <v>759</v>
      </c>
      <c r="AM602" s="2">
        <v>42382</v>
      </c>
      <c r="AN602" t="str">
        <f t="shared" si="19"/>
        <v>61209,858,0.0140175464392491,0,0,73,466,0,224,119,49,99,1,5,3,4,2,0,0,0,0,0,0,0,50,36-50,2467,0,0,1,0,0,0,1,0,0,759,42382</v>
      </c>
    </row>
    <row r="603" spans="1:40" ht="13" hidden="1" x14ac:dyDescent="0.15">
      <c r="A603">
        <v>264</v>
      </c>
      <c r="B603" s="1">
        <v>75278</v>
      </c>
      <c r="C603" s="1">
        <v>856</v>
      </c>
      <c r="D603" s="4">
        <f t="shared" si="18"/>
        <v>1.1371184144105848E-2</v>
      </c>
      <c r="E603" s="1">
        <v>0</v>
      </c>
      <c r="F603" s="1">
        <v>0</v>
      </c>
      <c r="G603" s="1">
        <v>17</v>
      </c>
      <c r="H603" s="1">
        <v>304</v>
      </c>
      <c r="I603" s="1">
        <v>98</v>
      </c>
      <c r="J603" s="1">
        <v>230</v>
      </c>
      <c r="K603" s="1">
        <v>150</v>
      </c>
      <c r="L603" s="1">
        <v>74</v>
      </c>
      <c r="M603" s="1">
        <v>74</v>
      </c>
      <c r="N603" s="1">
        <v>1</v>
      </c>
      <c r="O603" s="1">
        <v>6</v>
      </c>
      <c r="P603" s="1">
        <v>3</v>
      </c>
      <c r="Q603" s="1">
        <v>13</v>
      </c>
      <c r="R603" s="1">
        <v>3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68</v>
      </c>
      <c r="AA603" s="1" t="str" cm="1">
        <f t="array" ref="AA603">_xlfn.IFS(AND(Z603&lt;36, Z603&gt;23), "24-35", AND(Z603&lt;51, Z603&gt;35),"36-50", AND(Z603&lt;66, Z603&gt;50), "51-66", Z603&gt;65, "66+", TRUE, "?")</f>
        <v>66+</v>
      </c>
      <c r="AB603" s="1">
        <v>2675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1</v>
      </c>
      <c r="AJ603" s="1">
        <v>0</v>
      </c>
      <c r="AK603" s="1">
        <v>0</v>
      </c>
      <c r="AL603" s="1">
        <v>782</v>
      </c>
      <c r="AM603" s="2">
        <v>42174</v>
      </c>
      <c r="AN603" t="str">
        <f t="shared" si="19"/>
        <v>75278,856,0.0113711841441058,0,0,17,304,98,230,150,74,74,1,6,3,13,3,0,0,0,0,0,0,0,68,66+,2675,0,0,0,1,0,0,1,0,0,782,42174</v>
      </c>
    </row>
    <row r="604" spans="1:40" ht="13" hidden="1" x14ac:dyDescent="0.15">
      <c r="A604">
        <v>445</v>
      </c>
      <c r="B604" s="1">
        <v>62503</v>
      </c>
      <c r="C604" s="1">
        <v>856</v>
      </c>
      <c r="D604" s="4">
        <f t="shared" si="18"/>
        <v>1.3695342623554069E-2</v>
      </c>
      <c r="E604" s="1">
        <v>0</v>
      </c>
      <c r="F604" s="1">
        <v>1</v>
      </c>
      <c r="G604" s="1">
        <v>40</v>
      </c>
      <c r="H604" s="1">
        <v>478</v>
      </c>
      <c r="I604" s="1">
        <v>0</v>
      </c>
      <c r="J604" s="1">
        <v>193</v>
      </c>
      <c r="K604" s="1">
        <v>110</v>
      </c>
      <c r="L604" s="1">
        <v>75</v>
      </c>
      <c r="M604" s="1">
        <v>117</v>
      </c>
      <c r="N604" s="1">
        <v>4</v>
      </c>
      <c r="O604" s="1">
        <v>8</v>
      </c>
      <c r="P604" s="1">
        <v>3</v>
      </c>
      <c r="Q604" s="1">
        <v>11</v>
      </c>
      <c r="R604" s="1">
        <v>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64</v>
      </c>
      <c r="AA604" s="1" t="str" cm="1">
        <f t="array" ref="AA604">_xlfn.IFS(AND(Z604&lt;36, Z604&gt;23), "24-35", AND(Z604&lt;51, Z604&gt;35),"36-50", AND(Z604&lt;66, Z604&gt;50), "51-66", Z604&gt;65, "66+", TRUE, "?")</f>
        <v>51-66</v>
      </c>
      <c r="AB604" s="1">
        <v>2655</v>
      </c>
      <c r="AC604" s="1">
        <v>0</v>
      </c>
      <c r="AD604" s="1">
        <v>1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>
        <v>0</v>
      </c>
      <c r="AL604" s="1">
        <v>739</v>
      </c>
      <c r="AM604" s="2">
        <v>42194</v>
      </c>
      <c r="AN604" t="str">
        <f t="shared" si="19"/>
        <v>62503,856,0.0136953426235541,0,1,40,478,0,193,110,75,117,4,8,3,11,5,0,0,0,0,0,0,0,64,51-66,2655,0,1,0,0,0,0,1,0,0,739,42194</v>
      </c>
    </row>
    <row r="605" spans="1:40" ht="13" hidden="1" x14ac:dyDescent="0.15">
      <c r="A605">
        <v>480</v>
      </c>
      <c r="B605" s="1">
        <v>60152</v>
      </c>
      <c r="C605" s="1">
        <v>852</v>
      </c>
      <c r="D605" s="4">
        <f t="shared" si="18"/>
        <v>1.4164117568825641E-2</v>
      </c>
      <c r="E605" s="1">
        <v>0</v>
      </c>
      <c r="F605" s="1">
        <v>1</v>
      </c>
      <c r="G605" s="1">
        <v>6</v>
      </c>
      <c r="H605" s="1">
        <v>325</v>
      </c>
      <c r="I605" s="1">
        <v>83</v>
      </c>
      <c r="J605" s="1">
        <v>300</v>
      </c>
      <c r="K605" s="1">
        <v>86</v>
      </c>
      <c r="L605" s="1">
        <v>58</v>
      </c>
      <c r="M605" s="1">
        <v>91</v>
      </c>
      <c r="N605" s="1">
        <v>1</v>
      </c>
      <c r="O605" s="1">
        <v>6</v>
      </c>
      <c r="P605" s="1">
        <v>4</v>
      </c>
      <c r="Q605" s="1">
        <v>12</v>
      </c>
      <c r="R605" s="1">
        <v>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41</v>
      </c>
      <c r="AA605" s="1" t="str" cm="1">
        <f t="array" ref="AA605">_xlfn.IFS(AND(Z605&lt;36, Z605&gt;23), "24-35", AND(Z605&lt;51, Z605&gt;35),"36-50", AND(Z605&lt;66, Z605&gt;50), "51-66", Z605&gt;65, "66+", TRUE, "?")</f>
        <v>36-50</v>
      </c>
      <c r="AB605" s="1">
        <v>2617</v>
      </c>
      <c r="AC605" s="1">
        <v>0</v>
      </c>
      <c r="AD605" s="1">
        <v>0</v>
      </c>
      <c r="AE605" s="1">
        <v>1</v>
      </c>
      <c r="AF605" s="1">
        <v>0</v>
      </c>
      <c r="AG605" s="1">
        <v>0</v>
      </c>
      <c r="AH605" s="1">
        <v>0</v>
      </c>
      <c r="AI605" s="1">
        <v>1</v>
      </c>
      <c r="AJ605" s="1">
        <v>0</v>
      </c>
      <c r="AK605" s="1">
        <v>0</v>
      </c>
      <c r="AL605" s="1">
        <v>761</v>
      </c>
      <c r="AM605" s="2">
        <v>42232</v>
      </c>
      <c r="AN605" t="str">
        <f t="shared" si="19"/>
        <v>60152,852,0.0141641175688256,0,1,6,325,83,300,86,58,91,1,6,4,12,3,0,0,0,0,0,0,0,41,36-50,2617,0,0,1,0,0,0,1,0,0,761,42232</v>
      </c>
    </row>
    <row r="606" spans="1:40" ht="13" hidden="1" x14ac:dyDescent="0.15">
      <c r="A606">
        <v>1375</v>
      </c>
      <c r="B606" s="1">
        <v>70379</v>
      </c>
      <c r="C606" s="1">
        <v>852</v>
      </c>
      <c r="D606" s="4">
        <f t="shared" si="18"/>
        <v>1.2105883857400645E-2</v>
      </c>
      <c r="E606" s="1">
        <v>0</v>
      </c>
      <c r="F606" s="1">
        <v>1</v>
      </c>
      <c r="G606" s="1">
        <v>84</v>
      </c>
      <c r="H606" s="1">
        <v>553</v>
      </c>
      <c r="I606" s="1">
        <v>25</v>
      </c>
      <c r="J606" s="1">
        <v>142</v>
      </c>
      <c r="K606" s="1">
        <v>65</v>
      </c>
      <c r="L606" s="1">
        <v>67</v>
      </c>
      <c r="M606" s="1">
        <v>8</v>
      </c>
      <c r="N606" s="1">
        <v>3</v>
      </c>
      <c r="O606" s="1">
        <v>6</v>
      </c>
      <c r="P606" s="1">
        <v>3</v>
      </c>
      <c r="Q606" s="1">
        <v>13</v>
      </c>
      <c r="R606" s="1">
        <v>4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44</v>
      </c>
      <c r="AA606" s="1" t="str" cm="1">
        <f t="array" ref="AA606">_xlfn.IFS(AND(Z606&lt;36, Z606&gt;23), "24-35", AND(Z606&lt;51, Z606&gt;35),"36-50", AND(Z606&lt;66, Z606&gt;50), "51-66", Z606&gt;65, "66+", TRUE, "?")</f>
        <v>36-50</v>
      </c>
      <c r="AB606" s="1">
        <v>2642</v>
      </c>
      <c r="AC606" s="1">
        <v>0</v>
      </c>
      <c r="AD606" s="1">
        <v>0</v>
      </c>
      <c r="AE606" s="1">
        <v>1</v>
      </c>
      <c r="AF606" s="1">
        <v>0</v>
      </c>
      <c r="AG606" s="1">
        <v>0</v>
      </c>
      <c r="AH606" s="1">
        <v>0</v>
      </c>
      <c r="AI606" s="1">
        <v>0</v>
      </c>
      <c r="AJ606" s="1">
        <v>1</v>
      </c>
      <c r="AK606" s="1">
        <v>0</v>
      </c>
      <c r="AL606" s="1">
        <v>844</v>
      </c>
      <c r="AM606" s="2">
        <v>42207</v>
      </c>
      <c r="AN606" t="str">
        <f t="shared" si="19"/>
        <v>70379,852,0.0121058838574006,0,1,84,553,25,142,65,67,8,3,6,3,13,4,0,0,0,0,0,0,0,44,36-50,2642,0,0,1,0,0,0,0,1,0,844,42207</v>
      </c>
    </row>
    <row r="607" spans="1:40" ht="13" x14ac:dyDescent="0.15">
      <c r="A607">
        <v>1184</v>
      </c>
      <c r="B607" s="1">
        <v>79205</v>
      </c>
      <c r="C607" s="1">
        <v>851</v>
      </c>
      <c r="D607" s="4">
        <f t="shared" si="18"/>
        <v>1.0744271195000316E-2</v>
      </c>
      <c r="E607" s="1">
        <v>0</v>
      </c>
      <c r="F607" s="1">
        <v>0</v>
      </c>
      <c r="G607" s="1">
        <v>73</v>
      </c>
      <c r="H607" s="1">
        <v>504</v>
      </c>
      <c r="I607" s="1">
        <v>23</v>
      </c>
      <c r="J607" s="1">
        <v>117</v>
      </c>
      <c r="K607" s="1">
        <v>179</v>
      </c>
      <c r="L607" s="1">
        <v>28</v>
      </c>
      <c r="M607" s="1">
        <v>44</v>
      </c>
      <c r="N607" s="1">
        <v>1</v>
      </c>
      <c r="O607" s="1">
        <v>6</v>
      </c>
      <c r="P607" s="1">
        <v>5</v>
      </c>
      <c r="Q607" s="1">
        <v>4</v>
      </c>
      <c r="R607" s="1">
        <v>4</v>
      </c>
      <c r="S607" s="1">
        <v>1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1</v>
      </c>
      <c r="Z607" s="1">
        <v>45</v>
      </c>
      <c r="AA607" s="1" t="str" cm="1">
        <f t="array" ref="AA607">_xlfn.IFS(AND(Z607&lt;36, Z607&gt;23), "24-35", AND(Z607&lt;51, Z607&gt;35),"36-50", AND(Z607&lt;66, Z607&gt;50), "51-66", Z607&gt;65, "66+", TRUE, "?")</f>
        <v>36-50</v>
      </c>
      <c r="AB607" s="1">
        <v>2828</v>
      </c>
      <c r="AC607" s="1">
        <v>0</v>
      </c>
      <c r="AD607" s="1">
        <v>1</v>
      </c>
      <c r="AE607" s="1">
        <v>0</v>
      </c>
      <c r="AF607" s="1">
        <v>0</v>
      </c>
      <c r="AG607" s="1">
        <v>0</v>
      </c>
      <c r="AH607" s="1">
        <v>0</v>
      </c>
      <c r="AI607" s="1">
        <v>1</v>
      </c>
      <c r="AJ607" s="1">
        <v>0</v>
      </c>
      <c r="AK607" s="1">
        <v>0</v>
      </c>
      <c r="AL607" s="1">
        <v>807</v>
      </c>
      <c r="AM607" s="2">
        <v>42021</v>
      </c>
      <c r="AN607" t="str">
        <f t="shared" si="19"/>
        <v>79205,851,0.0107442711950003,0,0,73,504,23,117,179,28,44,1,6,5,4,4,1,0,0,0,0,0,1,45,36-50,2828,0,1,0,0,0,0,1,0,0,807,42021</v>
      </c>
    </row>
    <row r="608" spans="1:40" ht="13" hidden="1" x14ac:dyDescent="0.15">
      <c r="A608">
        <v>1465</v>
      </c>
      <c r="B608" s="1">
        <v>74268</v>
      </c>
      <c r="C608" s="1">
        <v>851</v>
      </c>
      <c r="D608" s="4">
        <f t="shared" si="18"/>
        <v>1.1458501642699412E-2</v>
      </c>
      <c r="E608" s="1">
        <v>0</v>
      </c>
      <c r="F608" s="1">
        <v>0</v>
      </c>
      <c r="G608" s="1">
        <v>83</v>
      </c>
      <c r="H608" s="1">
        <v>199</v>
      </c>
      <c r="I608" s="1">
        <v>66</v>
      </c>
      <c r="J608" s="1">
        <v>315</v>
      </c>
      <c r="K608" s="1">
        <v>97</v>
      </c>
      <c r="L608" s="1">
        <v>174</v>
      </c>
      <c r="M608" s="1">
        <v>41</v>
      </c>
      <c r="N608" s="1">
        <v>1</v>
      </c>
      <c r="O608" s="1">
        <v>4</v>
      </c>
      <c r="P608" s="1">
        <v>3</v>
      </c>
      <c r="Q608" s="1">
        <v>5</v>
      </c>
      <c r="R608" s="1">
        <v>2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65</v>
      </c>
      <c r="AA608" s="1" t="str" cm="1">
        <f t="array" ref="AA608">_xlfn.IFS(AND(Z608&lt;36, Z608&gt;23), "24-35", AND(Z608&lt;51, Z608&gt;35),"36-50", AND(Z608&lt;66, Z608&gt;50), "51-66", Z608&gt;65, "66+", TRUE, "?")</f>
        <v>51-66</v>
      </c>
      <c r="AB608" s="1">
        <v>2659</v>
      </c>
      <c r="AC608" s="1">
        <v>0</v>
      </c>
      <c r="AD608" s="1">
        <v>1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0</v>
      </c>
      <c r="AK608" s="1">
        <v>0</v>
      </c>
      <c r="AL608" s="1">
        <v>810</v>
      </c>
      <c r="AM608" s="2">
        <v>42190</v>
      </c>
      <c r="AN608" t="str">
        <f t="shared" si="19"/>
        <v>74268,851,0.0114585016426994,0,0,83,199,66,315,97,174,41,1,4,3,5,2,0,0,0,0,0,0,0,65,51-66,2659,0,1,0,0,0,0,1,0,0,810,42190</v>
      </c>
    </row>
    <row r="609" spans="1:40" ht="13" hidden="1" x14ac:dyDescent="0.15">
      <c r="A609">
        <v>1015</v>
      </c>
      <c r="B609" s="1">
        <v>66294</v>
      </c>
      <c r="C609" s="1">
        <v>850</v>
      </c>
      <c r="D609" s="4">
        <f t="shared" si="18"/>
        <v>1.282167315292485E-2</v>
      </c>
      <c r="E609" s="1">
        <v>0</v>
      </c>
      <c r="F609" s="1">
        <v>0</v>
      </c>
      <c r="G609" s="1">
        <v>68</v>
      </c>
      <c r="H609" s="1">
        <v>251</v>
      </c>
      <c r="I609" s="1">
        <v>108</v>
      </c>
      <c r="J609" s="1">
        <v>334</v>
      </c>
      <c r="K609" s="1">
        <v>65</v>
      </c>
      <c r="L609" s="1">
        <v>92</v>
      </c>
      <c r="M609" s="1">
        <v>117</v>
      </c>
      <c r="N609" s="1">
        <v>1</v>
      </c>
      <c r="O609" s="1">
        <v>4</v>
      </c>
      <c r="P609" s="1">
        <v>3</v>
      </c>
      <c r="Q609" s="1">
        <v>5</v>
      </c>
      <c r="R609" s="1">
        <v>2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55</v>
      </c>
      <c r="AA609" s="1" t="str" cm="1">
        <f t="array" ref="AA609">_xlfn.IFS(AND(Z609&lt;36, Z609&gt;23), "24-35", AND(Z609&lt;51, Z609&gt;35),"36-50", AND(Z609&lt;66, Z609&gt;50), "51-66", Z609&gt;65, "66+", TRUE, "?")</f>
        <v>51-66</v>
      </c>
      <c r="AB609" s="1">
        <v>2263</v>
      </c>
      <c r="AC609" s="1">
        <v>0</v>
      </c>
      <c r="AD609" s="1">
        <v>0</v>
      </c>
      <c r="AE609" s="1">
        <v>1</v>
      </c>
      <c r="AF609" s="1">
        <v>0</v>
      </c>
      <c r="AG609" s="1">
        <v>0</v>
      </c>
      <c r="AH609" s="1">
        <v>0</v>
      </c>
      <c r="AI609" s="1">
        <v>1</v>
      </c>
      <c r="AJ609" s="1">
        <v>0</v>
      </c>
      <c r="AK609" s="1">
        <v>0</v>
      </c>
      <c r="AL609" s="1">
        <v>733</v>
      </c>
      <c r="AM609" s="2">
        <v>42586</v>
      </c>
      <c r="AN609" t="str">
        <f t="shared" si="19"/>
        <v>66294,850,0.0128216731529249,0,0,68,251,108,334,65,92,117,1,4,3,5,2,0,0,0,0,0,0,0,55,51-66,2263,0,0,1,0,0,0,1,0,0,733,42586</v>
      </c>
    </row>
    <row r="610" spans="1:40" ht="13" hidden="1" x14ac:dyDescent="0.15">
      <c r="A610">
        <v>821</v>
      </c>
      <c r="B610" s="1">
        <v>61346</v>
      </c>
      <c r="C610" s="1">
        <v>847</v>
      </c>
      <c r="D610" s="4">
        <f t="shared" si="18"/>
        <v>1.380693117725687E-2</v>
      </c>
      <c r="E610" s="1">
        <v>1</v>
      </c>
      <c r="F610" s="1">
        <v>0</v>
      </c>
      <c r="G610" s="1">
        <v>34</v>
      </c>
      <c r="H610" s="1">
        <v>562</v>
      </c>
      <c r="I610" s="1">
        <v>58</v>
      </c>
      <c r="J610" s="1">
        <v>168</v>
      </c>
      <c r="K610" s="1">
        <v>43</v>
      </c>
      <c r="L610" s="1">
        <v>16</v>
      </c>
      <c r="M610" s="1">
        <v>142</v>
      </c>
      <c r="N610" s="1">
        <v>1</v>
      </c>
      <c r="O610" s="1">
        <v>5</v>
      </c>
      <c r="P610" s="1">
        <v>7</v>
      </c>
      <c r="Q610" s="1">
        <v>10</v>
      </c>
      <c r="R610" s="1">
        <v>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42</v>
      </c>
      <c r="AA610" s="1" t="str" cm="1">
        <f t="array" ref="AA610">_xlfn.IFS(AND(Z610&lt;36, Z610&gt;23), "24-35", AND(Z610&lt;51, Z610&gt;35),"36-50", AND(Z610&lt;66, Z610&gt;50), "51-66", Z610&gt;65, "66+", TRUE, "?")</f>
        <v>36-50</v>
      </c>
      <c r="AB610" s="1">
        <v>2425</v>
      </c>
      <c r="AC610" s="1">
        <v>0</v>
      </c>
      <c r="AD610" s="1">
        <v>0</v>
      </c>
      <c r="AE610" s="1">
        <v>0</v>
      </c>
      <c r="AF610" s="1">
        <v>1</v>
      </c>
      <c r="AG610" s="1">
        <v>0</v>
      </c>
      <c r="AH610" s="1">
        <v>0</v>
      </c>
      <c r="AI610" s="1">
        <v>0</v>
      </c>
      <c r="AJ610" s="1">
        <v>1</v>
      </c>
      <c r="AK610" s="1">
        <v>0</v>
      </c>
      <c r="AL610" s="1">
        <v>705</v>
      </c>
      <c r="AM610" s="2">
        <v>42424</v>
      </c>
      <c r="AN610" t="str">
        <f t="shared" si="19"/>
        <v>61346,847,0.0138069311772569,1,0,34,562,58,168,43,16,142,1,5,7,10,3,0,0,0,0,0,0,0,42,36-50,2425,0,0,0,1,0,0,0,1,0,705,42424</v>
      </c>
    </row>
    <row r="611" spans="1:40" ht="13" hidden="1" x14ac:dyDescent="0.15">
      <c r="A611">
        <v>360</v>
      </c>
      <c r="B611" s="1">
        <v>63381</v>
      </c>
      <c r="C611" s="1">
        <v>846</v>
      </c>
      <c r="D611" s="4">
        <f t="shared" si="18"/>
        <v>1.3347848724381123E-2</v>
      </c>
      <c r="E611" s="1">
        <v>0</v>
      </c>
      <c r="F611" s="1">
        <v>1</v>
      </c>
      <c r="G611" s="1">
        <v>78</v>
      </c>
      <c r="H611" s="1">
        <v>571</v>
      </c>
      <c r="I611" s="1">
        <v>50</v>
      </c>
      <c r="J611" s="1">
        <v>142</v>
      </c>
      <c r="K611" s="1">
        <v>33</v>
      </c>
      <c r="L611" s="1">
        <v>50</v>
      </c>
      <c r="M611" s="1">
        <v>159</v>
      </c>
      <c r="N611" s="1">
        <v>4</v>
      </c>
      <c r="O611" s="1">
        <v>4</v>
      </c>
      <c r="P611" s="1">
        <v>5</v>
      </c>
      <c r="Q611" s="1">
        <v>13</v>
      </c>
      <c r="R611" s="1">
        <v>2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60</v>
      </c>
      <c r="AA611" s="1" t="str" cm="1">
        <f t="array" ref="AA611">_xlfn.IFS(AND(Z611&lt;36, Z611&gt;23), "24-35", AND(Z611&lt;51, Z611&gt;35),"36-50", AND(Z611&lt;66, Z611&gt;50), "51-66", Z611&gt;65, "66+", TRUE, "?")</f>
        <v>51-66</v>
      </c>
      <c r="AB611" s="1">
        <v>2791</v>
      </c>
      <c r="AC611" s="1">
        <v>0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1</v>
      </c>
      <c r="AJ611" s="1">
        <v>0</v>
      </c>
      <c r="AK611" s="1">
        <v>0</v>
      </c>
      <c r="AL611" s="1">
        <v>687</v>
      </c>
      <c r="AM611" s="2">
        <v>42058</v>
      </c>
      <c r="AN611" t="str">
        <f t="shared" si="19"/>
        <v>63381,846,0.0133478487243811,0,1,78,571,50,142,33,50,159,4,4,5,13,2,0,0,0,0,0,0,0,60,51-66,2791,0,0,0,1,0,0,1,0,0,687,42058</v>
      </c>
    </row>
    <row r="612" spans="1:40" ht="13" hidden="1" x14ac:dyDescent="0.15">
      <c r="A612">
        <v>96</v>
      </c>
      <c r="B612" s="1">
        <v>52413</v>
      </c>
      <c r="C612" s="1">
        <v>845</v>
      </c>
      <c r="D612" s="4">
        <f t="shared" si="18"/>
        <v>1.6121954476942743E-2</v>
      </c>
      <c r="E612" s="1">
        <v>0</v>
      </c>
      <c r="F612" s="1">
        <v>2</v>
      </c>
      <c r="G612" s="1">
        <v>56</v>
      </c>
      <c r="H612" s="1">
        <v>295</v>
      </c>
      <c r="I612" s="1">
        <v>106</v>
      </c>
      <c r="J612" s="1">
        <v>271</v>
      </c>
      <c r="K612" s="1">
        <v>75</v>
      </c>
      <c r="L612" s="1">
        <v>98</v>
      </c>
      <c r="M612" s="1">
        <v>65</v>
      </c>
      <c r="N612" s="1">
        <v>4</v>
      </c>
      <c r="O612" s="1">
        <v>6</v>
      </c>
      <c r="P612" s="1">
        <v>4</v>
      </c>
      <c r="Q612" s="1">
        <v>12</v>
      </c>
      <c r="R612" s="1">
        <v>6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51</v>
      </c>
      <c r="AA612" s="1" t="str" cm="1">
        <f t="array" ref="AA612">_xlfn.IFS(AND(Z612&lt;36, Z612&gt;23), "24-35", AND(Z612&lt;51, Z612&gt;35),"36-50", AND(Z612&lt;66, Z612&gt;50), "51-66", Z612&gt;65, "66+", TRUE, "?")</f>
        <v>51-66</v>
      </c>
      <c r="AB612" s="1">
        <v>2671</v>
      </c>
      <c r="AC612" s="1">
        <v>0</v>
      </c>
      <c r="AD612" s="1">
        <v>1</v>
      </c>
      <c r="AE612" s="1">
        <v>0</v>
      </c>
      <c r="AF612" s="1">
        <v>0</v>
      </c>
      <c r="AG612" s="1">
        <v>0</v>
      </c>
      <c r="AH612" s="1">
        <v>0</v>
      </c>
      <c r="AI612" s="1">
        <v>1</v>
      </c>
      <c r="AJ612" s="1">
        <v>0</v>
      </c>
      <c r="AK612" s="1">
        <v>0</v>
      </c>
      <c r="AL612" s="1">
        <v>780</v>
      </c>
      <c r="AM612" s="2">
        <v>42178</v>
      </c>
      <c r="AN612" t="str">
        <f t="shared" si="19"/>
        <v>52413,845,0.0161219544769427,0,2,56,295,106,271,75,98,65,4,6,4,12,6,0,0,0,0,0,0,0,51,51-66,2671,0,1,0,0,0,0,1,0,0,780,42178</v>
      </c>
    </row>
    <row r="613" spans="1:40" ht="13" x14ac:dyDescent="0.15">
      <c r="A613">
        <v>1185</v>
      </c>
      <c r="B613" s="1">
        <v>48240</v>
      </c>
      <c r="C613" s="1">
        <v>841</v>
      </c>
      <c r="D613" s="4">
        <f t="shared" si="18"/>
        <v>1.7433665008291875E-2</v>
      </c>
      <c r="E613" s="1">
        <v>0</v>
      </c>
      <c r="F613" s="1">
        <v>0</v>
      </c>
      <c r="G613" s="1">
        <v>73</v>
      </c>
      <c r="H613" s="1">
        <v>389</v>
      </c>
      <c r="I613" s="1">
        <v>91</v>
      </c>
      <c r="J613" s="1">
        <v>248</v>
      </c>
      <c r="K613" s="1">
        <v>64</v>
      </c>
      <c r="L613" s="1">
        <v>49</v>
      </c>
      <c r="M613" s="1">
        <v>41</v>
      </c>
      <c r="N613" s="1">
        <v>3</v>
      </c>
      <c r="O613" s="1">
        <v>6</v>
      </c>
      <c r="P613" s="1">
        <v>3</v>
      </c>
      <c r="Q613" s="1">
        <v>13</v>
      </c>
      <c r="R613" s="1">
        <v>5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</v>
      </c>
      <c r="Z613" s="1">
        <v>51</v>
      </c>
      <c r="AA613" s="1" t="str" cm="1">
        <f t="array" ref="AA613">_xlfn.IFS(AND(Z613&lt;36, Z613&gt;23), "24-35", AND(Z613&lt;51, Z613&gt;35),"36-50", AND(Z613&lt;66, Z613&gt;50), "51-66", Z613&gt;65, "66+", TRUE, "?")</f>
        <v>51-66</v>
      </c>
      <c r="AB613" s="1">
        <v>2756</v>
      </c>
      <c r="AC613" s="1">
        <v>0</v>
      </c>
      <c r="AD613" s="1">
        <v>0</v>
      </c>
      <c r="AE613" s="1">
        <v>1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1</v>
      </c>
      <c r="AL613" s="1">
        <v>800</v>
      </c>
      <c r="AM613" s="2">
        <v>42093</v>
      </c>
      <c r="AN613" t="str">
        <f t="shared" si="19"/>
        <v>48240,841,0.0174336650082919,0,0,73,389,91,248,64,49,41,3,6,3,13,5,0,0,0,0,0,0,1,51,51-66,2756,0,0,1,0,0,0,0,0,1,800,42093</v>
      </c>
    </row>
    <row r="614" spans="1:40" ht="13" hidden="1" x14ac:dyDescent="0.15">
      <c r="A614">
        <v>1020</v>
      </c>
      <c r="B614" s="1">
        <v>54233</v>
      </c>
      <c r="C614" s="1">
        <v>839</v>
      </c>
      <c r="D614" s="4">
        <f t="shared" si="18"/>
        <v>1.5470285619456788E-2</v>
      </c>
      <c r="E614" s="1">
        <v>0</v>
      </c>
      <c r="F614" s="1">
        <v>1</v>
      </c>
      <c r="G614" s="1">
        <v>46</v>
      </c>
      <c r="H614" s="1">
        <v>652</v>
      </c>
      <c r="I614" s="1">
        <v>8</v>
      </c>
      <c r="J614" s="1">
        <v>158</v>
      </c>
      <c r="K614" s="1">
        <v>21</v>
      </c>
      <c r="L614" s="1">
        <v>0</v>
      </c>
      <c r="M614" s="1">
        <v>142</v>
      </c>
      <c r="N614" s="1">
        <v>4</v>
      </c>
      <c r="O614" s="1">
        <v>11</v>
      </c>
      <c r="P614" s="1">
        <v>6</v>
      </c>
      <c r="Q614" s="1">
        <v>5</v>
      </c>
      <c r="R614" s="1">
        <v>8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43</v>
      </c>
      <c r="AA614" s="1" t="str" cm="1">
        <f t="array" ref="AA614">_xlfn.IFS(AND(Z614&lt;36, Z614&gt;23), "24-35", AND(Z614&lt;51, Z614&gt;35),"36-50", AND(Z614&lt;66, Z614&gt;50), "51-66", Z614&gt;65, "66+", TRUE, "?")</f>
        <v>36-50</v>
      </c>
      <c r="AB614" s="1">
        <v>2669</v>
      </c>
      <c r="AC614" s="1">
        <v>0</v>
      </c>
      <c r="AD614" s="1">
        <v>1</v>
      </c>
      <c r="AE614" s="1">
        <v>0</v>
      </c>
      <c r="AF614" s="1">
        <v>0</v>
      </c>
      <c r="AG614" s="1">
        <v>0</v>
      </c>
      <c r="AH614" s="1">
        <v>0</v>
      </c>
      <c r="AI614" s="1">
        <v>1</v>
      </c>
      <c r="AJ614" s="1">
        <v>0</v>
      </c>
      <c r="AK614" s="1">
        <v>0</v>
      </c>
      <c r="AL614" s="1">
        <v>697</v>
      </c>
      <c r="AM614" s="2">
        <v>42180</v>
      </c>
      <c r="AN614" t="str">
        <f t="shared" si="19"/>
        <v>54233,839,0.0154702856194568,0,1,46,652,8,158,21,0,142,4,11,6,5,8,0,0,0,0,0,0,0,43,36-50,2669,0,1,0,0,0,0,1,0,0,697,42180</v>
      </c>
    </row>
    <row r="615" spans="1:40" ht="13" hidden="1" x14ac:dyDescent="0.15">
      <c r="A615">
        <v>130</v>
      </c>
      <c r="B615" s="1">
        <v>68352</v>
      </c>
      <c r="C615" s="1">
        <v>838</v>
      </c>
      <c r="D615" s="4">
        <f t="shared" si="18"/>
        <v>1.2260065543071162E-2</v>
      </c>
      <c r="E615" s="1">
        <v>0</v>
      </c>
      <c r="F615" s="1">
        <v>1</v>
      </c>
      <c r="G615" s="1">
        <v>47</v>
      </c>
      <c r="H615" s="1">
        <v>614</v>
      </c>
      <c r="I615" s="1">
        <v>16</v>
      </c>
      <c r="J615" s="1">
        <v>132</v>
      </c>
      <c r="K615" s="1">
        <v>43</v>
      </c>
      <c r="L615" s="1">
        <v>33</v>
      </c>
      <c r="M615" s="1">
        <v>33</v>
      </c>
      <c r="N615" s="1">
        <v>3</v>
      </c>
      <c r="O615" s="1">
        <v>8</v>
      </c>
      <c r="P615" s="1">
        <v>5</v>
      </c>
      <c r="Q615" s="1">
        <v>9</v>
      </c>
      <c r="R615" s="1">
        <v>6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46</v>
      </c>
      <c r="AA615" s="1" t="str" cm="1">
        <f t="array" ref="AA615">_xlfn.IFS(AND(Z615&lt;36, Z615&gt;23), "24-35", AND(Z615&lt;51, Z615&gt;35),"36-50", AND(Z615&lt;66, Z615&gt;50), "51-66", Z615&gt;65, "66+", TRUE, "?")</f>
        <v>36-50</v>
      </c>
      <c r="AB615" s="1">
        <v>2464</v>
      </c>
      <c r="AC615" s="1">
        <v>0</v>
      </c>
      <c r="AD615" s="1">
        <v>0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1</v>
      </c>
      <c r="AL615" s="1">
        <v>805</v>
      </c>
      <c r="AM615" s="2">
        <v>42385</v>
      </c>
      <c r="AN615" t="str">
        <f t="shared" si="19"/>
        <v>68352,838,0.0122600655430712,0,1,47,614,16,132,43,33,33,3,8,5,9,6,0,0,0,0,0,0,0,46,36-50,2464,0,0,1,0,0,0,0,0,1,805,42385</v>
      </c>
    </row>
    <row r="616" spans="1:40" ht="13" hidden="1" x14ac:dyDescent="0.15">
      <c r="A616">
        <v>1718</v>
      </c>
      <c r="B616" s="1">
        <v>62772</v>
      </c>
      <c r="C616" s="1">
        <v>838</v>
      </c>
      <c r="D616" s="4">
        <f t="shared" si="18"/>
        <v>1.3349901229847702E-2</v>
      </c>
      <c r="E616" s="1">
        <v>0</v>
      </c>
      <c r="F616" s="1">
        <v>1</v>
      </c>
      <c r="G616" s="1">
        <v>74</v>
      </c>
      <c r="H616" s="1">
        <v>581</v>
      </c>
      <c r="I616" s="1">
        <v>49</v>
      </c>
      <c r="J616" s="1">
        <v>157</v>
      </c>
      <c r="K616" s="1">
        <v>43</v>
      </c>
      <c r="L616" s="1">
        <v>8</v>
      </c>
      <c r="M616" s="1">
        <v>108</v>
      </c>
      <c r="N616" s="1">
        <v>1</v>
      </c>
      <c r="O616" s="1">
        <v>5</v>
      </c>
      <c r="P616" s="1">
        <v>6</v>
      </c>
      <c r="Q616" s="1">
        <v>11</v>
      </c>
      <c r="R616" s="1">
        <v>2</v>
      </c>
      <c r="S616" s="1">
        <v>0</v>
      </c>
      <c r="T616" s="1">
        <v>0</v>
      </c>
      <c r="U616" s="1">
        <v>0</v>
      </c>
      <c r="V616" s="1">
        <v>1</v>
      </c>
      <c r="W616" s="1">
        <v>0</v>
      </c>
      <c r="X616" s="1">
        <v>0</v>
      </c>
      <c r="Y616" s="1">
        <v>0</v>
      </c>
      <c r="Z616" s="1">
        <v>51</v>
      </c>
      <c r="AA616" s="1" t="str" cm="1">
        <f t="array" ref="AA616">_xlfn.IFS(AND(Z616&lt;36, Z616&gt;23), "24-35", AND(Z616&lt;51, Z616&gt;35),"36-50", AND(Z616&lt;66, Z616&gt;50), "51-66", Z616&gt;65, "66+", TRUE, "?")</f>
        <v>51-66</v>
      </c>
      <c r="AB616" s="1">
        <v>2565</v>
      </c>
      <c r="AC616" s="1">
        <v>0</v>
      </c>
      <c r="AD616" s="1">
        <v>0</v>
      </c>
      <c r="AE616" s="1">
        <v>1</v>
      </c>
      <c r="AF616" s="1">
        <v>0</v>
      </c>
      <c r="AG616" s="1">
        <v>0</v>
      </c>
      <c r="AH616" s="1">
        <v>0</v>
      </c>
      <c r="AI616" s="1">
        <v>0</v>
      </c>
      <c r="AJ616" s="1">
        <v>1</v>
      </c>
      <c r="AK616" s="1">
        <v>0</v>
      </c>
      <c r="AL616" s="1">
        <v>730</v>
      </c>
      <c r="AM616" s="2">
        <v>42284</v>
      </c>
      <c r="AN616" t="str">
        <f t="shared" si="19"/>
        <v>62772,838,0.0133499012298477,0,1,74,581,49,157,43,8,108,1,5,6,11,2,0,0,0,1,0,0,0,51,51-66,2565,0,0,1,0,0,0,0,1,0,730,42284</v>
      </c>
    </row>
    <row r="617" spans="1:40" ht="13" hidden="1" x14ac:dyDescent="0.15">
      <c r="A617">
        <v>666</v>
      </c>
      <c r="B617" s="1">
        <v>55250</v>
      </c>
      <c r="C617" s="1">
        <v>837</v>
      </c>
      <c r="D617" s="4">
        <f t="shared" si="18"/>
        <v>1.5149321266968326E-2</v>
      </c>
      <c r="E617" s="1">
        <v>0</v>
      </c>
      <c r="F617" s="1">
        <v>1</v>
      </c>
      <c r="G617" s="1">
        <v>49</v>
      </c>
      <c r="H617" s="1">
        <v>664</v>
      </c>
      <c r="I617" s="1">
        <v>58</v>
      </c>
      <c r="J617" s="1">
        <v>83</v>
      </c>
      <c r="K617" s="1">
        <v>32</v>
      </c>
      <c r="L617" s="1">
        <v>0</v>
      </c>
      <c r="M617" s="1">
        <v>66</v>
      </c>
      <c r="N617" s="1">
        <v>4</v>
      </c>
      <c r="O617" s="1">
        <v>7</v>
      </c>
      <c r="P617" s="1">
        <v>5</v>
      </c>
      <c r="Q617" s="1">
        <v>10</v>
      </c>
      <c r="R617" s="1">
        <v>5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55</v>
      </c>
      <c r="AA617" s="1" t="str" cm="1">
        <f t="array" ref="AA617">_xlfn.IFS(AND(Z617&lt;36, Z617&gt;23), "24-35", AND(Z617&lt;51, Z617&gt;35),"36-50", AND(Z617&lt;66, Z617&gt;50), "51-66", Z617&gt;65, "66+", TRUE, "?")</f>
        <v>51-66</v>
      </c>
      <c r="AB617" s="1">
        <v>2775</v>
      </c>
      <c r="AC617" s="1">
        <v>0</v>
      </c>
      <c r="AD617" s="1">
        <v>0</v>
      </c>
      <c r="AE617" s="1">
        <v>1</v>
      </c>
      <c r="AF617" s="1">
        <v>0</v>
      </c>
      <c r="AG617" s="1">
        <v>0</v>
      </c>
      <c r="AH617" s="1">
        <v>0</v>
      </c>
      <c r="AI617" s="1">
        <v>0</v>
      </c>
      <c r="AJ617" s="1">
        <v>1</v>
      </c>
      <c r="AK617" s="1">
        <v>0</v>
      </c>
      <c r="AL617" s="1">
        <v>771</v>
      </c>
      <c r="AM617" s="2">
        <v>42074</v>
      </c>
      <c r="AN617" t="str">
        <f t="shared" si="19"/>
        <v>55250,837,0.0151493212669683,0,1,49,664,58,83,32,0,66,4,7,5,10,5,0,0,0,0,0,0,0,55,51-66,2775,0,0,1,0,0,0,0,1,0,771,42074</v>
      </c>
    </row>
    <row r="618" spans="1:40" ht="13" hidden="1" x14ac:dyDescent="0.15">
      <c r="A618">
        <v>1525</v>
      </c>
      <c r="B618" s="1">
        <v>64892</v>
      </c>
      <c r="C618" s="1">
        <v>837</v>
      </c>
      <c r="D618" s="4">
        <f t="shared" si="18"/>
        <v>1.2898354188497812E-2</v>
      </c>
      <c r="E618" s="1">
        <v>0</v>
      </c>
      <c r="F618" s="1">
        <v>1</v>
      </c>
      <c r="G618" s="1">
        <v>77</v>
      </c>
      <c r="H618" s="1">
        <v>527</v>
      </c>
      <c r="I618" s="1">
        <v>24</v>
      </c>
      <c r="J618" s="1">
        <v>230</v>
      </c>
      <c r="K618" s="1">
        <v>32</v>
      </c>
      <c r="L618" s="1">
        <v>24</v>
      </c>
      <c r="M618" s="1">
        <v>65</v>
      </c>
      <c r="N618" s="1">
        <v>2</v>
      </c>
      <c r="O618" s="1">
        <v>6</v>
      </c>
      <c r="P618" s="1">
        <v>4</v>
      </c>
      <c r="Q618" s="1">
        <v>12</v>
      </c>
      <c r="R618" s="1">
        <v>4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44</v>
      </c>
      <c r="AA618" s="1" t="str" cm="1">
        <f t="array" ref="AA618">_xlfn.IFS(AND(Z618&lt;36, Z618&gt;23), "24-35", AND(Z618&lt;51, Z618&gt;35),"36-50", AND(Z618&lt;66, Z618&gt;50), "51-66", Z618&gt;65, "66+", TRUE, "?")</f>
        <v>36-50</v>
      </c>
      <c r="AB618" s="1">
        <v>2190</v>
      </c>
      <c r="AC618" s="1">
        <v>1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1</v>
      </c>
      <c r="AJ618" s="1">
        <v>0</v>
      </c>
      <c r="AK618" s="1">
        <v>0</v>
      </c>
      <c r="AL618" s="1">
        <v>772</v>
      </c>
      <c r="AM618" s="2">
        <v>42659</v>
      </c>
      <c r="AN618" t="str">
        <f t="shared" si="19"/>
        <v>64892,837,0.0128983541884978,0,1,77,527,24,230,32,24,65,2,6,4,12,4,0,0,0,0,0,0,0,44,36-50,2190,1,0,0,0,0,0,1,0,0,772,42659</v>
      </c>
    </row>
    <row r="619" spans="1:40" ht="13" hidden="1" x14ac:dyDescent="0.15">
      <c r="A619">
        <v>401</v>
      </c>
      <c r="B619" s="1">
        <v>61314</v>
      </c>
      <c r="C619" s="1">
        <v>836</v>
      </c>
      <c r="D619" s="4">
        <f t="shared" si="18"/>
        <v>1.3634732687477575E-2</v>
      </c>
      <c r="E619" s="1">
        <v>0</v>
      </c>
      <c r="F619" s="1">
        <v>1</v>
      </c>
      <c r="G619" s="1">
        <v>1</v>
      </c>
      <c r="H619" s="1">
        <v>378</v>
      </c>
      <c r="I619" s="1">
        <v>0</v>
      </c>
      <c r="J619" s="1">
        <v>189</v>
      </c>
      <c r="K619" s="1">
        <v>97</v>
      </c>
      <c r="L619" s="1">
        <v>172</v>
      </c>
      <c r="M619" s="1">
        <v>172</v>
      </c>
      <c r="N619" s="1">
        <v>2</v>
      </c>
      <c r="O619" s="1">
        <v>5</v>
      </c>
      <c r="P619" s="1">
        <v>5</v>
      </c>
      <c r="Q619" s="1">
        <v>12</v>
      </c>
      <c r="R619" s="1">
        <v>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52</v>
      </c>
      <c r="AA619" s="1" t="str" cm="1">
        <f t="array" ref="AA619">_xlfn.IFS(AND(Z619&lt;36, Z619&gt;23), "24-35", AND(Z619&lt;51, Z619&gt;35),"36-50", AND(Z619&lt;66, Z619&gt;50), "51-66", Z619&gt;65, "66+", TRUE, "?")</f>
        <v>51-66</v>
      </c>
      <c r="AB619" s="1">
        <v>2589</v>
      </c>
      <c r="AC619" s="1">
        <v>0</v>
      </c>
      <c r="AD619" s="1">
        <v>1</v>
      </c>
      <c r="AE619" s="1">
        <v>0</v>
      </c>
      <c r="AF619" s="1">
        <v>0</v>
      </c>
      <c r="AG619" s="1">
        <v>0</v>
      </c>
      <c r="AH619" s="1">
        <v>0</v>
      </c>
      <c r="AI619" s="1">
        <v>1</v>
      </c>
      <c r="AJ619" s="1">
        <v>0</v>
      </c>
      <c r="AK619" s="1">
        <v>0</v>
      </c>
      <c r="AL619" s="1">
        <v>664</v>
      </c>
      <c r="AM619" s="2">
        <v>42260</v>
      </c>
      <c r="AN619" t="str">
        <f t="shared" si="19"/>
        <v>61314,836,0.0136347326874776,0,1,1,378,0,189,97,172,172,2,5,5,12,3,0,0,0,0,0,0,0,52,51-66,2589,0,1,0,0,0,0,1,0,0,664,42260</v>
      </c>
    </row>
    <row r="620" spans="1:40" ht="13" hidden="1" x14ac:dyDescent="0.15">
      <c r="A620">
        <v>421</v>
      </c>
      <c r="B620" s="1">
        <v>57959</v>
      </c>
      <c r="C620" s="1">
        <v>835</v>
      </c>
      <c r="D620" s="4">
        <f t="shared" si="18"/>
        <v>1.4406735795993719E-2</v>
      </c>
      <c r="E620" s="1">
        <v>0</v>
      </c>
      <c r="F620" s="1">
        <v>1</v>
      </c>
      <c r="G620" s="1">
        <v>71</v>
      </c>
      <c r="H620" s="1">
        <v>430</v>
      </c>
      <c r="I620" s="1">
        <v>16</v>
      </c>
      <c r="J620" s="1">
        <v>322</v>
      </c>
      <c r="K620" s="1">
        <v>43</v>
      </c>
      <c r="L620" s="1">
        <v>24</v>
      </c>
      <c r="M620" s="1">
        <v>33</v>
      </c>
      <c r="N620" s="1">
        <v>5</v>
      </c>
      <c r="O620" s="1">
        <v>4</v>
      </c>
      <c r="P620" s="1">
        <v>7</v>
      </c>
      <c r="Q620" s="1">
        <v>11</v>
      </c>
      <c r="R620" s="1">
        <v>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65</v>
      </c>
      <c r="AA620" s="1" t="str" cm="1">
        <f t="array" ref="AA620">_xlfn.IFS(AND(Z620&lt;36, Z620&gt;23), "24-35", AND(Z620&lt;51, Z620&gt;35),"36-50", AND(Z620&lt;66, Z620&gt;50), "51-66", Z620&gt;65, "66+", TRUE, "?")</f>
        <v>51-66</v>
      </c>
      <c r="AB620" s="1">
        <v>2582</v>
      </c>
      <c r="AC620" s="1">
        <v>0</v>
      </c>
      <c r="AD620" s="1">
        <v>0</v>
      </c>
      <c r="AE620" s="1">
        <v>1</v>
      </c>
      <c r="AF620" s="1">
        <v>0</v>
      </c>
      <c r="AG620" s="1">
        <v>0</v>
      </c>
      <c r="AH620" s="1">
        <v>0</v>
      </c>
      <c r="AI620" s="1">
        <v>1</v>
      </c>
      <c r="AJ620" s="1">
        <v>0</v>
      </c>
      <c r="AK620" s="1">
        <v>0</v>
      </c>
      <c r="AL620" s="1">
        <v>802</v>
      </c>
      <c r="AM620" s="2">
        <v>42267</v>
      </c>
      <c r="AN620" t="str">
        <f t="shared" si="19"/>
        <v>57959,835,0.0144067357959937,0,1,71,430,16,322,43,24,33,5,4,7,11,3,0,0,0,0,0,0,0,65,51-66,2582,0,0,1,0,0,0,1,0,0,802,42267</v>
      </c>
    </row>
    <row r="621" spans="1:40" ht="13" hidden="1" x14ac:dyDescent="0.15">
      <c r="A621">
        <v>1030</v>
      </c>
      <c r="B621" s="1">
        <v>79803</v>
      </c>
      <c r="C621" s="1">
        <v>835</v>
      </c>
      <c r="D621" s="4">
        <f t="shared" si="18"/>
        <v>1.0463265792012831E-2</v>
      </c>
      <c r="E621" s="1">
        <v>0</v>
      </c>
      <c r="F621" s="1">
        <v>1</v>
      </c>
      <c r="G621" s="1">
        <v>54</v>
      </c>
      <c r="H621" s="1">
        <v>574</v>
      </c>
      <c r="I621" s="1">
        <v>8</v>
      </c>
      <c r="J621" s="1">
        <v>216</v>
      </c>
      <c r="K621" s="1">
        <v>21</v>
      </c>
      <c r="L621" s="1">
        <v>16</v>
      </c>
      <c r="M621" s="1">
        <v>33</v>
      </c>
      <c r="N621" s="1">
        <v>1</v>
      </c>
      <c r="O621" s="1">
        <v>4</v>
      </c>
      <c r="P621" s="1">
        <v>3</v>
      </c>
      <c r="Q621" s="1">
        <v>5</v>
      </c>
      <c r="R621" s="1">
        <v>1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62</v>
      </c>
      <c r="AA621" s="1" t="str" cm="1">
        <f t="array" ref="AA621">_xlfn.IFS(AND(Z621&lt;36, Z621&gt;23), "24-35", AND(Z621&lt;51, Z621&gt;35),"36-50", AND(Z621&lt;66, Z621&gt;50), "51-66", Z621&gt;65, "66+", TRUE, "?")</f>
        <v>51-66</v>
      </c>
      <c r="AB621" s="1">
        <v>2186</v>
      </c>
      <c r="AC621" s="1">
        <v>1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1</v>
      </c>
      <c r="AJ621" s="1">
        <v>0</v>
      </c>
      <c r="AK621" s="1">
        <v>0</v>
      </c>
      <c r="AL621" s="1">
        <v>802</v>
      </c>
      <c r="AM621" s="2">
        <v>42663</v>
      </c>
      <c r="AN621" t="str">
        <f t="shared" si="19"/>
        <v>79803,835,0.0104632657920128,0,1,54,574,8,216,21,16,33,1,4,3,5,1,0,0,0,0,0,0,0,62,51-66,2186,1,0,0,0,0,0,1,0,0,802,42663</v>
      </c>
    </row>
    <row r="622" spans="1:40" ht="13" hidden="1" x14ac:dyDescent="0.15">
      <c r="A622">
        <v>980</v>
      </c>
      <c r="B622" s="1">
        <v>76081</v>
      </c>
      <c r="C622" s="1">
        <v>833</v>
      </c>
      <c r="D622" s="4">
        <f t="shared" si="18"/>
        <v>1.0948857139101747E-2</v>
      </c>
      <c r="E622" s="1">
        <v>0</v>
      </c>
      <c r="F622" s="1">
        <v>0</v>
      </c>
      <c r="G622" s="1">
        <v>85</v>
      </c>
      <c r="H622" s="1">
        <v>292</v>
      </c>
      <c r="I622" s="1">
        <v>30</v>
      </c>
      <c r="J622" s="1">
        <v>415</v>
      </c>
      <c r="K622" s="1">
        <v>63</v>
      </c>
      <c r="L622" s="1">
        <v>33</v>
      </c>
      <c r="M622" s="1">
        <v>200</v>
      </c>
      <c r="N622" s="1">
        <v>1</v>
      </c>
      <c r="O622" s="1">
        <v>4</v>
      </c>
      <c r="P622" s="1">
        <v>5</v>
      </c>
      <c r="Q622" s="1">
        <v>4</v>
      </c>
      <c r="R622" s="1">
        <v>2</v>
      </c>
      <c r="S622" s="1">
        <v>1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58</v>
      </c>
      <c r="AA622" s="1" t="str" cm="1">
        <f t="array" ref="AA622">_xlfn.IFS(AND(Z622&lt;36, Z622&gt;23), "24-35", AND(Z622&lt;51, Z622&gt;35),"36-50", AND(Z622&lt;66, Z622&gt;50), "51-66", Z622&gt;65, "66+", TRUE, "?")</f>
        <v>51-66</v>
      </c>
      <c r="AB622" s="1">
        <v>2196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  <c r="AI622" s="1">
        <v>1</v>
      </c>
      <c r="AJ622" s="1">
        <v>0</v>
      </c>
      <c r="AK622" s="1">
        <v>0</v>
      </c>
      <c r="AL622" s="1">
        <v>633</v>
      </c>
      <c r="AM622" s="2">
        <v>42653</v>
      </c>
      <c r="AN622" t="str">
        <f t="shared" si="19"/>
        <v>76081,833,0.0109488571391017,0,0,85,292,30,415,63,33,200,1,4,5,4,2,1,0,0,0,0,0,0,58,51-66,2196,0,0,0,1,0,0,1,0,0,633,42653</v>
      </c>
    </row>
    <row r="623" spans="1:40" ht="13" hidden="1" x14ac:dyDescent="0.15">
      <c r="A623">
        <v>1165</v>
      </c>
      <c r="B623" s="1">
        <v>76624</v>
      </c>
      <c r="C623" s="1">
        <v>833</v>
      </c>
      <c r="D623" s="4">
        <f t="shared" si="18"/>
        <v>1.0871267487993318E-2</v>
      </c>
      <c r="E623" s="1">
        <v>0</v>
      </c>
      <c r="F623" s="1">
        <v>1</v>
      </c>
      <c r="G623" s="1">
        <v>68</v>
      </c>
      <c r="H623" s="1">
        <v>411</v>
      </c>
      <c r="I623" s="1">
        <v>106</v>
      </c>
      <c r="J623" s="1">
        <v>147</v>
      </c>
      <c r="K623" s="1">
        <v>54</v>
      </c>
      <c r="L623" s="1">
        <v>115</v>
      </c>
      <c r="M623" s="1">
        <v>66</v>
      </c>
      <c r="N623" s="1">
        <v>1</v>
      </c>
      <c r="O623" s="1">
        <v>5</v>
      </c>
      <c r="P623" s="1">
        <v>10</v>
      </c>
      <c r="Q623" s="1">
        <v>7</v>
      </c>
      <c r="R623" s="1">
        <v>1</v>
      </c>
      <c r="S623" s="1">
        <v>0</v>
      </c>
      <c r="T623" s="1">
        <v>0</v>
      </c>
      <c r="U623" s="1">
        <v>1</v>
      </c>
      <c r="V623" s="1">
        <v>0</v>
      </c>
      <c r="W623" s="1">
        <v>0</v>
      </c>
      <c r="X623" s="1">
        <v>0</v>
      </c>
      <c r="Y623" s="1">
        <v>0</v>
      </c>
      <c r="Z623" s="1">
        <v>58</v>
      </c>
      <c r="AA623" s="1" t="str" cm="1">
        <f t="array" ref="AA623">_xlfn.IFS(AND(Z623&lt;36, Z623&gt;23), "24-35", AND(Z623&lt;51, Z623&gt;35),"36-50", AND(Z623&lt;66, Z623&gt;50), "51-66", Z623&gt;65, "66+", TRUE, "?")</f>
        <v>51-66</v>
      </c>
      <c r="AB623" s="1">
        <v>2195</v>
      </c>
      <c r="AC623" s="1">
        <v>0</v>
      </c>
      <c r="AD623" s="1">
        <v>0</v>
      </c>
      <c r="AE623" s="1">
        <v>1</v>
      </c>
      <c r="AF623" s="1">
        <v>0</v>
      </c>
      <c r="AG623" s="1">
        <v>0</v>
      </c>
      <c r="AH623" s="1">
        <v>0</v>
      </c>
      <c r="AI623" s="1">
        <v>1</v>
      </c>
      <c r="AJ623" s="1">
        <v>0</v>
      </c>
      <c r="AK623" s="1">
        <v>0</v>
      </c>
      <c r="AL623" s="1">
        <v>767</v>
      </c>
      <c r="AM623" s="2">
        <v>42654</v>
      </c>
      <c r="AN623" t="str">
        <f t="shared" si="19"/>
        <v>76624,833,0.0108712674879933,0,1,68,411,106,147,54,115,66,1,5,10,7,1,0,0,1,0,0,0,0,58,51-66,2195,0,0,1,0,0,0,1,0,0,767,42654</v>
      </c>
    </row>
    <row r="624" spans="1:40" ht="13" hidden="1" x14ac:dyDescent="0.15">
      <c r="A624">
        <v>439</v>
      </c>
      <c r="B624" s="1">
        <v>49269</v>
      </c>
      <c r="C624" s="1">
        <v>832</v>
      </c>
      <c r="D624" s="4">
        <f t="shared" si="18"/>
        <v>1.6886886277375227E-2</v>
      </c>
      <c r="E624" s="1">
        <v>1</v>
      </c>
      <c r="F624" s="1">
        <v>0</v>
      </c>
      <c r="G624" s="1">
        <v>92</v>
      </c>
      <c r="H624" s="1">
        <v>639</v>
      </c>
      <c r="I624" s="1">
        <v>8</v>
      </c>
      <c r="J624" s="1">
        <v>166</v>
      </c>
      <c r="K624" s="1">
        <v>11</v>
      </c>
      <c r="L624" s="1">
        <v>8</v>
      </c>
      <c r="M624" s="1">
        <v>58</v>
      </c>
      <c r="N624" s="1">
        <v>3</v>
      </c>
      <c r="O624" s="1">
        <v>7</v>
      </c>
      <c r="P624" s="1">
        <v>3</v>
      </c>
      <c r="Q624" s="1">
        <v>12</v>
      </c>
      <c r="R624" s="1">
        <v>7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49</v>
      </c>
      <c r="AA624" s="1" t="str" cm="1">
        <f t="array" ref="AA624">_xlfn.IFS(AND(Z624&lt;36, Z624&gt;23), "24-35", AND(Z624&lt;51, Z624&gt;35),"36-50", AND(Z624&lt;66, Z624&gt;50), "51-66", Z624&gt;65, "66+", TRUE, "?")</f>
        <v>36-50</v>
      </c>
      <c r="AB624" s="1">
        <v>2842</v>
      </c>
      <c r="AC624" s="1">
        <v>0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0</v>
      </c>
      <c r="AJ624" s="1">
        <v>0</v>
      </c>
      <c r="AK624" s="1">
        <v>1</v>
      </c>
      <c r="AL624" s="1">
        <v>774</v>
      </c>
      <c r="AM624" s="2">
        <v>42007</v>
      </c>
      <c r="AN624" t="str">
        <f t="shared" si="19"/>
        <v>49269,832,0.0168868862773752,1,0,92,639,8,166,11,8,58,3,7,3,12,7,0,0,0,0,0,0,0,49,36-50,2842,0,0,0,1,0,0,0,0,1,774,42007</v>
      </c>
    </row>
    <row r="625" spans="1:40" ht="13" x14ac:dyDescent="0.15">
      <c r="A625">
        <v>1186</v>
      </c>
      <c r="B625" s="1">
        <v>49912</v>
      </c>
      <c r="C625" s="1">
        <v>832</v>
      </c>
      <c r="D625" s="4">
        <f t="shared" si="18"/>
        <v>1.6669338034941496E-2</v>
      </c>
      <c r="E625" s="1">
        <v>0</v>
      </c>
      <c r="F625" s="1">
        <v>1</v>
      </c>
      <c r="G625" s="1">
        <v>5</v>
      </c>
      <c r="H625" s="1">
        <v>520</v>
      </c>
      <c r="I625" s="1">
        <v>8</v>
      </c>
      <c r="J625" s="1">
        <v>223</v>
      </c>
      <c r="K625" s="1">
        <v>32</v>
      </c>
      <c r="L625" s="1">
        <v>49</v>
      </c>
      <c r="M625" s="1">
        <v>42</v>
      </c>
      <c r="N625" s="1">
        <v>4</v>
      </c>
      <c r="O625" s="1">
        <v>10</v>
      </c>
      <c r="P625" s="1">
        <v>5</v>
      </c>
      <c r="Q625" s="1">
        <v>7</v>
      </c>
      <c r="R625" s="1">
        <v>8</v>
      </c>
      <c r="S625" s="1">
        <v>0</v>
      </c>
      <c r="T625" s="1">
        <v>0</v>
      </c>
      <c r="U625" s="1">
        <v>1</v>
      </c>
      <c r="V625" s="1">
        <v>0</v>
      </c>
      <c r="W625" s="1">
        <v>0</v>
      </c>
      <c r="X625" s="1">
        <v>0</v>
      </c>
      <c r="Y625" s="1">
        <v>1</v>
      </c>
      <c r="Z625" s="1">
        <v>71</v>
      </c>
      <c r="AA625" s="1" t="str" cm="1">
        <f t="array" ref="AA625">_xlfn.IFS(AND(Z625&lt;36, Z625&gt;23), "24-35", AND(Z625&lt;51, Z625&gt;35),"36-50", AND(Z625&lt;66, Z625&gt;50), "51-66", Z625&gt;65, "66+", TRUE, "?")</f>
        <v>66+</v>
      </c>
      <c r="AB625" s="1">
        <v>2819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0</v>
      </c>
      <c r="AI625" s="1">
        <v>0</v>
      </c>
      <c r="AJ625" s="1">
        <v>1</v>
      </c>
      <c r="AK625" s="1">
        <v>0</v>
      </c>
      <c r="AL625" s="1">
        <v>790</v>
      </c>
      <c r="AM625" s="2">
        <v>42030</v>
      </c>
      <c r="AN625" t="str">
        <f t="shared" si="19"/>
        <v>49912,832,0.0166693380349415,0,1,5,520,8,223,32,49,42,4,10,5,7,8,0,0,1,0,0,0,1,71,66+,2819,0,0,0,1,0,0,0,1,0,790,42030</v>
      </c>
    </row>
    <row r="626" spans="1:40" ht="13" hidden="1" x14ac:dyDescent="0.15">
      <c r="A626">
        <v>1343</v>
      </c>
      <c r="B626" s="1">
        <v>52852</v>
      </c>
      <c r="C626" s="1">
        <v>832</v>
      </c>
      <c r="D626" s="4">
        <f t="shared" si="18"/>
        <v>1.5742072201619616E-2</v>
      </c>
      <c r="E626" s="1">
        <v>0</v>
      </c>
      <c r="F626" s="1">
        <v>1</v>
      </c>
      <c r="G626" s="1">
        <v>93</v>
      </c>
      <c r="H626" s="1">
        <v>714</v>
      </c>
      <c r="I626" s="1">
        <v>8</v>
      </c>
      <c r="J626" s="1">
        <v>99</v>
      </c>
      <c r="K626" s="1">
        <v>11</v>
      </c>
      <c r="L626" s="1">
        <v>0</v>
      </c>
      <c r="M626" s="1">
        <v>47</v>
      </c>
      <c r="N626" s="1">
        <v>4</v>
      </c>
      <c r="O626" s="1">
        <v>10</v>
      </c>
      <c r="P626" s="1">
        <v>7</v>
      </c>
      <c r="Q626" s="1">
        <v>5</v>
      </c>
      <c r="R626" s="1">
        <v>8</v>
      </c>
      <c r="S626" s="1">
        <v>0</v>
      </c>
      <c r="T626" s="1">
        <v>0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63</v>
      </c>
      <c r="AA626" s="1" t="str" cm="1">
        <f t="array" ref="AA626">_xlfn.IFS(AND(Z626&lt;36, Z626&gt;23), "24-35", AND(Z626&lt;51, Z626&gt;35),"36-50", AND(Z626&lt;66, Z626&gt;50), "51-66", Z626&gt;65, "66+", TRUE, "?")</f>
        <v>51-66</v>
      </c>
      <c r="AB626" s="1">
        <v>2734</v>
      </c>
      <c r="AC626" s="1">
        <v>0</v>
      </c>
      <c r="AD626" s="1">
        <v>1</v>
      </c>
      <c r="AE626" s="1">
        <v>0</v>
      </c>
      <c r="AF626" s="1">
        <v>0</v>
      </c>
      <c r="AG626" s="1">
        <v>0</v>
      </c>
      <c r="AH626" s="1">
        <v>0</v>
      </c>
      <c r="AI626" s="1">
        <v>1</v>
      </c>
      <c r="AJ626" s="1">
        <v>0</v>
      </c>
      <c r="AK626" s="1">
        <v>0</v>
      </c>
      <c r="AL626" s="1">
        <v>785</v>
      </c>
      <c r="AM626" s="2">
        <v>42115</v>
      </c>
      <c r="AN626" t="str">
        <f t="shared" si="19"/>
        <v>52852,832,0.0157420722016196,0,1,93,714,8,99,11,0,47,4,10,7,5,8,0,0,1,0,0,0,0,63,51-66,2734,0,1,0,0,0,0,1,0,0,785,42115</v>
      </c>
    </row>
    <row r="627" spans="1:40" ht="13" hidden="1" x14ac:dyDescent="0.15">
      <c r="A627">
        <v>132</v>
      </c>
      <c r="B627" s="1">
        <v>59809</v>
      </c>
      <c r="C627" s="1">
        <v>828</v>
      </c>
      <c r="D627" s="4">
        <f t="shared" si="18"/>
        <v>1.3844070290424518E-2</v>
      </c>
      <c r="E627" s="1">
        <v>0</v>
      </c>
      <c r="F627" s="1">
        <v>2</v>
      </c>
      <c r="G627" s="1">
        <v>36</v>
      </c>
      <c r="H627" s="1">
        <v>598</v>
      </c>
      <c r="I627" s="1">
        <v>16</v>
      </c>
      <c r="J627" s="1">
        <v>141</v>
      </c>
      <c r="K627" s="1">
        <v>32</v>
      </c>
      <c r="L627" s="1">
        <v>41</v>
      </c>
      <c r="M627" s="1">
        <v>49</v>
      </c>
      <c r="N627" s="1">
        <v>3</v>
      </c>
      <c r="O627" s="1">
        <v>3</v>
      </c>
      <c r="P627" s="1">
        <v>3</v>
      </c>
      <c r="Q627" s="1">
        <v>6</v>
      </c>
      <c r="R627" s="1">
        <v>8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44</v>
      </c>
      <c r="AA627" s="1" t="str" cm="1">
        <f t="array" ref="AA627">_xlfn.IFS(AND(Z627&lt;36, Z627&gt;23), "24-35", AND(Z627&lt;51, Z627&gt;35),"36-50", AND(Z627&lt;66, Z627&gt;50), "51-66", Z627&gt;65, "66+", TRUE, "?")</f>
        <v>36-50</v>
      </c>
      <c r="AB627" s="1">
        <v>2778</v>
      </c>
      <c r="AC627" s="1">
        <v>0</v>
      </c>
      <c r="AD627" s="1">
        <v>1</v>
      </c>
      <c r="AE627" s="1">
        <v>0</v>
      </c>
      <c r="AF627" s="1">
        <v>0</v>
      </c>
      <c r="AG627" s="1">
        <v>0</v>
      </c>
      <c r="AH627" s="1">
        <v>0</v>
      </c>
      <c r="AI627" s="1">
        <v>1</v>
      </c>
      <c r="AJ627" s="1">
        <v>0</v>
      </c>
      <c r="AK627" s="1">
        <v>0</v>
      </c>
      <c r="AL627" s="1">
        <v>779</v>
      </c>
      <c r="AM627" s="2">
        <v>42071</v>
      </c>
      <c r="AN627" t="str">
        <f t="shared" si="19"/>
        <v>59809,828,0.0138440702904245,0,2,36,598,16,141,32,41,49,3,3,3,6,8,0,0,0,0,0,0,0,44,36-50,2778,0,1,0,0,0,0,1,0,0,779,42071</v>
      </c>
    </row>
    <row r="628" spans="1:40" ht="13" hidden="1" x14ac:dyDescent="0.15">
      <c r="A628">
        <v>839</v>
      </c>
      <c r="B628" s="1">
        <v>76630</v>
      </c>
      <c r="C628" s="1">
        <v>828</v>
      </c>
      <c r="D628" s="4">
        <f t="shared" si="18"/>
        <v>1.0805167688894689E-2</v>
      </c>
      <c r="E628" s="1">
        <v>0</v>
      </c>
      <c r="F628" s="1">
        <v>0</v>
      </c>
      <c r="G628" s="1">
        <v>93</v>
      </c>
      <c r="H628" s="1">
        <v>255</v>
      </c>
      <c r="I628" s="1">
        <v>31</v>
      </c>
      <c r="J628" s="1">
        <v>446</v>
      </c>
      <c r="K628" s="1">
        <v>40</v>
      </c>
      <c r="L628" s="1">
        <v>56</v>
      </c>
      <c r="M628" s="1">
        <v>175</v>
      </c>
      <c r="N628" s="1">
        <v>1</v>
      </c>
      <c r="O628" s="1">
        <v>3</v>
      </c>
      <c r="P628" s="1">
        <v>10</v>
      </c>
      <c r="Q628" s="1">
        <v>11</v>
      </c>
      <c r="R628" s="1">
        <v>1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37</v>
      </c>
      <c r="AA628" s="1" t="str" cm="1">
        <f t="array" ref="AA628">_xlfn.IFS(AND(Z628&lt;36, Z628&gt;23), "24-35", AND(Z628&lt;51, Z628&gt;35),"36-50", AND(Z628&lt;66, Z628&gt;50), "51-66", Z628&gt;65, "66+", TRUE, "?")</f>
        <v>36-50</v>
      </c>
      <c r="AB628" s="1">
        <v>2325</v>
      </c>
      <c r="AC628" s="1">
        <v>0</v>
      </c>
      <c r="AD628" s="1">
        <v>1</v>
      </c>
      <c r="AE628" s="1">
        <v>0</v>
      </c>
      <c r="AF628" s="1">
        <v>0</v>
      </c>
      <c r="AG628" s="1">
        <v>0</v>
      </c>
      <c r="AH628" s="1">
        <v>0</v>
      </c>
      <c r="AI628" s="1">
        <v>1</v>
      </c>
      <c r="AJ628" s="1">
        <v>0</v>
      </c>
      <c r="AK628" s="1">
        <v>0</v>
      </c>
      <c r="AL628" s="1">
        <v>653</v>
      </c>
      <c r="AM628" s="2">
        <v>42524</v>
      </c>
      <c r="AN628" t="str">
        <f t="shared" si="19"/>
        <v>76630,828,0.0108051676888947,0,0,93,255,31,446,40,56,175,1,3,10,11,1,0,0,0,0,0,0,0,37,36-50,2325,0,1,0,0,0,0,1,0,0,653,42524</v>
      </c>
    </row>
    <row r="629" spans="1:40" ht="13" hidden="1" x14ac:dyDescent="0.15">
      <c r="A629">
        <v>325</v>
      </c>
      <c r="B629" s="1">
        <v>71113</v>
      </c>
      <c r="C629" s="1">
        <v>827</v>
      </c>
      <c r="D629" s="4">
        <f t="shared" si="18"/>
        <v>1.162937859463108E-2</v>
      </c>
      <c r="E629" s="1">
        <v>0</v>
      </c>
      <c r="F629" s="1">
        <v>1</v>
      </c>
      <c r="G629" s="1">
        <v>95</v>
      </c>
      <c r="H629" s="1">
        <v>495</v>
      </c>
      <c r="I629" s="1">
        <v>33</v>
      </c>
      <c r="J629" s="1">
        <v>255</v>
      </c>
      <c r="K629" s="1">
        <v>11</v>
      </c>
      <c r="L629" s="1">
        <v>33</v>
      </c>
      <c r="M629" s="1">
        <v>8</v>
      </c>
      <c r="N629" s="1">
        <v>4</v>
      </c>
      <c r="O629" s="1">
        <v>6</v>
      </c>
      <c r="P629" s="1">
        <v>7</v>
      </c>
      <c r="Q629" s="1">
        <v>9</v>
      </c>
      <c r="R629" s="1">
        <v>4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63</v>
      </c>
      <c r="AA629" s="1" t="str" cm="1">
        <f t="array" ref="AA629">_xlfn.IFS(AND(Z629&lt;36, Z629&gt;23), "24-35", AND(Z629&lt;51, Z629&gt;35),"36-50", AND(Z629&lt;66, Z629&gt;50), "51-66", Z629&gt;65, "66+", TRUE, "?")</f>
        <v>51-66</v>
      </c>
      <c r="AB629" s="1">
        <v>2353</v>
      </c>
      <c r="AC629" s="1">
        <v>0</v>
      </c>
      <c r="AD629" s="1">
        <v>1</v>
      </c>
      <c r="AE629" s="1">
        <v>0</v>
      </c>
      <c r="AF629" s="1">
        <v>0</v>
      </c>
      <c r="AG629" s="1">
        <v>0</v>
      </c>
      <c r="AH629" s="1">
        <v>0</v>
      </c>
      <c r="AI629" s="1">
        <v>1</v>
      </c>
      <c r="AJ629" s="1">
        <v>0</v>
      </c>
      <c r="AK629" s="1">
        <v>0</v>
      </c>
      <c r="AL629" s="1">
        <v>819</v>
      </c>
      <c r="AM629" s="2">
        <v>42496</v>
      </c>
      <c r="AN629" t="str">
        <f t="shared" si="19"/>
        <v>71113,827,0.0116293785946311,0,1,95,495,33,255,11,33,8,4,6,7,9,4,0,0,0,0,0,0,0,63,51-66,2353,0,1,0,0,0,0,1,0,0,819,42496</v>
      </c>
    </row>
    <row r="630" spans="1:40" ht="13" x14ac:dyDescent="0.15">
      <c r="A630">
        <v>1199</v>
      </c>
      <c r="B630" s="1">
        <v>60597</v>
      </c>
      <c r="C630" s="1">
        <v>827</v>
      </c>
      <c r="D630" s="4">
        <f t="shared" si="18"/>
        <v>1.3647540307275937E-2</v>
      </c>
      <c r="E630" s="1">
        <v>0</v>
      </c>
      <c r="F630" s="1">
        <v>1</v>
      </c>
      <c r="G630" s="1">
        <v>2</v>
      </c>
      <c r="H630" s="1">
        <v>522</v>
      </c>
      <c r="I630" s="1">
        <v>0</v>
      </c>
      <c r="J630" s="1">
        <v>257</v>
      </c>
      <c r="K630" s="1">
        <v>32</v>
      </c>
      <c r="L630" s="1">
        <v>16</v>
      </c>
      <c r="M630" s="1">
        <v>66</v>
      </c>
      <c r="N630" s="1">
        <v>4</v>
      </c>
      <c r="O630" s="1">
        <v>2</v>
      </c>
      <c r="P630" s="1">
        <v>2</v>
      </c>
      <c r="Q630" s="1">
        <v>8</v>
      </c>
      <c r="R630" s="1">
        <v>7</v>
      </c>
      <c r="S630" s="1">
        <v>1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</v>
      </c>
      <c r="Z630" s="1">
        <v>56</v>
      </c>
      <c r="AA630" s="1" t="str" cm="1">
        <f t="array" ref="AA630">_xlfn.IFS(AND(Z630&lt;36, Z630&gt;23), "24-35", AND(Z630&lt;51, Z630&gt;35),"36-50", AND(Z630&lt;66, Z630&gt;50), "51-66", Z630&gt;65, "66+", TRUE, "?")</f>
        <v>51-66</v>
      </c>
      <c r="AB630" s="1">
        <v>2338</v>
      </c>
      <c r="AC630" s="1">
        <v>0</v>
      </c>
      <c r="AD630" s="1">
        <v>1</v>
      </c>
      <c r="AE630" s="1">
        <v>0</v>
      </c>
      <c r="AF630" s="1">
        <v>0</v>
      </c>
      <c r="AG630" s="1">
        <v>0</v>
      </c>
      <c r="AH630" s="1">
        <v>0</v>
      </c>
      <c r="AI630" s="1">
        <v>1</v>
      </c>
      <c r="AJ630" s="1">
        <v>0</v>
      </c>
      <c r="AK630" s="1">
        <v>0</v>
      </c>
      <c r="AL630" s="1">
        <v>761</v>
      </c>
      <c r="AM630" s="2">
        <v>42511</v>
      </c>
      <c r="AN630" t="str">
        <f t="shared" si="19"/>
        <v>60597,827,0.0136475403072759,0,1,2,522,0,257,32,16,66,4,2,2,8,7,1,0,0,0,0,0,1,56,51-66,2338,0,1,0,0,0,0,1,0,0,761,42511</v>
      </c>
    </row>
    <row r="631" spans="1:40" ht="13" hidden="1" x14ac:dyDescent="0.15">
      <c r="A631">
        <v>179</v>
      </c>
      <c r="B631" s="1">
        <v>69661</v>
      </c>
      <c r="C631" s="1">
        <v>826</v>
      </c>
      <c r="D631" s="4">
        <f t="shared" si="18"/>
        <v>1.1857423809592168E-2</v>
      </c>
      <c r="E631" s="1">
        <v>0</v>
      </c>
      <c r="F631" s="1">
        <v>0</v>
      </c>
      <c r="G631" s="1">
        <v>80</v>
      </c>
      <c r="H631" s="1">
        <v>656</v>
      </c>
      <c r="I631" s="1">
        <v>16</v>
      </c>
      <c r="J631" s="1">
        <v>106</v>
      </c>
      <c r="K631" s="1">
        <v>32</v>
      </c>
      <c r="L631" s="1">
        <v>16</v>
      </c>
      <c r="M631" s="1">
        <v>8</v>
      </c>
      <c r="N631" s="1">
        <v>1</v>
      </c>
      <c r="O631" s="1">
        <v>7</v>
      </c>
      <c r="P631" s="1">
        <v>3</v>
      </c>
      <c r="Q631" s="1">
        <v>12</v>
      </c>
      <c r="R631" s="1">
        <v>3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40</v>
      </c>
      <c r="AA631" s="1" t="str" cm="1">
        <f t="array" ref="AA631">_xlfn.IFS(AND(Z631&lt;36, Z631&gt;23), "24-35", AND(Z631&lt;51, Z631&gt;35),"36-50", AND(Z631&lt;66, Z631&gt;50), "51-66", Z631&gt;65, "66+", TRUE, "?")</f>
        <v>36-50</v>
      </c>
      <c r="AB631" s="1">
        <v>2206</v>
      </c>
      <c r="AC631" s="1">
        <v>0</v>
      </c>
      <c r="AD631" s="1">
        <v>1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1</v>
      </c>
      <c r="AK631" s="1">
        <v>0</v>
      </c>
      <c r="AL631" s="1">
        <v>818</v>
      </c>
      <c r="AM631" s="2">
        <v>42643</v>
      </c>
      <c r="AN631" t="str">
        <f t="shared" si="19"/>
        <v>69661,826,0.0118574238095922,0,0,80,656,16,106,32,16,8,1,7,3,12,3,0,0,0,0,0,0,0,40,36-50,2206,0,1,0,0,0,0,0,1,0,818,42643</v>
      </c>
    </row>
    <row r="632" spans="1:40" ht="13" hidden="1" x14ac:dyDescent="0.15">
      <c r="A632">
        <v>1398</v>
      </c>
      <c r="B632" s="1">
        <v>53977</v>
      </c>
      <c r="C632" s="1">
        <v>825</v>
      </c>
      <c r="D632" s="4">
        <f t="shared" si="18"/>
        <v>1.5284287752190748E-2</v>
      </c>
      <c r="E632" s="1">
        <v>0</v>
      </c>
      <c r="F632" s="1">
        <v>1</v>
      </c>
      <c r="G632" s="1">
        <v>21</v>
      </c>
      <c r="H632" s="1">
        <v>620</v>
      </c>
      <c r="I632" s="1">
        <v>16</v>
      </c>
      <c r="J632" s="1">
        <v>165</v>
      </c>
      <c r="K632" s="1">
        <v>0</v>
      </c>
      <c r="L632" s="1">
        <v>24</v>
      </c>
      <c r="M632" s="1">
        <v>82</v>
      </c>
      <c r="N632" s="1">
        <v>5</v>
      </c>
      <c r="O632" s="1">
        <v>5</v>
      </c>
      <c r="P632" s="1">
        <v>5</v>
      </c>
      <c r="Q632" s="1">
        <v>12</v>
      </c>
      <c r="R632" s="1">
        <v>5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62</v>
      </c>
      <c r="AA632" s="1" t="str" cm="1">
        <f t="array" ref="AA632">_xlfn.IFS(AND(Z632&lt;36, Z632&gt;23), "24-35", AND(Z632&lt;51, Z632&gt;35),"36-50", AND(Z632&lt;66, Z632&gt;50), "51-66", Z632&gt;65, "66+", TRUE, "?")</f>
        <v>51-66</v>
      </c>
      <c r="AB632" s="1">
        <v>2545</v>
      </c>
      <c r="AC632" s="1">
        <v>0</v>
      </c>
      <c r="AD632" s="1">
        <v>0</v>
      </c>
      <c r="AE632" s="1">
        <v>0</v>
      </c>
      <c r="AF632" s="1">
        <v>1</v>
      </c>
      <c r="AG632" s="1">
        <v>0</v>
      </c>
      <c r="AH632" s="1">
        <v>0</v>
      </c>
      <c r="AI632" s="1">
        <v>1</v>
      </c>
      <c r="AJ632" s="1">
        <v>0</v>
      </c>
      <c r="AK632" s="1">
        <v>0</v>
      </c>
      <c r="AL632" s="1">
        <v>743</v>
      </c>
      <c r="AM632" s="2">
        <v>42304</v>
      </c>
      <c r="AN632" t="str">
        <f t="shared" si="19"/>
        <v>53977,825,0.0152842877521907,0,1,21,620,16,165,0,24,82,5,5,5,12,5,0,0,0,0,0,0,0,62,51-66,2545,0,0,0,1,0,0,1,0,0,743,42304</v>
      </c>
    </row>
    <row r="633" spans="1:40" ht="13" hidden="1" x14ac:dyDescent="0.15">
      <c r="A633">
        <v>242</v>
      </c>
      <c r="B633" s="1">
        <v>69674</v>
      </c>
      <c r="C633" s="1">
        <v>821</v>
      </c>
      <c r="D633" s="4">
        <f t="shared" si="18"/>
        <v>1.1783448632201396E-2</v>
      </c>
      <c r="E633" s="1">
        <v>0</v>
      </c>
      <c r="F633" s="1">
        <v>2</v>
      </c>
      <c r="G633" s="1">
        <v>46</v>
      </c>
      <c r="H633" s="1">
        <v>554</v>
      </c>
      <c r="I633" s="1">
        <v>41</v>
      </c>
      <c r="J633" s="1">
        <v>215</v>
      </c>
      <c r="K633" s="1">
        <v>11</v>
      </c>
      <c r="L633" s="1">
        <v>0</v>
      </c>
      <c r="M633" s="1">
        <v>24</v>
      </c>
      <c r="N633" s="1">
        <v>3</v>
      </c>
      <c r="O633" s="1">
        <v>10</v>
      </c>
      <c r="P633" s="1">
        <v>2</v>
      </c>
      <c r="Q633" s="1">
        <v>10</v>
      </c>
      <c r="R633" s="1">
        <v>5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52</v>
      </c>
      <c r="AA633" s="1" t="str" cm="1">
        <f t="array" ref="AA633">_xlfn.IFS(AND(Z633&lt;36, Z633&gt;23), "24-35", AND(Z633&lt;51, Z633&gt;35),"36-50", AND(Z633&lt;66, Z633&gt;50), "51-66", Z633&gt;65, "66+", TRUE, "?")</f>
        <v>51-66</v>
      </c>
      <c r="AB633" s="1">
        <v>2562</v>
      </c>
      <c r="AC633" s="1">
        <v>1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1</v>
      </c>
      <c r="AL633" s="1">
        <v>797</v>
      </c>
      <c r="AM633" s="2">
        <v>42287</v>
      </c>
      <c r="AN633" t="str">
        <f t="shared" si="19"/>
        <v>69674,821,0.0117834486322014,0,2,46,554,41,215,11,0,24,3,10,2,10,5,0,0,0,0,0,0,0,52,51-66,2562,1,0,0,0,0,0,0,0,1,797,42287</v>
      </c>
    </row>
    <row r="634" spans="1:40" ht="13" hidden="1" x14ac:dyDescent="0.15">
      <c r="A634">
        <v>1966</v>
      </c>
      <c r="B634" s="1">
        <v>60934</v>
      </c>
      <c r="C634" s="1">
        <v>819</v>
      </c>
      <c r="D634" s="4">
        <f t="shared" si="18"/>
        <v>1.3440771982801063E-2</v>
      </c>
      <c r="E634" s="1">
        <v>0</v>
      </c>
      <c r="F634" s="1">
        <v>1</v>
      </c>
      <c r="G634" s="1">
        <v>41</v>
      </c>
      <c r="H634" s="1">
        <v>224</v>
      </c>
      <c r="I634" s="1">
        <v>155</v>
      </c>
      <c r="J634" s="1">
        <v>155</v>
      </c>
      <c r="K634" s="1">
        <v>192</v>
      </c>
      <c r="L634" s="1">
        <v>93</v>
      </c>
      <c r="M634" s="1">
        <v>54</v>
      </c>
      <c r="N634" s="1">
        <v>2</v>
      </c>
      <c r="O634" s="1">
        <v>6</v>
      </c>
      <c r="P634" s="1">
        <v>4</v>
      </c>
      <c r="Q634" s="1">
        <v>11</v>
      </c>
      <c r="R634" s="1">
        <v>4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45</v>
      </c>
      <c r="AA634" s="1" t="str" cm="1">
        <f t="array" ref="AA634">_xlfn.IFS(AND(Z634&lt;36, Z634&gt;23), "24-35", AND(Z634&lt;51, Z634&gt;35),"36-50", AND(Z634&lt;66, Z634&gt;50), "51-66", Z634&gt;65, "66+", TRUE, "?")</f>
        <v>36-50</v>
      </c>
      <c r="AB634" s="1">
        <v>2322</v>
      </c>
      <c r="AC634" s="1">
        <v>0</v>
      </c>
      <c r="AD634" s="1">
        <v>0</v>
      </c>
      <c r="AE634" s="1">
        <v>0</v>
      </c>
      <c r="AF634" s="1">
        <v>1</v>
      </c>
      <c r="AG634" s="1">
        <v>0</v>
      </c>
      <c r="AH634" s="1">
        <v>0</v>
      </c>
      <c r="AI634" s="1">
        <v>1</v>
      </c>
      <c r="AJ634" s="1">
        <v>0</v>
      </c>
      <c r="AK634" s="1">
        <v>0</v>
      </c>
      <c r="AL634" s="1">
        <v>765</v>
      </c>
      <c r="AM634" s="2">
        <v>42527</v>
      </c>
      <c r="AN634" t="str">
        <f t="shared" si="19"/>
        <v>60934,819,0.0134407719828011,0,1,41,224,155,155,192,93,54,2,6,4,11,4,0,0,0,0,0,0,0,45,36-50,2322,0,0,0,1,0,0,1,0,0,765,42527</v>
      </c>
    </row>
    <row r="635" spans="1:40" ht="13" hidden="1" x14ac:dyDescent="0.15">
      <c r="A635">
        <v>848</v>
      </c>
      <c r="B635" s="1">
        <v>66825</v>
      </c>
      <c r="C635" s="1">
        <v>818</v>
      </c>
      <c r="D635" s="4">
        <f t="shared" si="18"/>
        <v>1.2240927796483352E-2</v>
      </c>
      <c r="E635" s="1">
        <v>0</v>
      </c>
      <c r="F635" s="1">
        <v>0</v>
      </c>
      <c r="G635" s="1">
        <v>73</v>
      </c>
      <c r="H635" s="1">
        <v>243</v>
      </c>
      <c r="I635" s="1">
        <v>101</v>
      </c>
      <c r="J635" s="1">
        <v>405</v>
      </c>
      <c r="K635" s="1">
        <v>29</v>
      </c>
      <c r="L635" s="1">
        <v>40</v>
      </c>
      <c r="M635" s="1">
        <v>40</v>
      </c>
      <c r="N635" s="1">
        <v>1</v>
      </c>
      <c r="O635" s="1">
        <v>4</v>
      </c>
      <c r="P635" s="1">
        <v>5</v>
      </c>
      <c r="Q635" s="1">
        <v>6</v>
      </c>
      <c r="R635" s="1">
        <v>2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53</v>
      </c>
      <c r="AA635" s="1" t="str" cm="1">
        <f t="array" ref="AA635">_xlfn.IFS(AND(Z635&lt;36, Z635&gt;23), "24-35", AND(Z635&lt;51, Z635&gt;35),"36-50", AND(Z635&lt;66, Z635&gt;50), "51-66", Z635&gt;65, "66+", TRUE, "?")</f>
        <v>51-66</v>
      </c>
      <c r="AB635" s="1">
        <v>2509</v>
      </c>
      <c r="AC635" s="1">
        <v>0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1</v>
      </c>
      <c r="AJ635" s="1">
        <v>0</v>
      </c>
      <c r="AK635" s="1">
        <v>0</v>
      </c>
      <c r="AL635" s="1">
        <v>778</v>
      </c>
      <c r="AM635" s="2">
        <v>42340</v>
      </c>
      <c r="AN635" t="str">
        <f t="shared" si="19"/>
        <v>66825,818,0.0122409277964834,0,0,73,243,101,405,29,40,40,1,4,5,6,2,0,0,0,0,0,0,0,53,51-66,2509,0,0,0,1,0,0,1,0,0,778,42340</v>
      </c>
    </row>
    <row r="636" spans="1:40" ht="13" hidden="1" x14ac:dyDescent="0.15">
      <c r="A636">
        <v>43</v>
      </c>
      <c r="B636" s="1">
        <v>79941</v>
      </c>
      <c r="C636" s="1">
        <v>810</v>
      </c>
      <c r="D636" s="4">
        <f t="shared" si="18"/>
        <v>1.0132472698615228E-2</v>
      </c>
      <c r="E636" s="1">
        <v>0</v>
      </c>
      <c r="F636" s="1">
        <v>0</v>
      </c>
      <c r="G636" s="1">
        <v>72</v>
      </c>
      <c r="H636" s="1">
        <v>123</v>
      </c>
      <c r="I636" s="1">
        <v>164</v>
      </c>
      <c r="J636" s="1">
        <v>266</v>
      </c>
      <c r="K636" s="1">
        <v>227</v>
      </c>
      <c r="L636" s="1">
        <v>30</v>
      </c>
      <c r="M636" s="1">
        <v>174</v>
      </c>
      <c r="N636" s="1">
        <v>1</v>
      </c>
      <c r="O636" s="1">
        <v>2</v>
      </c>
      <c r="P636" s="1">
        <v>4</v>
      </c>
      <c r="Q636" s="1">
        <v>9</v>
      </c>
      <c r="R636" s="1">
        <v>1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44</v>
      </c>
      <c r="AA636" s="1" t="str" cm="1">
        <f t="array" ref="AA636">_xlfn.IFS(AND(Z636&lt;36, Z636&gt;23), "24-35", AND(Z636&lt;51, Z636&gt;35),"36-50", AND(Z636&lt;66, Z636&gt;50), "51-66", Z636&gt;65, "66+", TRUE, "?")</f>
        <v>36-50</v>
      </c>
      <c r="AB636" s="1">
        <v>2160</v>
      </c>
      <c r="AC636" s="1">
        <v>0</v>
      </c>
      <c r="AD636" s="1">
        <v>0</v>
      </c>
      <c r="AE636" s="1">
        <v>1</v>
      </c>
      <c r="AF636" s="1">
        <v>0</v>
      </c>
      <c r="AG636" s="1">
        <v>0</v>
      </c>
      <c r="AH636" s="1">
        <v>0</v>
      </c>
      <c r="AI636" s="1">
        <v>1</v>
      </c>
      <c r="AJ636" s="1">
        <v>0</v>
      </c>
      <c r="AK636" s="1">
        <v>0</v>
      </c>
      <c r="AL636" s="1">
        <v>636</v>
      </c>
      <c r="AM636" s="2">
        <v>42689</v>
      </c>
      <c r="AN636" t="str">
        <f t="shared" si="19"/>
        <v>79941,810,0.0101324726986152,0,0,72,123,164,266,227,30,174,1,2,4,9,1,0,0,0,0,0,0,0,44,36-50,2160,0,0,1,0,0,0,1,0,0,636,42689</v>
      </c>
    </row>
    <row r="637" spans="1:40" ht="13" hidden="1" x14ac:dyDescent="0.15">
      <c r="A637">
        <v>1191</v>
      </c>
      <c r="B637" s="1">
        <v>64191</v>
      </c>
      <c r="C637" s="1">
        <v>810</v>
      </c>
      <c r="D637" s="4">
        <f t="shared" si="18"/>
        <v>1.261859139131654E-2</v>
      </c>
      <c r="E637" s="1">
        <v>0</v>
      </c>
      <c r="F637" s="1">
        <v>1</v>
      </c>
      <c r="G637" s="1">
        <v>30</v>
      </c>
      <c r="H637" s="1">
        <v>420</v>
      </c>
      <c r="I637" s="1">
        <v>15</v>
      </c>
      <c r="J637" s="1">
        <v>186</v>
      </c>
      <c r="K637" s="1">
        <v>151</v>
      </c>
      <c r="L637" s="1">
        <v>38</v>
      </c>
      <c r="M637" s="1">
        <v>15</v>
      </c>
      <c r="N637" s="1">
        <v>3</v>
      </c>
      <c r="O637" s="1">
        <v>5</v>
      </c>
      <c r="P637" s="1">
        <v>3</v>
      </c>
      <c r="Q637" s="1">
        <v>13</v>
      </c>
      <c r="R637" s="1">
        <v>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57</v>
      </c>
      <c r="AA637" s="1" t="str" cm="1">
        <f t="array" ref="AA637">_xlfn.IFS(AND(Z637&lt;36, Z637&gt;23), "24-35", AND(Z637&lt;51, Z637&gt;35),"36-50", AND(Z637&lt;66, Z637&gt;50), "51-66", Z637&gt;65, "66+", TRUE, "?")</f>
        <v>51-66</v>
      </c>
      <c r="AB637" s="1">
        <v>2682</v>
      </c>
      <c r="AC637" s="1">
        <v>0</v>
      </c>
      <c r="AD637" s="1">
        <v>0</v>
      </c>
      <c r="AE637" s="1">
        <v>1</v>
      </c>
      <c r="AF637" s="1">
        <v>0</v>
      </c>
      <c r="AG637" s="1">
        <v>0</v>
      </c>
      <c r="AH637" s="1">
        <v>0</v>
      </c>
      <c r="AI637" s="1">
        <v>0</v>
      </c>
      <c r="AJ637" s="1">
        <v>1</v>
      </c>
      <c r="AK637" s="1">
        <v>0</v>
      </c>
      <c r="AL637" s="1">
        <v>795</v>
      </c>
      <c r="AM637" s="2">
        <v>42167</v>
      </c>
      <c r="AN637" t="str">
        <f t="shared" si="19"/>
        <v>64191,810,0.0126185913913165,0,1,30,420,15,186,151,38,15,3,5,3,13,3,0,0,0,0,0,0,0,57,51-66,2682,0,0,1,0,0,0,0,1,0,795,42167</v>
      </c>
    </row>
    <row r="638" spans="1:40" ht="13" hidden="1" x14ac:dyDescent="0.15">
      <c r="A638">
        <v>1446</v>
      </c>
      <c r="B638" s="1">
        <v>75315</v>
      </c>
      <c r="C638" s="1">
        <v>810</v>
      </c>
      <c r="D638" s="4">
        <f t="shared" si="18"/>
        <v>1.0754829715196175E-2</v>
      </c>
      <c r="E638" s="1">
        <v>0</v>
      </c>
      <c r="F638" s="1">
        <v>1</v>
      </c>
      <c r="G638" s="1">
        <v>14</v>
      </c>
      <c r="H638" s="1">
        <v>459</v>
      </c>
      <c r="I638" s="1">
        <v>15</v>
      </c>
      <c r="J638" s="1">
        <v>171</v>
      </c>
      <c r="K638" s="1">
        <v>142</v>
      </c>
      <c r="L638" s="1">
        <v>23</v>
      </c>
      <c r="M638" s="1">
        <v>31</v>
      </c>
      <c r="N638" s="1">
        <v>2</v>
      </c>
      <c r="O638" s="1">
        <v>5</v>
      </c>
      <c r="P638" s="1">
        <v>4</v>
      </c>
      <c r="Q638" s="1">
        <v>12</v>
      </c>
      <c r="R638" s="1">
        <v>2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66</v>
      </c>
      <c r="AA638" s="1" t="str" cm="1">
        <f t="array" ref="AA638">_xlfn.IFS(AND(Z638&lt;36, Z638&gt;23), "24-35", AND(Z638&lt;51, Z638&gt;35),"36-50", AND(Z638&lt;66, Z638&gt;50), "51-66", Z638&gt;65, "66+", TRUE, "?")</f>
        <v>66+</v>
      </c>
      <c r="AB638" s="1">
        <v>2234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1</v>
      </c>
      <c r="AJ638" s="1">
        <v>0</v>
      </c>
      <c r="AK638" s="1">
        <v>0</v>
      </c>
      <c r="AL638" s="1">
        <v>779</v>
      </c>
      <c r="AM638" s="2">
        <v>42615</v>
      </c>
      <c r="AN638" t="str">
        <f t="shared" si="19"/>
        <v>75315,810,0.0107548297151962,0,1,14,459,15,171,142,23,31,2,5,4,12,2,0,0,0,0,0,0,0,66,66+,2234,0,0,0,1,0,0,1,0,0,779,42615</v>
      </c>
    </row>
    <row r="639" spans="1:40" ht="13" hidden="1" x14ac:dyDescent="0.15">
      <c r="A639">
        <v>1834</v>
      </c>
      <c r="B639" s="1">
        <v>34445</v>
      </c>
      <c r="C639" s="1">
        <v>809</v>
      </c>
      <c r="D639" s="4">
        <f t="shared" si="18"/>
        <v>2.3486717956161998E-2</v>
      </c>
      <c r="E639" s="1">
        <v>0</v>
      </c>
      <c r="F639" s="1">
        <v>0</v>
      </c>
      <c r="G639" s="1">
        <v>92</v>
      </c>
      <c r="H639" s="1">
        <v>228</v>
      </c>
      <c r="I639" s="1">
        <v>122</v>
      </c>
      <c r="J639" s="1">
        <v>122</v>
      </c>
      <c r="K639" s="1">
        <v>208</v>
      </c>
      <c r="L639" s="1">
        <v>129</v>
      </c>
      <c r="M639" s="1">
        <v>30</v>
      </c>
      <c r="N639" s="1">
        <v>6</v>
      </c>
      <c r="O639" s="1">
        <v>11</v>
      </c>
      <c r="P639" s="1">
        <v>2</v>
      </c>
      <c r="Q639" s="1">
        <v>8</v>
      </c>
      <c r="R639" s="1">
        <v>9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39</v>
      </c>
      <c r="AA639" s="1" t="str" cm="1">
        <f t="array" ref="AA639">_xlfn.IFS(AND(Z639&lt;36, Z639&gt;23), "24-35", AND(Z639&lt;51, Z639&gt;35),"36-50", AND(Z639&lt;66, Z639&gt;50), "51-66", Z639&gt;65, "66+", TRUE, "?")</f>
        <v>36-50</v>
      </c>
      <c r="AB639" s="1">
        <v>2677</v>
      </c>
      <c r="AC639" s="1">
        <v>0</v>
      </c>
      <c r="AD639" s="1">
        <v>1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779</v>
      </c>
      <c r="AM639" s="2">
        <v>42172</v>
      </c>
      <c r="AN639" t="str">
        <f t="shared" si="19"/>
        <v>34445,809,0.023486717956162,0,0,92,228,122,122,208,129,30,6,11,2,8,9,0,0,0,0,0,0,0,39,36-50,2677,0,1,0,0,0,0,0,0,0,779,42172</v>
      </c>
    </row>
    <row r="640" spans="1:40" ht="13" hidden="1" x14ac:dyDescent="0.15">
      <c r="A640">
        <v>1268</v>
      </c>
      <c r="B640" s="1">
        <v>69627</v>
      </c>
      <c r="C640" s="1">
        <v>808</v>
      </c>
      <c r="D640" s="4">
        <f t="shared" si="18"/>
        <v>1.1604693581512919E-2</v>
      </c>
      <c r="E640" s="1">
        <v>0</v>
      </c>
      <c r="F640" s="1">
        <v>1</v>
      </c>
      <c r="G640" s="1">
        <v>35</v>
      </c>
      <c r="H640" s="1">
        <v>231</v>
      </c>
      <c r="I640" s="1">
        <v>161</v>
      </c>
      <c r="J640" s="1">
        <v>215</v>
      </c>
      <c r="K640" s="1">
        <v>171</v>
      </c>
      <c r="L640" s="1">
        <v>30</v>
      </c>
      <c r="M640" s="1">
        <v>53</v>
      </c>
      <c r="N640" s="1">
        <v>2</v>
      </c>
      <c r="O640" s="1">
        <v>8</v>
      </c>
      <c r="P640" s="1">
        <v>2</v>
      </c>
      <c r="Q640" s="1">
        <v>11</v>
      </c>
      <c r="R640" s="1">
        <v>5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58</v>
      </c>
      <c r="AA640" s="1" t="str" cm="1">
        <f t="array" ref="AA640">_xlfn.IFS(AND(Z640&lt;36, Z640&gt;23), "24-35", AND(Z640&lt;51, Z640&gt;35),"36-50", AND(Z640&lt;66, Z640&gt;50), "51-66", Z640&gt;65, "66+", TRUE, "?")</f>
        <v>51-66</v>
      </c>
      <c r="AB640" s="1">
        <v>2628</v>
      </c>
      <c r="AC640" s="1">
        <v>0</v>
      </c>
      <c r="AD640" s="1">
        <v>0</v>
      </c>
      <c r="AE640" s="1">
        <v>1</v>
      </c>
      <c r="AF640" s="1">
        <v>0</v>
      </c>
      <c r="AG640" s="1">
        <v>0</v>
      </c>
      <c r="AH640" s="1">
        <v>0</v>
      </c>
      <c r="AI640" s="1">
        <v>1</v>
      </c>
      <c r="AJ640" s="1">
        <v>0</v>
      </c>
      <c r="AK640" s="1">
        <v>0</v>
      </c>
      <c r="AL640" s="1">
        <v>755</v>
      </c>
      <c r="AM640" s="2">
        <v>42221</v>
      </c>
      <c r="AN640" t="str">
        <f t="shared" si="19"/>
        <v>69627,808,0.0116046935815129,0,1,35,231,161,215,171,30,53,2,8,2,11,5,0,0,0,0,0,0,0,58,51-66,2628,0,0,1,0,0,0,1,0,0,755,42221</v>
      </c>
    </row>
    <row r="641" spans="1:40" ht="13" hidden="1" x14ac:dyDescent="0.15">
      <c r="A641">
        <v>98</v>
      </c>
      <c r="B641" s="1">
        <v>89058</v>
      </c>
      <c r="C641" s="1">
        <v>807</v>
      </c>
      <c r="D641" s="4">
        <f t="shared" si="18"/>
        <v>9.0615104763188039E-3</v>
      </c>
      <c r="E641" s="1">
        <v>0</v>
      </c>
      <c r="F641" s="1">
        <v>0</v>
      </c>
      <c r="G641" s="1">
        <v>18</v>
      </c>
      <c r="H641" s="1">
        <v>454</v>
      </c>
      <c r="I641" s="1">
        <v>194</v>
      </c>
      <c r="J641" s="1">
        <v>106</v>
      </c>
      <c r="K641" s="1">
        <v>31</v>
      </c>
      <c r="L641" s="1">
        <v>22</v>
      </c>
      <c r="M641" s="1">
        <v>43</v>
      </c>
      <c r="N641" s="1">
        <v>1</v>
      </c>
      <c r="O641" s="1">
        <v>5</v>
      </c>
      <c r="P641" s="1">
        <v>4</v>
      </c>
      <c r="Q641" s="1">
        <v>4</v>
      </c>
      <c r="R641" s="1">
        <v>2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60</v>
      </c>
      <c r="AA641" s="1" t="str" cm="1">
        <f t="array" ref="AA641">_xlfn.IFS(AND(Z641&lt;36, Z641&gt;23), "24-35", AND(Z641&lt;51, Z641&gt;35),"36-50", AND(Z641&lt;66, Z641&gt;50), "51-66", Z641&gt;65, "66+", TRUE, "?")</f>
        <v>51-66</v>
      </c>
      <c r="AB641" s="1">
        <v>2728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1</v>
      </c>
      <c r="AK641" s="1">
        <v>0</v>
      </c>
      <c r="AL641" s="1">
        <v>764</v>
      </c>
      <c r="AM641" s="2">
        <v>42121</v>
      </c>
      <c r="AN641" t="str">
        <f t="shared" si="19"/>
        <v>89058,807,0.0090615104763188,0,0,18,454,194,106,31,22,43,1,5,4,4,2,0,0,0,0,0,0,0,60,51-66,2728,0,1,0,0,0,0,0,1,0,764,42121</v>
      </c>
    </row>
    <row r="642" spans="1:40" ht="13" hidden="1" x14ac:dyDescent="0.15">
      <c r="A642">
        <v>311</v>
      </c>
      <c r="B642" s="1">
        <v>62204</v>
      </c>
      <c r="C642" s="1">
        <v>807</v>
      </c>
      <c r="D642" s="4">
        <f t="shared" ref="D642:D705" si="20">C642/B642</f>
        <v>1.2973442222365121E-2</v>
      </c>
      <c r="E642" s="1">
        <v>0</v>
      </c>
      <c r="F642" s="1">
        <v>2</v>
      </c>
      <c r="G642" s="1">
        <v>38</v>
      </c>
      <c r="H642" s="1">
        <v>317</v>
      </c>
      <c r="I642" s="1">
        <v>46</v>
      </c>
      <c r="J642" s="1">
        <v>247</v>
      </c>
      <c r="K642" s="1">
        <v>151</v>
      </c>
      <c r="L642" s="1">
        <v>46</v>
      </c>
      <c r="M642" s="1">
        <v>139</v>
      </c>
      <c r="N642" s="1">
        <v>1</v>
      </c>
      <c r="O642" s="1">
        <v>4</v>
      </c>
      <c r="P642" s="1">
        <v>5</v>
      </c>
      <c r="Q642" s="1">
        <v>12</v>
      </c>
      <c r="R642" s="1">
        <v>3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60</v>
      </c>
      <c r="AA642" s="1" t="str" cm="1">
        <f t="array" ref="AA642">_xlfn.IFS(AND(Z642&lt;36, Z642&gt;23), "24-35", AND(Z642&lt;51, Z642&gt;35),"36-50", AND(Z642&lt;66, Z642&gt;50), "51-66", Z642&gt;65, "66+", TRUE, "?")</f>
        <v>51-66</v>
      </c>
      <c r="AB642" s="1">
        <v>2814</v>
      </c>
      <c r="AC642" s="1">
        <v>1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1</v>
      </c>
      <c r="AJ642" s="1">
        <v>0</v>
      </c>
      <c r="AK642" s="1">
        <v>0</v>
      </c>
      <c r="AL642" s="1">
        <v>668</v>
      </c>
      <c r="AM642" s="2">
        <v>42035</v>
      </c>
      <c r="AN642" t="str">
        <f t="shared" ref="AN642:AN705" si="21">_xlfn.TEXTJOIN(",",TRUE,B642:AM642)</f>
        <v>62204,807,0.0129734422223651,0,2,38,317,46,247,151,46,139,1,4,5,12,3,0,0,0,0,0,0,0,60,51-66,2814,1,0,0,0,0,0,1,0,0,668,42035</v>
      </c>
    </row>
    <row r="643" spans="1:40" ht="13" hidden="1" x14ac:dyDescent="0.15">
      <c r="A643">
        <v>531</v>
      </c>
      <c r="B643" s="1">
        <v>62466</v>
      </c>
      <c r="C643" s="1">
        <v>806</v>
      </c>
      <c r="D643" s="4">
        <f t="shared" si="20"/>
        <v>1.2903019242467903E-2</v>
      </c>
      <c r="E643" s="1">
        <v>0</v>
      </c>
      <c r="F643" s="1">
        <v>1</v>
      </c>
      <c r="G643" s="1">
        <v>13</v>
      </c>
      <c r="H643" s="1">
        <v>129</v>
      </c>
      <c r="I643" s="1">
        <v>129</v>
      </c>
      <c r="J643" s="1">
        <v>259</v>
      </c>
      <c r="K643" s="1">
        <v>168</v>
      </c>
      <c r="L643" s="1">
        <v>121</v>
      </c>
      <c r="M643" s="1">
        <v>83</v>
      </c>
      <c r="N643" s="1">
        <v>5</v>
      </c>
      <c r="O643" s="1">
        <v>6</v>
      </c>
      <c r="P643" s="1">
        <v>3</v>
      </c>
      <c r="Q643" s="1">
        <v>12</v>
      </c>
      <c r="R643" s="1">
        <v>4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50</v>
      </c>
      <c r="AA643" s="1" t="str" cm="1">
        <f t="array" ref="AA643">_xlfn.IFS(AND(Z643&lt;36, Z643&gt;23), "24-35", AND(Z643&lt;51, Z643&gt;35),"36-50", AND(Z643&lt;66, Z643&gt;50), "51-66", Z643&gt;65, "66+", TRUE, "?")</f>
        <v>36-50</v>
      </c>
      <c r="AB643" s="1">
        <v>2324</v>
      </c>
      <c r="AC643" s="1">
        <v>0</v>
      </c>
      <c r="AD643" s="1">
        <v>1</v>
      </c>
      <c r="AE643" s="1">
        <v>0</v>
      </c>
      <c r="AF643" s="1">
        <v>0</v>
      </c>
      <c r="AG643" s="1">
        <v>0</v>
      </c>
      <c r="AH643" s="1">
        <v>1</v>
      </c>
      <c r="AI643" s="1">
        <v>0</v>
      </c>
      <c r="AJ643" s="1">
        <v>0</v>
      </c>
      <c r="AK643" s="1">
        <v>0</v>
      </c>
      <c r="AL643" s="1">
        <v>723</v>
      </c>
      <c r="AM643" s="2">
        <v>42525</v>
      </c>
      <c r="AN643" t="str">
        <f t="shared" si="21"/>
        <v>62466,806,0.0129030192424679,0,1,13,129,129,259,168,121,83,5,6,3,12,4,0,0,0,0,0,0,0,50,36-50,2324,0,1,0,0,0,1,0,0,0,723,42525</v>
      </c>
    </row>
    <row r="644" spans="1:40" ht="13" hidden="1" x14ac:dyDescent="0.15">
      <c r="A644">
        <v>1485</v>
      </c>
      <c r="B644" s="1">
        <v>55434</v>
      </c>
      <c r="C644" s="1">
        <v>806</v>
      </c>
      <c r="D644" s="4">
        <f t="shared" si="20"/>
        <v>1.4539813111087058E-2</v>
      </c>
      <c r="E644" s="1">
        <v>1</v>
      </c>
      <c r="F644" s="1">
        <v>0</v>
      </c>
      <c r="G644" s="1">
        <v>21</v>
      </c>
      <c r="H644" s="1">
        <v>238</v>
      </c>
      <c r="I644" s="1">
        <v>115</v>
      </c>
      <c r="J644" s="1">
        <v>215</v>
      </c>
      <c r="K644" s="1">
        <v>169</v>
      </c>
      <c r="L644" s="1">
        <v>69</v>
      </c>
      <c r="M644" s="1">
        <v>76</v>
      </c>
      <c r="N644" s="1">
        <v>3</v>
      </c>
      <c r="O644" s="1">
        <v>5</v>
      </c>
      <c r="P644" s="1">
        <v>3</v>
      </c>
      <c r="Q644" s="1">
        <v>13</v>
      </c>
      <c r="R644" s="1">
        <v>4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36</v>
      </c>
      <c r="AA644" s="1" t="str" cm="1">
        <f t="array" ref="AA644">_xlfn.IFS(AND(Z644&lt;36, Z644&gt;23), "24-35", AND(Z644&lt;51, Z644&gt;35),"36-50", AND(Z644&lt;66, Z644&gt;50), "51-66", Z644&gt;65, "66+", TRUE, "?")</f>
        <v>36-50</v>
      </c>
      <c r="AB644" s="1">
        <v>2426</v>
      </c>
      <c r="AC644" s="1">
        <v>0</v>
      </c>
      <c r="AD644" s="1">
        <v>1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730</v>
      </c>
      <c r="AM644" s="2">
        <v>42423</v>
      </c>
      <c r="AN644" t="str">
        <f t="shared" si="21"/>
        <v>55434,806,0.0145398131110871,1,0,21,238,115,215,169,69,76,3,5,3,13,4,0,0,0,0,0,0,0,36,36-50,2426,0,1,0,0,0,0,1,0,0,730,42423</v>
      </c>
    </row>
    <row r="645" spans="1:40" ht="13" hidden="1" x14ac:dyDescent="0.15">
      <c r="A645">
        <v>432</v>
      </c>
      <c r="B645" s="1">
        <v>70165</v>
      </c>
      <c r="C645" s="1">
        <v>804</v>
      </c>
      <c r="D645" s="4">
        <f t="shared" si="20"/>
        <v>1.1458704482291741E-2</v>
      </c>
      <c r="E645" s="1">
        <v>0</v>
      </c>
      <c r="F645" s="1">
        <v>0</v>
      </c>
      <c r="G645" s="1">
        <v>60</v>
      </c>
      <c r="H645" s="1">
        <v>161</v>
      </c>
      <c r="I645" s="1">
        <v>0</v>
      </c>
      <c r="J645" s="1">
        <v>253</v>
      </c>
      <c r="K645" s="1">
        <v>199</v>
      </c>
      <c r="L645" s="1">
        <v>191</v>
      </c>
      <c r="M645" s="1">
        <v>122</v>
      </c>
      <c r="N645" s="1">
        <v>1</v>
      </c>
      <c r="O645" s="1">
        <v>3</v>
      </c>
      <c r="P645" s="1">
        <v>7</v>
      </c>
      <c r="Q645" s="1">
        <v>11</v>
      </c>
      <c r="R645" s="1">
        <v>1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71</v>
      </c>
      <c r="AA645" s="1" t="str" cm="1">
        <f t="array" ref="AA645">_xlfn.IFS(AND(Z645&lt;36, Z645&gt;23), "24-35", AND(Z645&lt;51, Z645&gt;35),"36-50", AND(Z645&lt;66, Z645&gt;50), "51-66", Z645&gt;65, "66+", TRUE, "?")</f>
        <v>66+</v>
      </c>
      <c r="AB645" s="1">
        <v>2439</v>
      </c>
      <c r="AC645" s="1">
        <v>0</v>
      </c>
      <c r="AD645" s="1">
        <v>0</v>
      </c>
      <c r="AE645" s="1">
        <v>0</v>
      </c>
      <c r="AF645" s="1">
        <v>0</v>
      </c>
      <c r="AG645" s="1">
        <v>1</v>
      </c>
      <c r="AH645" s="1">
        <v>0</v>
      </c>
      <c r="AI645" s="1">
        <v>1</v>
      </c>
      <c r="AJ645" s="1">
        <v>0</v>
      </c>
      <c r="AK645" s="1">
        <v>0</v>
      </c>
      <c r="AL645" s="1">
        <v>682</v>
      </c>
      <c r="AM645" s="2">
        <v>42410</v>
      </c>
      <c r="AN645" t="str">
        <f t="shared" si="21"/>
        <v>70165,804,0.0114587044822917,0,0,60,161,0,253,199,191,122,1,3,7,11,1,0,0,0,0,0,0,0,71,66+,2439,0,0,0,0,1,0,1,0,0,682,42410</v>
      </c>
    </row>
    <row r="646" spans="1:40" ht="13" hidden="1" x14ac:dyDescent="0.15">
      <c r="A646">
        <v>258</v>
      </c>
      <c r="B646" s="1">
        <v>77882</v>
      </c>
      <c r="C646" s="1">
        <v>803</v>
      </c>
      <c r="D646" s="4">
        <f t="shared" si="20"/>
        <v>1.0310469684907937E-2</v>
      </c>
      <c r="E646" s="1">
        <v>0</v>
      </c>
      <c r="F646" s="1">
        <v>0</v>
      </c>
      <c r="G646" s="1">
        <v>29</v>
      </c>
      <c r="H646" s="1">
        <v>68</v>
      </c>
      <c r="I646" s="1">
        <v>129</v>
      </c>
      <c r="J646" s="1">
        <v>396</v>
      </c>
      <c r="K646" s="1">
        <v>188</v>
      </c>
      <c r="L646" s="1">
        <v>22</v>
      </c>
      <c r="M646" s="1">
        <v>15</v>
      </c>
      <c r="N646" s="1">
        <v>1</v>
      </c>
      <c r="O646" s="1">
        <v>3</v>
      </c>
      <c r="P646" s="1">
        <v>3</v>
      </c>
      <c r="Q646" s="1">
        <v>5</v>
      </c>
      <c r="R646" s="1">
        <v>1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39</v>
      </c>
      <c r="AA646" s="1" t="str" cm="1">
        <f t="array" ref="AA646">_xlfn.IFS(AND(Z646&lt;36, Z646&gt;23), "24-35", AND(Z646&lt;51, Z646&gt;35),"36-50", AND(Z646&lt;66, Z646&gt;50), "51-66", Z646&gt;65, "66+", TRUE, "?")</f>
        <v>36-50</v>
      </c>
      <c r="AB646" s="1">
        <v>2219</v>
      </c>
      <c r="AC646" s="1">
        <v>0</v>
      </c>
      <c r="AD646" s="1">
        <v>0</v>
      </c>
      <c r="AE646" s="1">
        <v>0</v>
      </c>
      <c r="AF646" s="1">
        <v>1</v>
      </c>
      <c r="AG646" s="1">
        <v>0</v>
      </c>
      <c r="AH646" s="1">
        <v>0</v>
      </c>
      <c r="AI646" s="1">
        <v>0</v>
      </c>
      <c r="AJ646" s="1">
        <v>1</v>
      </c>
      <c r="AK646" s="1">
        <v>0</v>
      </c>
      <c r="AL646" s="1">
        <v>788</v>
      </c>
      <c r="AM646" s="2">
        <v>42630</v>
      </c>
      <c r="AN646" t="str">
        <f t="shared" si="21"/>
        <v>77882,803,0.0103104696849079,0,0,29,68,129,396,188,22,15,1,3,3,5,1,0,0,0,0,0,0,0,39,36-50,2219,0,0,0,1,0,0,0,1,0,788,42630</v>
      </c>
    </row>
    <row r="647" spans="1:40" ht="13" hidden="1" x14ac:dyDescent="0.15">
      <c r="A647">
        <v>1503</v>
      </c>
      <c r="B647" s="1">
        <v>69755</v>
      </c>
      <c r="C647" s="1">
        <v>801</v>
      </c>
      <c r="D647" s="4">
        <f t="shared" si="20"/>
        <v>1.1483047810192817E-2</v>
      </c>
      <c r="E647" s="1">
        <v>0</v>
      </c>
      <c r="F647" s="1">
        <v>0</v>
      </c>
      <c r="G647" s="1">
        <v>23</v>
      </c>
      <c r="H647" s="1">
        <v>217</v>
      </c>
      <c r="I647" s="1">
        <v>77</v>
      </c>
      <c r="J647" s="1">
        <v>373</v>
      </c>
      <c r="K647" s="1">
        <v>111</v>
      </c>
      <c r="L647" s="1">
        <v>23</v>
      </c>
      <c r="M647" s="1">
        <v>93</v>
      </c>
      <c r="N647" s="1">
        <v>1</v>
      </c>
      <c r="O647" s="1">
        <v>3</v>
      </c>
      <c r="P647" s="1">
        <v>6</v>
      </c>
      <c r="Q647" s="1">
        <v>12</v>
      </c>
      <c r="R647" s="1">
        <v>1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75</v>
      </c>
      <c r="AA647" s="1" t="str" cm="1">
        <f t="array" ref="AA647">_xlfn.IFS(AND(Z647&lt;36, Z647&gt;23), "24-35", AND(Z647&lt;51, Z647&gt;35),"36-50", AND(Z647&lt;66, Z647&gt;50), "51-66", Z647&gt;65, "66+", TRUE, "?")</f>
        <v>66+</v>
      </c>
      <c r="AB647" s="1">
        <v>2429</v>
      </c>
      <c r="AC647" s="1">
        <v>0</v>
      </c>
      <c r="AD647" s="1">
        <v>1</v>
      </c>
      <c r="AE647" s="1">
        <v>0</v>
      </c>
      <c r="AF647" s="1">
        <v>0</v>
      </c>
      <c r="AG647" s="1">
        <v>0</v>
      </c>
      <c r="AH647" s="1">
        <v>0</v>
      </c>
      <c r="AI647" s="1">
        <v>1</v>
      </c>
      <c r="AJ647" s="1">
        <v>0</v>
      </c>
      <c r="AK647" s="1">
        <v>0</v>
      </c>
      <c r="AL647" s="1">
        <v>708</v>
      </c>
      <c r="AM647" s="2">
        <v>42420</v>
      </c>
      <c r="AN647" t="str">
        <f t="shared" si="21"/>
        <v>69755,801,0.0114830478101928,0,0,23,217,77,373,111,23,93,1,3,6,12,1,0,0,0,0,0,0,0,75,66+,2429,0,1,0,0,0,0,1,0,0,708,42420</v>
      </c>
    </row>
    <row r="648" spans="1:40" ht="13" hidden="1" x14ac:dyDescent="0.15">
      <c r="A648">
        <v>1760</v>
      </c>
      <c r="B648" s="1">
        <v>75903</v>
      </c>
      <c r="C648" s="1">
        <v>801</v>
      </c>
      <c r="D648" s="4">
        <f t="shared" si="20"/>
        <v>1.0552942571439863E-2</v>
      </c>
      <c r="E648" s="1">
        <v>0</v>
      </c>
      <c r="F648" s="1">
        <v>1</v>
      </c>
      <c r="G648" s="1">
        <v>50</v>
      </c>
      <c r="H648" s="1">
        <v>340</v>
      </c>
      <c r="I648" s="1">
        <v>108</v>
      </c>
      <c r="J648" s="1">
        <v>185</v>
      </c>
      <c r="K648" s="1">
        <v>130</v>
      </c>
      <c r="L648" s="1">
        <v>38</v>
      </c>
      <c r="M648" s="1">
        <v>100</v>
      </c>
      <c r="N648" s="1">
        <v>2</v>
      </c>
      <c r="O648" s="1">
        <v>6</v>
      </c>
      <c r="P648" s="1">
        <v>6</v>
      </c>
      <c r="Q648" s="1">
        <v>9</v>
      </c>
      <c r="R648" s="1">
        <v>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69</v>
      </c>
      <c r="AA648" s="1" t="str" cm="1">
        <f t="array" ref="AA648">_xlfn.IFS(AND(Z648&lt;36, Z648&gt;23), "24-35", AND(Z648&lt;51, Z648&gt;35),"36-50", AND(Z648&lt;66, Z648&gt;50), "51-66", Z648&gt;65, "66+", TRUE, "?")</f>
        <v>66+</v>
      </c>
      <c r="AB648" s="1">
        <v>2606</v>
      </c>
      <c r="AC648" s="1">
        <v>0</v>
      </c>
      <c r="AD648" s="1">
        <v>1</v>
      </c>
      <c r="AE648" s="1">
        <v>0</v>
      </c>
      <c r="AF648" s="1">
        <v>0</v>
      </c>
      <c r="AG648" s="1">
        <v>0</v>
      </c>
      <c r="AH648" s="1">
        <v>0</v>
      </c>
      <c r="AI648" s="1">
        <v>1</v>
      </c>
      <c r="AJ648" s="1">
        <v>0</v>
      </c>
      <c r="AK648" s="1">
        <v>0</v>
      </c>
      <c r="AL648" s="1">
        <v>701</v>
      </c>
      <c r="AM648" s="2">
        <v>42243</v>
      </c>
      <c r="AN648" t="str">
        <f t="shared" si="21"/>
        <v>75903,801,0.0105529425714399,0,1,50,340,108,185,130,38,100,2,6,6,9,3,0,0,0,0,0,0,0,69,66+,2606,0,1,0,0,0,0,1,0,0,701,42243</v>
      </c>
    </row>
    <row r="649" spans="1:40" ht="13" hidden="1" x14ac:dyDescent="0.15">
      <c r="A649">
        <v>1773</v>
      </c>
      <c r="B649" s="1">
        <v>83891</v>
      </c>
      <c r="C649" s="1">
        <v>801</v>
      </c>
      <c r="D649" s="4">
        <f t="shared" si="20"/>
        <v>9.5481040874468067E-3</v>
      </c>
      <c r="E649" s="1">
        <v>0</v>
      </c>
      <c r="F649" s="1">
        <v>1</v>
      </c>
      <c r="G649" s="1">
        <v>24</v>
      </c>
      <c r="H649" s="1">
        <v>217</v>
      </c>
      <c r="I649" s="1">
        <v>38</v>
      </c>
      <c r="J649" s="1">
        <v>350</v>
      </c>
      <c r="K649" s="1">
        <v>111</v>
      </c>
      <c r="L649" s="1">
        <v>85</v>
      </c>
      <c r="M649" s="1">
        <v>15</v>
      </c>
      <c r="N649" s="1">
        <v>1</v>
      </c>
      <c r="O649" s="1">
        <v>4</v>
      </c>
      <c r="P649" s="1">
        <v>7</v>
      </c>
      <c r="Q649" s="1">
        <v>10</v>
      </c>
      <c r="R649" s="1">
        <v>1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46</v>
      </c>
      <c r="AA649" s="1" t="str" cm="1">
        <f t="array" ref="AA649">_xlfn.IFS(AND(Z649&lt;36, Z649&gt;23), "24-35", AND(Z649&lt;51, Z649&gt;35),"36-50", AND(Z649&lt;66, Z649&gt;50), "51-66", Z649&gt;65, "66+", TRUE, "?")</f>
        <v>36-50</v>
      </c>
      <c r="AB649" s="1">
        <v>2168</v>
      </c>
      <c r="AC649" s="1">
        <v>0</v>
      </c>
      <c r="AD649" s="1">
        <v>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1</v>
      </c>
      <c r="AK649" s="1">
        <v>0</v>
      </c>
      <c r="AL649" s="1">
        <v>786</v>
      </c>
      <c r="AM649" s="2">
        <v>42681</v>
      </c>
      <c r="AN649" t="str">
        <f t="shared" si="21"/>
        <v>83891,801,0.00954810408744681,0,1,24,217,38,350,111,85,15,1,4,7,10,1,0,0,0,0,0,0,0,46,36-50,2168,0,1,0,0,0,0,0,1,0,786,42681</v>
      </c>
    </row>
    <row r="650" spans="1:40" ht="13" hidden="1" x14ac:dyDescent="0.15">
      <c r="A650">
        <v>882</v>
      </c>
      <c r="B650" s="1">
        <v>60554</v>
      </c>
      <c r="C650" s="1">
        <v>796</v>
      </c>
      <c r="D650" s="4">
        <f t="shared" si="20"/>
        <v>1.3145291805661062E-2</v>
      </c>
      <c r="E650" s="1">
        <v>1</v>
      </c>
      <c r="F650" s="1">
        <v>0</v>
      </c>
      <c r="G650" s="1">
        <v>8</v>
      </c>
      <c r="H650" s="1">
        <v>588</v>
      </c>
      <c r="I650" s="1">
        <v>7</v>
      </c>
      <c r="J650" s="1">
        <v>76</v>
      </c>
      <c r="K650" s="1">
        <v>110</v>
      </c>
      <c r="L650" s="1">
        <v>15</v>
      </c>
      <c r="M650" s="1">
        <v>15</v>
      </c>
      <c r="N650" s="1">
        <v>2</v>
      </c>
      <c r="O650" s="1">
        <v>8</v>
      </c>
      <c r="P650" s="1">
        <v>4</v>
      </c>
      <c r="Q650" s="1">
        <v>9</v>
      </c>
      <c r="R650" s="1">
        <v>6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45</v>
      </c>
      <c r="AA650" s="1" t="str" cm="1">
        <f t="array" ref="AA650">_xlfn.IFS(AND(Z650&lt;36, Z650&gt;23), "24-35", AND(Z650&lt;51, Z650&gt;35),"36-50", AND(Z650&lt;66, Z650&gt;50), "51-66", Z650&gt;65, "66+", TRUE, "?")</f>
        <v>36-50</v>
      </c>
      <c r="AB650" s="1">
        <v>2483</v>
      </c>
      <c r="AC650" s="1">
        <v>1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1</v>
      </c>
      <c r="AL650" s="1">
        <v>781</v>
      </c>
      <c r="AM650" s="2">
        <v>42366</v>
      </c>
      <c r="AN650" t="str">
        <f t="shared" si="21"/>
        <v>60554,796,0.0131452918056611,1,0,8,588,7,76,110,15,15,2,8,4,9,6,0,0,0,0,0,0,0,45,36-50,2483,1,0,0,0,0,0,0,0,1,781,42366</v>
      </c>
    </row>
    <row r="651" spans="1:40" ht="13" x14ac:dyDescent="0.15">
      <c r="A651">
        <v>1200</v>
      </c>
      <c r="B651" s="1">
        <v>60714</v>
      </c>
      <c r="C651" s="1">
        <v>795</v>
      </c>
      <c r="D651" s="4">
        <f t="shared" si="20"/>
        <v>1.3094179266725962E-2</v>
      </c>
      <c r="E651" s="1">
        <v>0</v>
      </c>
      <c r="F651" s="1">
        <v>0</v>
      </c>
      <c r="G651" s="1">
        <v>56</v>
      </c>
      <c r="H651" s="1">
        <v>216</v>
      </c>
      <c r="I651" s="1">
        <v>162</v>
      </c>
      <c r="J651" s="1">
        <v>224</v>
      </c>
      <c r="K651" s="1">
        <v>101</v>
      </c>
      <c r="L651" s="1">
        <v>92</v>
      </c>
      <c r="M651" s="1">
        <v>162</v>
      </c>
      <c r="N651" s="1">
        <v>2</v>
      </c>
      <c r="O651" s="1">
        <v>7</v>
      </c>
      <c r="P651" s="1">
        <v>4</v>
      </c>
      <c r="Q651" s="1">
        <v>10</v>
      </c>
      <c r="R651" s="1">
        <v>5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1</v>
      </c>
      <c r="Z651" s="1">
        <v>64</v>
      </c>
      <c r="AA651" s="1" t="str" cm="1">
        <f t="array" ref="AA651">_xlfn.IFS(AND(Z651&lt;36, Z651&gt;23), "24-35", AND(Z651&lt;51, Z651&gt;35),"36-50", AND(Z651&lt;66, Z651&gt;50), "51-66", Z651&gt;65, "66+", TRUE, "?")</f>
        <v>51-66</v>
      </c>
      <c r="AB651" s="1">
        <v>2687</v>
      </c>
      <c r="AC651" s="1">
        <v>0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1</v>
      </c>
      <c r="AJ651" s="1">
        <v>0</v>
      </c>
      <c r="AK651" s="1">
        <v>0</v>
      </c>
      <c r="AL651" s="1">
        <v>633</v>
      </c>
      <c r="AM651" s="2">
        <v>42162</v>
      </c>
      <c r="AN651" t="str">
        <f t="shared" si="21"/>
        <v>60714,795,0.013094179266726,0,0,56,216,162,224,101,92,162,2,7,4,10,5,0,0,0,0,0,0,1,64,51-66,2687,0,0,1,0,0,0,1,0,0,633,42162</v>
      </c>
    </row>
    <row r="652" spans="1:40" ht="13" hidden="1" x14ac:dyDescent="0.15">
      <c r="A652">
        <v>1994</v>
      </c>
      <c r="B652" s="1">
        <v>73807</v>
      </c>
      <c r="C652" s="1">
        <v>795</v>
      </c>
      <c r="D652" s="4">
        <f t="shared" si="20"/>
        <v>1.0771336052135976E-2</v>
      </c>
      <c r="E652" s="1">
        <v>0</v>
      </c>
      <c r="F652" s="1">
        <v>1</v>
      </c>
      <c r="G652" s="1">
        <v>88</v>
      </c>
      <c r="H652" s="1">
        <v>366</v>
      </c>
      <c r="I652" s="1">
        <v>124</v>
      </c>
      <c r="J652" s="1">
        <v>156</v>
      </c>
      <c r="K652" s="1">
        <v>71</v>
      </c>
      <c r="L652" s="1">
        <v>78</v>
      </c>
      <c r="M652" s="1">
        <v>54</v>
      </c>
      <c r="N652" s="1">
        <v>2</v>
      </c>
      <c r="O652" s="1">
        <v>5</v>
      </c>
      <c r="P652" s="1">
        <v>5</v>
      </c>
      <c r="Q652" s="1">
        <v>11</v>
      </c>
      <c r="R652" s="1">
        <v>2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42</v>
      </c>
      <c r="AA652" s="1" t="str" cm="1">
        <f t="array" ref="AA652">_xlfn.IFS(AND(Z652&lt;36, Z652&gt;23), "24-35", AND(Z652&lt;51, Z652&gt;35),"36-50", AND(Z652&lt;66, Z652&gt;50), "51-66", Z652&gt;65, "66+", TRUE, "?")</f>
        <v>36-50</v>
      </c>
      <c r="AB652" s="1">
        <v>2702</v>
      </c>
      <c r="AC652" s="1">
        <v>0</v>
      </c>
      <c r="AD652" s="1">
        <v>1</v>
      </c>
      <c r="AE652" s="1">
        <v>0</v>
      </c>
      <c r="AF652" s="1">
        <v>0</v>
      </c>
      <c r="AG652" s="1">
        <v>0</v>
      </c>
      <c r="AH652" s="1">
        <v>0</v>
      </c>
      <c r="AI652" s="1">
        <v>1</v>
      </c>
      <c r="AJ652" s="1">
        <v>0</v>
      </c>
      <c r="AK652" s="1">
        <v>0</v>
      </c>
      <c r="AL652" s="1">
        <v>741</v>
      </c>
      <c r="AM652" s="2">
        <v>42147</v>
      </c>
      <c r="AN652" t="str">
        <f t="shared" si="21"/>
        <v>73807,795,0.010771336052136,0,1,88,366,124,156,71,78,54,2,5,5,11,2,0,0,0,0,0,0,0,42,36-50,2702,0,1,0,0,0,0,1,0,0,741,42147</v>
      </c>
    </row>
    <row r="653" spans="1:40" ht="13" hidden="1" x14ac:dyDescent="0.15">
      <c r="A653">
        <v>764</v>
      </c>
      <c r="B653" s="1">
        <v>52750</v>
      </c>
      <c r="C653" s="1">
        <v>791</v>
      </c>
      <c r="D653" s="4">
        <f t="shared" si="20"/>
        <v>1.4995260663507108E-2</v>
      </c>
      <c r="E653" s="1">
        <v>0</v>
      </c>
      <c r="F653" s="1">
        <v>1</v>
      </c>
      <c r="G653" s="1">
        <v>72</v>
      </c>
      <c r="H653" s="1">
        <v>393</v>
      </c>
      <c r="I653" s="1">
        <v>0</v>
      </c>
      <c r="J653" s="1">
        <v>239</v>
      </c>
      <c r="K653" s="1">
        <v>90</v>
      </c>
      <c r="L653" s="1">
        <v>69</v>
      </c>
      <c r="M653" s="1">
        <v>69</v>
      </c>
      <c r="N653" s="1">
        <v>6</v>
      </c>
      <c r="O653" s="1">
        <v>5</v>
      </c>
      <c r="P653" s="1">
        <v>7</v>
      </c>
      <c r="Q653" s="1">
        <v>9</v>
      </c>
      <c r="R653" s="1">
        <v>4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65</v>
      </c>
      <c r="AA653" s="1" t="str" cm="1">
        <f t="array" ref="AA653">_xlfn.IFS(AND(Z653&lt;36, Z653&gt;23), "24-35", AND(Z653&lt;51, Z653&gt;35),"36-50", AND(Z653&lt;66, Z653&gt;50), "51-66", Z653&gt;65, "66+", TRUE, "?")</f>
        <v>51-66</v>
      </c>
      <c r="AB653" s="1">
        <v>2669</v>
      </c>
      <c r="AC653" s="1">
        <v>0</v>
      </c>
      <c r="AD653" s="1">
        <v>1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1</v>
      </c>
      <c r="AK653" s="1">
        <v>0</v>
      </c>
      <c r="AL653" s="1">
        <v>722</v>
      </c>
      <c r="AM653" s="2">
        <v>42180</v>
      </c>
      <c r="AN653" t="str">
        <f t="shared" si="21"/>
        <v>52750,791,0.0149952606635071,0,1,72,393,0,239,90,69,69,6,5,7,9,4,0,0,0,0,0,0,0,65,51-66,2669,0,1,0,0,0,0,0,1,0,722,42180</v>
      </c>
    </row>
    <row r="654" spans="1:40" ht="13" hidden="1" x14ac:dyDescent="0.15">
      <c r="A654">
        <v>1159</v>
      </c>
      <c r="B654" s="1">
        <v>64722</v>
      </c>
      <c r="C654" s="1">
        <v>790</v>
      </c>
      <c r="D654" s="4">
        <f t="shared" si="20"/>
        <v>1.2206050492877228E-2</v>
      </c>
      <c r="E654" s="1">
        <v>1</v>
      </c>
      <c r="F654" s="1">
        <v>0</v>
      </c>
      <c r="G654" s="1">
        <v>47</v>
      </c>
      <c r="H654" s="1">
        <v>303</v>
      </c>
      <c r="I654" s="1">
        <v>0</v>
      </c>
      <c r="J654" s="1">
        <v>280</v>
      </c>
      <c r="K654" s="1">
        <v>60</v>
      </c>
      <c r="L654" s="1">
        <v>147</v>
      </c>
      <c r="M654" s="1">
        <v>15</v>
      </c>
      <c r="N654" s="1">
        <v>4</v>
      </c>
      <c r="O654" s="1">
        <v>8</v>
      </c>
      <c r="P654" s="1">
        <v>2</v>
      </c>
      <c r="Q654" s="1">
        <v>11</v>
      </c>
      <c r="R654" s="1">
        <v>6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49</v>
      </c>
      <c r="AA654" s="1" t="str" cm="1">
        <f t="array" ref="AA654">_xlfn.IFS(AND(Z654&lt;36, Z654&gt;23), "24-35", AND(Z654&lt;51, Z654&gt;35),"36-50", AND(Z654&lt;66, Z654&gt;50), "51-66", Z654&gt;65, "66+", TRUE, "?")</f>
        <v>36-50</v>
      </c>
      <c r="AB654" s="1">
        <v>2193</v>
      </c>
      <c r="AC654" s="1">
        <v>0</v>
      </c>
      <c r="AD654" s="1">
        <v>1</v>
      </c>
      <c r="AE654" s="1">
        <v>0</v>
      </c>
      <c r="AF654" s="1">
        <v>0</v>
      </c>
      <c r="AG654" s="1">
        <v>0</v>
      </c>
      <c r="AH654" s="1">
        <v>0</v>
      </c>
      <c r="AI654" s="1">
        <v>1</v>
      </c>
      <c r="AJ654" s="1">
        <v>0</v>
      </c>
      <c r="AK654" s="1">
        <v>0</v>
      </c>
      <c r="AL654" s="1">
        <v>775</v>
      </c>
      <c r="AM654" s="2">
        <v>42656</v>
      </c>
      <c r="AN654" t="str">
        <f t="shared" si="21"/>
        <v>64722,790,0.0122060504928772,1,0,47,303,0,280,60,147,15,4,8,2,11,6,0,0,0,0,0,0,0,49,36-50,2193,0,1,0,0,0,0,1,0,0,775,42656</v>
      </c>
    </row>
    <row r="655" spans="1:40" ht="13" hidden="1" x14ac:dyDescent="0.15">
      <c r="A655">
        <v>1723</v>
      </c>
      <c r="B655" s="1">
        <v>76532</v>
      </c>
      <c r="C655" s="1">
        <v>790</v>
      </c>
      <c r="D655" s="4">
        <f t="shared" si="20"/>
        <v>1.0322479485705326E-2</v>
      </c>
      <c r="E655" s="1">
        <v>1</v>
      </c>
      <c r="F655" s="1">
        <v>1</v>
      </c>
      <c r="G655" s="1">
        <v>38</v>
      </c>
      <c r="H655" s="1">
        <v>355</v>
      </c>
      <c r="I655" s="1">
        <v>30</v>
      </c>
      <c r="J655" s="1">
        <v>177</v>
      </c>
      <c r="K655" s="1">
        <v>90</v>
      </c>
      <c r="L655" s="1">
        <v>138</v>
      </c>
      <c r="M655" s="1">
        <v>30</v>
      </c>
      <c r="N655" s="1">
        <v>4</v>
      </c>
      <c r="O655" s="1">
        <v>9</v>
      </c>
      <c r="P655" s="1">
        <v>5</v>
      </c>
      <c r="Q655" s="1">
        <v>7</v>
      </c>
      <c r="R655" s="1">
        <v>5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45</v>
      </c>
      <c r="AA655" s="1" t="str" cm="1">
        <f t="array" ref="AA655">_xlfn.IFS(AND(Z655&lt;36, Z655&gt;23), "24-35", AND(Z655&lt;51, Z655&gt;35),"36-50", AND(Z655&lt;66, Z655&gt;50), "51-66", Z655&gt;65, "66+", TRUE, "?")</f>
        <v>36-50</v>
      </c>
      <c r="AB655" s="1">
        <v>2452</v>
      </c>
      <c r="AC655" s="1">
        <v>0</v>
      </c>
      <c r="AD655" s="1">
        <v>0</v>
      </c>
      <c r="AE655" s="1">
        <v>0</v>
      </c>
      <c r="AF655" s="1">
        <v>1</v>
      </c>
      <c r="AG655" s="1">
        <v>0</v>
      </c>
      <c r="AH655" s="1">
        <v>0</v>
      </c>
      <c r="AI655" s="1">
        <v>1</v>
      </c>
      <c r="AJ655" s="1">
        <v>0</v>
      </c>
      <c r="AK655" s="1">
        <v>0</v>
      </c>
      <c r="AL655" s="1">
        <v>760</v>
      </c>
      <c r="AM655" s="2">
        <v>42397</v>
      </c>
      <c r="AN655" t="str">
        <f t="shared" si="21"/>
        <v>76532,790,0.0103224794857053,1,1,38,355,30,177,90,138,30,4,9,5,7,5,0,0,0,0,0,0,0,45,36-50,2452,0,0,0,1,0,0,1,0,0,760,42397</v>
      </c>
    </row>
    <row r="656" spans="1:40" ht="13" hidden="1" x14ac:dyDescent="0.15">
      <c r="A656">
        <v>945</v>
      </c>
      <c r="B656" s="1">
        <v>65569</v>
      </c>
      <c r="C656" s="1">
        <v>789</v>
      </c>
      <c r="D656" s="4">
        <f t="shared" si="20"/>
        <v>1.2033125409873568E-2</v>
      </c>
      <c r="E656" s="1">
        <v>0</v>
      </c>
      <c r="F656" s="1">
        <v>1</v>
      </c>
      <c r="G656" s="1">
        <v>96</v>
      </c>
      <c r="H656" s="1">
        <v>397</v>
      </c>
      <c r="I656" s="1">
        <v>46</v>
      </c>
      <c r="J656" s="1">
        <v>288</v>
      </c>
      <c r="K656" s="1">
        <v>20</v>
      </c>
      <c r="L656" s="1">
        <v>38</v>
      </c>
      <c r="M656" s="1">
        <v>70</v>
      </c>
      <c r="N656" s="1">
        <v>2</v>
      </c>
      <c r="O656" s="1">
        <v>6</v>
      </c>
      <c r="P656" s="1">
        <v>5</v>
      </c>
      <c r="Q656" s="1">
        <v>10</v>
      </c>
      <c r="R656" s="1">
        <v>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67</v>
      </c>
      <c r="AA656" s="1" t="str" cm="1">
        <f t="array" ref="AA656">_xlfn.IFS(AND(Z656&lt;36, Z656&gt;23), "24-35", AND(Z656&lt;51, Z656&gt;35),"36-50", AND(Z656&lt;66, Z656&gt;50), "51-66", Z656&gt;65, "66+", TRUE, "?")</f>
        <v>66+</v>
      </c>
      <c r="AB656" s="1">
        <v>2760</v>
      </c>
      <c r="AC656" s="1">
        <v>0</v>
      </c>
      <c r="AD656" s="1">
        <v>1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1</v>
      </c>
      <c r="AK656" s="1">
        <v>0</v>
      </c>
      <c r="AL656" s="1">
        <v>719</v>
      </c>
      <c r="AM656" s="2">
        <v>42089</v>
      </c>
      <c r="AN656" t="str">
        <f t="shared" si="21"/>
        <v>65569,789,0.0120331254098736,0,1,96,397,46,288,20,38,70,2,6,5,10,3,0,0,0,0,0,0,0,67,66+,2760,0,1,0,0,0,0,0,1,0,719,42089</v>
      </c>
    </row>
    <row r="657" spans="1:40" ht="13" hidden="1" x14ac:dyDescent="0.15">
      <c r="A657">
        <v>1176</v>
      </c>
      <c r="B657" s="1">
        <v>74716</v>
      </c>
      <c r="C657" s="1">
        <v>789</v>
      </c>
      <c r="D657" s="4">
        <f t="shared" si="20"/>
        <v>1.0559987151346432E-2</v>
      </c>
      <c r="E657" s="1">
        <v>0</v>
      </c>
      <c r="F657" s="1">
        <v>1</v>
      </c>
      <c r="G657" s="1">
        <v>92</v>
      </c>
      <c r="H657" s="1">
        <v>133</v>
      </c>
      <c r="I657" s="1">
        <v>27</v>
      </c>
      <c r="J657" s="1">
        <v>421</v>
      </c>
      <c r="K657" s="1">
        <v>13</v>
      </c>
      <c r="L657" s="1">
        <v>195</v>
      </c>
      <c r="M657" s="1">
        <v>71</v>
      </c>
      <c r="N657" s="1">
        <v>2</v>
      </c>
      <c r="O657" s="1">
        <v>7</v>
      </c>
      <c r="P657" s="1">
        <v>3</v>
      </c>
      <c r="Q657" s="1">
        <v>5</v>
      </c>
      <c r="R657" s="1">
        <v>4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48</v>
      </c>
      <c r="AA657" s="1" t="str" cm="1">
        <f t="array" ref="AA657">_xlfn.IFS(AND(Z657&lt;36, Z657&gt;23), "24-35", AND(Z657&lt;51, Z657&gt;35),"36-50", AND(Z657&lt;66, Z657&gt;50), "51-66", Z657&gt;65, "66+", TRUE, "?")</f>
        <v>36-50</v>
      </c>
      <c r="AB657" s="1">
        <v>2449</v>
      </c>
      <c r="AC657" s="1">
        <v>0</v>
      </c>
      <c r="AD657" s="1">
        <v>1</v>
      </c>
      <c r="AE657" s="1">
        <v>0</v>
      </c>
      <c r="AF657" s="1">
        <v>0</v>
      </c>
      <c r="AG657" s="1">
        <v>0</v>
      </c>
      <c r="AH657" s="1">
        <v>0</v>
      </c>
      <c r="AI657" s="1">
        <v>1</v>
      </c>
      <c r="AJ657" s="1">
        <v>0</v>
      </c>
      <c r="AK657" s="1">
        <v>0</v>
      </c>
      <c r="AL657" s="1">
        <v>718</v>
      </c>
      <c r="AM657" s="2">
        <v>42400</v>
      </c>
      <c r="AN657" t="str">
        <f t="shared" si="21"/>
        <v>74716,789,0.0105599871513464,0,1,92,133,27,421,13,195,71,2,7,3,5,4,0,0,0,0,0,0,0,48,36-50,2449,0,1,0,0,0,0,1,0,0,718,42400</v>
      </c>
    </row>
    <row r="658" spans="1:40" ht="13" hidden="1" x14ac:dyDescent="0.15">
      <c r="A658">
        <v>276</v>
      </c>
      <c r="B658" s="1">
        <v>68627</v>
      </c>
      <c r="C658" s="1">
        <v>787</v>
      </c>
      <c r="D658" s="4">
        <f t="shared" si="20"/>
        <v>1.1467789645474813E-2</v>
      </c>
      <c r="E658" s="1">
        <v>0</v>
      </c>
      <c r="F658" s="1">
        <v>0</v>
      </c>
      <c r="G658" s="1">
        <v>45</v>
      </c>
      <c r="H658" s="1">
        <v>395</v>
      </c>
      <c r="I658" s="1">
        <v>15</v>
      </c>
      <c r="J658" s="1">
        <v>263</v>
      </c>
      <c r="K658" s="1">
        <v>60</v>
      </c>
      <c r="L658" s="1">
        <v>54</v>
      </c>
      <c r="M658" s="1">
        <v>38</v>
      </c>
      <c r="N658" s="1">
        <v>1</v>
      </c>
      <c r="O658" s="1">
        <v>2</v>
      </c>
      <c r="P658" s="1">
        <v>3</v>
      </c>
      <c r="Q658" s="1">
        <v>6</v>
      </c>
      <c r="R658" s="1">
        <v>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38</v>
      </c>
      <c r="AA658" s="1" t="str" cm="1">
        <f t="array" ref="AA658">_xlfn.IFS(AND(Z658&lt;36, Z658&gt;23), "24-35", AND(Z658&lt;51, Z658&gt;35),"36-50", AND(Z658&lt;66, Z658&gt;50), "51-66", Z658&gt;65, "66+", TRUE, "?")</f>
        <v>36-50</v>
      </c>
      <c r="AB658" s="1">
        <v>2692</v>
      </c>
      <c r="AC658" s="1">
        <v>0</v>
      </c>
      <c r="AD658" s="1">
        <v>0</v>
      </c>
      <c r="AE658" s="1">
        <v>1</v>
      </c>
      <c r="AF658" s="1">
        <v>0</v>
      </c>
      <c r="AG658" s="1">
        <v>0</v>
      </c>
      <c r="AH658" s="1">
        <v>0</v>
      </c>
      <c r="AI658" s="1">
        <v>1</v>
      </c>
      <c r="AJ658" s="1">
        <v>0</v>
      </c>
      <c r="AK658" s="1">
        <v>0</v>
      </c>
      <c r="AL658" s="1">
        <v>749</v>
      </c>
      <c r="AM658" s="2">
        <v>42157</v>
      </c>
      <c r="AN658" t="str">
        <f t="shared" si="21"/>
        <v>68627,787,0.0114677896454748,0,0,45,395,15,263,60,54,38,1,2,3,6,1,0,0,0,0,0,0,0,38,36-50,2692,0,0,1,0,0,0,1,0,0,749,42157</v>
      </c>
    </row>
    <row r="659" spans="1:40" ht="13" hidden="1" x14ac:dyDescent="0.15">
      <c r="A659">
        <v>1520</v>
      </c>
      <c r="B659" s="1">
        <v>62670</v>
      </c>
      <c r="C659" s="1">
        <v>787</v>
      </c>
      <c r="D659" s="4">
        <f t="shared" si="20"/>
        <v>1.2557842667943195E-2</v>
      </c>
      <c r="E659" s="1">
        <v>0</v>
      </c>
      <c r="F659" s="1">
        <v>1</v>
      </c>
      <c r="G659" s="1">
        <v>57</v>
      </c>
      <c r="H659" s="1">
        <v>539</v>
      </c>
      <c r="I659" s="1">
        <v>30</v>
      </c>
      <c r="J659" s="1">
        <v>92</v>
      </c>
      <c r="K659" s="1">
        <v>80</v>
      </c>
      <c r="L659" s="1">
        <v>46</v>
      </c>
      <c r="M659" s="1">
        <v>38</v>
      </c>
      <c r="N659" s="1">
        <v>1</v>
      </c>
      <c r="O659" s="1">
        <v>5</v>
      </c>
      <c r="P659" s="1">
        <v>3</v>
      </c>
      <c r="Q659" s="1">
        <v>13</v>
      </c>
      <c r="R659" s="1">
        <v>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66</v>
      </c>
      <c r="AA659" s="1" t="str" cm="1">
        <f t="array" ref="AA659">_xlfn.IFS(AND(Z659&lt;36, Z659&gt;23), "24-35", AND(Z659&lt;51, Z659&gt;35),"36-50", AND(Z659&lt;66, Z659&gt;50), "51-66", Z659&gt;65, "66+", TRUE, "?")</f>
        <v>66+</v>
      </c>
      <c r="AB659" s="1">
        <v>2306</v>
      </c>
      <c r="AC659" s="1">
        <v>0</v>
      </c>
      <c r="AD659" s="1">
        <v>1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1</v>
      </c>
      <c r="AL659" s="1">
        <v>749</v>
      </c>
      <c r="AM659" s="2">
        <v>42543</v>
      </c>
      <c r="AN659" t="str">
        <f t="shared" si="21"/>
        <v>62670,787,0.0125578426679432,0,1,57,539,30,92,80,46,38,1,5,3,13,3,0,0,0,0,0,0,0,66,66+,2306,0,1,0,0,0,0,0,0,1,749,42543</v>
      </c>
    </row>
    <row r="660" spans="1:40" ht="13" hidden="1" x14ac:dyDescent="0.15">
      <c r="A660">
        <v>1230</v>
      </c>
      <c r="B660" s="1">
        <v>74805</v>
      </c>
      <c r="C660" s="1">
        <v>783</v>
      </c>
      <c r="D660" s="4">
        <f t="shared" si="20"/>
        <v>1.0467214758371767E-2</v>
      </c>
      <c r="E660" s="1">
        <v>0</v>
      </c>
      <c r="F660" s="1">
        <v>1</v>
      </c>
      <c r="G660" s="1">
        <v>14</v>
      </c>
      <c r="H660" s="1">
        <v>209</v>
      </c>
      <c r="I660" s="1">
        <v>162</v>
      </c>
      <c r="J660" s="1">
        <v>209</v>
      </c>
      <c r="K660" s="1">
        <v>41</v>
      </c>
      <c r="L660" s="1">
        <v>162</v>
      </c>
      <c r="M660" s="1">
        <v>37</v>
      </c>
      <c r="N660" s="1">
        <v>5</v>
      </c>
      <c r="O660" s="1">
        <v>4</v>
      </c>
      <c r="P660" s="1">
        <v>7</v>
      </c>
      <c r="Q660" s="1">
        <v>10</v>
      </c>
      <c r="R660" s="1">
        <v>2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65</v>
      </c>
      <c r="AA660" s="1" t="str" cm="1">
        <f t="array" ref="AA660">_xlfn.IFS(AND(Z660&lt;36, Z660&gt;23), "24-35", AND(Z660&lt;51, Z660&gt;35),"36-50", AND(Z660&lt;66, Z660&gt;50), "51-66", Z660&gt;65, "66+", TRUE, "?")</f>
        <v>51-66</v>
      </c>
      <c r="AB660" s="1">
        <v>2394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1</v>
      </c>
      <c r="AI660" s="1">
        <v>0</v>
      </c>
      <c r="AJ660" s="1">
        <v>0</v>
      </c>
      <c r="AK660" s="1">
        <v>0</v>
      </c>
      <c r="AL660" s="1">
        <v>746</v>
      </c>
      <c r="AM660" s="2">
        <v>42455</v>
      </c>
      <c r="AN660" t="str">
        <f t="shared" si="21"/>
        <v>74805,783,0.0104672147583718,0,1,14,209,162,209,41,162,37,5,4,7,10,2,0,0,0,0,0,0,0,65,51-66,2394,0,0,0,1,0,1,0,0,0,746,42455</v>
      </c>
    </row>
    <row r="661" spans="1:40" ht="13" hidden="1" x14ac:dyDescent="0.15">
      <c r="A661">
        <v>1312</v>
      </c>
      <c r="B661" s="1">
        <v>69389</v>
      </c>
      <c r="C661" s="1">
        <v>782</v>
      </c>
      <c r="D661" s="4">
        <f t="shared" si="20"/>
        <v>1.1269797806568765E-2</v>
      </c>
      <c r="E661" s="1">
        <v>0</v>
      </c>
      <c r="F661" s="1">
        <v>1</v>
      </c>
      <c r="G661" s="1">
        <v>17</v>
      </c>
      <c r="H661" s="1">
        <v>422</v>
      </c>
      <c r="I661" s="1">
        <v>7</v>
      </c>
      <c r="J661" s="1">
        <v>238</v>
      </c>
      <c r="K661" s="1">
        <v>69</v>
      </c>
      <c r="L661" s="1">
        <v>46</v>
      </c>
      <c r="M661" s="1">
        <v>15</v>
      </c>
      <c r="N661" s="1">
        <v>1</v>
      </c>
      <c r="O661" s="1">
        <v>7</v>
      </c>
      <c r="P661" s="1">
        <v>2</v>
      </c>
      <c r="Q661" s="1">
        <v>12</v>
      </c>
      <c r="R661" s="1">
        <v>4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43</v>
      </c>
      <c r="AA661" s="1" t="str" cm="1">
        <f t="array" ref="AA661">_xlfn.IFS(AND(Z661&lt;36, Z661&gt;23), "24-35", AND(Z661&lt;51, Z661&gt;35),"36-50", AND(Z661&lt;66, Z661&gt;50), "51-66", Z661&gt;65, "66+", TRUE, "?")</f>
        <v>36-50</v>
      </c>
      <c r="AB661" s="1">
        <v>2798</v>
      </c>
      <c r="AC661" s="1">
        <v>0</v>
      </c>
      <c r="AD661" s="1">
        <v>1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1</v>
      </c>
      <c r="AL661" s="1">
        <v>767</v>
      </c>
      <c r="AM661" s="2">
        <v>42051</v>
      </c>
      <c r="AN661" t="str">
        <f t="shared" si="21"/>
        <v>69389,782,0.0112697978065688,0,1,17,422,7,238,69,46,15,1,7,2,12,4,0,0,0,0,0,0,0,43,36-50,2798,0,1,0,0,0,0,0,0,1,767,42051</v>
      </c>
    </row>
    <row r="662" spans="1:40" ht="13" hidden="1" x14ac:dyDescent="0.15">
      <c r="A662">
        <v>2020</v>
      </c>
      <c r="B662" s="1">
        <v>69245</v>
      </c>
      <c r="C662" s="1">
        <v>782</v>
      </c>
      <c r="D662" s="4">
        <f t="shared" si="20"/>
        <v>1.1293234168532024E-2</v>
      </c>
      <c r="E662" s="1">
        <v>0</v>
      </c>
      <c r="F662" s="1">
        <v>1</v>
      </c>
      <c r="G662" s="1">
        <v>8</v>
      </c>
      <c r="H662" s="1">
        <v>428</v>
      </c>
      <c r="I662" s="1">
        <v>30</v>
      </c>
      <c r="J662" s="1">
        <v>214</v>
      </c>
      <c r="K662" s="1">
        <v>80</v>
      </c>
      <c r="L662" s="1">
        <v>30</v>
      </c>
      <c r="M662" s="1">
        <v>61</v>
      </c>
      <c r="N662" s="1">
        <v>2</v>
      </c>
      <c r="O662" s="1">
        <v>6</v>
      </c>
      <c r="P662" s="1">
        <v>5</v>
      </c>
      <c r="Q662" s="1">
        <v>10</v>
      </c>
      <c r="R662" s="1">
        <v>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64</v>
      </c>
      <c r="AA662" s="1" t="str" cm="1">
        <f t="array" ref="AA662">_xlfn.IFS(AND(Z662&lt;36, Z662&gt;23), "24-35", AND(Z662&lt;51, Z662&gt;35),"36-50", AND(Z662&lt;66, Z662&gt;50), "51-66", Z662&gt;65, "66+", TRUE, "?")</f>
        <v>51-66</v>
      </c>
      <c r="AB662" s="1">
        <v>2315</v>
      </c>
      <c r="AC662" s="1">
        <v>0</v>
      </c>
      <c r="AD662" s="1">
        <v>0</v>
      </c>
      <c r="AE662" s="1">
        <v>0</v>
      </c>
      <c r="AF662" s="1">
        <v>1</v>
      </c>
      <c r="AG662" s="1">
        <v>0</v>
      </c>
      <c r="AH662" s="1">
        <v>0</v>
      </c>
      <c r="AI662" s="1">
        <v>0</v>
      </c>
      <c r="AJ662" s="1">
        <v>1</v>
      </c>
      <c r="AK662" s="1">
        <v>0</v>
      </c>
      <c r="AL662" s="1">
        <v>721</v>
      </c>
      <c r="AM662" s="2">
        <v>42534</v>
      </c>
      <c r="AN662" t="str">
        <f t="shared" si="21"/>
        <v>69245,782,0.011293234168532,0,1,8,428,30,214,80,30,61,2,6,5,10,3,0,0,0,0,0,0,0,64,51-66,2315,0,0,0,1,0,0,0,1,0,721,42534</v>
      </c>
    </row>
    <row r="663" spans="1:40" ht="13" hidden="1" x14ac:dyDescent="0.15">
      <c r="A663">
        <v>1222</v>
      </c>
      <c r="B663" s="1">
        <v>60894</v>
      </c>
      <c r="C663" s="1">
        <v>778</v>
      </c>
      <c r="D663" s="4">
        <f t="shared" si="20"/>
        <v>1.2776299799651855E-2</v>
      </c>
      <c r="E663" s="1">
        <v>0</v>
      </c>
      <c r="F663" s="1">
        <v>1</v>
      </c>
      <c r="G663" s="1">
        <v>61</v>
      </c>
      <c r="H663" s="1">
        <v>606</v>
      </c>
      <c r="I663" s="1">
        <v>7</v>
      </c>
      <c r="J663" s="1">
        <v>155</v>
      </c>
      <c r="K663" s="1">
        <v>10</v>
      </c>
      <c r="L663" s="1">
        <v>0</v>
      </c>
      <c r="M663" s="1">
        <v>54</v>
      </c>
      <c r="N663" s="1">
        <v>5</v>
      </c>
      <c r="O663" s="1">
        <v>10</v>
      </c>
      <c r="P663" s="1">
        <v>3</v>
      </c>
      <c r="Q663" s="1">
        <v>8</v>
      </c>
      <c r="R663" s="1">
        <v>7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54</v>
      </c>
      <c r="AA663" s="1" t="str" cm="1">
        <f t="array" ref="AA663">_xlfn.IFS(AND(Z663&lt;36, Z663&gt;23), "24-35", AND(Z663&lt;51, Z663&gt;35),"36-50", AND(Z663&lt;66, Z663&gt;50), "51-66", Z663&gt;65, "66+", TRUE, "?")</f>
        <v>51-66</v>
      </c>
      <c r="AB663" s="1">
        <v>2525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1</v>
      </c>
      <c r="AJ663" s="1">
        <v>0</v>
      </c>
      <c r="AK663" s="1">
        <v>0</v>
      </c>
      <c r="AL663" s="1">
        <v>724</v>
      </c>
      <c r="AM663" s="2">
        <v>42324</v>
      </c>
      <c r="AN663" t="str">
        <f t="shared" si="21"/>
        <v>60894,778,0.0127762997996519,0,1,61,606,7,155,10,0,54,5,10,3,8,7,0,0,0,0,0,0,0,54,51-66,2525,0,0,0,1,0,0,1,0,0,724,42324</v>
      </c>
    </row>
    <row r="664" spans="1:40" ht="13" hidden="1" x14ac:dyDescent="0.15">
      <c r="A664">
        <v>66</v>
      </c>
      <c r="B664" s="1">
        <v>65031</v>
      </c>
      <c r="C664" s="1">
        <v>777</v>
      </c>
      <c r="D664" s="4">
        <f t="shared" si="20"/>
        <v>1.1948147806430779E-2</v>
      </c>
      <c r="E664" s="1">
        <v>0</v>
      </c>
      <c r="F664" s="1">
        <v>1</v>
      </c>
      <c r="G664" s="1">
        <v>29</v>
      </c>
      <c r="H664" s="1">
        <v>258</v>
      </c>
      <c r="I664" s="1">
        <v>107</v>
      </c>
      <c r="J664" s="1">
        <v>291</v>
      </c>
      <c r="K664" s="1">
        <v>84</v>
      </c>
      <c r="L664" s="1">
        <v>37</v>
      </c>
      <c r="M664" s="1">
        <v>86</v>
      </c>
      <c r="N664" s="1">
        <v>4</v>
      </c>
      <c r="O664" s="1">
        <v>10</v>
      </c>
      <c r="P664" s="1">
        <v>3</v>
      </c>
      <c r="Q664" s="1">
        <v>13</v>
      </c>
      <c r="R664" s="1">
        <v>7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61</v>
      </c>
      <c r="AA664" s="1" t="str" cm="1">
        <f t="array" ref="AA664">_xlfn.IFS(AND(Z664&lt;36, Z664&gt;23), "24-35", AND(Z664&lt;51, Z664&gt;35),"36-50", AND(Z664&lt;66, Z664&gt;50), "51-66", Z664&gt;65, "66+", TRUE, "?")</f>
        <v>51-66</v>
      </c>
      <c r="AB664" s="1">
        <v>2628</v>
      </c>
      <c r="AC664" s="1">
        <v>0</v>
      </c>
      <c r="AD664" s="1">
        <v>1</v>
      </c>
      <c r="AE664" s="1">
        <v>0</v>
      </c>
      <c r="AF664" s="1">
        <v>0</v>
      </c>
      <c r="AG664" s="1">
        <v>0</v>
      </c>
      <c r="AH664" s="1">
        <v>0</v>
      </c>
      <c r="AI664" s="1">
        <v>1</v>
      </c>
      <c r="AJ664" s="1">
        <v>0</v>
      </c>
      <c r="AK664" s="1">
        <v>0</v>
      </c>
      <c r="AL664" s="1">
        <v>691</v>
      </c>
      <c r="AM664" s="2">
        <v>42221</v>
      </c>
      <c r="AN664" t="str">
        <f t="shared" si="21"/>
        <v>65031,777,0.0119481478064308,0,1,29,258,107,291,84,37,86,4,10,3,13,7,0,0,0,0,0,0,0,61,51-66,2628,0,1,0,0,0,0,1,0,0,691,42221</v>
      </c>
    </row>
    <row r="665" spans="1:40" ht="13" hidden="1" x14ac:dyDescent="0.15">
      <c r="A665">
        <v>259</v>
      </c>
      <c r="B665" s="1">
        <v>63841</v>
      </c>
      <c r="C665" s="1">
        <v>777</v>
      </c>
      <c r="D665" s="4">
        <f t="shared" si="20"/>
        <v>1.2170861985244592E-2</v>
      </c>
      <c r="E665" s="1">
        <v>0</v>
      </c>
      <c r="F665" s="1">
        <v>1</v>
      </c>
      <c r="G665" s="1">
        <v>64</v>
      </c>
      <c r="H665" s="1">
        <v>635</v>
      </c>
      <c r="I665" s="1">
        <v>15</v>
      </c>
      <c r="J665" s="1">
        <v>100</v>
      </c>
      <c r="K665" s="1">
        <v>20</v>
      </c>
      <c r="L665" s="1">
        <v>7</v>
      </c>
      <c r="M665" s="1">
        <v>131</v>
      </c>
      <c r="N665" s="1">
        <v>1</v>
      </c>
      <c r="O665" s="1">
        <v>9</v>
      </c>
      <c r="P665" s="1">
        <v>3</v>
      </c>
      <c r="Q665" s="1">
        <v>9</v>
      </c>
      <c r="R665" s="1">
        <v>6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52</v>
      </c>
      <c r="AA665" s="1" t="str" cm="1">
        <f t="array" ref="AA665">_xlfn.IFS(AND(Z665&lt;36, Z665&gt;23), "24-35", AND(Z665&lt;51, Z665&gt;35),"36-50", AND(Z665&lt;66, Z665&gt;50), "51-66", Z665&gt;65, "66+", TRUE, "?")</f>
        <v>51-66</v>
      </c>
      <c r="AB665" s="1">
        <v>2593</v>
      </c>
      <c r="AC665" s="1">
        <v>1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1</v>
      </c>
      <c r="AK665" s="1">
        <v>0</v>
      </c>
      <c r="AL665" s="1">
        <v>646</v>
      </c>
      <c r="AM665" s="2">
        <v>42256</v>
      </c>
      <c r="AN665" t="str">
        <f t="shared" si="21"/>
        <v>63841,777,0.0121708619852446,0,1,64,635,15,100,20,7,131,1,9,3,9,6,0,0,0,0,0,0,0,52,51-66,2593,1,0,0,0,0,0,0,1,0,646,42256</v>
      </c>
    </row>
    <row r="666" spans="1:40" ht="13" hidden="1" x14ac:dyDescent="0.15">
      <c r="A666">
        <v>1403</v>
      </c>
      <c r="B666" s="1">
        <v>55759</v>
      </c>
      <c r="C666" s="1">
        <v>777</v>
      </c>
      <c r="D666" s="4">
        <f t="shared" si="20"/>
        <v>1.3934970139349702E-2</v>
      </c>
      <c r="E666" s="1">
        <v>0</v>
      </c>
      <c r="F666" s="1">
        <v>1</v>
      </c>
      <c r="G666" s="1">
        <v>84</v>
      </c>
      <c r="H666" s="1">
        <v>675</v>
      </c>
      <c r="I666" s="1">
        <v>0</v>
      </c>
      <c r="J666" s="1">
        <v>85</v>
      </c>
      <c r="K666" s="1">
        <v>10</v>
      </c>
      <c r="L666" s="1">
        <v>7</v>
      </c>
      <c r="M666" s="1">
        <v>77</v>
      </c>
      <c r="N666" s="1">
        <v>5</v>
      </c>
      <c r="O666" s="1">
        <v>10</v>
      </c>
      <c r="P666" s="1">
        <v>3</v>
      </c>
      <c r="Q666" s="1">
        <v>8</v>
      </c>
      <c r="R666" s="1">
        <v>8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58</v>
      </c>
      <c r="AA666" s="1" t="str" cm="1">
        <f t="array" ref="AA666">_xlfn.IFS(AND(Z666&lt;36, Z666&gt;23), "24-35", AND(Z666&lt;51, Z666&gt;35),"36-50", AND(Z666&lt;66, Z666&gt;50), "51-66", Z666&gt;65, "66+", TRUE, "?")</f>
        <v>51-66</v>
      </c>
      <c r="AB666" s="1">
        <v>2737</v>
      </c>
      <c r="AC666" s="1">
        <v>0</v>
      </c>
      <c r="AD666" s="1">
        <v>1</v>
      </c>
      <c r="AE666" s="1">
        <v>0</v>
      </c>
      <c r="AF666" s="1">
        <v>0</v>
      </c>
      <c r="AG666" s="1">
        <v>0</v>
      </c>
      <c r="AH666" s="1">
        <v>0</v>
      </c>
      <c r="AI666" s="1">
        <v>1</v>
      </c>
      <c r="AJ666" s="1">
        <v>0</v>
      </c>
      <c r="AK666" s="1">
        <v>0</v>
      </c>
      <c r="AL666" s="1">
        <v>700</v>
      </c>
      <c r="AM666" s="2">
        <v>42112</v>
      </c>
      <c r="AN666" t="str">
        <f t="shared" si="21"/>
        <v>55759,777,0.0139349701393497,0,1,84,675,0,85,10,7,77,5,10,3,8,8,0,0,0,0,0,0,0,58,51-66,2737,0,1,0,0,0,0,1,0,0,700,42112</v>
      </c>
    </row>
    <row r="667" spans="1:40" ht="13" hidden="1" x14ac:dyDescent="0.15">
      <c r="A667">
        <v>1598</v>
      </c>
      <c r="B667" s="1">
        <v>58086</v>
      </c>
      <c r="C667" s="1">
        <v>777</v>
      </c>
      <c r="D667" s="4">
        <f t="shared" si="20"/>
        <v>1.3376717281272595E-2</v>
      </c>
      <c r="E667" s="1">
        <v>0</v>
      </c>
      <c r="F667" s="1">
        <v>1</v>
      </c>
      <c r="G667" s="1">
        <v>80</v>
      </c>
      <c r="H667" s="1">
        <v>708</v>
      </c>
      <c r="I667" s="1">
        <v>7</v>
      </c>
      <c r="J667" s="1">
        <v>62</v>
      </c>
      <c r="K667" s="1">
        <v>0</v>
      </c>
      <c r="L667" s="1">
        <v>0</v>
      </c>
      <c r="M667" s="1">
        <v>15</v>
      </c>
      <c r="N667" s="1">
        <v>2</v>
      </c>
      <c r="O667" s="1">
        <v>11</v>
      </c>
      <c r="P667" s="1">
        <v>3</v>
      </c>
      <c r="Q667" s="1">
        <v>7</v>
      </c>
      <c r="R667" s="1">
        <v>8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51</v>
      </c>
      <c r="AA667" s="1" t="str" cm="1">
        <f t="array" ref="AA667">_xlfn.IFS(AND(Z667&lt;36, Z667&gt;23), "24-35", AND(Z667&lt;51, Z667&gt;35),"36-50", AND(Z667&lt;66, Z667&gt;50), "51-66", Z667&gt;65, "66+", TRUE, "?")</f>
        <v>51-66</v>
      </c>
      <c r="AB667" s="1">
        <v>2684</v>
      </c>
      <c r="AC667" s="1">
        <v>1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1</v>
      </c>
      <c r="AL667" s="1">
        <v>762</v>
      </c>
      <c r="AM667" s="2">
        <v>42165</v>
      </c>
      <c r="AN667" t="str">
        <f t="shared" si="21"/>
        <v>58086,777,0.0133767172812726,0,1,80,708,7,62,0,0,15,2,11,3,7,8,0,0,0,0,0,0,0,51,51-66,2684,1,0,0,0,0,0,0,0,1,762,42165</v>
      </c>
    </row>
    <row r="668" spans="1:40" ht="13" x14ac:dyDescent="0.15">
      <c r="A668">
        <v>1205</v>
      </c>
      <c r="B668" s="1">
        <v>54356</v>
      </c>
      <c r="C668" s="1">
        <v>775</v>
      </c>
      <c r="D668" s="4">
        <f t="shared" si="20"/>
        <v>1.4257855618514975E-2</v>
      </c>
      <c r="E668" s="1">
        <v>0</v>
      </c>
      <c r="F668" s="1">
        <v>1</v>
      </c>
      <c r="G668" s="1">
        <v>62</v>
      </c>
      <c r="H668" s="1">
        <v>710</v>
      </c>
      <c r="I668" s="1">
        <v>15</v>
      </c>
      <c r="J668" s="1">
        <v>30</v>
      </c>
      <c r="K668" s="1">
        <v>20</v>
      </c>
      <c r="L668" s="1">
        <v>0</v>
      </c>
      <c r="M668" s="1">
        <v>0</v>
      </c>
      <c r="N668" s="1">
        <v>3</v>
      </c>
      <c r="O668" s="1">
        <v>11</v>
      </c>
      <c r="P668" s="1">
        <v>2</v>
      </c>
      <c r="Q668" s="1">
        <v>8</v>
      </c>
      <c r="R668" s="1">
        <v>8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1</v>
      </c>
      <c r="Z668" s="1">
        <v>71</v>
      </c>
      <c r="AA668" s="1" t="str" cm="1">
        <f t="array" ref="AA668">_xlfn.IFS(AND(Z668&lt;36, Z668&gt;23), "24-35", AND(Z668&lt;51, Z668&gt;35),"36-50", AND(Z668&lt;66, Z668&gt;50), "51-66", Z668&gt;65, "66+", TRUE, "?")</f>
        <v>66+</v>
      </c>
      <c r="AB668" s="1">
        <v>2746</v>
      </c>
      <c r="AC668" s="1">
        <v>0</v>
      </c>
      <c r="AD668" s="1">
        <v>0</v>
      </c>
      <c r="AE668" s="1">
        <v>0</v>
      </c>
      <c r="AF668" s="1">
        <v>0</v>
      </c>
      <c r="AG668" s="1">
        <v>1</v>
      </c>
      <c r="AH668" s="1">
        <v>0</v>
      </c>
      <c r="AI668" s="1">
        <v>0</v>
      </c>
      <c r="AJ668" s="1">
        <v>0</v>
      </c>
      <c r="AK668" s="1">
        <v>1</v>
      </c>
      <c r="AL668" s="1">
        <v>775</v>
      </c>
      <c r="AM668" s="2">
        <v>42103</v>
      </c>
      <c r="AN668" t="str">
        <f t="shared" si="21"/>
        <v>54356,775,0.014257855618515,0,1,62,710,15,30,20,0,0,3,11,2,8,8,0,0,0,0,0,0,1,71,66+,2746,0,0,0,0,1,0,0,0,1,775,42103</v>
      </c>
    </row>
    <row r="669" spans="1:40" ht="13" hidden="1" x14ac:dyDescent="0.15">
      <c r="A669">
        <v>637</v>
      </c>
      <c r="B669" s="1">
        <v>68118</v>
      </c>
      <c r="C669" s="1">
        <v>774</v>
      </c>
      <c r="D669" s="4">
        <f t="shared" si="20"/>
        <v>1.1362635426759447E-2</v>
      </c>
      <c r="E669" s="1">
        <v>0</v>
      </c>
      <c r="F669" s="1">
        <v>1</v>
      </c>
      <c r="G669" s="1">
        <v>51</v>
      </c>
      <c r="H669" s="1">
        <v>595</v>
      </c>
      <c r="I669" s="1">
        <v>23</v>
      </c>
      <c r="J669" s="1">
        <v>123</v>
      </c>
      <c r="K669" s="1">
        <v>10</v>
      </c>
      <c r="L669" s="1">
        <v>23</v>
      </c>
      <c r="M669" s="1">
        <v>154</v>
      </c>
      <c r="N669" s="1">
        <v>2</v>
      </c>
      <c r="O669" s="1">
        <v>8</v>
      </c>
      <c r="P669" s="1">
        <v>9</v>
      </c>
      <c r="Q669" s="1">
        <v>4</v>
      </c>
      <c r="R669" s="1">
        <v>6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57</v>
      </c>
      <c r="AA669" s="1" t="str" cm="1">
        <f t="array" ref="AA669">_xlfn.IFS(AND(Z669&lt;36, Z669&gt;23), "24-35", AND(Z669&lt;51, Z669&gt;35),"36-50", AND(Z669&lt;66, Z669&gt;50), "51-66", Z669&gt;65, "66+", TRUE, "?")</f>
        <v>51-66</v>
      </c>
      <c r="AB669" s="1">
        <v>2413</v>
      </c>
      <c r="AC669" s="1">
        <v>1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1</v>
      </c>
      <c r="AJ669" s="1">
        <v>0</v>
      </c>
      <c r="AK669" s="1">
        <v>0</v>
      </c>
      <c r="AL669" s="1">
        <v>620</v>
      </c>
      <c r="AM669" s="2">
        <v>42436</v>
      </c>
      <c r="AN669" t="str">
        <f t="shared" si="21"/>
        <v>68118,774,0.0113626354267594,0,1,51,595,23,123,10,23,154,2,8,9,4,6,0,0,0,0,0,0,0,57,51-66,2413,1,0,0,0,0,0,1,0,0,620,42436</v>
      </c>
    </row>
    <row r="670" spans="1:40" ht="13" hidden="1" x14ac:dyDescent="0.15">
      <c r="A670">
        <v>1277</v>
      </c>
      <c r="B670" s="1">
        <v>59601</v>
      </c>
      <c r="C670" s="1">
        <v>774</v>
      </c>
      <c r="D670" s="4">
        <f t="shared" si="20"/>
        <v>1.298635928927367E-2</v>
      </c>
      <c r="E670" s="1">
        <v>0</v>
      </c>
      <c r="F670" s="1">
        <v>1</v>
      </c>
      <c r="G670" s="1">
        <v>14</v>
      </c>
      <c r="H670" s="1">
        <v>691</v>
      </c>
      <c r="I670" s="1">
        <v>7</v>
      </c>
      <c r="J670" s="1">
        <v>69</v>
      </c>
      <c r="K670" s="1">
        <v>0</v>
      </c>
      <c r="L670" s="1">
        <v>7</v>
      </c>
      <c r="M670" s="1">
        <v>23</v>
      </c>
      <c r="N670" s="1">
        <v>4</v>
      </c>
      <c r="O670" s="1">
        <v>2</v>
      </c>
      <c r="P670" s="1">
        <v>2</v>
      </c>
      <c r="Q670" s="1">
        <v>7</v>
      </c>
      <c r="R670" s="1">
        <v>8</v>
      </c>
      <c r="S670" s="1">
        <v>0</v>
      </c>
      <c r="T670" s="1">
        <v>0</v>
      </c>
      <c r="U670" s="1">
        <v>0</v>
      </c>
      <c r="V670" s="1">
        <v>1</v>
      </c>
      <c r="W670" s="1">
        <v>0</v>
      </c>
      <c r="X670" s="1">
        <v>0</v>
      </c>
      <c r="Y670" s="1">
        <v>0</v>
      </c>
      <c r="Z670" s="1">
        <v>43</v>
      </c>
      <c r="AA670" s="1" t="str" cm="1">
        <f t="array" ref="AA670">_xlfn.IFS(AND(Z670&lt;36, Z670&gt;23), "24-35", AND(Z670&lt;51, Z670&gt;35),"36-50", AND(Z670&lt;66, Z670&gt;50), "51-66", Z670&gt;65, "66+", TRUE, "?")</f>
        <v>36-50</v>
      </c>
      <c r="AB670" s="1">
        <v>2498</v>
      </c>
      <c r="AC670" s="1">
        <v>1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0</v>
      </c>
      <c r="AJ670" s="1">
        <v>0</v>
      </c>
      <c r="AK670" s="1">
        <v>0</v>
      </c>
      <c r="AL670" s="1">
        <v>751</v>
      </c>
      <c r="AM670" s="2">
        <v>42351</v>
      </c>
      <c r="AN670" t="str">
        <f t="shared" si="21"/>
        <v>59601,774,0.0129863592892737,0,1,14,691,7,69,0,7,23,4,2,2,7,8,0,0,0,1,0,0,0,43,36-50,2498,1,0,0,0,0,1,0,0,0,751,42351</v>
      </c>
    </row>
    <row r="671" spans="1:40" ht="13" hidden="1" x14ac:dyDescent="0.15">
      <c r="A671">
        <v>1300</v>
      </c>
      <c r="B671" s="1">
        <v>63915</v>
      </c>
      <c r="C671" s="1">
        <v>774</v>
      </c>
      <c r="D671" s="4">
        <f t="shared" si="20"/>
        <v>1.2109833372447781E-2</v>
      </c>
      <c r="E671" s="1">
        <v>0</v>
      </c>
      <c r="F671" s="1">
        <v>2</v>
      </c>
      <c r="G671" s="1">
        <v>2</v>
      </c>
      <c r="H671" s="1">
        <v>622</v>
      </c>
      <c r="I671" s="1">
        <v>7</v>
      </c>
      <c r="J671" s="1">
        <v>115</v>
      </c>
      <c r="K671" s="1">
        <v>30</v>
      </c>
      <c r="L671" s="1">
        <v>0</v>
      </c>
      <c r="M671" s="1">
        <v>15</v>
      </c>
      <c r="N671" s="1">
        <v>2</v>
      </c>
      <c r="O671" s="1">
        <v>6</v>
      </c>
      <c r="P671" s="1">
        <v>3</v>
      </c>
      <c r="Q671" s="1">
        <v>12</v>
      </c>
      <c r="R671" s="1">
        <v>5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64</v>
      </c>
      <c r="AA671" s="1" t="str" cm="1">
        <f t="array" ref="AA671">_xlfn.IFS(AND(Z671&lt;36, Z671&gt;23), "24-35", AND(Z671&lt;51, Z671&gt;35),"36-50", AND(Z671&lt;66, Z671&gt;50), "51-66", Z671&gt;65, "66+", TRUE, "?")</f>
        <v>51-66</v>
      </c>
      <c r="AB671" s="1">
        <v>2493</v>
      </c>
      <c r="AC671" s="1">
        <v>0</v>
      </c>
      <c r="AD671" s="1">
        <v>1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1</v>
      </c>
      <c r="AK671" s="1">
        <v>0</v>
      </c>
      <c r="AL671" s="1">
        <v>759</v>
      </c>
      <c r="AM671" s="2">
        <v>42356</v>
      </c>
      <c r="AN671" t="str">
        <f t="shared" si="21"/>
        <v>63915,774,0.0121098333724478,0,2,2,622,7,115,30,0,15,2,6,3,12,5,0,0,0,0,0,0,0,64,51-66,2493,0,1,0,0,0,0,0,1,0,759,42356</v>
      </c>
    </row>
    <row r="672" spans="1:40" ht="13" hidden="1" x14ac:dyDescent="0.15">
      <c r="A672">
        <v>463</v>
      </c>
      <c r="B672" s="1">
        <v>58308</v>
      </c>
      <c r="C672" s="1">
        <v>770</v>
      </c>
      <c r="D672" s="4">
        <f t="shared" si="20"/>
        <v>1.3205735062084105E-2</v>
      </c>
      <c r="E672" s="1">
        <v>0</v>
      </c>
      <c r="F672" s="1">
        <v>1</v>
      </c>
      <c r="G672" s="1">
        <v>77</v>
      </c>
      <c r="H672" s="1">
        <v>691</v>
      </c>
      <c r="I672" s="1">
        <v>0</v>
      </c>
      <c r="J672" s="1">
        <v>69</v>
      </c>
      <c r="K672" s="1">
        <v>10</v>
      </c>
      <c r="L672" s="1">
        <v>0</v>
      </c>
      <c r="M672" s="1">
        <v>130</v>
      </c>
      <c r="N672" s="1">
        <v>4</v>
      </c>
      <c r="O672" s="1">
        <v>2</v>
      </c>
      <c r="P672" s="1">
        <v>6</v>
      </c>
      <c r="Q672" s="1">
        <v>3</v>
      </c>
      <c r="R672" s="1">
        <v>8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56</v>
      </c>
      <c r="AA672" s="1" t="str" cm="1">
        <f t="array" ref="AA672">_xlfn.IFS(AND(Z672&lt;36, Z672&gt;23), "24-35", AND(Z672&lt;51, Z672&gt;35),"36-50", AND(Z672&lt;66, Z672&gt;50), "51-66", Z672&gt;65, "66+", TRUE, "?")</f>
        <v>51-66</v>
      </c>
      <c r="AB672" s="1">
        <v>2692</v>
      </c>
      <c r="AC672" s="1">
        <v>0</v>
      </c>
      <c r="AD672" s="1">
        <v>0</v>
      </c>
      <c r="AE672" s="1">
        <v>1</v>
      </c>
      <c r="AF672" s="1">
        <v>0</v>
      </c>
      <c r="AG672" s="1">
        <v>0</v>
      </c>
      <c r="AH672" s="1">
        <v>0</v>
      </c>
      <c r="AI672" s="1">
        <v>0</v>
      </c>
      <c r="AJ672" s="1">
        <v>1</v>
      </c>
      <c r="AK672" s="1">
        <v>0</v>
      </c>
      <c r="AL672" s="1">
        <v>640</v>
      </c>
      <c r="AM672" s="2">
        <v>42157</v>
      </c>
      <c r="AN672" t="str">
        <f t="shared" si="21"/>
        <v>58308,770,0.0132057350620841,0,1,77,691,0,69,10,0,130,4,2,6,3,8,0,0,0,0,0,0,0,56,51-66,2692,0,0,1,0,0,0,0,1,0,640,42157</v>
      </c>
    </row>
    <row r="673" spans="1:40" ht="13" x14ac:dyDescent="0.15">
      <c r="A673">
        <v>1207</v>
      </c>
      <c r="B673" s="1">
        <v>55424</v>
      </c>
      <c r="C673" s="1">
        <v>770</v>
      </c>
      <c r="D673" s="4">
        <f t="shared" si="20"/>
        <v>1.3892898383371825E-2</v>
      </c>
      <c r="E673" s="1">
        <v>0</v>
      </c>
      <c r="F673" s="1">
        <v>1</v>
      </c>
      <c r="G673" s="1">
        <v>6</v>
      </c>
      <c r="H673" s="1">
        <v>462</v>
      </c>
      <c r="I673" s="1">
        <v>61</v>
      </c>
      <c r="J673" s="1">
        <v>184</v>
      </c>
      <c r="K673" s="1">
        <v>10</v>
      </c>
      <c r="L673" s="1">
        <v>53</v>
      </c>
      <c r="M673" s="1">
        <v>107</v>
      </c>
      <c r="N673" s="1">
        <v>4</v>
      </c>
      <c r="O673" s="1">
        <v>7</v>
      </c>
      <c r="P673" s="1">
        <v>5</v>
      </c>
      <c r="Q673" s="1">
        <v>9</v>
      </c>
      <c r="R673" s="1">
        <v>6</v>
      </c>
      <c r="S673" s="1">
        <v>0</v>
      </c>
      <c r="T673" s="1">
        <v>0</v>
      </c>
      <c r="U673" s="1">
        <v>1</v>
      </c>
      <c r="V673" s="1">
        <v>0</v>
      </c>
      <c r="W673" s="1">
        <v>0</v>
      </c>
      <c r="X673" s="1">
        <v>0</v>
      </c>
      <c r="Y673" s="1">
        <v>1</v>
      </c>
      <c r="Z673" s="1">
        <v>44</v>
      </c>
      <c r="AA673" s="1" t="str" cm="1">
        <f t="array" ref="AA673">_xlfn.IFS(AND(Z673&lt;36, Z673&gt;23), "24-35", AND(Z673&lt;51, Z673&gt;35),"36-50", AND(Z673&lt;66, Z673&gt;50), "51-66", Z673&gt;65, "66+", TRUE, "?")</f>
        <v>36-50</v>
      </c>
      <c r="AB673" s="1">
        <v>2740</v>
      </c>
      <c r="AC673" s="1">
        <v>0</v>
      </c>
      <c r="AD673" s="1">
        <v>1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1</v>
      </c>
      <c r="AL673" s="1">
        <v>663</v>
      </c>
      <c r="AM673" s="2">
        <v>42109</v>
      </c>
      <c r="AN673" t="str">
        <f t="shared" si="21"/>
        <v>55424,770,0.0138928983833718,0,1,6,462,61,184,10,53,107,4,7,5,9,6,0,0,1,0,0,0,1,44,36-50,2740,0,1,0,0,0,0,0,0,1,663,42109</v>
      </c>
    </row>
    <row r="674" spans="1:40" ht="13" x14ac:dyDescent="0.15">
      <c r="A674">
        <v>1216</v>
      </c>
      <c r="B674" s="1">
        <v>88097</v>
      </c>
      <c r="C674" s="1">
        <v>769</v>
      </c>
      <c r="D674" s="4">
        <f t="shared" si="20"/>
        <v>8.7290146088970112E-3</v>
      </c>
      <c r="E674" s="1">
        <v>1</v>
      </c>
      <c r="F674" s="1">
        <v>0</v>
      </c>
      <c r="G674" s="1">
        <v>24</v>
      </c>
      <c r="H674" s="1">
        <v>163</v>
      </c>
      <c r="I674" s="1">
        <v>0</v>
      </c>
      <c r="J674" s="1">
        <v>480</v>
      </c>
      <c r="K674" s="1">
        <v>0</v>
      </c>
      <c r="L674" s="1">
        <v>126</v>
      </c>
      <c r="M674" s="1">
        <v>75</v>
      </c>
      <c r="N674" s="1">
        <v>1</v>
      </c>
      <c r="O674" s="1">
        <v>6</v>
      </c>
      <c r="P674" s="1">
        <v>5</v>
      </c>
      <c r="Q674" s="1">
        <v>8</v>
      </c>
      <c r="R674" s="1">
        <v>9</v>
      </c>
      <c r="S674" s="1">
        <v>1</v>
      </c>
      <c r="T674" s="1">
        <v>0</v>
      </c>
      <c r="U674" s="1">
        <v>0</v>
      </c>
      <c r="V674" s="1">
        <v>1</v>
      </c>
      <c r="W674" s="1">
        <v>1</v>
      </c>
      <c r="X674" s="1">
        <v>0</v>
      </c>
      <c r="Y674" s="1">
        <v>1</v>
      </c>
      <c r="Z674" s="1">
        <v>42</v>
      </c>
      <c r="AA674" s="1" t="str" cm="1">
        <f t="array" ref="AA674">_xlfn.IFS(AND(Z674&lt;36, Z674&gt;23), "24-35", AND(Z674&lt;51, Z674&gt;35),"36-50", AND(Z674&lt;66, Z674&gt;50), "51-66", Z674&gt;65, "66+", TRUE, "?")</f>
        <v>36-50</v>
      </c>
      <c r="AB674" s="1">
        <v>2839</v>
      </c>
      <c r="AC674" s="1">
        <v>0</v>
      </c>
      <c r="AD674" s="1">
        <v>1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1</v>
      </c>
      <c r="AK674" s="1">
        <v>0</v>
      </c>
      <c r="AL674" s="1">
        <v>694</v>
      </c>
      <c r="AM674" s="2">
        <v>42010</v>
      </c>
      <c r="AN674" t="str">
        <f t="shared" si="21"/>
        <v>88097,769,0.00872901460889701,1,0,24,163,0,480,0,126,75,1,6,5,8,9,1,0,0,1,1,0,1,42,36-50,2839,0,1,0,0,0,0,0,1,0,694,42010</v>
      </c>
    </row>
    <row r="675" spans="1:40" ht="13" x14ac:dyDescent="0.15">
      <c r="A675">
        <v>1218</v>
      </c>
      <c r="B675" s="1">
        <v>56534</v>
      </c>
      <c r="C675" s="1">
        <v>769</v>
      </c>
      <c r="D675" s="4">
        <f t="shared" si="20"/>
        <v>1.3602433933562105E-2</v>
      </c>
      <c r="E675" s="1">
        <v>0</v>
      </c>
      <c r="F675" s="1">
        <v>1</v>
      </c>
      <c r="G675" s="1">
        <v>35</v>
      </c>
      <c r="H675" s="1">
        <v>691</v>
      </c>
      <c r="I675" s="1">
        <v>7</v>
      </c>
      <c r="J675" s="1">
        <v>61</v>
      </c>
      <c r="K675" s="1">
        <v>10</v>
      </c>
      <c r="L675" s="1">
        <v>0</v>
      </c>
      <c r="M675" s="1">
        <v>46</v>
      </c>
      <c r="N675" s="1">
        <v>4</v>
      </c>
      <c r="O675" s="1">
        <v>10</v>
      </c>
      <c r="P675" s="1">
        <v>4</v>
      </c>
      <c r="Q675" s="1">
        <v>7</v>
      </c>
      <c r="R675" s="1">
        <v>8</v>
      </c>
      <c r="S675" s="1">
        <v>0</v>
      </c>
      <c r="T675" s="1">
        <v>1</v>
      </c>
      <c r="U675" s="1">
        <v>0</v>
      </c>
      <c r="V675" s="1">
        <v>1</v>
      </c>
      <c r="W675" s="1">
        <v>0</v>
      </c>
      <c r="X675" s="1">
        <v>0</v>
      </c>
      <c r="Y675" s="1">
        <v>1</v>
      </c>
      <c r="Z675" s="1">
        <v>52</v>
      </c>
      <c r="AA675" s="1" t="str" cm="1">
        <f t="array" ref="AA675">_xlfn.IFS(AND(Z675&lt;36, Z675&gt;23), "24-35", AND(Z675&lt;51, Z675&gt;35),"36-50", AND(Z675&lt;66, Z675&gt;50), "51-66", Z675&gt;65, "66+", TRUE, "?")</f>
        <v>51-66</v>
      </c>
      <c r="AB675" s="1">
        <v>2500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1</v>
      </c>
      <c r="AJ675" s="1">
        <v>0</v>
      </c>
      <c r="AK675" s="1">
        <v>0</v>
      </c>
      <c r="AL675" s="1">
        <v>723</v>
      </c>
      <c r="AM675" s="2">
        <v>42349</v>
      </c>
      <c r="AN675" t="str">
        <f t="shared" si="21"/>
        <v>56534,769,0.0136024339335621,0,1,35,691,7,61,10,0,46,4,10,4,7,8,0,1,0,1,0,0,1,52,51-66,2500,0,0,0,1,0,0,1,0,0,723,42349</v>
      </c>
    </row>
    <row r="676" spans="1:40" ht="13" hidden="1" x14ac:dyDescent="0.15">
      <c r="A676">
        <v>1941</v>
      </c>
      <c r="B676" s="1">
        <v>65333</v>
      </c>
      <c r="C676" s="1">
        <v>768</v>
      </c>
      <c r="D676" s="4">
        <f t="shared" si="20"/>
        <v>1.1755162016132735E-2</v>
      </c>
      <c r="E676" s="1">
        <v>0</v>
      </c>
      <c r="F676" s="1">
        <v>1</v>
      </c>
      <c r="G676" s="1">
        <v>58</v>
      </c>
      <c r="H676" s="1">
        <v>654</v>
      </c>
      <c r="I676" s="1">
        <v>7</v>
      </c>
      <c r="J676" s="1">
        <v>92</v>
      </c>
      <c r="K676" s="1">
        <v>0</v>
      </c>
      <c r="L676" s="1">
        <v>15</v>
      </c>
      <c r="M676" s="1">
        <v>30</v>
      </c>
      <c r="N676" s="1">
        <v>7</v>
      </c>
      <c r="O676" s="1">
        <v>9</v>
      </c>
      <c r="P676" s="1">
        <v>4</v>
      </c>
      <c r="Q676" s="1">
        <v>8</v>
      </c>
      <c r="R676" s="1">
        <v>6</v>
      </c>
      <c r="S676" s="1">
        <v>0</v>
      </c>
      <c r="T676" s="1">
        <v>0</v>
      </c>
      <c r="U676" s="1">
        <v>0</v>
      </c>
      <c r="V676" s="1">
        <v>1</v>
      </c>
      <c r="W676" s="1">
        <v>1</v>
      </c>
      <c r="X676" s="1">
        <v>0</v>
      </c>
      <c r="Y676" s="1">
        <v>0</v>
      </c>
      <c r="Z676" s="1">
        <v>47</v>
      </c>
      <c r="AA676" s="1" t="str" cm="1">
        <f t="array" ref="AA676">_xlfn.IFS(AND(Z676&lt;36, Z676&gt;23), "24-35", AND(Z676&lt;51, Z676&gt;35),"36-50", AND(Z676&lt;66, Z676&gt;50), "51-66", Z676&gt;65, "66+", TRUE, "?")</f>
        <v>36-50</v>
      </c>
      <c r="AB676" s="1">
        <v>2322</v>
      </c>
      <c r="AC676" s="1">
        <v>0</v>
      </c>
      <c r="AD676" s="1">
        <v>0</v>
      </c>
      <c r="AE676" s="1">
        <v>1</v>
      </c>
      <c r="AF676" s="1">
        <v>0</v>
      </c>
      <c r="AG676" s="1">
        <v>0</v>
      </c>
      <c r="AH676" s="1">
        <v>0</v>
      </c>
      <c r="AI676" s="1">
        <v>1</v>
      </c>
      <c r="AJ676" s="1">
        <v>0</v>
      </c>
      <c r="AK676" s="1">
        <v>0</v>
      </c>
      <c r="AL676" s="1">
        <v>738</v>
      </c>
      <c r="AM676" s="2">
        <v>42527</v>
      </c>
      <c r="AN676" t="str">
        <f t="shared" si="21"/>
        <v>65333,768,0.0117551620161327,0,1,58,654,7,92,0,15,30,7,9,4,8,6,0,0,0,1,1,0,0,47,36-50,2322,0,0,1,0,0,0,1,0,0,738,42527</v>
      </c>
    </row>
    <row r="677" spans="1:40" ht="13" hidden="1" x14ac:dyDescent="0.15">
      <c r="A677">
        <v>320</v>
      </c>
      <c r="B677" s="1">
        <v>82623</v>
      </c>
      <c r="C677" s="1">
        <v>767</v>
      </c>
      <c r="D677" s="4">
        <f t="shared" si="20"/>
        <v>9.2831293949626609E-3</v>
      </c>
      <c r="E677" s="1">
        <v>0</v>
      </c>
      <c r="F677" s="1">
        <v>0</v>
      </c>
      <c r="G677" s="1">
        <v>58</v>
      </c>
      <c r="H677" s="1">
        <v>204</v>
      </c>
      <c r="I677" s="1">
        <v>34</v>
      </c>
      <c r="J677" s="1">
        <v>204</v>
      </c>
      <c r="K677" s="1">
        <v>172</v>
      </c>
      <c r="L677" s="1">
        <v>153</v>
      </c>
      <c r="M677" s="1">
        <v>173</v>
      </c>
      <c r="N677" s="1">
        <v>1</v>
      </c>
      <c r="O677" s="1">
        <v>2</v>
      </c>
      <c r="P677" s="1">
        <v>9</v>
      </c>
      <c r="Q677" s="1">
        <v>4</v>
      </c>
      <c r="R677" s="1">
        <v>1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68</v>
      </c>
      <c r="AA677" s="1" t="str" cm="1">
        <f t="array" ref="AA677">_xlfn.IFS(AND(Z677&lt;36, Z677&gt;23), "24-35", AND(Z677&lt;51, Z677&gt;35),"36-50", AND(Z677&lt;66, Z677&gt;50), "51-66", Z677&gt;65, "66+", TRUE, "?")</f>
        <v>66+</v>
      </c>
      <c r="AB677" s="1">
        <v>2390</v>
      </c>
      <c r="AC677" s="1">
        <v>1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0</v>
      </c>
      <c r="AK677" s="1">
        <v>0</v>
      </c>
      <c r="AL677" s="1">
        <v>594</v>
      </c>
      <c r="AM677" s="2">
        <v>42459</v>
      </c>
      <c r="AN677" t="str">
        <f t="shared" si="21"/>
        <v>82623,767,0.00928312939496266,0,0,58,204,34,204,172,153,173,1,2,9,4,1,0,0,0,0,0,0,0,68,66+,2390,1,0,0,0,0,0,1,0,0,594,42459</v>
      </c>
    </row>
    <row r="678" spans="1:40" ht="13" hidden="1" x14ac:dyDescent="0.15">
      <c r="A678">
        <v>1509</v>
      </c>
      <c r="B678" s="1">
        <v>75774</v>
      </c>
      <c r="C678" s="1">
        <v>767</v>
      </c>
      <c r="D678" s="4">
        <f t="shared" si="20"/>
        <v>1.0122205505846332E-2</v>
      </c>
      <c r="E678" s="1">
        <v>1</v>
      </c>
      <c r="F678" s="1">
        <v>0</v>
      </c>
      <c r="G678" s="1">
        <v>27</v>
      </c>
      <c r="H678" s="1">
        <v>340</v>
      </c>
      <c r="I678" s="1">
        <v>21</v>
      </c>
      <c r="J678" s="1">
        <v>134</v>
      </c>
      <c r="K678" s="1">
        <v>258</v>
      </c>
      <c r="L678" s="1">
        <v>14</v>
      </c>
      <c r="M678" s="1">
        <v>56</v>
      </c>
      <c r="N678" s="1">
        <v>1</v>
      </c>
      <c r="O678" s="1">
        <v>7</v>
      </c>
      <c r="P678" s="1">
        <v>5</v>
      </c>
      <c r="Q678" s="1">
        <v>8</v>
      </c>
      <c r="R678" s="1">
        <v>4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39</v>
      </c>
      <c r="AA678" s="1" t="str" cm="1">
        <f t="array" ref="AA678">_xlfn.IFS(AND(Z678&lt;36, Z678&gt;23), "24-35", AND(Z678&lt;51, Z678&gt;35),"36-50", AND(Z678&lt;66, Z678&gt;50), "51-66", Z678&gt;65, "66+", TRUE, "?")</f>
        <v>36-50</v>
      </c>
      <c r="AB678" s="1">
        <v>2217</v>
      </c>
      <c r="AC678" s="1">
        <v>0</v>
      </c>
      <c r="AD678" s="1">
        <v>0</v>
      </c>
      <c r="AE678" s="1">
        <v>0</v>
      </c>
      <c r="AF678" s="1">
        <v>1</v>
      </c>
      <c r="AG678" s="1">
        <v>0</v>
      </c>
      <c r="AH678" s="1">
        <v>1</v>
      </c>
      <c r="AI678" s="1">
        <v>0</v>
      </c>
      <c r="AJ678" s="1">
        <v>0</v>
      </c>
      <c r="AK678" s="1">
        <v>0</v>
      </c>
      <c r="AL678" s="1">
        <v>711</v>
      </c>
      <c r="AM678" s="2">
        <v>42632</v>
      </c>
      <c r="AN678" t="str">
        <f t="shared" si="21"/>
        <v>75774,767,0.0101222055058463,1,0,27,340,21,134,258,14,56,1,7,5,8,4,0,0,0,0,0,0,0,39,36-50,2217,0,0,0,1,0,1,0,0,0,711,42632</v>
      </c>
    </row>
    <row r="679" spans="1:40" ht="13" hidden="1" x14ac:dyDescent="0.15">
      <c r="A679">
        <v>1150</v>
      </c>
      <c r="B679" s="1">
        <v>61284</v>
      </c>
      <c r="C679" s="1">
        <v>766</v>
      </c>
      <c r="D679" s="4">
        <f t="shared" si="20"/>
        <v>1.2499184126362509E-2</v>
      </c>
      <c r="E679" s="1">
        <v>0</v>
      </c>
      <c r="F679" s="1">
        <v>0</v>
      </c>
      <c r="G679" s="1">
        <v>76</v>
      </c>
      <c r="H679" s="1">
        <v>618</v>
      </c>
      <c r="I679" s="1">
        <v>15</v>
      </c>
      <c r="J679" s="1">
        <v>106</v>
      </c>
      <c r="K679" s="1">
        <v>20</v>
      </c>
      <c r="L679" s="1">
        <v>7</v>
      </c>
      <c r="M679" s="1">
        <v>45</v>
      </c>
      <c r="N679" s="1">
        <v>1</v>
      </c>
      <c r="O679" s="1">
        <v>11</v>
      </c>
      <c r="P679" s="1">
        <v>2</v>
      </c>
      <c r="Q679" s="1">
        <v>8</v>
      </c>
      <c r="R679" s="1">
        <v>6</v>
      </c>
      <c r="S679" s="1">
        <v>0</v>
      </c>
      <c r="T679" s="1">
        <v>0</v>
      </c>
      <c r="U679" s="1">
        <v>0</v>
      </c>
      <c r="V679" s="1">
        <v>1</v>
      </c>
      <c r="W679" s="1">
        <v>0</v>
      </c>
      <c r="X679" s="1">
        <v>0</v>
      </c>
      <c r="Y679" s="1">
        <v>0</v>
      </c>
      <c r="Z679" s="1">
        <v>65</v>
      </c>
      <c r="AA679" s="1" t="str" cm="1">
        <f t="array" ref="AA679">_xlfn.IFS(AND(Z679&lt;36, Z679&gt;23), "24-35", AND(Z679&lt;51, Z679&gt;35),"36-50", AND(Z679&lt;66, Z679&gt;50), "51-66", Z679&gt;65, "66+", TRUE, "?")</f>
        <v>51-66</v>
      </c>
      <c r="AB679" s="1">
        <v>2419</v>
      </c>
      <c r="AC679" s="1">
        <v>0</v>
      </c>
      <c r="AD679" s="1">
        <v>0</v>
      </c>
      <c r="AE679" s="1">
        <v>1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1</v>
      </c>
      <c r="AL679" s="1">
        <v>721</v>
      </c>
      <c r="AM679" s="2">
        <v>42430</v>
      </c>
      <c r="AN679" t="str">
        <f t="shared" si="21"/>
        <v>61284,766,0.0124991841263625,0,0,76,618,15,106,20,7,45,1,11,2,8,6,0,0,0,1,0,0,0,65,51-66,2419,0,0,1,0,0,0,0,0,1,721,42430</v>
      </c>
    </row>
    <row r="680" spans="1:40" ht="13" hidden="1" x14ac:dyDescent="0.15">
      <c r="A680">
        <v>1528</v>
      </c>
      <c r="B680" s="1">
        <v>63246</v>
      </c>
      <c r="C680" s="1">
        <v>765</v>
      </c>
      <c r="D680" s="4">
        <f t="shared" si="20"/>
        <v>1.2095626600891756E-2</v>
      </c>
      <c r="E680" s="1">
        <v>0</v>
      </c>
      <c r="F680" s="1">
        <v>2</v>
      </c>
      <c r="G680" s="1">
        <v>60</v>
      </c>
      <c r="H680" s="1">
        <v>593</v>
      </c>
      <c r="I680" s="1">
        <v>30</v>
      </c>
      <c r="J680" s="1">
        <v>91</v>
      </c>
      <c r="K680" s="1">
        <v>29</v>
      </c>
      <c r="L680" s="1">
        <v>22</v>
      </c>
      <c r="M680" s="1">
        <v>7</v>
      </c>
      <c r="N680" s="1">
        <v>1</v>
      </c>
      <c r="O680" s="1">
        <v>6</v>
      </c>
      <c r="P680" s="1">
        <v>3</v>
      </c>
      <c r="Q680" s="1">
        <v>12</v>
      </c>
      <c r="R680" s="1">
        <v>4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53</v>
      </c>
      <c r="AA680" s="1" t="str" cm="1">
        <f t="array" ref="AA680">_xlfn.IFS(AND(Z680&lt;36, Z680&gt;23), "24-35", AND(Z680&lt;51, Z680&gt;35),"36-50", AND(Z680&lt;66, Z680&gt;50), "51-66", Z680&gt;65, "66+", TRUE, "?")</f>
        <v>51-66</v>
      </c>
      <c r="AB680" s="1">
        <v>2472</v>
      </c>
      <c r="AC680" s="1">
        <v>0</v>
      </c>
      <c r="AD680" s="1">
        <v>1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1</v>
      </c>
      <c r="AL680" s="1">
        <v>758</v>
      </c>
      <c r="AM680" s="2">
        <v>42377</v>
      </c>
      <c r="AN680" t="str">
        <f t="shared" si="21"/>
        <v>63246,765,0.0120956266008918,0,2,60,593,30,91,29,22,7,1,6,3,12,4,0,0,0,0,0,0,0,53,51-66,2472,0,1,0,0,0,0,0,0,1,758,42377</v>
      </c>
    </row>
    <row r="681" spans="1:40" ht="13" hidden="1" x14ac:dyDescent="0.15">
      <c r="A681">
        <v>256</v>
      </c>
      <c r="B681" s="1">
        <v>66313</v>
      </c>
      <c r="C681" s="1">
        <v>763</v>
      </c>
      <c r="D681" s="4">
        <f t="shared" si="20"/>
        <v>1.1506039539758418E-2</v>
      </c>
      <c r="E681" s="1">
        <v>0</v>
      </c>
      <c r="F681" s="1">
        <v>1</v>
      </c>
      <c r="G681" s="1">
        <v>86</v>
      </c>
      <c r="H681" s="1">
        <v>625</v>
      </c>
      <c r="I681" s="1">
        <v>7</v>
      </c>
      <c r="J681" s="1">
        <v>99</v>
      </c>
      <c r="K681" s="1">
        <v>10</v>
      </c>
      <c r="L681" s="1">
        <v>22</v>
      </c>
      <c r="M681" s="1">
        <v>7</v>
      </c>
      <c r="N681" s="1">
        <v>2</v>
      </c>
      <c r="O681" s="1">
        <v>6</v>
      </c>
      <c r="P681" s="1">
        <v>3</v>
      </c>
      <c r="Q681" s="1">
        <v>12</v>
      </c>
      <c r="R681" s="1">
        <v>4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57</v>
      </c>
      <c r="AA681" s="1" t="str" cm="1">
        <f t="array" ref="AA681">_xlfn.IFS(AND(Z681&lt;36, Z681&gt;23), "24-35", AND(Z681&lt;51, Z681&gt;35),"36-50", AND(Z681&lt;66, Z681&gt;50), "51-66", Z681&gt;65, "66+", TRUE, "?")</f>
        <v>51-66</v>
      </c>
      <c r="AB681" s="1">
        <v>2445</v>
      </c>
      <c r="AC681" s="1">
        <v>0</v>
      </c>
      <c r="AD681" s="1">
        <v>0</v>
      </c>
      <c r="AE681" s="1">
        <v>0</v>
      </c>
      <c r="AF681" s="1">
        <v>1</v>
      </c>
      <c r="AG681" s="1">
        <v>0</v>
      </c>
      <c r="AH681" s="1">
        <v>0</v>
      </c>
      <c r="AI681" s="1">
        <v>0</v>
      </c>
      <c r="AJ681" s="1">
        <v>0</v>
      </c>
      <c r="AK681" s="1">
        <v>1</v>
      </c>
      <c r="AL681" s="1">
        <v>756</v>
      </c>
      <c r="AM681" s="2">
        <v>42404</v>
      </c>
      <c r="AN681" t="str">
        <f t="shared" si="21"/>
        <v>66313,763,0.0115060395397584,0,1,86,625,7,99,10,22,7,2,6,3,12,4,0,0,0,0,0,0,0,57,51-66,2445,0,0,0,1,0,0,0,0,1,756,42404</v>
      </c>
    </row>
    <row r="682" spans="1:40" ht="13" hidden="1" x14ac:dyDescent="0.15">
      <c r="A682">
        <v>1428</v>
      </c>
      <c r="B682" s="1">
        <v>51983</v>
      </c>
      <c r="C682" s="1">
        <v>763</v>
      </c>
      <c r="D682" s="4">
        <f t="shared" si="20"/>
        <v>1.4677875459284766E-2</v>
      </c>
      <c r="E682" s="1">
        <v>0</v>
      </c>
      <c r="F682" s="1">
        <v>1</v>
      </c>
      <c r="G682" s="1">
        <v>95</v>
      </c>
      <c r="H682" s="1">
        <v>631</v>
      </c>
      <c r="I682" s="1">
        <v>0</v>
      </c>
      <c r="J682" s="1">
        <v>115</v>
      </c>
      <c r="K682" s="1">
        <v>10</v>
      </c>
      <c r="L682" s="1">
        <v>7</v>
      </c>
      <c r="M682" s="1">
        <v>30</v>
      </c>
      <c r="N682" s="1">
        <v>3</v>
      </c>
      <c r="O682" s="1">
        <v>9</v>
      </c>
      <c r="P682" s="1">
        <v>2</v>
      </c>
      <c r="Q682" s="1">
        <v>10</v>
      </c>
      <c r="R682" s="1">
        <v>7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56</v>
      </c>
      <c r="AA682" s="1" t="str" cm="1">
        <f t="array" ref="AA682">_xlfn.IFS(AND(Z682&lt;36, Z682&gt;23), "24-35", AND(Z682&lt;51, Z682&gt;35),"36-50", AND(Z682&lt;66, Z682&gt;50), "51-66", Z682&gt;65, "66+", TRUE, "?")</f>
        <v>51-66</v>
      </c>
      <c r="AB682" s="1">
        <v>2826</v>
      </c>
      <c r="AC682" s="1">
        <v>1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1</v>
      </c>
      <c r="AJ682" s="1">
        <v>0</v>
      </c>
      <c r="AK682" s="1">
        <v>0</v>
      </c>
      <c r="AL682" s="1">
        <v>733</v>
      </c>
      <c r="AM682" s="2">
        <v>42023</v>
      </c>
      <c r="AN682" t="str">
        <f t="shared" si="21"/>
        <v>51983,763,0.0146778754592848,0,1,95,631,0,115,10,7,30,3,9,2,10,7,0,0,0,0,0,0,0,56,51-66,2826,1,0,0,0,0,0,1,0,0,733,42023</v>
      </c>
    </row>
    <row r="683" spans="1:40" ht="13" hidden="1" x14ac:dyDescent="0.15">
      <c r="A683">
        <v>1262</v>
      </c>
      <c r="B683" s="1">
        <v>62061</v>
      </c>
      <c r="C683" s="1">
        <v>762</v>
      </c>
      <c r="D683" s="4">
        <f t="shared" si="20"/>
        <v>1.2278242374438053E-2</v>
      </c>
      <c r="E683" s="1">
        <v>0</v>
      </c>
      <c r="F683" s="1">
        <v>1</v>
      </c>
      <c r="G683" s="1">
        <v>12</v>
      </c>
      <c r="H683" s="1">
        <v>641</v>
      </c>
      <c r="I683" s="1">
        <v>7</v>
      </c>
      <c r="J683" s="1">
        <v>84</v>
      </c>
      <c r="K683" s="1">
        <v>0</v>
      </c>
      <c r="L683" s="1">
        <v>30</v>
      </c>
      <c r="M683" s="1">
        <v>38</v>
      </c>
      <c r="N683" s="1">
        <v>3</v>
      </c>
      <c r="O683" s="1">
        <v>10</v>
      </c>
      <c r="P683" s="1">
        <v>4</v>
      </c>
      <c r="Q683" s="1">
        <v>7</v>
      </c>
      <c r="R683" s="1">
        <v>6</v>
      </c>
      <c r="S683" s="1">
        <v>0</v>
      </c>
      <c r="T683" s="1">
        <v>0</v>
      </c>
      <c r="U683" s="1">
        <v>0</v>
      </c>
      <c r="V683" s="1">
        <v>1</v>
      </c>
      <c r="W683" s="1">
        <v>0</v>
      </c>
      <c r="X683" s="1">
        <v>0</v>
      </c>
      <c r="Y683" s="1">
        <v>0</v>
      </c>
      <c r="Z683" s="1">
        <v>44</v>
      </c>
      <c r="AA683" s="1" t="str" cm="1">
        <f t="array" ref="AA683">_xlfn.IFS(AND(Z683&lt;36, Z683&gt;23), "24-35", AND(Z683&lt;51, Z683&gt;35),"36-50", AND(Z683&lt;66, Z683&gt;50), "51-66", Z683&gt;65, "66+", TRUE, "?")</f>
        <v>36-50</v>
      </c>
      <c r="AB683" s="1">
        <v>2461</v>
      </c>
      <c r="AC683" s="1">
        <v>0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1</v>
      </c>
      <c r="AJ683" s="1">
        <v>0</v>
      </c>
      <c r="AK683" s="1">
        <v>0</v>
      </c>
      <c r="AL683" s="1">
        <v>724</v>
      </c>
      <c r="AM683" s="2">
        <v>42388</v>
      </c>
      <c r="AN683" t="str">
        <f t="shared" si="21"/>
        <v>62061,762,0.0122782423744381,0,1,12,641,7,84,0,30,38,3,10,4,7,6,0,0,0,1,0,0,0,44,36-50,2461,0,0,0,1,0,0,1,0,0,724,42388</v>
      </c>
    </row>
    <row r="684" spans="1:40" ht="13" hidden="1" x14ac:dyDescent="0.15">
      <c r="A684">
        <v>530</v>
      </c>
      <c r="B684" s="1">
        <v>71499</v>
      </c>
      <c r="C684" s="1">
        <v>758</v>
      </c>
      <c r="D684" s="4">
        <f t="shared" si="20"/>
        <v>1.0601546874781466E-2</v>
      </c>
      <c r="E684" s="1">
        <v>0</v>
      </c>
      <c r="F684" s="1">
        <v>1</v>
      </c>
      <c r="G684" s="1">
        <v>12</v>
      </c>
      <c r="H684" s="1">
        <v>465</v>
      </c>
      <c r="I684" s="1">
        <v>25</v>
      </c>
      <c r="J684" s="1">
        <v>132</v>
      </c>
      <c r="K684" s="1">
        <v>136</v>
      </c>
      <c r="L684" s="1">
        <v>0</v>
      </c>
      <c r="M684" s="1">
        <v>37</v>
      </c>
      <c r="N684" s="1">
        <v>2</v>
      </c>
      <c r="O684" s="1">
        <v>8</v>
      </c>
      <c r="P684" s="1">
        <v>3</v>
      </c>
      <c r="Q684" s="1">
        <v>13</v>
      </c>
      <c r="R684" s="1">
        <v>4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49</v>
      </c>
      <c r="AA684" s="1" t="str" cm="1">
        <f t="array" ref="AA684">_xlfn.IFS(AND(Z684&lt;36, Z684&gt;23), "24-35", AND(Z684&lt;51, Z684&gt;35),"36-50", AND(Z684&lt;66, Z684&gt;50), "51-66", Z684&gt;65, "66+", TRUE, "?")</f>
        <v>36-50</v>
      </c>
      <c r="AB684" s="1">
        <v>2528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0</v>
      </c>
      <c r="AJ684" s="1">
        <v>1</v>
      </c>
      <c r="AK684" s="1">
        <v>0</v>
      </c>
      <c r="AL684" s="1">
        <v>721</v>
      </c>
      <c r="AM684" s="2">
        <v>42321</v>
      </c>
      <c r="AN684" t="str">
        <f t="shared" si="21"/>
        <v>71499,758,0.0106015468747815,0,1,12,465,25,132,136,0,37,2,8,3,13,4,0,0,0,0,0,0,0,49,36-50,2528,0,0,0,1,0,0,0,1,0,721,42321</v>
      </c>
    </row>
    <row r="685" spans="1:40" ht="13" hidden="1" x14ac:dyDescent="0.15">
      <c r="A685">
        <v>1728</v>
      </c>
      <c r="B685" s="1">
        <v>69719</v>
      </c>
      <c r="C685" s="1">
        <v>758</v>
      </c>
      <c r="D685" s="4">
        <f t="shared" si="20"/>
        <v>1.0872215608370745E-2</v>
      </c>
      <c r="E685" s="1">
        <v>0</v>
      </c>
      <c r="F685" s="1">
        <v>0</v>
      </c>
      <c r="G685" s="1">
        <v>99</v>
      </c>
      <c r="H685" s="1">
        <v>273</v>
      </c>
      <c r="I685" s="1">
        <v>86</v>
      </c>
      <c r="J685" s="1">
        <v>208</v>
      </c>
      <c r="K685" s="1">
        <v>177</v>
      </c>
      <c r="L685" s="1">
        <v>14</v>
      </c>
      <c r="M685" s="1">
        <v>43</v>
      </c>
      <c r="N685" s="1">
        <v>1</v>
      </c>
      <c r="O685" s="1">
        <v>2</v>
      </c>
      <c r="P685" s="1">
        <v>3</v>
      </c>
      <c r="Q685" s="1">
        <v>5</v>
      </c>
      <c r="R685" s="1">
        <v>1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46</v>
      </c>
      <c r="AA685" s="1" t="str" cm="1">
        <f t="array" ref="AA685">_xlfn.IFS(AND(Z685&lt;36, Z685&gt;23), "24-35", AND(Z685&lt;51, Z685&gt;35),"36-50", AND(Z685&lt;66, Z685&gt;50), "51-66", Z685&gt;65, "66+", TRUE, "?")</f>
        <v>36-50</v>
      </c>
      <c r="AB685" s="1">
        <v>2193</v>
      </c>
      <c r="AC685" s="1">
        <v>0</v>
      </c>
      <c r="AD685" s="1">
        <v>0</v>
      </c>
      <c r="AE685" s="1">
        <v>1</v>
      </c>
      <c r="AF685" s="1">
        <v>0</v>
      </c>
      <c r="AG685" s="1">
        <v>0</v>
      </c>
      <c r="AH685" s="1">
        <v>0</v>
      </c>
      <c r="AI685" s="1">
        <v>1</v>
      </c>
      <c r="AJ685" s="1">
        <v>0</v>
      </c>
      <c r="AK685" s="1">
        <v>0</v>
      </c>
      <c r="AL685" s="1">
        <v>715</v>
      </c>
      <c r="AM685" s="2">
        <v>42656</v>
      </c>
      <c r="AN685" t="str">
        <f t="shared" si="21"/>
        <v>69719,758,0.0108722156083707,0,0,99,273,86,208,177,14,43,1,2,3,5,1,0,0,0,0,0,0,0,46,36-50,2193,0,0,1,0,0,0,1,0,0,715,42656</v>
      </c>
    </row>
    <row r="686" spans="1:40" ht="13" hidden="1" x14ac:dyDescent="0.15">
      <c r="A686">
        <v>663</v>
      </c>
      <c r="B686" s="1">
        <v>66375</v>
      </c>
      <c r="C686" s="1">
        <v>757</v>
      </c>
      <c r="D686" s="4">
        <f t="shared" si="20"/>
        <v>1.1404896421845574E-2</v>
      </c>
      <c r="E686" s="1">
        <v>0</v>
      </c>
      <c r="F686" s="1">
        <v>1</v>
      </c>
      <c r="G686" s="1">
        <v>96</v>
      </c>
      <c r="H686" s="1">
        <v>712</v>
      </c>
      <c r="I686" s="1">
        <v>0</v>
      </c>
      <c r="J686" s="1">
        <v>45</v>
      </c>
      <c r="K686" s="1">
        <v>0</v>
      </c>
      <c r="L686" s="1">
        <v>0</v>
      </c>
      <c r="M686" s="1">
        <v>191</v>
      </c>
      <c r="N686" s="1">
        <v>3</v>
      </c>
      <c r="O686" s="1">
        <v>2</v>
      </c>
      <c r="P686" s="1">
        <v>4</v>
      </c>
      <c r="Q686" s="1">
        <v>5</v>
      </c>
      <c r="R686" s="1">
        <v>7</v>
      </c>
      <c r="S686" s="1">
        <v>0</v>
      </c>
      <c r="T686" s="1">
        <v>0</v>
      </c>
      <c r="U686" s="1">
        <v>1</v>
      </c>
      <c r="V686" s="1">
        <v>0</v>
      </c>
      <c r="W686" s="1">
        <v>0</v>
      </c>
      <c r="X686" s="1">
        <v>0</v>
      </c>
      <c r="Y686" s="1">
        <v>0</v>
      </c>
      <c r="Z686" s="1">
        <v>72</v>
      </c>
      <c r="AA686" s="1" t="str" cm="1">
        <f t="array" ref="AA686">_xlfn.IFS(AND(Z686&lt;36, Z686&gt;23), "24-35", AND(Z686&lt;51, Z686&gt;35),"36-50", AND(Z686&lt;66, Z686&gt;50), "51-66", Z686&gt;65, "66+", TRUE, "?")</f>
        <v>66+</v>
      </c>
      <c r="AB686" s="1">
        <v>2379</v>
      </c>
      <c r="AC686" s="1">
        <v>0</v>
      </c>
      <c r="AD686" s="1">
        <v>0</v>
      </c>
      <c r="AE686" s="1">
        <v>0</v>
      </c>
      <c r="AF686" s="1">
        <v>1</v>
      </c>
      <c r="AG686" s="1">
        <v>0</v>
      </c>
      <c r="AH686" s="1">
        <v>0</v>
      </c>
      <c r="AI686" s="1">
        <v>0</v>
      </c>
      <c r="AJ686" s="1">
        <v>0</v>
      </c>
      <c r="AK686" s="1">
        <v>1</v>
      </c>
      <c r="AL686" s="1">
        <v>566</v>
      </c>
      <c r="AM686" s="2">
        <v>42470</v>
      </c>
      <c r="AN686" t="str">
        <f t="shared" si="21"/>
        <v>66375,757,0.0114048964218456,0,1,96,712,0,45,0,0,191,3,2,4,5,7,0,0,1,0,0,0,0,72,66+,2379,0,0,0,1,0,0,0,0,1,566,42470</v>
      </c>
    </row>
    <row r="687" spans="1:40" ht="13" hidden="1" x14ac:dyDescent="0.15">
      <c r="A687">
        <v>87</v>
      </c>
      <c r="B687" s="1">
        <v>78497</v>
      </c>
      <c r="C687" s="1">
        <v>755</v>
      </c>
      <c r="D687" s="4">
        <f t="shared" si="20"/>
        <v>9.6182019695020184E-3</v>
      </c>
      <c r="E687" s="1">
        <v>0</v>
      </c>
      <c r="F687" s="1">
        <v>0</v>
      </c>
      <c r="G687" s="1">
        <v>44</v>
      </c>
      <c r="H687" s="1">
        <v>207</v>
      </c>
      <c r="I687" s="1">
        <v>26</v>
      </c>
      <c r="J687" s="1">
        <v>447</v>
      </c>
      <c r="K687" s="1">
        <v>75</v>
      </c>
      <c r="L687" s="1">
        <v>0</v>
      </c>
      <c r="M687" s="1">
        <v>223</v>
      </c>
      <c r="N687" s="1">
        <v>1</v>
      </c>
      <c r="O687" s="1">
        <v>5</v>
      </c>
      <c r="P687" s="1">
        <v>7</v>
      </c>
      <c r="Q687" s="1">
        <v>12</v>
      </c>
      <c r="R687" s="1">
        <v>2</v>
      </c>
      <c r="S687" s="1">
        <v>1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69</v>
      </c>
      <c r="AA687" s="1" t="str" cm="1">
        <f t="array" ref="AA687">_xlfn.IFS(AND(Z687&lt;36, Z687&gt;23), "24-35", AND(Z687&lt;51, Z687&gt;35),"36-50", AND(Z687&lt;66, Z687&gt;50), "51-66", Z687&gt;65, "66+", TRUE, "?")</f>
        <v>66+</v>
      </c>
      <c r="AB687" s="1">
        <v>2369</v>
      </c>
      <c r="AC687" s="1">
        <v>0</v>
      </c>
      <c r="AD687" s="1">
        <v>1</v>
      </c>
      <c r="AE687" s="1">
        <v>0</v>
      </c>
      <c r="AF687" s="1">
        <v>0</v>
      </c>
      <c r="AG687" s="1">
        <v>0</v>
      </c>
      <c r="AH687" s="1">
        <v>1</v>
      </c>
      <c r="AI687" s="1">
        <v>0</v>
      </c>
      <c r="AJ687" s="1">
        <v>0</v>
      </c>
      <c r="AK687" s="1">
        <v>0</v>
      </c>
      <c r="AL687" s="1">
        <v>532</v>
      </c>
      <c r="AM687" s="2">
        <v>42480</v>
      </c>
      <c r="AN687" t="str">
        <f t="shared" si="21"/>
        <v>78497,755,0.00961820196950202,0,0,44,207,26,447,75,0,223,1,5,7,12,2,1,0,0,0,0,0,0,69,66+,2369,0,1,0,0,0,1,0,0,0,532,42480</v>
      </c>
    </row>
    <row r="688" spans="1:40" ht="13" hidden="1" x14ac:dyDescent="0.15">
      <c r="A688">
        <v>1442</v>
      </c>
      <c r="B688" s="1">
        <v>79865</v>
      </c>
      <c r="C688" s="1">
        <v>754</v>
      </c>
      <c r="D688" s="4">
        <f t="shared" si="20"/>
        <v>9.4409315720277963E-3</v>
      </c>
      <c r="E688" s="1">
        <v>0</v>
      </c>
      <c r="F688" s="1">
        <v>1</v>
      </c>
      <c r="G688" s="1">
        <v>12</v>
      </c>
      <c r="H688" s="1">
        <v>71</v>
      </c>
      <c r="I688" s="1">
        <v>99</v>
      </c>
      <c r="J688" s="1">
        <v>278</v>
      </c>
      <c r="K688" s="1">
        <v>185</v>
      </c>
      <c r="L688" s="1">
        <v>121</v>
      </c>
      <c r="M688" s="1">
        <v>38</v>
      </c>
      <c r="N688" s="1">
        <v>1</v>
      </c>
      <c r="O688" s="1">
        <v>5</v>
      </c>
      <c r="P688" s="1">
        <v>10</v>
      </c>
      <c r="Q688" s="1">
        <v>5</v>
      </c>
      <c r="R688" s="1">
        <v>1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66</v>
      </c>
      <c r="AA688" s="1" t="str" cm="1">
        <f t="array" ref="AA688">_xlfn.IFS(AND(Z688&lt;36, Z688&gt;23), "24-35", AND(Z688&lt;51, Z688&gt;35),"36-50", AND(Z688&lt;66, Z688&gt;50), "51-66", Z688&gt;65, "66+", TRUE, "?")</f>
        <v>66+</v>
      </c>
      <c r="AB688" s="1">
        <v>2170</v>
      </c>
      <c r="AC688" s="1">
        <v>1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1</v>
      </c>
      <c r="AJ688" s="1">
        <v>0</v>
      </c>
      <c r="AK688" s="1">
        <v>0</v>
      </c>
      <c r="AL688" s="1">
        <v>716</v>
      </c>
      <c r="AM688" s="2">
        <v>42679</v>
      </c>
      <c r="AN688" t="str">
        <f t="shared" si="21"/>
        <v>79865,754,0.0094409315720278,0,1,12,71,99,278,185,121,38,1,5,10,5,1,0,0,0,0,0,0,0,66,66+,2170,1,0,0,0,0,0,1,0,0,716,42679</v>
      </c>
    </row>
    <row r="689" spans="1:40" ht="13" hidden="1" x14ac:dyDescent="0.15">
      <c r="A689">
        <v>1309</v>
      </c>
      <c r="B689" s="1">
        <v>67087</v>
      </c>
      <c r="C689" s="1">
        <v>751</v>
      </c>
      <c r="D689" s="4">
        <f t="shared" si="20"/>
        <v>1.1194419187025802E-2</v>
      </c>
      <c r="E689" s="1">
        <v>0</v>
      </c>
      <c r="F689" s="1">
        <v>1</v>
      </c>
      <c r="G689" s="1">
        <v>40</v>
      </c>
      <c r="H689" s="1">
        <v>329</v>
      </c>
      <c r="I689" s="1">
        <v>35</v>
      </c>
      <c r="J689" s="1">
        <v>222</v>
      </c>
      <c r="K689" s="1">
        <v>130</v>
      </c>
      <c r="L689" s="1">
        <v>35</v>
      </c>
      <c r="M689" s="1">
        <v>43</v>
      </c>
      <c r="N689" s="1">
        <v>2</v>
      </c>
      <c r="O689" s="1">
        <v>7</v>
      </c>
      <c r="P689" s="1">
        <v>5</v>
      </c>
      <c r="Q689" s="1">
        <v>8</v>
      </c>
      <c r="R689" s="1">
        <v>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67</v>
      </c>
      <c r="AA689" s="1" t="str" cm="1">
        <f t="array" ref="AA689">_xlfn.IFS(AND(Z689&lt;36, Z689&gt;23), "24-35", AND(Z689&lt;51, Z689&gt;35),"36-50", AND(Z689&lt;66, Z689&gt;50), "51-66", Z689&gt;65, "66+", TRUE, "?")</f>
        <v>66+</v>
      </c>
      <c r="AB689" s="1">
        <v>2353</v>
      </c>
      <c r="AC689" s="1">
        <v>0</v>
      </c>
      <c r="AD689" s="1">
        <v>1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1</v>
      </c>
      <c r="AK689" s="1">
        <v>0</v>
      </c>
      <c r="AL689" s="1">
        <v>708</v>
      </c>
      <c r="AM689" s="2">
        <v>42496</v>
      </c>
      <c r="AN689" t="str">
        <f t="shared" si="21"/>
        <v>67087,751,0.0111944191870258,0,1,40,329,35,222,130,35,43,2,7,5,8,4,0,0,0,0,0,0,0,67,66+,2353,0,1,0,0,0,0,0,1,0,708,42496</v>
      </c>
    </row>
    <row r="690" spans="1:40" ht="13" hidden="1" x14ac:dyDescent="0.15">
      <c r="A690">
        <v>1146</v>
      </c>
      <c r="B690" s="1">
        <v>77297</v>
      </c>
      <c r="C690" s="1">
        <v>748</v>
      </c>
      <c r="D690" s="4">
        <f t="shared" si="20"/>
        <v>9.6769602960011386E-3</v>
      </c>
      <c r="E690" s="1">
        <v>0</v>
      </c>
      <c r="F690" s="1">
        <v>0</v>
      </c>
      <c r="G690" s="1">
        <v>84</v>
      </c>
      <c r="H690" s="1">
        <v>408</v>
      </c>
      <c r="I690" s="1">
        <v>61</v>
      </c>
      <c r="J690" s="1">
        <v>109</v>
      </c>
      <c r="K690" s="1">
        <v>48</v>
      </c>
      <c r="L690" s="1">
        <v>122</v>
      </c>
      <c r="M690" s="1">
        <v>41</v>
      </c>
      <c r="N690" s="1">
        <v>1</v>
      </c>
      <c r="O690" s="1">
        <v>5</v>
      </c>
      <c r="P690" s="1">
        <v>7</v>
      </c>
      <c r="Q690" s="1">
        <v>9</v>
      </c>
      <c r="R690" s="1">
        <v>4</v>
      </c>
      <c r="S690" s="1">
        <v>1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63</v>
      </c>
      <c r="AA690" s="1" t="str" cm="1">
        <f t="array" ref="AA690">_xlfn.IFS(AND(Z690&lt;36, Z690&gt;23), "24-35", AND(Z690&lt;51, Z690&gt;35),"36-50", AND(Z690&lt;66, Z690&gt;50), "51-66", Z690&gt;65, "66+", TRUE, "?")</f>
        <v>51-66</v>
      </c>
      <c r="AB690" s="1">
        <v>2678</v>
      </c>
      <c r="AC690" s="1">
        <v>1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0</v>
      </c>
      <c r="AJ690" s="1">
        <v>0</v>
      </c>
      <c r="AK690" s="1">
        <v>0</v>
      </c>
      <c r="AL690" s="1">
        <v>707</v>
      </c>
      <c r="AM690" s="2">
        <v>42171</v>
      </c>
      <c r="AN690" t="str">
        <f t="shared" si="21"/>
        <v>77297,748,0.00967696029600114,0,0,84,408,61,109,48,122,41,1,5,7,9,4,1,0,0,0,0,0,0,63,51-66,2678,1,0,0,0,0,1,0,0,0,707,42171</v>
      </c>
    </row>
    <row r="691" spans="1:40" ht="13" x14ac:dyDescent="0.15">
      <c r="A691">
        <v>1225</v>
      </c>
      <c r="B691" s="1">
        <v>96547</v>
      </c>
      <c r="C691" s="1">
        <v>747</v>
      </c>
      <c r="D691" s="4">
        <f t="shared" si="20"/>
        <v>7.7371642826809736E-3</v>
      </c>
      <c r="E691" s="1">
        <v>0</v>
      </c>
      <c r="F691" s="1">
        <v>0</v>
      </c>
      <c r="G691" s="1">
        <v>4</v>
      </c>
      <c r="H691" s="1">
        <v>448</v>
      </c>
      <c r="I691" s="1">
        <v>21</v>
      </c>
      <c r="J691" s="1">
        <v>125</v>
      </c>
      <c r="K691" s="1">
        <v>52</v>
      </c>
      <c r="L691" s="1">
        <v>101</v>
      </c>
      <c r="M691" s="1">
        <v>62</v>
      </c>
      <c r="N691" s="1">
        <v>0</v>
      </c>
      <c r="O691" s="1">
        <v>7</v>
      </c>
      <c r="P691" s="1">
        <v>6</v>
      </c>
      <c r="Q691" s="1">
        <v>8</v>
      </c>
      <c r="R691" s="1">
        <v>2</v>
      </c>
      <c r="S691" s="1">
        <v>1</v>
      </c>
      <c r="T691" s="1">
        <v>0</v>
      </c>
      <c r="U691" s="1">
        <v>1</v>
      </c>
      <c r="V691" s="1">
        <v>0</v>
      </c>
      <c r="W691" s="1">
        <v>1</v>
      </c>
      <c r="X691" s="1">
        <v>0</v>
      </c>
      <c r="Y691" s="1">
        <v>1</v>
      </c>
      <c r="Z691" s="1">
        <v>40</v>
      </c>
      <c r="AA691" s="1" t="str" cm="1">
        <f t="array" ref="AA691">_xlfn.IFS(AND(Z691&lt;36, Z691&gt;23), "24-35", AND(Z691&lt;51, Z691&gt;35),"36-50", AND(Z691&lt;66, Z691&gt;50), "51-66", Z691&gt;65, "66+", TRUE, "?")</f>
        <v>36-50</v>
      </c>
      <c r="AB691" s="1">
        <v>2196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1</v>
      </c>
      <c r="AI691" s="1">
        <v>0</v>
      </c>
      <c r="AJ691" s="1">
        <v>0</v>
      </c>
      <c r="AK691" s="1">
        <v>0</v>
      </c>
      <c r="AL691" s="1">
        <v>685</v>
      </c>
      <c r="AM691" s="2">
        <v>42653</v>
      </c>
      <c r="AN691" t="str">
        <f t="shared" si="21"/>
        <v>96547,747,0.00773716428268097,0,0,4,448,21,125,52,101,62,0,7,6,8,2,1,0,1,0,1,0,1,40,36-50,2196,0,1,0,0,0,1,0,0,0,685,42653</v>
      </c>
    </row>
    <row r="692" spans="1:40" ht="13" hidden="1" x14ac:dyDescent="0.15">
      <c r="A692">
        <v>1052</v>
      </c>
      <c r="B692" s="1">
        <v>70566</v>
      </c>
      <c r="C692" s="1">
        <v>736</v>
      </c>
      <c r="D692" s="4">
        <f t="shared" si="20"/>
        <v>1.0429952101578663E-2</v>
      </c>
      <c r="E692" s="1">
        <v>0</v>
      </c>
      <c r="F692" s="1">
        <v>1</v>
      </c>
      <c r="G692" s="1">
        <v>4</v>
      </c>
      <c r="H692" s="1">
        <v>381</v>
      </c>
      <c r="I692" s="1">
        <v>28</v>
      </c>
      <c r="J692" s="1">
        <v>215</v>
      </c>
      <c r="K692" s="1">
        <v>84</v>
      </c>
      <c r="L692" s="1">
        <v>28</v>
      </c>
      <c r="M692" s="1">
        <v>21</v>
      </c>
      <c r="N692" s="1">
        <v>2</v>
      </c>
      <c r="O692" s="1">
        <v>6</v>
      </c>
      <c r="P692" s="1">
        <v>5</v>
      </c>
      <c r="Q692" s="1">
        <v>9</v>
      </c>
      <c r="R692" s="1">
        <v>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52</v>
      </c>
      <c r="AA692" s="1" t="str" cm="1">
        <f t="array" ref="AA692">_xlfn.IFS(AND(Z692&lt;36, Z692&gt;23), "24-35", AND(Z692&lt;51, Z692&gt;35),"36-50", AND(Z692&lt;66, Z692&gt;50), "51-66", Z692&gt;65, "66+", TRUE, "?")</f>
        <v>51-66</v>
      </c>
      <c r="AB692" s="1">
        <v>2425</v>
      </c>
      <c r="AC692" s="1">
        <v>0</v>
      </c>
      <c r="AD692" s="1">
        <v>0</v>
      </c>
      <c r="AE692" s="1">
        <v>1</v>
      </c>
      <c r="AF692" s="1">
        <v>0</v>
      </c>
      <c r="AG692" s="1">
        <v>0</v>
      </c>
      <c r="AH692" s="1">
        <v>0</v>
      </c>
      <c r="AI692" s="1">
        <v>1</v>
      </c>
      <c r="AJ692" s="1">
        <v>0</v>
      </c>
      <c r="AK692" s="1">
        <v>0</v>
      </c>
      <c r="AL692" s="1">
        <v>715</v>
      </c>
      <c r="AM692" s="2">
        <v>42424</v>
      </c>
      <c r="AN692" t="str">
        <f t="shared" si="21"/>
        <v>70566,736,0.0104299521015787,0,1,4,381,28,215,84,28,21,2,6,5,9,3,0,0,0,0,0,0,0,52,51-66,2425,0,0,1,0,0,0,1,0,0,715,42424</v>
      </c>
    </row>
    <row r="693" spans="1:40" ht="13" hidden="1" x14ac:dyDescent="0.15">
      <c r="A693">
        <v>934</v>
      </c>
      <c r="B693" s="1">
        <v>64449</v>
      </c>
      <c r="C693" s="1">
        <v>735</v>
      </c>
      <c r="D693" s="4">
        <f t="shared" si="20"/>
        <v>1.1404366243075921E-2</v>
      </c>
      <c r="E693" s="1">
        <v>1</v>
      </c>
      <c r="F693" s="1">
        <v>0</v>
      </c>
      <c r="G693" s="1">
        <v>70</v>
      </c>
      <c r="H693" s="1">
        <v>218</v>
      </c>
      <c r="I693" s="1">
        <v>63</v>
      </c>
      <c r="J693" s="1">
        <v>282</v>
      </c>
      <c r="K693" s="1">
        <v>137</v>
      </c>
      <c r="L693" s="1">
        <v>35</v>
      </c>
      <c r="M693" s="1">
        <v>70</v>
      </c>
      <c r="N693" s="1">
        <v>4</v>
      </c>
      <c r="O693" s="1">
        <v>5</v>
      </c>
      <c r="P693" s="1">
        <v>3</v>
      </c>
      <c r="Q693" s="1">
        <v>12</v>
      </c>
      <c r="R693" s="1">
        <v>4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31</v>
      </c>
      <c r="AA693" s="1" t="str" cm="1">
        <f t="array" ref="AA693">_xlfn.IFS(AND(Z693&lt;36, Z693&gt;23), "24-35", AND(Z693&lt;51, Z693&gt;35),"36-50", AND(Z693&lt;66, Z693&gt;50), "51-66", Z693&gt;65, "66+", TRUE, "?")</f>
        <v>24-35</v>
      </c>
      <c r="AB693" s="1">
        <v>2290</v>
      </c>
      <c r="AC693" s="1">
        <v>0</v>
      </c>
      <c r="AD693" s="1">
        <v>0</v>
      </c>
      <c r="AE693" s="1">
        <v>1</v>
      </c>
      <c r="AF693" s="1">
        <v>0</v>
      </c>
      <c r="AG693" s="1">
        <v>0</v>
      </c>
      <c r="AH693" s="1">
        <v>0</v>
      </c>
      <c r="AI693" s="1">
        <v>1</v>
      </c>
      <c r="AJ693" s="1">
        <v>0</v>
      </c>
      <c r="AK693" s="1">
        <v>0</v>
      </c>
      <c r="AL693" s="1">
        <v>665</v>
      </c>
      <c r="AM693" s="2">
        <v>42559</v>
      </c>
      <c r="AN693" t="str">
        <f t="shared" si="21"/>
        <v>64449,735,0.0114043662430759,1,0,70,218,63,282,137,35,70,4,5,3,12,4,0,0,0,0,0,0,0,31,24-35,2290,0,0,1,0,0,0,1,0,0,665,42559</v>
      </c>
    </row>
    <row r="694" spans="1:40" ht="13" hidden="1" x14ac:dyDescent="0.15">
      <c r="A694">
        <v>3</v>
      </c>
      <c r="B694" s="1">
        <v>71613</v>
      </c>
      <c r="C694" s="1">
        <v>734</v>
      </c>
      <c r="D694" s="4">
        <f t="shared" si="20"/>
        <v>1.0249535698825632E-2</v>
      </c>
      <c r="E694" s="1">
        <v>0</v>
      </c>
      <c r="F694" s="1">
        <v>0</v>
      </c>
      <c r="G694" s="1">
        <v>26</v>
      </c>
      <c r="H694" s="1">
        <v>426</v>
      </c>
      <c r="I694" s="1">
        <v>49</v>
      </c>
      <c r="J694" s="1">
        <v>127</v>
      </c>
      <c r="K694" s="1">
        <v>111</v>
      </c>
      <c r="L694" s="1">
        <v>21</v>
      </c>
      <c r="M694" s="1">
        <v>42</v>
      </c>
      <c r="N694" s="1">
        <v>1</v>
      </c>
      <c r="O694" s="1">
        <v>8</v>
      </c>
      <c r="P694" s="1">
        <v>2</v>
      </c>
      <c r="Q694" s="1">
        <v>10</v>
      </c>
      <c r="R694" s="1">
        <v>4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55</v>
      </c>
      <c r="AA694" s="1" t="str" cm="1">
        <f t="array" ref="AA694">_xlfn.IFS(AND(Z694&lt;36, Z694&gt;23), "24-35", AND(Z694&lt;51, Z694&gt;35),"36-50", AND(Z694&lt;66, Z694&gt;50), "51-66", Z694&gt;65, "66+", TRUE, "?")</f>
        <v>51-66</v>
      </c>
      <c r="AB694" s="1">
        <v>2471</v>
      </c>
      <c r="AC694" s="1">
        <v>0</v>
      </c>
      <c r="AD694" s="1">
        <v>0</v>
      </c>
      <c r="AE694" s="1">
        <v>0</v>
      </c>
      <c r="AF694" s="1">
        <v>1</v>
      </c>
      <c r="AG694" s="1">
        <v>0</v>
      </c>
      <c r="AH694" s="1">
        <v>0</v>
      </c>
      <c r="AI694" s="1">
        <v>1</v>
      </c>
      <c r="AJ694" s="1">
        <v>0</v>
      </c>
      <c r="AK694" s="1">
        <v>0</v>
      </c>
      <c r="AL694" s="1">
        <v>692</v>
      </c>
      <c r="AM694" s="2">
        <v>42378</v>
      </c>
      <c r="AN694" t="str">
        <f t="shared" si="21"/>
        <v>71613,734,0.0102495356988256,0,0,26,426,49,127,111,21,42,1,8,2,10,4,0,0,0,0,0,0,0,55,51-66,2471,0,0,0,1,0,0,1,0,0,692,42378</v>
      </c>
    </row>
    <row r="695" spans="1:40" ht="13" hidden="1" x14ac:dyDescent="0.15">
      <c r="A695">
        <v>1601</v>
      </c>
      <c r="B695" s="1">
        <v>69901</v>
      </c>
      <c r="C695" s="1">
        <v>733</v>
      </c>
      <c r="D695" s="4">
        <f t="shared" si="20"/>
        <v>1.0486259137923636E-2</v>
      </c>
      <c r="E695" s="1">
        <v>0</v>
      </c>
      <c r="F695" s="1">
        <v>1</v>
      </c>
      <c r="G695" s="1">
        <v>95</v>
      </c>
      <c r="H695" s="1">
        <v>312</v>
      </c>
      <c r="I695" s="1">
        <v>21</v>
      </c>
      <c r="J695" s="1">
        <v>206</v>
      </c>
      <c r="K695" s="1">
        <v>102</v>
      </c>
      <c r="L695" s="1">
        <v>92</v>
      </c>
      <c r="M695" s="1">
        <v>149</v>
      </c>
      <c r="N695" s="1">
        <v>3</v>
      </c>
      <c r="O695" s="1">
        <v>7</v>
      </c>
      <c r="P695" s="1">
        <v>3</v>
      </c>
      <c r="Q695" s="1">
        <v>10</v>
      </c>
      <c r="R695" s="1">
        <v>5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51</v>
      </c>
      <c r="AA695" s="1" t="str" cm="1">
        <f t="array" ref="AA695">_xlfn.IFS(AND(Z695&lt;36, Z695&gt;23), "24-35", AND(Z695&lt;51, Z695&gt;35),"36-50", AND(Z695&lt;66, Z695&gt;50), "51-66", Z695&gt;65, "66+", TRUE, "?")</f>
        <v>51-66</v>
      </c>
      <c r="AB695" s="1">
        <v>2555</v>
      </c>
      <c r="AC695" s="1">
        <v>1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1</v>
      </c>
      <c r="AJ695" s="1">
        <v>0</v>
      </c>
      <c r="AK695" s="1">
        <v>0</v>
      </c>
      <c r="AL695" s="1">
        <v>584</v>
      </c>
      <c r="AM695" s="2">
        <v>42294</v>
      </c>
      <c r="AN695" t="str">
        <f t="shared" si="21"/>
        <v>69901,733,0.0104862591379236,0,1,95,312,21,206,102,92,149,3,7,3,10,5,0,0,0,0,0,0,0,51,51-66,2555,1,0,0,0,0,0,1,0,0,584,42294</v>
      </c>
    </row>
    <row r="696" spans="1:40" ht="13" hidden="1" x14ac:dyDescent="0.15">
      <c r="A696">
        <v>747</v>
      </c>
      <c r="B696" s="1">
        <v>70421</v>
      </c>
      <c r="C696" s="1">
        <v>732</v>
      </c>
      <c r="D696" s="4">
        <f t="shared" si="20"/>
        <v>1.0394626602859943E-2</v>
      </c>
      <c r="E696" s="1">
        <v>0</v>
      </c>
      <c r="F696" s="1">
        <v>1</v>
      </c>
      <c r="G696" s="1">
        <v>98</v>
      </c>
      <c r="H696" s="1">
        <v>479</v>
      </c>
      <c r="I696" s="1">
        <v>28</v>
      </c>
      <c r="J696" s="1">
        <v>136</v>
      </c>
      <c r="K696" s="1">
        <v>75</v>
      </c>
      <c r="L696" s="1">
        <v>14</v>
      </c>
      <c r="M696" s="1">
        <v>35</v>
      </c>
      <c r="N696" s="1">
        <v>3</v>
      </c>
      <c r="O696" s="1">
        <v>10</v>
      </c>
      <c r="P696" s="1">
        <v>3</v>
      </c>
      <c r="Q696" s="1">
        <v>7</v>
      </c>
      <c r="R696" s="1">
        <v>6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66</v>
      </c>
      <c r="AA696" s="1" t="str" cm="1">
        <f t="array" ref="AA696">_xlfn.IFS(AND(Z696&lt;36, Z696&gt;23), "24-35", AND(Z696&lt;51, Z696&gt;35),"36-50", AND(Z696&lt;66, Z696&gt;50), "51-66", Z696&gt;65, "66+", TRUE, "?")</f>
        <v>66+</v>
      </c>
      <c r="AB696" s="1">
        <v>2160</v>
      </c>
      <c r="AC696" s="1">
        <v>0</v>
      </c>
      <c r="AD696" s="1">
        <v>1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1</v>
      </c>
      <c r="AL696" s="1">
        <v>697</v>
      </c>
      <c r="AM696" s="2">
        <v>42689</v>
      </c>
      <c r="AN696" t="str">
        <f t="shared" si="21"/>
        <v>70421,732,0.0103946266028599,0,1,98,479,28,136,75,14,35,3,10,3,7,6,0,0,0,0,0,0,0,66,66+,2160,0,1,0,0,0,0,0,0,1,697,42689</v>
      </c>
    </row>
    <row r="697" spans="1:40" ht="13" hidden="1" x14ac:dyDescent="0.15">
      <c r="A697">
        <v>1790</v>
      </c>
      <c r="B697" s="1">
        <v>64474</v>
      </c>
      <c r="C697" s="1">
        <v>730</v>
      </c>
      <c r="D697" s="4">
        <f t="shared" si="20"/>
        <v>1.13223935229705E-2</v>
      </c>
      <c r="E697" s="1">
        <v>0</v>
      </c>
      <c r="F697" s="1">
        <v>1</v>
      </c>
      <c r="G697" s="1">
        <v>59</v>
      </c>
      <c r="H697" s="1">
        <v>381</v>
      </c>
      <c r="I697" s="1">
        <v>35</v>
      </c>
      <c r="J697" s="1">
        <v>172</v>
      </c>
      <c r="K697" s="1">
        <v>56</v>
      </c>
      <c r="L697" s="1">
        <v>86</v>
      </c>
      <c r="M697" s="1">
        <v>93</v>
      </c>
      <c r="N697" s="1">
        <v>2</v>
      </c>
      <c r="O697" s="1">
        <v>8</v>
      </c>
      <c r="P697" s="1">
        <v>2</v>
      </c>
      <c r="Q697" s="1">
        <v>10</v>
      </c>
      <c r="R697" s="1">
        <v>5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48</v>
      </c>
      <c r="AA697" s="1" t="str" cm="1">
        <f t="array" ref="AA697">_xlfn.IFS(AND(Z697&lt;36, Z697&gt;23), "24-35", AND(Z697&lt;51, Z697&gt;35),"36-50", AND(Z697&lt;66, Z697&gt;50), "51-66", Z697&gt;65, "66+", TRUE, "?")</f>
        <v>36-50</v>
      </c>
      <c r="AB697" s="1">
        <v>2409</v>
      </c>
      <c r="AC697" s="1">
        <v>0</v>
      </c>
      <c r="AD697" s="1">
        <v>0</v>
      </c>
      <c r="AE697" s="1">
        <v>0</v>
      </c>
      <c r="AF697" s="1">
        <v>1</v>
      </c>
      <c r="AG697" s="1">
        <v>0</v>
      </c>
      <c r="AH697" s="1">
        <v>0</v>
      </c>
      <c r="AI697" s="1">
        <v>1</v>
      </c>
      <c r="AJ697" s="1">
        <v>0</v>
      </c>
      <c r="AK697" s="1">
        <v>0</v>
      </c>
      <c r="AL697" s="1">
        <v>637</v>
      </c>
      <c r="AM697" s="2">
        <v>42440</v>
      </c>
      <c r="AN697" t="str">
        <f t="shared" si="21"/>
        <v>64474,730,0.0113223935229705,0,1,59,381,35,172,56,86,93,2,8,2,10,5,0,0,0,0,0,0,0,48,36-50,2409,0,0,0,1,0,0,1,0,0,637,42440</v>
      </c>
    </row>
    <row r="698" spans="1:40" ht="13" hidden="1" x14ac:dyDescent="0.15">
      <c r="A698">
        <v>454</v>
      </c>
      <c r="B698" s="1">
        <v>83151</v>
      </c>
      <c r="C698" s="1">
        <v>729</v>
      </c>
      <c r="D698" s="4">
        <f t="shared" si="20"/>
        <v>8.7671825955189953E-3</v>
      </c>
      <c r="E698" s="1">
        <v>0</v>
      </c>
      <c r="F698" s="1">
        <v>0</v>
      </c>
      <c r="G698" s="1">
        <v>93</v>
      </c>
      <c r="H698" s="1">
        <v>407</v>
      </c>
      <c r="I698" s="1">
        <v>28</v>
      </c>
      <c r="J698" s="1">
        <v>100</v>
      </c>
      <c r="K698" s="1">
        <v>120</v>
      </c>
      <c r="L698" s="1">
        <v>74</v>
      </c>
      <c r="M698" s="1">
        <v>18</v>
      </c>
      <c r="N698" s="1">
        <v>1</v>
      </c>
      <c r="O698" s="1">
        <v>5</v>
      </c>
      <c r="P698" s="1">
        <v>9</v>
      </c>
      <c r="Q698" s="1">
        <v>4</v>
      </c>
      <c r="R698" s="1">
        <v>3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60</v>
      </c>
      <c r="AA698" s="1" t="str" cm="1">
        <f t="array" ref="AA698">_xlfn.IFS(AND(Z698&lt;36, Z698&gt;23), "24-35", AND(Z698&lt;51, Z698&gt;35),"36-50", AND(Z698&lt;66, Z698&gt;50), "51-66", Z698&gt;65, "66+", TRUE, "?")</f>
        <v>51-66</v>
      </c>
      <c r="AB698" s="1">
        <v>2786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0</v>
      </c>
      <c r="AJ698" s="1">
        <v>1</v>
      </c>
      <c r="AK698" s="1">
        <v>0</v>
      </c>
      <c r="AL698" s="1">
        <v>711</v>
      </c>
      <c r="AM698" s="2">
        <v>42063</v>
      </c>
      <c r="AN698" t="str">
        <f t="shared" si="21"/>
        <v>83151,729,0.008767182595519,0,0,93,407,28,100,120,74,18,1,5,9,4,3,0,0,0,0,0,0,0,60,51-66,2786,0,0,0,1,0,0,0,1,0,711,42063</v>
      </c>
    </row>
    <row r="699" spans="1:40" ht="13" hidden="1" x14ac:dyDescent="0.15">
      <c r="A699">
        <v>1512</v>
      </c>
      <c r="B699" s="1">
        <v>58684</v>
      </c>
      <c r="C699" s="1">
        <v>728</v>
      </c>
      <c r="D699" s="4">
        <f t="shared" si="20"/>
        <v>1.24054256696885E-2</v>
      </c>
      <c r="E699" s="1">
        <v>0</v>
      </c>
      <c r="F699" s="1">
        <v>0</v>
      </c>
      <c r="G699" s="1">
        <v>71</v>
      </c>
      <c r="H699" s="1">
        <v>479</v>
      </c>
      <c r="I699" s="1">
        <v>35</v>
      </c>
      <c r="J699" s="1">
        <v>179</v>
      </c>
      <c r="K699" s="1">
        <v>28</v>
      </c>
      <c r="L699" s="1">
        <v>7</v>
      </c>
      <c r="M699" s="1">
        <v>85</v>
      </c>
      <c r="N699" s="1">
        <v>1</v>
      </c>
      <c r="O699" s="1">
        <v>5</v>
      </c>
      <c r="P699" s="1">
        <v>3</v>
      </c>
      <c r="Q699" s="1">
        <v>12</v>
      </c>
      <c r="R699" s="1">
        <v>2</v>
      </c>
      <c r="S699" s="1">
        <v>0</v>
      </c>
      <c r="T699" s="1">
        <v>0</v>
      </c>
      <c r="U699" s="1">
        <v>0</v>
      </c>
      <c r="V699" s="1">
        <v>1</v>
      </c>
      <c r="W699" s="1">
        <v>0</v>
      </c>
      <c r="X699" s="1">
        <v>0</v>
      </c>
      <c r="Y699" s="1">
        <v>0</v>
      </c>
      <c r="Z699" s="1">
        <v>39</v>
      </c>
      <c r="AA699" s="1" t="str" cm="1">
        <f t="array" ref="AA699">_xlfn.IFS(AND(Z699&lt;36, Z699&gt;23), "24-35", AND(Z699&lt;51, Z699&gt;35),"36-50", AND(Z699&lt;66, Z699&gt;50), "51-66", Z699&gt;65, "66+", TRUE, "?")</f>
        <v>36-50</v>
      </c>
      <c r="AB699" s="1">
        <v>2172</v>
      </c>
      <c r="AC699" s="1">
        <v>0</v>
      </c>
      <c r="AD699" s="1">
        <v>0</v>
      </c>
      <c r="AE699" s="1">
        <v>1</v>
      </c>
      <c r="AF699" s="1">
        <v>0</v>
      </c>
      <c r="AG699" s="1">
        <v>0</v>
      </c>
      <c r="AH699" s="1">
        <v>0</v>
      </c>
      <c r="AI699" s="1">
        <v>1</v>
      </c>
      <c r="AJ699" s="1">
        <v>0</v>
      </c>
      <c r="AK699" s="1">
        <v>0</v>
      </c>
      <c r="AL699" s="1">
        <v>643</v>
      </c>
      <c r="AM699" s="2">
        <v>42677</v>
      </c>
      <c r="AN699" t="str">
        <f t="shared" si="21"/>
        <v>58684,728,0.0124054256696885,0,0,71,479,35,179,28,7,85,1,5,3,12,2,0,0,0,1,0,0,0,39,36-50,2172,0,0,1,0,0,0,1,0,0,643,42677</v>
      </c>
    </row>
    <row r="700" spans="1:40" ht="13" hidden="1" x14ac:dyDescent="0.15">
      <c r="A700">
        <v>1556</v>
      </c>
      <c r="B700" s="1">
        <v>86580</v>
      </c>
      <c r="C700" s="1">
        <v>726</v>
      </c>
      <c r="D700" s="4">
        <f t="shared" si="20"/>
        <v>8.3853083853083852E-3</v>
      </c>
      <c r="E700" s="1">
        <v>0</v>
      </c>
      <c r="F700" s="1">
        <v>0</v>
      </c>
      <c r="G700" s="1">
        <v>72</v>
      </c>
      <c r="H700" s="1">
        <v>532</v>
      </c>
      <c r="I700" s="1">
        <v>21</v>
      </c>
      <c r="J700" s="1">
        <v>127</v>
      </c>
      <c r="K700" s="1">
        <v>26</v>
      </c>
      <c r="L700" s="1">
        <v>20</v>
      </c>
      <c r="M700" s="1">
        <v>20</v>
      </c>
      <c r="N700" s="1">
        <v>0</v>
      </c>
      <c r="O700" s="1">
        <v>4</v>
      </c>
      <c r="P700" s="1">
        <v>2</v>
      </c>
      <c r="Q700" s="1">
        <v>5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0</v>
      </c>
      <c r="Y700" s="1">
        <v>0</v>
      </c>
      <c r="Z700" s="1">
        <v>37</v>
      </c>
      <c r="AA700" s="1" t="str" cm="1">
        <f t="array" ref="AA700">_xlfn.IFS(AND(Z700&lt;36, Z700&gt;23), "24-35", AND(Z700&lt;51, Z700&gt;35),"36-50", AND(Z700&lt;66, Z700&gt;50), "51-66", Z700&gt;65, "66+", TRUE, "?")</f>
        <v>36-50</v>
      </c>
      <c r="AB700" s="1">
        <v>2646</v>
      </c>
      <c r="AC700" s="1">
        <v>0</v>
      </c>
      <c r="AD700" s="1">
        <v>1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1</v>
      </c>
      <c r="AL700" s="1">
        <v>706</v>
      </c>
      <c r="AM700" s="2">
        <v>42203</v>
      </c>
      <c r="AN700" t="str">
        <f t="shared" si="21"/>
        <v>86580,726,0.00838530838530839,0,0,72,532,21,127,26,20,20,0,4,2,5,1,0,0,0,0,1,0,0,37,36-50,2646,0,1,0,0,0,0,0,0,1,706,42203</v>
      </c>
    </row>
    <row r="701" spans="1:40" ht="13" hidden="1" x14ac:dyDescent="0.15">
      <c r="A701">
        <v>469</v>
      </c>
      <c r="B701" s="1">
        <v>65275</v>
      </c>
      <c r="C701" s="1">
        <v>725</v>
      </c>
      <c r="D701" s="4">
        <f t="shared" si="20"/>
        <v>1.1106855610877058E-2</v>
      </c>
      <c r="E701" s="1">
        <v>0</v>
      </c>
      <c r="F701" s="1">
        <v>0</v>
      </c>
      <c r="G701" s="1">
        <v>9</v>
      </c>
      <c r="H701" s="1">
        <v>388</v>
      </c>
      <c r="I701" s="1">
        <v>14</v>
      </c>
      <c r="J701" s="1">
        <v>218</v>
      </c>
      <c r="K701" s="1">
        <v>91</v>
      </c>
      <c r="L701" s="1">
        <v>14</v>
      </c>
      <c r="M701" s="1">
        <v>21</v>
      </c>
      <c r="N701" s="1">
        <v>1</v>
      </c>
      <c r="O701" s="1">
        <v>4</v>
      </c>
      <c r="P701" s="1">
        <v>3</v>
      </c>
      <c r="Q701" s="1">
        <v>13</v>
      </c>
      <c r="R701" s="1">
        <v>2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76</v>
      </c>
      <c r="AA701" s="1" t="str" cm="1">
        <f t="array" ref="AA701">_xlfn.IFS(AND(Z701&lt;36, Z701&gt;23), "24-35", AND(Z701&lt;51, Z701&gt;35),"36-50", AND(Z701&lt;66, Z701&gt;50), "51-66", Z701&gt;65, "66+", TRUE, "?")</f>
        <v>66+</v>
      </c>
      <c r="AB701" s="1">
        <v>2611</v>
      </c>
      <c r="AC701" s="1">
        <v>0</v>
      </c>
      <c r="AD701" s="1">
        <v>1</v>
      </c>
      <c r="AE701" s="1">
        <v>0</v>
      </c>
      <c r="AF701" s="1">
        <v>0</v>
      </c>
      <c r="AG701" s="1">
        <v>0</v>
      </c>
      <c r="AH701" s="1">
        <v>0</v>
      </c>
      <c r="AI701" s="1">
        <v>1</v>
      </c>
      <c r="AJ701" s="1">
        <v>0</v>
      </c>
      <c r="AK701" s="1">
        <v>0</v>
      </c>
      <c r="AL701" s="1">
        <v>704</v>
      </c>
      <c r="AM701" s="2">
        <v>42238</v>
      </c>
      <c r="AN701" t="str">
        <f t="shared" si="21"/>
        <v>65275,725,0.0111068556108771,0,0,9,388,14,218,91,14,21,1,4,3,13,2,0,0,0,0,0,0,0,76,66+,2611,0,1,0,0,0,0,1,0,0,704,42238</v>
      </c>
    </row>
    <row r="702" spans="1:40" ht="13" hidden="1" x14ac:dyDescent="0.15">
      <c r="A702">
        <v>1850</v>
      </c>
      <c r="B702" s="1">
        <v>67225</v>
      </c>
      <c r="C702" s="1">
        <v>725</v>
      </c>
      <c r="D702" s="4">
        <f t="shared" si="20"/>
        <v>1.0784678319077723E-2</v>
      </c>
      <c r="E702" s="1">
        <v>0</v>
      </c>
      <c r="F702" s="1">
        <v>1</v>
      </c>
      <c r="G702" s="1">
        <v>4</v>
      </c>
      <c r="H702" s="1">
        <v>315</v>
      </c>
      <c r="I702" s="1">
        <v>35</v>
      </c>
      <c r="J702" s="1">
        <v>322</v>
      </c>
      <c r="K702" s="1">
        <v>46</v>
      </c>
      <c r="L702" s="1">
        <v>7</v>
      </c>
      <c r="M702" s="1">
        <v>143</v>
      </c>
      <c r="N702" s="1">
        <v>3</v>
      </c>
      <c r="O702" s="1">
        <v>7</v>
      </c>
      <c r="P702" s="1">
        <v>2</v>
      </c>
      <c r="Q702" s="1">
        <v>11</v>
      </c>
      <c r="R702" s="1">
        <v>5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65</v>
      </c>
      <c r="AA702" s="1" t="str" cm="1">
        <f t="array" ref="AA702">_xlfn.IFS(AND(Z702&lt;36, Z702&gt;23), "24-35", AND(Z702&lt;51, Z702&gt;35),"36-50", AND(Z702&lt;66, Z702&gt;50), "51-66", Z702&gt;65, "66+", TRUE, "?")</f>
        <v>51-66</v>
      </c>
      <c r="AB702" s="1">
        <v>2374</v>
      </c>
      <c r="AC702" s="1">
        <v>0</v>
      </c>
      <c r="AD702" s="1">
        <v>1</v>
      </c>
      <c r="AE702" s="1">
        <v>0</v>
      </c>
      <c r="AF702" s="1">
        <v>0</v>
      </c>
      <c r="AG702" s="1">
        <v>0</v>
      </c>
      <c r="AH702" s="1">
        <v>0</v>
      </c>
      <c r="AI702" s="1">
        <v>1</v>
      </c>
      <c r="AJ702" s="1">
        <v>0</v>
      </c>
      <c r="AK702" s="1">
        <v>0</v>
      </c>
      <c r="AL702" s="1">
        <v>582</v>
      </c>
      <c r="AM702" s="2">
        <v>42475</v>
      </c>
      <c r="AN702" t="str">
        <f t="shared" si="21"/>
        <v>67225,725,0.0107846783190777,0,1,4,315,35,322,46,7,143,3,7,2,11,5,0,0,0,0,0,0,0,65,51-66,2374,0,1,0,0,0,0,1,0,0,582,42475</v>
      </c>
    </row>
    <row r="703" spans="1:40" ht="13" hidden="1" x14ac:dyDescent="0.15">
      <c r="A703">
        <v>265</v>
      </c>
      <c r="B703" s="1">
        <v>50898</v>
      </c>
      <c r="C703" s="1">
        <v>724</v>
      </c>
      <c r="D703" s="4">
        <f t="shared" si="20"/>
        <v>1.4224527486345239E-2</v>
      </c>
      <c r="E703" s="1">
        <v>1</v>
      </c>
      <c r="F703" s="1">
        <v>1</v>
      </c>
      <c r="G703" s="1">
        <v>88</v>
      </c>
      <c r="H703" s="1">
        <v>285</v>
      </c>
      <c r="I703" s="1">
        <v>28</v>
      </c>
      <c r="J703" s="1">
        <v>242</v>
      </c>
      <c r="K703" s="1">
        <v>55</v>
      </c>
      <c r="L703" s="1">
        <v>114</v>
      </c>
      <c r="M703" s="1">
        <v>135</v>
      </c>
      <c r="N703" s="1">
        <v>13</v>
      </c>
      <c r="O703" s="1">
        <v>6</v>
      </c>
      <c r="P703" s="1">
        <v>2</v>
      </c>
      <c r="Q703" s="1">
        <v>12</v>
      </c>
      <c r="R703" s="1">
        <v>5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64</v>
      </c>
      <c r="AA703" s="1" t="str" cm="1">
        <f t="array" ref="AA703">_xlfn.IFS(AND(Z703&lt;36, Z703&gt;23), "24-35", AND(Z703&lt;51, Z703&gt;35),"36-50", AND(Z703&lt;66, Z703&gt;50), "51-66", Z703&gt;65, "66+", TRUE, "?")</f>
        <v>51-66</v>
      </c>
      <c r="AB703" s="1">
        <v>2696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0</v>
      </c>
      <c r="AJ703" s="1">
        <v>1</v>
      </c>
      <c r="AK703" s="1">
        <v>0</v>
      </c>
      <c r="AL703" s="1">
        <v>589</v>
      </c>
      <c r="AM703" s="2">
        <v>42153</v>
      </c>
      <c r="AN703" t="str">
        <f t="shared" si="21"/>
        <v>50898,724,0.0142245274863452,1,1,88,285,28,242,55,114,135,13,6,2,12,5,0,0,0,0,0,0,0,64,51-66,2696,0,0,0,1,0,0,0,1,0,589,42153</v>
      </c>
    </row>
    <row r="704" spans="1:40" ht="13" hidden="1" x14ac:dyDescent="0.15">
      <c r="A704">
        <v>1215</v>
      </c>
      <c r="B704" s="1">
        <v>57811</v>
      </c>
      <c r="C704" s="1">
        <v>724</v>
      </c>
      <c r="D704" s="4">
        <f t="shared" si="20"/>
        <v>1.2523568179066268E-2</v>
      </c>
      <c r="E704" s="1">
        <v>0</v>
      </c>
      <c r="F704" s="1">
        <v>1</v>
      </c>
      <c r="G704" s="1">
        <v>49</v>
      </c>
      <c r="H704" s="1">
        <v>545</v>
      </c>
      <c r="I704" s="1">
        <v>7</v>
      </c>
      <c r="J704" s="1">
        <v>114</v>
      </c>
      <c r="K704" s="1">
        <v>37</v>
      </c>
      <c r="L704" s="1">
        <v>21</v>
      </c>
      <c r="M704" s="1">
        <v>78</v>
      </c>
      <c r="N704" s="1">
        <v>5</v>
      </c>
      <c r="O704" s="1">
        <v>7</v>
      </c>
      <c r="P704" s="1">
        <v>2</v>
      </c>
      <c r="Q704" s="1">
        <v>11</v>
      </c>
      <c r="R704" s="1">
        <v>5</v>
      </c>
      <c r="S704" s="1">
        <v>0</v>
      </c>
      <c r="T704" s="1">
        <v>0</v>
      </c>
      <c r="U704" s="1">
        <v>0</v>
      </c>
      <c r="V704" s="1">
        <v>1</v>
      </c>
      <c r="W704" s="1">
        <v>0</v>
      </c>
      <c r="X704" s="1">
        <v>0</v>
      </c>
      <c r="Y704" s="1">
        <v>0</v>
      </c>
      <c r="Z704" s="1">
        <v>54</v>
      </c>
      <c r="AA704" s="1" t="str" cm="1">
        <f t="array" ref="AA704">_xlfn.IFS(AND(Z704&lt;36, Z704&gt;23), "24-35", AND(Z704&lt;51, Z704&gt;35),"36-50", AND(Z704&lt;66, Z704&gt;50), "51-66", Z704&gt;65, "66+", TRUE, "?")</f>
        <v>51-66</v>
      </c>
      <c r="AB704" s="1">
        <v>2529</v>
      </c>
      <c r="AC704" s="1">
        <v>0</v>
      </c>
      <c r="AD704" s="1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1</v>
      </c>
      <c r="AJ704" s="1">
        <v>0</v>
      </c>
      <c r="AK704" s="1">
        <v>0</v>
      </c>
      <c r="AL704" s="1">
        <v>646</v>
      </c>
      <c r="AM704" s="2">
        <v>42320</v>
      </c>
      <c r="AN704" t="str">
        <f t="shared" si="21"/>
        <v>57811,724,0.0125235681790663,0,1,49,545,7,114,37,21,78,5,7,2,11,5,0,0,0,1,0,0,0,54,51-66,2529,0,0,0,1,0,0,1,0,0,646,42320</v>
      </c>
    </row>
    <row r="705" spans="1:40" ht="13" hidden="1" x14ac:dyDescent="0.15">
      <c r="A705">
        <v>1748</v>
      </c>
      <c r="B705" s="1">
        <v>70932</v>
      </c>
      <c r="C705" s="1">
        <v>724</v>
      </c>
      <c r="D705" s="4">
        <f t="shared" si="20"/>
        <v>1.0206958777420628E-2</v>
      </c>
      <c r="E705" s="1">
        <v>0</v>
      </c>
      <c r="F705" s="1">
        <v>1</v>
      </c>
      <c r="G705" s="1">
        <v>57</v>
      </c>
      <c r="H705" s="1">
        <v>200</v>
      </c>
      <c r="I705" s="1">
        <v>193</v>
      </c>
      <c r="J705" s="1">
        <v>100</v>
      </c>
      <c r="K705" s="1">
        <v>46</v>
      </c>
      <c r="L705" s="1">
        <v>185</v>
      </c>
      <c r="M705" s="1">
        <v>185</v>
      </c>
      <c r="N705" s="1">
        <v>2</v>
      </c>
      <c r="O705" s="1">
        <v>6</v>
      </c>
      <c r="P705" s="1">
        <v>2</v>
      </c>
      <c r="Q705" s="1">
        <v>12</v>
      </c>
      <c r="R705" s="1">
        <v>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48</v>
      </c>
      <c r="AA705" s="1" t="str" cm="1">
        <f t="array" ref="AA705">_xlfn.IFS(AND(Z705&lt;36, Z705&gt;23), "24-35", AND(Z705&lt;51, Z705&gt;35),"36-50", AND(Z705&lt;66, Z705&gt;50), "51-66", Z705&gt;65, "66+", TRUE, "?")</f>
        <v>36-50</v>
      </c>
      <c r="AB705" s="1">
        <v>2320</v>
      </c>
      <c r="AC705" s="1">
        <v>0</v>
      </c>
      <c r="AD705" s="1">
        <v>1</v>
      </c>
      <c r="AE705" s="1">
        <v>0</v>
      </c>
      <c r="AF705" s="1">
        <v>0</v>
      </c>
      <c r="AG705" s="1">
        <v>0</v>
      </c>
      <c r="AH705" s="1">
        <v>1</v>
      </c>
      <c r="AI705" s="1">
        <v>0</v>
      </c>
      <c r="AJ705" s="1">
        <v>0</v>
      </c>
      <c r="AK705" s="1">
        <v>0</v>
      </c>
      <c r="AL705" s="1">
        <v>539</v>
      </c>
      <c r="AM705" s="2">
        <v>42529</v>
      </c>
      <c r="AN705" t="str">
        <f t="shared" si="21"/>
        <v>70932,724,0.0102069587774206,0,1,57,200,193,100,46,185,185,2,6,2,12,3,0,0,0,0,0,0,0,48,36-50,2320,0,1,0,0,0,1,0,0,0,539,42529</v>
      </c>
    </row>
    <row r="706" spans="1:40" ht="13" hidden="1" x14ac:dyDescent="0.15">
      <c r="A706">
        <v>1953</v>
      </c>
      <c r="B706" s="1">
        <v>58482</v>
      </c>
      <c r="C706" s="1">
        <v>724</v>
      </c>
      <c r="D706" s="4">
        <f t="shared" ref="D706:D769" si="22">C706/B706</f>
        <v>1.2379877569166581E-2</v>
      </c>
      <c r="E706" s="1">
        <v>0</v>
      </c>
      <c r="F706" s="1">
        <v>1</v>
      </c>
      <c r="G706" s="1">
        <v>59</v>
      </c>
      <c r="H706" s="1">
        <v>576</v>
      </c>
      <c r="I706" s="1">
        <v>7</v>
      </c>
      <c r="J706" s="1">
        <v>115</v>
      </c>
      <c r="K706" s="1">
        <v>19</v>
      </c>
      <c r="L706" s="1">
        <v>7</v>
      </c>
      <c r="M706" s="1">
        <v>7</v>
      </c>
      <c r="N706" s="1">
        <v>2</v>
      </c>
      <c r="O706" s="1">
        <v>7</v>
      </c>
      <c r="P706" s="1">
        <v>4</v>
      </c>
      <c r="Q706" s="1">
        <v>9</v>
      </c>
      <c r="R706" s="1">
        <v>6</v>
      </c>
      <c r="S706" s="1">
        <v>0</v>
      </c>
      <c r="T706" s="1">
        <v>0</v>
      </c>
      <c r="U706" s="1">
        <v>0</v>
      </c>
      <c r="V706" s="1">
        <v>1</v>
      </c>
      <c r="W706" s="1">
        <v>0</v>
      </c>
      <c r="X706" s="1">
        <v>0</v>
      </c>
      <c r="Y706" s="1">
        <v>0</v>
      </c>
      <c r="Z706" s="1">
        <v>65</v>
      </c>
      <c r="AA706" s="1" t="str" cm="1">
        <f t="array" ref="AA706">_xlfn.IFS(AND(Z706&lt;36, Z706&gt;23), "24-35", AND(Z706&lt;51, Z706&gt;35),"36-50", AND(Z706&lt;66, Z706&gt;50), "51-66", Z706&gt;65, "66+", TRUE, "?")</f>
        <v>51-66</v>
      </c>
      <c r="AB706" s="1">
        <v>2268</v>
      </c>
      <c r="AC706" s="1">
        <v>0</v>
      </c>
      <c r="AD706" s="1">
        <v>1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1</v>
      </c>
      <c r="AL706" s="1">
        <v>717</v>
      </c>
      <c r="AM706" s="2">
        <v>42581</v>
      </c>
      <c r="AN706" t="str">
        <f t="shared" ref="AN706:AN769" si="23">_xlfn.TEXTJOIN(",",TRUE,B706:AM706)</f>
        <v>58482,724,0.0123798775691666,0,1,59,576,7,115,19,7,7,2,7,4,9,6,0,0,0,1,0,0,0,65,51-66,2268,0,1,0,0,0,0,0,0,1,717,42581</v>
      </c>
    </row>
    <row r="707" spans="1:40" ht="13" hidden="1" x14ac:dyDescent="0.15">
      <c r="A707">
        <v>392</v>
      </c>
      <c r="B707" s="1">
        <v>49505</v>
      </c>
      <c r="C707" s="1">
        <v>723</v>
      </c>
      <c r="D707" s="4">
        <f t="shared" si="22"/>
        <v>1.4604585395414605E-2</v>
      </c>
      <c r="E707" s="1">
        <v>1</v>
      </c>
      <c r="F707" s="1">
        <v>1</v>
      </c>
      <c r="G707" s="1">
        <v>4</v>
      </c>
      <c r="H707" s="1">
        <v>604</v>
      </c>
      <c r="I707" s="1">
        <v>0</v>
      </c>
      <c r="J707" s="1">
        <v>100</v>
      </c>
      <c r="K707" s="1">
        <v>19</v>
      </c>
      <c r="L707" s="1">
        <v>0</v>
      </c>
      <c r="M707" s="1">
        <v>28</v>
      </c>
      <c r="N707" s="1">
        <v>9</v>
      </c>
      <c r="O707" s="1">
        <v>10</v>
      </c>
      <c r="P707" s="1">
        <v>2</v>
      </c>
      <c r="Q707" s="1">
        <v>8</v>
      </c>
      <c r="R707" s="1">
        <v>8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49</v>
      </c>
      <c r="AA707" s="1" t="str" cm="1">
        <f t="array" ref="AA707">_xlfn.IFS(AND(Z707&lt;36, Z707&gt;23), "24-35", AND(Z707&lt;51, Z707&gt;35),"36-50", AND(Z707&lt;66, Z707&gt;50), "51-66", Z707&gt;65, "66+", TRUE, "?")</f>
        <v>36-50</v>
      </c>
      <c r="AB707" s="1">
        <v>2640</v>
      </c>
      <c r="AC707" s="1">
        <v>0</v>
      </c>
      <c r="AD707" s="1">
        <v>1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1</v>
      </c>
      <c r="AK707" s="1">
        <v>0</v>
      </c>
      <c r="AL707" s="1">
        <v>695</v>
      </c>
      <c r="AM707" s="2">
        <v>42209</v>
      </c>
      <c r="AN707" t="str">
        <f t="shared" si="23"/>
        <v>49505,723,0.0146045853954146,1,1,4,604,0,100,19,0,28,9,10,2,8,8,0,0,0,0,0,0,0,49,36-50,2640,0,1,0,0,0,0,0,1,0,695,42209</v>
      </c>
    </row>
    <row r="708" spans="1:40" ht="13" hidden="1" x14ac:dyDescent="0.15">
      <c r="A708">
        <v>1654</v>
      </c>
      <c r="B708" s="1">
        <v>58582</v>
      </c>
      <c r="C708" s="1">
        <v>721</v>
      </c>
      <c r="D708" s="4">
        <f t="shared" si="22"/>
        <v>1.2307534737632721E-2</v>
      </c>
      <c r="E708" s="1">
        <v>0</v>
      </c>
      <c r="F708" s="1">
        <v>1</v>
      </c>
      <c r="G708" s="1">
        <v>15</v>
      </c>
      <c r="H708" s="1">
        <v>402</v>
      </c>
      <c r="I708" s="1">
        <v>35</v>
      </c>
      <c r="J708" s="1">
        <v>106</v>
      </c>
      <c r="K708" s="1">
        <v>101</v>
      </c>
      <c r="L708" s="1">
        <v>77</v>
      </c>
      <c r="M708" s="1">
        <v>42</v>
      </c>
      <c r="N708" s="1">
        <v>2</v>
      </c>
      <c r="O708" s="1">
        <v>9</v>
      </c>
      <c r="P708" s="1">
        <v>2</v>
      </c>
      <c r="Q708" s="1">
        <v>9</v>
      </c>
      <c r="R708" s="1">
        <v>5</v>
      </c>
      <c r="S708" s="1">
        <v>0</v>
      </c>
      <c r="T708" s="1">
        <v>0</v>
      </c>
      <c r="U708" s="1">
        <v>0</v>
      </c>
      <c r="V708" s="1">
        <v>1</v>
      </c>
      <c r="W708" s="1">
        <v>0</v>
      </c>
      <c r="X708" s="1">
        <v>0</v>
      </c>
      <c r="Y708" s="1">
        <v>0</v>
      </c>
      <c r="Z708" s="1">
        <v>38</v>
      </c>
      <c r="AA708" s="1" t="str" cm="1">
        <f t="array" ref="AA708">_xlfn.IFS(AND(Z708&lt;36, Z708&gt;23), "24-35", AND(Z708&lt;51, Z708&gt;35),"36-50", AND(Z708&lt;66, Z708&gt;50), "51-66", Z708&gt;65, "66+", TRUE, "?")</f>
        <v>36-50</v>
      </c>
      <c r="AB708" s="1">
        <v>2433</v>
      </c>
      <c r="AC708" s="1">
        <v>0</v>
      </c>
      <c r="AD708" s="1">
        <v>0</v>
      </c>
      <c r="AE708" s="1">
        <v>0</v>
      </c>
      <c r="AF708" s="1">
        <v>1</v>
      </c>
      <c r="AG708" s="1">
        <v>0</v>
      </c>
      <c r="AH708" s="1">
        <v>1</v>
      </c>
      <c r="AI708" s="1">
        <v>0</v>
      </c>
      <c r="AJ708" s="1">
        <v>0</v>
      </c>
      <c r="AK708" s="1">
        <v>0</v>
      </c>
      <c r="AL708" s="1">
        <v>679</v>
      </c>
      <c r="AM708" s="2">
        <v>42416</v>
      </c>
      <c r="AN708" t="str">
        <f t="shared" si="23"/>
        <v>58582,721,0.0123075347376327,0,1,15,402,35,106,101,77,42,2,9,2,9,5,0,0,0,1,0,0,0,38,36-50,2433,0,0,0,1,0,1,0,0,0,679,42416</v>
      </c>
    </row>
    <row r="709" spans="1:40" ht="13" hidden="1" x14ac:dyDescent="0.15">
      <c r="A709">
        <v>568</v>
      </c>
      <c r="B709" s="1">
        <v>62807</v>
      </c>
      <c r="C709" s="1">
        <v>720</v>
      </c>
      <c r="D709" s="4">
        <f t="shared" si="22"/>
        <v>1.1463690352986132E-2</v>
      </c>
      <c r="E709" s="1">
        <v>0</v>
      </c>
      <c r="F709" s="1">
        <v>1</v>
      </c>
      <c r="G709" s="1">
        <v>83</v>
      </c>
      <c r="H709" s="1">
        <v>526</v>
      </c>
      <c r="I709" s="1">
        <v>28</v>
      </c>
      <c r="J709" s="1">
        <v>135</v>
      </c>
      <c r="K709" s="1">
        <v>10</v>
      </c>
      <c r="L709" s="1">
        <v>21</v>
      </c>
      <c r="M709" s="1">
        <v>99</v>
      </c>
      <c r="N709" s="1">
        <v>3</v>
      </c>
      <c r="O709" s="1">
        <v>5</v>
      </c>
      <c r="P709" s="1">
        <v>3</v>
      </c>
      <c r="Q709" s="1">
        <v>12</v>
      </c>
      <c r="R709" s="1">
        <v>5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60</v>
      </c>
      <c r="AA709" s="1" t="str" cm="1">
        <f t="array" ref="AA709">_xlfn.IFS(AND(Z709&lt;36, Z709&gt;23), "24-35", AND(Z709&lt;51, Z709&gt;35),"36-50", AND(Z709&lt;66, Z709&gt;50), "51-66", Z709&gt;65, "66+", TRUE, "?")</f>
        <v>51-66</v>
      </c>
      <c r="AB709" s="1">
        <v>2826</v>
      </c>
      <c r="AC709" s="1">
        <v>0</v>
      </c>
      <c r="AD709" s="1">
        <v>0</v>
      </c>
      <c r="AE709" s="1">
        <v>0</v>
      </c>
      <c r="AF709" s="1">
        <v>1</v>
      </c>
      <c r="AG709" s="1">
        <v>0</v>
      </c>
      <c r="AH709" s="1">
        <v>0</v>
      </c>
      <c r="AI709" s="1">
        <v>1</v>
      </c>
      <c r="AJ709" s="1">
        <v>0</v>
      </c>
      <c r="AK709" s="1">
        <v>0</v>
      </c>
      <c r="AL709" s="1">
        <v>621</v>
      </c>
      <c r="AM709" s="2">
        <v>42023</v>
      </c>
      <c r="AN709" t="str">
        <f t="shared" si="23"/>
        <v>62807,720,0.0114636903529861,0,1,83,526,28,135,10,21,99,3,5,3,12,5,0,0,0,0,0,0,0,60,51-66,2826,0,0,0,1,0,0,1,0,0,621,42023</v>
      </c>
    </row>
    <row r="710" spans="1:40" ht="13" hidden="1" x14ac:dyDescent="0.15">
      <c r="A710">
        <v>1660</v>
      </c>
      <c r="B710" s="1">
        <v>63967</v>
      </c>
      <c r="C710" s="1">
        <v>720</v>
      </c>
      <c r="D710" s="4">
        <f t="shared" si="22"/>
        <v>1.1255803773820877E-2</v>
      </c>
      <c r="E710" s="1">
        <v>0</v>
      </c>
      <c r="F710" s="1">
        <v>1</v>
      </c>
      <c r="G710" s="1">
        <v>57</v>
      </c>
      <c r="H710" s="1">
        <v>387</v>
      </c>
      <c r="I710" s="1">
        <v>84</v>
      </c>
      <c r="J710" s="1">
        <v>141</v>
      </c>
      <c r="K710" s="1">
        <v>73</v>
      </c>
      <c r="L710" s="1">
        <v>35</v>
      </c>
      <c r="M710" s="1">
        <v>162</v>
      </c>
      <c r="N710" s="1">
        <v>3</v>
      </c>
      <c r="O710" s="1">
        <v>4</v>
      </c>
      <c r="P710" s="1">
        <v>4</v>
      </c>
      <c r="Q710" s="1">
        <v>12</v>
      </c>
      <c r="R710" s="1">
        <v>2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52</v>
      </c>
      <c r="AA710" s="1" t="str" cm="1">
        <f t="array" ref="AA710">_xlfn.IFS(AND(Z710&lt;36, Z710&gt;23), "24-35", AND(Z710&lt;51, Z710&gt;35),"36-50", AND(Z710&lt;66, Z710&gt;50), "51-66", Z710&gt;65, "66+", TRUE, "?")</f>
        <v>51-66</v>
      </c>
      <c r="AB710" s="1">
        <v>2483</v>
      </c>
      <c r="AC710" s="1">
        <v>0</v>
      </c>
      <c r="AD710" s="1">
        <v>1</v>
      </c>
      <c r="AE710" s="1">
        <v>0</v>
      </c>
      <c r="AF710" s="1">
        <v>0</v>
      </c>
      <c r="AG710" s="1">
        <v>0</v>
      </c>
      <c r="AH710" s="1">
        <v>0</v>
      </c>
      <c r="AI710" s="1">
        <v>1</v>
      </c>
      <c r="AJ710" s="1">
        <v>0</v>
      </c>
      <c r="AK710" s="1">
        <v>0</v>
      </c>
      <c r="AL710" s="1">
        <v>558</v>
      </c>
      <c r="AM710" s="2">
        <v>42366</v>
      </c>
      <c r="AN710" t="str">
        <f t="shared" si="23"/>
        <v>63967,720,0.0112558037738209,0,1,57,387,84,141,73,35,162,3,4,4,12,2,0,0,0,0,0,0,0,52,51-66,2483,0,1,0,0,0,0,1,0,0,558,42366</v>
      </c>
    </row>
    <row r="711" spans="1:40" ht="13" hidden="1" x14ac:dyDescent="0.15">
      <c r="A711">
        <v>408</v>
      </c>
      <c r="B711" s="1">
        <v>67272</v>
      </c>
      <c r="C711" s="1">
        <v>719</v>
      </c>
      <c r="D711" s="4">
        <f t="shared" si="22"/>
        <v>1.0687953383279819E-2</v>
      </c>
      <c r="E711" s="1">
        <v>0</v>
      </c>
      <c r="F711" s="1">
        <v>1</v>
      </c>
      <c r="G711" s="1">
        <v>12</v>
      </c>
      <c r="H711" s="1">
        <v>357</v>
      </c>
      <c r="I711" s="1">
        <v>35</v>
      </c>
      <c r="J711" s="1">
        <v>271</v>
      </c>
      <c r="K711" s="1">
        <v>28</v>
      </c>
      <c r="L711" s="1">
        <v>28</v>
      </c>
      <c r="M711" s="1">
        <v>14</v>
      </c>
      <c r="N711" s="1">
        <v>3</v>
      </c>
      <c r="O711" s="1">
        <v>6</v>
      </c>
      <c r="P711" s="1">
        <v>2</v>
      </c>
      <c r="Q711" s="1">
        <v>12</v>
      </c>
      <c r="R711" s="1">
        <v>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54</v>
      </c>
      <c r="AA711" s="1" t="str" cm="1">
        <f t="array" ref="AA711">_xlfn.IFS(AND(Z711&lt;36, Z711&gt;23), "24-35", AND(Z711&lt;51, Z711&gt;35),"36-50", AND(Z711&lt;66, Z711&gt;50), "51-66", Z711&gt;65, "66+", TRUE, "?")</f>
        <v>51-66</v>
      </c>
      <c r="AB711" s="1">
        <v>2349</v>
      </c>
      <c r="AC711" s="1">
        <v>1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1</v>
      </c>
      <c r="AJ711" s="1">
        <v>0</v>
      </c>
      <c r="AK711" s="1">
        <v>0</v>
      </c>
      <c r="AL711" s="1">
        <v>705</v>
      </c>
      <c r="AM711" s="2">
        <v>42500</v>
      </c>
      <c r="AN711" t="str">
        <f t="shared" si="23"/>
        <v>67272,719,0.0106879533832798,0,1,12,357,35,271,28,28,14,3,6,2,12,5,0,0,0,0,0,0,0,54,51-66,2349,1,0,0,0,0,0,1,0,0,705,42500</v>
      </c>
    </row>
    <row r="712" spans="1:40" ht="13" hidden="1" x14ac:dyDescent="0.15">
      <c r="A712">
        <v>57</v>
      </c>
      <c r="B712" s="1">
        <v>61823</v>
      </c>
      <c r="C712" s="1">
        <v>715</v>
      </c>
      <c r="D712" s="4">
        <f t="shared" si="22"/>
        <v>1.1565275059443896E-2</v>
      </c>
      <c r="E712" s="1">
        <v>0</v>
      </c>
      <c r="F712" s="1">
        <v>1</v>
      </c>
      <c r="G712" s="1">
        <v>26</v>
      </c>
      <c r="H712" s="1">
        <v>523</v>
      </c>
      <c r="I712" s="1">
        <v>7</v>
      </c>
      <c r="J712" s="1">
        <v>134</v>
      </c>
      <c r="K712" s="1">
        <v>37</v>
      </c>
      <c r="L712" s="1">
        <v>14</v>
      </c>
      <c r="M712" s="1">
        <v>169</v>
      </c>
      <c r="N712" s="1">
        <v>4</v>
      </c>
      <c r="O712" s="1">
        <v>8</v>
      </c>
      <c r="P712" s="1">
        <v>2</v>
      </c>
      <c r="Q712" s="1">
        <v>10</v>
      </c>
      <c r="R712" s="1">
        <v>7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68</v>
      </c>
      <c r="AA712" s="1" t="str" cm="1">
        <f t="array" ref="AA712">_xlfn.IFS(AND(Z712&lt;36, Z712&gt;23), "24-35", AND(Z712&lt;51, Z712&gt;35),"36-50", AND(Z712&lt;66, Z712&gt;50), "51-66", Z712&gt;65, "66+", TRUE, "?")</f>
        <v>66+</v>
      </c>
      <c r="AB712" s="1">
        <v>2655</v>
      </c>
      <c r="AC712" s="1">
        <v>0</v>
      </c>
      <c r="AD712" s="1">
        <v>0</v>
      </c>
      <c r="AE712" s="1">
        <v>1</v>
      </c>
      <c r="AF712" s="1">
        <v>0</v>
      </c>
      <c r="AG712" s="1">
        <v>0</v>
      </c>
      <c r="AH712" s="1">
        <v>0</v>
      </c>
      <c r="AI712" s="1">
        <v>1</v>
      </c>
      <c r="AJ712" s="1">
        <v>0</v>
      </c>
      <c r="AK712" s="1">
        <v>0</v>
      </c>
      <c r="AL712" s="1">
        <v>546</v>
      </c>
      <c r="AM712" s="2">
        <v>42194</v>
      </c>
      <c r="AN712" t="str">
        <f t="shared" si="23"/>
        <v>61823,715,0.0115652750594439,0,1,26,523,7,134,37,14,169,4,8,2,10,7,0,0,0,0,0,0,0,68,66+,2655,0,0,1,0,0,0,1,0,0,546,42194</v>
      </c>
    </row>
    <row r="713" spans="1:40" ht="13" hidden="1" x14ac:dyDescent="0.15">
      <c r="A713">
        <v>1031</v>
      </c>
      <c r="B713" s="1">
        <v>80910</v>
      </c>
      <c r="C713" s="1">
        <v>715</v>
      </c>
      <c r="D713" s="4">
        <f t="shared" si="22"/>
        <v>8.8369793597824747E-3</v>
      </c>
      <c r="E713" s="1">
        <v>0</v>
      </c>
      <c r="F713" s="1">
        <v>0</v>
      </c>
      <c r="G713" s="1">
        <v>71</v>
      </c>
      <c r="H713" s="1">
        <v>160</v>
      </c>
      <c r="I713" s="1">
        <v>80</v>
      </c>
      <c r="J713" s="1">
        <v>369</v>
      </c>
      <c r="K713" s="1">
        <v>67</v>
      </c>
      <c r="L713" s="1">
        <v>39</v>
      </c>
      <c r="M713" s="1">
        <v>41</v>
      </c>
      <c r="N713" s="1">
        <v>1</v>
      </c>
      <c r="O713" s="1">
        <v>3</v>
      </c>
      <c r="P713" s="1">
        <v>3</v>
      </c>
      <c r="Q713" s="1">
        <v>8</v>
      </c>
      <c r="R713" s="1">
        <v>1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34</v>
      </c>
      <c r="AA713" s="1" t="str" cm="1">
        <f t="array" ref="AA713">_xlfn.IFS(AND(Z713&lt;36, Z713&gt;23), "24-35", AND(Z713&lt;51, Z713&gt;35),"36-50", AND(Z713&lt;66, Z713&gt;50), "51-66", Z713&gt;65, "66+", TRUE, "?")</f>
        <v>24-35</v>
      </c>
      <c r="AB713" s="1">
        <v>2765</v>
      </c>
      <c r="AC713" s="1">
        <v>0</v>
      </c>
      <c r="AD713" s="1">
        <v>0</v>
      </c>
      <c r="AE713" s="1">
        <v>1</v>
      </c>
      <c r="AF713" s="1">
        <v>0</v>
      </c>
      <c r="AG713" s="1">
        <v>0</v>
      </c>
      <c r="AH713" s="1">
        <v>1</v>
      </c>
      <c r="AI713" s="1">
        <v>0</v>
      </c>
      <c r="AJ713" s="1">
        <v>0</v>
      </c>
      <c r="AK713" s="1">
        <v>0</v>
      </c>
      <c r="AL713" s="1">
        <v>674</v>
      </c>
      <c r="AM713" s="2">
        <v>42084</v>
      </c>
      <c r="AN713" t="str">
        <f t="shared" si="23"/>
        <v>80910,715,0.00883697935978247,0,0,71,160,80,369,67,39,41,1,3,3,8,1,0,0,0,0,0,0,0,34,24-35,2765,0,0,1,0,0,1,0,0,0,674,42084</v>
      </c>
    </row>
    <row r="714" spans="1:40" ht="13" x14ac:dyDescent="0.15">
      <c r="A714">
        <v>1239</v>
      </c>
      <c r="B714" s="1">
        <v>60585</v>
      </c>
      <c r="C714" s="1">
        <v>715</v>
      </c>
      <c r="D714" s="4">
        <f t="shared" si="22"/>
        <v>1.1801601056367088E-2</v>
      </c>
      <c r="E714" s="1">
        <v>1</v>
      </c>
      <c r="F714" s="1">
        <v>1</v>
      </c>
      <c r="G714" s="1">
        <v>17</v>
      </c>
      <c r="H714" s="1">
        <v>267</v>
      </c>
      <c r="I714" s="1">
        <v>42</v>
      </c>
      <c r="J714" s="1">
        <v>309</v>
      </c>
      <c r="K714" s="1">
        <v>55</v>
      </c>
      <c r="L714" s="1">
        <v>42</v>
      </c>
      <c r="M714" s="1">
        <v>21</v>
      </c>
      <c r="N714" s="1">
        <v>10</v>
      </c>
      <c r="O714" s="1">
        <v>7</v>
      </c>
      <c r="P714" s="1">
        <v>4</v>
      </c>
      <c r="Q714" s="1">
        <v>9</v>
      </c>
      <c r="R714" s="1">
        <v>5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1</v>
      </c>
      <c r="Z714" s="1">
        <v>49</v>
      </c>
      <c r="AA714" s="1" t="str" cm="1">
        <f t="array" ref="AA714">_xlfn.IFS(AND(Z714&lt;36, Z714&gt;23), "24-35", AND(Z714&lt;51, Z714&gt;35),"36-50", AND(Z714&lt;66, Z714&gt;50), "51-66", Z714&gt;65, "66+", TRUE, "?")</f>
        <v>36-50</v>
      </c>
      <c r="AB714" s="1">
        <v>2529</v>
      </c>
      <c r="AC714" s="1">
        <v>0</v>
      </c>
      <c r="AD714" s="1">
        <v>1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1</v>
      </c>
      <c r="AL714" s="1">
        <v>694</v>
      </c>
      <c r="AM714" s="2">
        <v>42320</v>
      </c>
      <c r="AN714" t="str">
        <f t="shared" si="23"/>
        <v>60585,715,0.0118016010563671,1,1,17,267,42,309,55,42,21,10,7,4,9,5,0,0,0,0,0,0,1,49,36-50,2529,0,1,0,0,0,0,0,0,1,694,42320</v>
      </c>
    </row>
    <row r="715" spans="1:40" ht="13" hidden="1" x14ac:dyDescent="0.15">
      <c r="A715">
        <v>675</v>
      </c>
      <c r="B715" s="1">
        <v>59111</v>
      </c>
      <c r="C715" s="1">
        <v>714</v>
      </c>
      <c r="D715" s="4">
        <f t="shared" si="22"/>
        <v>1.2078970073252017E-2</v>
      </c>
      <c r="E715" s="1">
        <v>0</v>
      </c>
      <c r="F715" s="1">
        <v>0</v>
      </c>
      <c r="G715" s="1">
        <v>90</v>
      </c>
      <c r="H715" s="1">
        <v>524</v>
      </c>
      <c r="I715" s="1">
        <v>0</v>
      </c>
      <c r="J715" s="1">
        <v>134</v>
      </c>
      <c r="K715" s="1">
        <v>28</v>
      </c>
      <c r="L715" s="1">
        <v>28</v>
      </c>
      <c r="M715" s="1">
        <v>155</v>
      </c>
      <c r="N715" s="1">
        <v>1</v>
      </c>
      <c r="O715" s="1">
        <v>11</v>
      </c>
      <c r="P715" s="1">
        <v>1</v>
      </c>
      <c r="Q715" s="1">
        <v>8</v>
      </c>
      <c r="R715" s="1">
        <v>7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66</v>
      </c>
      <c r="AA715" s="1" t="str" cm="1">
        <f t="array" ref="AA715">_xlfn.IFS(AND(Z715&lt;36, Z715&gt;23), "24-35", AND(Z715&lt;51, Z715&gt;35),"36-50", AND(Z715&lt;66, Z715&gt;50), "51-66", Z715&gt;65, "66+", TRUE, "?")</f>
        <v>66+</v>
      </c>
      <c r="AB715" s="1">
        <v>2582</v>
      </c>
      <c r="AC715" s="1">
        <v>0</v>
      </c>
      <c r="AD715" s="1">
        <v>1</v>
      </c>
      <c r="AE715" s="1">
        <v>0</v>
      </c>
      <c r="AF715" s="1">
        <v>0</v>
      </c>
      <c r="AG715" s="1">
        <v>0</v>
      </c>
      <c r="AH715" s="1">
        <v>0</v>
      </c>
      <c r="AI715" s="1">
        <v>1</v>
      </c>
      <c r="AJ715" s="1">
        <v>0</v>
      </c>
      <c r="AK715" s="1">
        <v>0</v>
      </c>
      <c r="AL715" s="1">
        <v>559</v>
      </c>
      <c r="AM715" s="2">
        <v>42267</v>
      </c>
      <c r="AN715" t="str">
        <f t="shared" si="23"/>
        <v>59111,714,0.012078970073252,0,0,90,524,0,134,28,28,155,1,11,1,8,7,0,0,0,0,0,0,0,66,66+,2582,0,1,0,0,0,0,1,0,0,559,42267</v>
      </c>
    </row>
    <row r="716" spans="1:40" ht="13" hidden="1" x14ac:dyDescent="0.15">
      <c r="A716">
        <v>1307</v>
      </c>
      <c r="B716" s="1">
        <v>44511</v>
      </c>
      <c r="C716" s="1">
        <v>713</v>
      </c>
      <c r="D716" s="4">
        <f t="shared" si="22"/>
        <v>1.6018512277863897E-2</v>
      </c>
      <c r="E716" s="1">
        <v>1</v>
      </c>
      <c r="F716" s="1">
        <v>0</v>
      </c>
      <c r="G716" s="1">
        <v>39</v>
      </c>
      <c r="H716" s="1">
        <v>513</v>
      </c>
      <c r="I716" s="1">
        <v>7</v>
      </c>
      <c r="J716" s="1">
        <v>133</v>
      </c>
      <c r="K716" s="1">
        <v>46</v>
      </c>
      <c r="L716" s="1">
        <v>14</v>
      </c>
      <c r="M716" s="1">
        <v>14</v>
      </c>
      <c r="N716" s="1">
        <v>6</v>
      </c>
      <c r="O716" s="1">
        <v>8</v>
      </c>
      <c r="P716" s="1">
        <v>4</v>
      </c>
      <c r="Q716" s="1">
        <v>8</v>
      </c>
      <c r="R716" s="1">
        <v>8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50</v>
      </c>
      <c r="AA716" s="1" t="str" cm="1">
        <f t="array" ref="AA716">_xlfn.IFS(AND(Z716&lt;36, Z716&gt;23), "24-35", AND(Z716&lt;51, Z716&gt;35),"36-50", AND(Z716&lt;66, Z716&gt;50), "51-66", Z716&gt;65, "66+", TRUE, "?")</f>
        <v>36-50</v>
      </c>
      <c r="AB716" s="1">
        <v>2784</v>
      </c>
      <c r="AC716" s="1">
        <v>0</v>
      </c>
      <c r="AD716" s="1">
        <v>1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1</v>
      </c>
      <c r="AK716" s="1">
        <v>0</v>
      </c>
      <c r="AL716" s="1">
        <v>699</v>
      </c>
      <c r="AM716" s="2">
        <v>42065</v>
      </c>
      <c r="AN716" t="str">
        <f t="shared" si="23"/>
        <v>44511,713,0.0160185122778639,1,0,39,513,7,133,46,14,14,6,8,4,8,8,0,0,0,0,0,0,0,50,36-50,2784,0,1,0,0,0,0,0,1,0,699,42065</v>
      </c>
    </row>
    <row r="717" spans="1:40" ht="13" hidden="1" x14ac:dyDescent="0.15">
      <c r="A717">
        <v>769</v>
      </c>
      <c r="B717" s="1">
        <v>65685</v>
      </c>
      <c r="C717" s="1">
        <v>712</v>
      </c>
      <c r="D717" s="4">
        <f t="shared" si="22"/>
        <v>1.0839613305929816E-2</v>
      </c>
      <c r="E717" s="1">
        <v>0</v>
      </c>
      <c r="F717" s="1">
        <v>1</v>
      </c>
      <c r="G717" s="1">
        <v>54</v>
      </c>
      <c r="H717" s="1">
        <v>642</v>
      </c>
      <c r="I717" s="1">
        <v>14</v>
      </c>
      <c r="J717" s="1">
        <v>49</v>
      </c>
      <c r="K717" s="1">
        <v>0</v>
      </c>
      <c r="L717" s="1">
        <v>7</v>
      </c>
      <c r="M717" s="1">
        <v>57</v>
      </c>
      <c r="N717" s="1">
        <v>1</v>
      </c>
      <c r="O717" s="1">
        <v>9</v>
      </c>
      <c r="P717" s="1">
        <v>2</v>
      </c>
      <c r="Q717" s="1">
        <v>9</v>
      </c>
      <c r="R717" s="1">
        <v>5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48</v>
      </c>
      <c r="AA717" s="1" t="str" cm="1">
        <f t="array" ref="AA717">_xlfn.IFS(AND(Z717&lt;36, Z717&gt;23), "24-35", AND(Z717&lt;51, Z717&gt;35),"36-50", AND(Z717&lt;66, Z717&gt;50), "51-66", Z717&gt;65, "66+", TRUE, "?")</f>
        <v>36-50</v>
      </c>
      <c r="AB717" s="1">
        <v>2251</v>
      </c>
      <c r="AC717" s="1">
        <v>0</v>
      </c>
      <c r="AD717" s="1">
        <v>1</v>
      </c>
      <c r="AE717" s="1">
        <v>0</v>
      </c>
      <c r="AF717" s="1">
        <v>0</v>
      </c>
      <c r="AG717" s="1">
        <v>0</v>
      </c>
      <c r="AH717" s="1">
        <v>0</v>
      </c>
      <c r="AI717" s="1">
        <v>1</v>
      </c>
      <c r="AJ717" s="1">
        <v>0</v>
      </c>
      <c r="AK717" s="1">
        <v>0</v>
      </c>
      <c r="AL717" s="1">
        <v>655</v>
      </c>
      <c r="AM717" s="2">
        <v>42598</v>
      </c>
      <c r="AN717" t="str">
        <f t="shared" si="23"/>
        <v>65685,712,0.0108396133059298,0,1,54,642,14,49,0,7,57,1,9,2,9,5,0,0,0,0,0,0,0,48,36-50,2251,0,1,0,0,0,0,1,0,0,655,42598</v>
      </c>
    </row>
    <row r="718" spans="1:40" ht="13" hidden="1" x14ac:dyDescent="0.15">
      <c r="A718">
        <v>1410</v>
      </c>
      <c r="B718" s="1">
        <v>58597</v>
      </c>
      <c r="C718" s="1">
        <v>712</v>
      </c>
      <c r="D718" s="4">
        <f t="shared" si="22"/>
        <v>1.2150792702698089E-2</v>
      </c>
      <c r="E718" s="1">
        <v>1</v>
      </c>
      <c r="F718" s="1">
        <v>1</v>
      </c>
      <c r="G718" s="1">
        <v>20</v>
      </c>
      <c r="H718" s="1">
        <v>490</v>
      </c>
      <c r="I718" s="1">
        <v>0</v>
      </c>
      <c r="J718" s="1">
        <v>184</v>
      </c>
      <c r="K718" s="1">
        <v>10</v>
      </c>
      <c r="L718" s="1">
        <v>28</v>
      </c>
      <c r="M718" s="1">
        <v>21</v>
      </c>
      <c r="N718" s="1">
        <v>12</v>
      </c>
      <c r="O718" s="1">
        <v>7</v>
      </c>
      <c r="P718" s="1">
        <v>4</v>
      </c>
      <c r="Q718" s="1">
        <v>9</v>
      </c>
      <c r="R718" s="1">
        <v>7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44</v>
      </c>
      <c r="AA718" s="1" t="str" cm="1">
        <f t="array" ref="AA718">_xlfn.IFS(AND(Z718&lt;36, Z718&gt;23), "24-35", AND(Z718&lt;51, Z718&gt;35),"36-50", AND(Z718&lt;66, Z718&gt;50), "51-66", Z718&gt;65, "66+", TRUE, "?")</f>
        <v>36-50</v>
      </c>
      <c r="AB718" s="1">
        <v>2745</v>
      </c>
      <c r="AC718" s="1">
        <v>0</v>
      </c>
      <c r="AD718" s="1">
        <v>1</v>
      </c>
      <c r="AE718" s="1">
        <v>0</v>
      </c>
      <c r="AF718" s="1">
        <v>0</v>
      </c>
      <c r="AG718" s="1">
        <v>0</v>
      </c>
      <c r="AH718" s="1">
        <v>0</v>
      </c>
      <c r="AI718" s="1">
        <v>1</v>
      </c>
      <c r="AJ718" s="1">
        <v>0</v>
      </c>
      <c r="AK718" s="1">
        <v>0</v>
      </c>
      <c r="AL718" s="1">
        <v>691</v>
      </c>
      <c r="AM718" s="2">
        <v>42104</v>
      </c>
      <c r="AN718" t="str">
        <f t="shared" si="23"/>
        <v>58597,712,0.0121507927026981,1,1,20,490,0,184,10,28,21,12,7,4,9,7,0,0,0,0,0,0,0,44,36-50,2745,0,1,0,0,0,0,1,0,0,691,42104</v>
      </c>
    </row>
    <row r="719" spans="1:40" ht="13" hidden="1" x14ac:dyDescent="0.15">
      <c r="A719">
        <v>1830</v>
      </c>
      <c r="B719" s="1">
        <v>65814</v>
      </c>
      <c r="C719" s="1">
        <v>712</v>
      </c>
      <c r="D719" s="4">
        <f t="shared" si="22"/>
        <v>1.0818366912814903E-2</v>
      </c>
      <c r="E719" s="1">
        <v>0</v>
      </c>
      <c r="F719" s="1">
        <v>1</v>
      </c>
      <c r="G719" s="1">
        <v>90</v>
      </c>
      <c r="H719" s="1">
        <v>561</v>
      </c>
      <c r="I719" s="1">
        <v>14</v>
      </c>
      <c r="J719" s="1">
        <v>113</v>
      </c>
      <c r="K719" s="1">
        <v>10</v>
      </c>
      <c r="L719" s="1">
        <v>14</v>
      </c>
      <c r="M719" s="1">
        <v>35</v>
      </c>
      <c r="N719" s="1">
        <v>3</v>
      </c>
      <c r="O719" s="1">
        <v>8</v>
      </c>
      <c r="P719" s="1">
        <v>2</v>
      </c>
      <c r="Q719" s="1">
        <v>10</v>
      </c>
      <c r="R719" s="1">
        <v>5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54</v>
      </c>
      <c r="AA719" s="1" t="str" cm="1">
        <f t="array" ref="AA719">_xlfn.IFS(AND(Z719&lt;36, Z719&gt;23), "24-35", AND(Z719&lt;51, Z719&gt;35),"36-50", AND(Z719&lt;66, Z719&gt;50), "51-66", Z719&gt;65, "66+", TRUE, "?")</f>
        <v>51-66</v>
      </c>
      <c r="AB719" s="1">
        <v>2278</v>
      </c>
      <c r="AC719" s="1">
        <v>0</v>
      </c>
      <c r="AD719" s="1">
        <v>0</v>
      </c>
      <c r="AE719" s="1">
        <v>0</v>
      </c>
      <c r="AF719" s="1">
        <v>1</v>
      </c>
      <c r="AG719" s="1">
        <v>0</v>
      </c>
      <c r="AH719" s="1">
        <v>0</v>
      </c>
      <c r="AI719" s="1">
        <v>0</v>
      </c>
      <c r="AJ719" s="1">
        <v>0</v>
      </c>
      <c r="AK719" s="1">
        <v>1</v>
      </c>
      <c r="AL719" s="1">
        <v>677</v>
      </c>
      <c r="AM719" s="2">
        <v>42571</v>
      </c>
      <c r="AN719" t="str">
        <f t="shared" si="23"/>
        <v>65814,712,0.0108183669128149,0,1,90,561,14,113,10,14,35,3,8,2,10,5,0,0,0,0,0,0,0,54,51-66,2278,0,0,0,1,0,0,0,0,1,677,42571</v>
      </c>
    </row>
    <row r="720" spans="1:40" ht="13" hidden="1" x14ac:dyDescent="0.15">
      <c r="A720">
        <v>1007</v>
      </c>
      <c r="B720" s="1">
        <v>59925</v>
      </c>
      <c r="C720" s="1">
        <v>710</v>
      </c>
      <c r="D720" s="4">
        <f t="shared" si="22"/>
        <v>1.1848143512724238E-2</v>
      </c>
      <c r="E720" s="1">
        <v>0</v>
      </c>
      <c r="F720" s="1">
        <v>1</v>
      </c>
      <c r="G720" s="1">
        <v>83</v>
      </c>
      <c r="H720" s="1">
        <v>473</v>
      </c>
      <c r="I720" s="1">
        <v>21</v>
      </c>
      <c r="J720" s="1">
        <v>176</v>
      </c>
      <c r="K720" s="1">
        <v>19</v>
      </c>
      <c r="L720" s="1">
        <v>21</v>
      </c>
      <c r="M720" s="1">
        <v>56</v>
      </c>
      <c r="N720" s="1">
        <v>3</v>
      </c>
      <c r="O720" s="1">
        <v>9</v>
      </c>
      <c r="P720" s="1">
        <v>2</v>
      </c>
      <c r="Q720" s="1">
        <v>9</v>
      </c>
      <c r="R720" s="1">
        <v>6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65</v>
      </c>
      <c r="AA720" s="1" t="str" cm="1">
        <f t="array" ref="AA720">_xlfn.IFS(AND(Z720&lt;36, Z720&gt;23), "24-35", AND(Z720&lt;51, Z720&gt;35),"36-50", AND(Z720&lt;66, Z720&gt;50), "51-66", Z720&gt;65, "66+", TRUE, "?")</f>
        <v>51-66</v>
      </c>
      <c r="AB720" s="1">
        <v>2735</v>
      </c>
      <c r="AC720" s="1">
        <v>0</v>
      </c>
      <c r="AD720" s="1">
        <v>0</v>
      </c>
      <c r="AE720" s="1">
        <v>0</v>
      </c>
      <c r="AF720" s="1">
        <v>1</v>
      </c>
      <c r="AG720" s="1">
        <v>0</v>
      </c>
      <c r="AH720" s="1">
        <v>0</v>
      </c>
      <c r="AI720" s="1">
        <v>1</v>
      </c>
      <c r="AJ720" s="1">
        <v>0</v>
      </c>
      <c r="AK720" s="1">
        <v>0</v>
      </c>
      <c r="AL720" s="1">
        <v>654</v>
      </c>
      <c r="AM720" s="2">
        <v>42114</v>
      </c>
      <c r="AN720" t="str">
        <f t="shared" si="23"/>
        <v>59925,710,0.0118481435127242,0,1,83,473,21,176,19,21,56,3,9,2,9,6,0,0,0,0,0,0,0,65,51-66,2735,0,0,0,1,0,0,1,0,0,654,42114</v>
      </c>
    </row>
    <row r="721" spans="1:40" ht="13" hidden="1" x14ac:dyDescent="0.15">
      <c r="A721">
        <v>367</v>
      </c>
      <c r="B721" s="1">
        <v>70777</v>
      </c>
      <c r="C721" s="1">
        <v>709</v>
      </c>
      <c r="D721" s="4">
        <f t="shared" si="22"/>
        <v>1.0017378526922588E-2</v>
      </c>
      <c r="E721" s="1">
        <v>0</v>
      </c>
      <c r="F721" s="1">
        <v>1</v>
      </c>
      <c r="G721" s="1">
        <v>80</v>
      </c>
      <c r="H721" s="1">
        <v>554</v>
      </c>
      <c r="I721" s="1">
        <v>35</v>
      </c>
      <c r="J721" s="1">
        <v>113</v>
      </c>
      <c r="K721" s="1">
        <v>0</v>
      </c>
      <c r="L721" s="1">
        <v>7</v>
      </c>
      <c r="M721" s="1">
        <v>78</v>
      </c>
      <c r="N721" s="1">
        <v>3</v>
      </c>
      <c r="O721" s="1">
        <v>5</v>
      </c>
      <c r="P721" s="1">
        <v>3</v>
      </c>
      <c r="Q721" s="1">
        <v>12</v>
      </c>
      <c r="R721" s="1">
        <v>3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52</v>
      </c>
      <c r="AA721" s="1" t="str" cm="1">
        <f t="array" ref="AA721">_xlfn.IFS(AND(Z721&lt;36, Z721&gt;23), "24-35", AND(Z721&lt;51, Z721&gt;35),"36-50", AND(Z721&lt;66, Z721&gt;50), "51-66", Z721&gt;65, "66+", TRUE, "?")</f>
        <v>51-66</v>
      </c>
      <c r="AB721" s="1">
        <v>2283</v>
      </c>
      <c r="AC721" s="1">
        <v>0</v>
      </c>
      <c r="AD721" s="1">
        <v>1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1</v>
      </c>
      <c r="AK721" s="1">
        <v>0</v>
      </c>
      <c r="AL721" s="1">
        <v>631</v>
      </c>
      <c r="AM721" s="2">
        <v>42566</v>
      </c>
      <c r="AN721" t="str">
        <f t="shared" si="23"/>
        <v>70777,709,0.0100173785269226,0,1,80,554,35,113,0,7,78,3,5,3,12,3,0,0,0,0,0,0,0,52,51-66,2283,0,1,0,0,0,0,0,1,0,631,42566</v>
      </c>
    </row>
    <row r="722" spans="1:40" ht="13" x14ac:dyDescent="0.15">
      <c r="A722">
        <v>1245</v>
      </c>
      <c r="B722" s="1">
        <v>86037</v>
      </c>
      <c r="C722" s="1">
        <v>708</v>
      </c>
      <c r="D722" s="4">
        <f t="shared" si="22"/>
        <v>8.2290177481781097E-3</v>
      </c>
      <c r="E722" s="1">
        <v>0</v>
      </c>
      <c r="F722" s="1">
        <v>0</v>
      </c>
      <c r="G722" s="1">
        <v>95</v>
      </c>
      <c r="H722" s="1">
        <v>490</v>
      </c>
      <c r="I722" s="1">
        <v>44</v>
      </c>
      <c r="J722" s="1">
        <v>125</v>
      </c>
      <c r="K722" s="1">
        <v>29</v>
      </c>
      <c r="L722" s="1">
        <v>20</v>
      </c>
      <c r="M722" s="1">
        <v>22</v>
      </c>
      <c r="N722" s="1">
        <v>1</v>
      </c>
      <c r="O722" s="1">
        <v>6</v>
      </c>
      <c r="P722" s="1">
        <v>7</v>
      </c>
      <c r="Q722" s="1">
        <v>11</v>
      </c>
      <c r="R722" s="1">
        <v>3</v>
      </c>
      <c r="S722" s="1">
        <v>0</v>
      </c>
      <c r="T722" s="1">
        <v>0</v>
      </c>
      <c r="U722" s="1">
        <v>0</v>
      </c>
      <c r="V722" s="1">
        <v>1</v>
      </c>
      <c r="W722" s="1">
        <v>1</v>
      </c>
      <c r="X722" s="1">
        <v>0</v>
      </c>
      <c r="Y722" s="1">
        <v>1</v>
      </c>
      <c r="Z722" s="1">
        <v>29</v>
      </c>
      <c r="AA722" s="1" t="str" cm="1">
        <f t="array" ref="AA722">_xlfn.IFS(AND(Z722&lt;36, Z722&gt;23), "24-35", AND(Z722&lt;51, Z722&gt;35),"36-50", AND(Z722&lt;66, Z722&gt;50), "51-66", Z722&gt;65, "66+", TRUE, "?")</f>
        <v>24-35</v>
      </c>
      <c r="AB722" s="1">
        <v>2702</v>
      </c>
      <c r="AC722" s="1">
        <v>0</v>
      </c>
      <c r="AD722" s="1">
        <v>0</v>
      </c>
      <c r="AE722" s="1">
        <v>1</v>
      </c>
      <c r="AF722" s="1">
        <v>0</v>
      </c>
      <c r="AG722" s="1">
        <v>0</v>
      </c>
      <c r="AH722" s="1">
        <v>0</v>
      </c>
      <c r="AI722" s="1">
        <v>1</v>
      </c>
      <c r="AJ722" s="1">
        <v>0</v>
      </c>
      <c r="AK722" s="1">
        <v>0</v>
      </c>
      <c r="AL722" s="1">
        <v>686</v>
      </c>
      <c r="AM722" s="2">
        <v>42147</v>
      </c>
      <c r="AN722" t="str">
        <f t="shared" si="23"/>
        <v>86037,708,0.00822901774817811,0,0,95,490,44,125,29,20,22,1,6,7,11,3,0,0,0,1,1,0,1,29,24-35,2702,0,0,1,0,0,0,1,0,0,686,42147</v>
      </c>
    </row>
    <row r="723" spans="1:40" ht="13" x14ac:dyDescent="0.15">
      <c r="A723">
        <v>1247</v>
      </c>
      <c r="B723" s="1">
        <v>82017</v>
      </c>
      <c r="C723" s="1">
        <v>706</v>
      </c>
      <c r="D723" s="4">
        <f t="shared" si="22"/>
        <v>8.6079715180999057E-3</v>
      </c>
      <c r="E723" s="1">
        <v>0</v>
      </c>
      <c r="F723" s="1">
        <v>0</v>
      </c>
      <c r="G723" s="1">
        <v>58</v>
      </c>
      <c r="H723" s="1">
        <v>184</v>
      </c>
      <c r="I723" s="1">
        <v>23</v>
      </c>
      <c r="J723" s="1">
        <v>446</v>
      </c>
      <c r="K723" s="1">
        <v>30</v>
      </c>
      <c r="L723" s="1">
        <v>23</v>
      </c>
      <c r="M723" s="1">
        <v>23</v>
      </c>
      <c r="N723" s="1">
        <v>1</v>
      </c>
      <c r="O723" s="1">
        <v>5</v>
      </c>
      <c r="P723" s="1">
        <v>4</v>
      </c>
      <c r="Q723" s="1">
        <v>7</v>
      </c>
      <c r="R723" s="1">
        <v>2</v>
      </c>
      <c r="S723" s="1">
        <v>1</v>
      </c>
      <c r="T723" s="1">
        <v>0</v>
      </c>
      <c r="U723" s="1">
        <v>0</v>
      </c>
      <c r="V723" s="1">
        <v>1</v>
      </c>
      <c r="W723" s="1">
        <v>1</v>
      </c>
      <c r="X723" s="1">
        <v>0</v>
      </c>
      <c r="Y723" s="1">
        <v>1</v>
      </c>
      <c r="Z723" s="1">
        <v>63</v>
      </c>
      <c r="AA723" s="1" t="str" cm="1">
        <f t="array" ref="AA723">_xlfn.IFS(AND(Z723&lt;36, Z723&gt;23), "24-35", AND(Z723&lt;51, Z723&gt;35),"36-50", AND(Z723&lt;66, Z723&gt;50), "51-66", Z723&gt;65, "66+", TRUE, "?")</f>
        <v>51-66</v>
      </c>
      <c r="AB723" s="1">
        <v>2758</v>
      </c>
      <c r="AC723" s="1">
        <v>0</v>
      </c>
      <c r="AD723" s="1">
        <v>1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1</v>
      </c>
      <c r="AL723" s="1">
        <v>683</v>
      </c>
      <c r="AM723" s="2">
        <v>42091</v>
      </c>
      <c r="AN723" t="str">
        <f t="shared" si="23"/>
        <v>82017,706,0.00860797151809991,0,0,58,184,23,446,30,23,23,1,5,4,7,2,1,0,0,1,1,0,1,63,51-66,2758,0,1,0,0,0,0,0,0,1,683,42091</v>
      </c>
    </row>
    <row r="724" spans="1:40" ht="13" hidden="1" x14ac:dyDescent="0.15">
      <c r="A724">
        <v>1727</v>
      </c>
      <c r="B724" s="1">
        <v>61671</v>
      </c>
      <c r="C724" s="1">
        <v>704</v>
      </c>
      <c r="D724" s="4">
        <f t="shared" si="22"/>
        <v>1.1415414051985536E-2</v>
      </c>
      <c r="E724" s="1">
        <v>0</v>
      </c>
      <c r="F724" s="1">
        <v>1</v>
      </c>
      <c r="G724" s="1">
        <v>23</v>
      </c>
      <c r="H724" s="1">
        <v>641</v>
      </c>
      <c r="I724" s="1">
        <v>7</v>
      </c>
      <c r="J724" s="1">
        <v>56</v>
      </c>
      <c r="K724" s="1">
        <v>0</v>
      </c>
      <c r="L724" s="1">
        <v>0</v>
      </c>
      <c r="M724" s="1">
        <v>28</v>
      </c>
      <c r="N724" s="1">
        <v>8</v>
      </c>
      <c r="O724" s="1">
        <v>10</v>
      </c>
      <c r="P724" s="1">
        <v>4</v>
      </c>
      <c r="Q724" s="1">
        <v>6</v>
      </c>
      <c r="R724" s="1">
        <v>8</v>
      </c>
      <c r="S724" s="1">
        <v>1</v>
      </c>
      <c r="T724" s="1">
        <v>0</v>
      </c>
      <c r="U724" s="1">
        <v>0</v>
      </c>
      <c r="V724" s="1">
        <v>1</v>
      </c>
      <c r="W724" s="1">
        <v>0</v>
      </c>
      <c r="X724" s="1">
        <v>0</v>
      </c>
      <c r="Y724" s="1">
        <v>0</v>
      </c>
      <c r="Z724" s="1">
        <v>52</v>
      </c>
      <c r="AA724" s="1" t="str" cm="1">
        <f t="array" ref="AA724">_xlfn.IFS(AND(Z724&lt;36, Z724&gt;23), "24-35", AND(Z724&lt;51, Z724&gt;35),"36-50", AND(Z724&lt;66, Z724&gt;50), "51-66", Z724&gt;65, "66+", TRUE, "?")</f>
        <v>51-66</v>
      </c>
      <c r="AB724" s="1">
        <v>2185</v>
      </c>
      <c r="AC724" s="1">
        <v>1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1</v>
      </c>
      <c r="AJ724" s="1">
        <v>0</v>
      </c>
      <c r="AK724" s="1">
        <v>0</v>
      </c>
      <c r="AL724" s="1">
        <v>676</v>
      </c>
      <c r="AM724" s="2">
        <v>42664</v>
      </c>
      <c r="AN724" t="str">
        <f t="shared" si="23"/>
        <v>61671,704,0.0114154140519855,0,1,23,641,7,56,0,0,28,8,10,4,6,8,1,0,0,1,0,0,0,52,51-66,2185,1,0,0,0,0,0,1,0,0,676,42664</v>
      </c>
    </row>
    <row r="725" spans="1:40" ht="13" hidden="1" x14ac:dyDescent="0.15">
      <c r="A725">
        <v>1968</v>
      </c>
      <c r="B725" s="1">
        <v>65210</v>
      </c>
      <c r="C725" s="1">
        <v>703</v>
      </c>
      <c r="D725" s="4">
        <f t="shared" si="22"/>
        <v>1.0780555129581353E-2</v>
      </c>
      <c r="E725" s="1">
        <v>0</v>
      </c>
      <c r="F725" s="1">
        <v>1</v>
      </c>
      <c r="G725" s="1">
        <v>25</v>
      </c>
      <c r="H725" s="1">
        <v>626</v>
      </c>
      <c r="I725" s="1">
        <v>0</v>
      </c>
      <c r="J725" s="1">
        <v>70</v>
      </c>
      <c r="K725" s="1">
        <v>0</v>
      </c>
      <c r="L725" s="1">
        <v>7</v>
      </c>
      <c r="M725" s="1">
        <v>28</v>
      </c>
      <c r="N725" s="1">
        <v>2</v>
      </c>
      <c r="O725" s="1">
        <v>9</v>
      </c>
      <c r="P725" s="1">
        <v>3</v>
      </c>
      <c r="Q725" s="1">
        <v>8</v>
      </c>
      <c r="R725" s="1">
        <v>6</v>
      </c>
      <c r="S725" s="1">
        <v>1</v>
      </c>
      <c r="T725" s="1">
        <v>0</v>
      </c>
      <c r="U725" s="1">
        <v>0</v>
      </c>
      <c r="V725" s="1">
        <v>1</v>
      </c>
      <c r="W725" s="1">
        <v>0</v>
      </c>
      <c r="X725" s="1">
        <v>0</v>
      </c>
      <c r="Y725" s="1">
        <v>0</v>
      </c>
      <c r="Z725" s="1">
        <v>65</v>
      </c>
      <c r="AA725" s="1" t="str" cm="1">
        <f t="array" ref="AA725">_xlfn.IFS(AND(Z725&lt;36, Z725&gt;23), "24-35", AND(Z725&lt;51, Z725&gt;35),"36-50", AND(Z725&lt;66, Z725&gt;50), "51-66", Z725&gt;65, "66+", TRUE, "?")</f>
        <v>51-66</v>
      </c>
      <c r="AB725" s="1">
        <v>2270</v>
      </c>
      <c r="AC725" s="1">
        <v>0</v>
      </c>
      <c r="AD725" s="1">
        <v>1</v>
      </c>
      <c r="AE725" s="1">
        <v>0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>
        <v>0</v>
      </c>
      <c r="AL725" s="1">
        <v>675</v>
      </c>
      <c r="AM725" s="2">
        <v>42579</v>
      </c>
      <c r="AN725" t="str">
        <f t="shared" si="23"/>
        <v>65210,703,0.0107805551295814,0,1,25,626,0,70,0,7,28,2,9,3,8,6,1,0,0,1,0,0,0,65,51-66,2270,0,1,0,0,0,0,1,0,0,675,42579</v>
      </c>
    </row>
    <row r="726" spans="1:40" ht="13" hidden="1" x14ac:dyDescent="0.15">
      <c r="A726">
        <v>6</v>
      </c>
      <c r="B726" s="1">
        <v>62513</v>
      </c>
      <c r="C726" s="1">
        <v>702</v>
      </c>
      <c r="D726" s="4">
        <f t="shared" si="22"/>
        <v>1.1229664229840194E-2</v>
      </c>
      <c r="E726" s="1">
        <v>0</v>
      </c>
      <c r="F726" s="1">
        <v>1</v>
      </c>
      <c r="G726" s="1">
        <v>16</v>
      </c>
      <c r="H726" s="1">
        <v>520</v>
      </c>
      <c r="I726" s="1">
        <v>42</v>
      </c>
      <c r="J726" s="1">
        <v>98</v>
      </c>
      <c r="K726" s="1">
        <v>0</v>
      </c>
      <c r="L726" s="1">
        <v>42</v>
      </c>
      <c r="M726" s="1">
        <v>14</v>
      </c>
      <c r="N726" s="1">
        <v>2</v>
      </c>
      <c r="O726" s="1">
        <v>6</v>
      </c>
      <c r="P726" s="1">
        <v>4</v>
      </c>
      <c r="Q726" s="1">
        <v>10</v>
      </c>
      <c r="R726" s="1">
        <v>6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53</v>
      </c>
      <c r="AA726" s="1" t="str" cm="1">
        <f t="array" ref="AA726">_xlfn.IFS(AND(Z726&lt;36, Z726&gt;23), "24-35", AND(Z726&lt;51, Z726&gt;35),"36-50", AND(Z726&lt;66, Z726&gt;50), "51-66", Z726&gt;65, "66+", TRUE, "?")</f>
        <v>51-66</v>
      </c>
      <c r="AB726" s="1">
        <v>2452</v>
      </c>
      <c r="AC726" s="1">
        <v>0</v>
      </c>
      <c r="AD726" s="1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0</v>
      </c>
      <c r="AJ726" s="1">
        <v>1</v>
      </c>
      <c r="AK726" s="1">
        <v>0</v>
      </c>
      <c r="AL726" s="1">
        <v>688</v>
      </c>
      <c r="AM726" s="2">
        <v>42397</v>
      </c>
      <c r="AN726" t="str">
        <f t="shared" si="23"/>
        <v>62513,702,0.0112296642298402,0,1,16,520,42,98,0,42,14,2,6,4,10,6,0,0,0,0,0,0,0,53,51-66,2452,0,0,0,1,0,0,0,1,0,688,42397</v>
      </c>
    </row>
    <row r="727" spans="1:40" ht="13" hidden="1" x14ac:dyDescent="0.15">
      <c r="A727">
        <v>76</v>
      </c>
      <c r="B727" s="1">
        <v>81361</v>
      </c>
      <c r="C727" s="1">
        <v>702</v>
      </c>
      <c r="D727" s="4">
        <f t="shared" si="22"/>
        <v>8.628212534260887E-3</v>
      </c>
      <c r="E727" s="1">
        <v>0</v>
      </c>
      <c r="F727" s="1">
        <v>0</v>
      </c>
      <c r="G727" s="1">
        <v>18</v>
      </c>
      <c r="H727" s="1">
        <v>163</v>
      </c>
      <c r="I727" s="1">
        <v>23</v>
      </c>
      <c r="J727" s="1">
        <v>424</v>
      </c>
      <c r="K727" s="1">
        <v>27</v>
      </c>
      <c r="L727" s="1">
        <v>65</v>
      </c>
      <c r="M727" s="1">
        <v>76</v>
      </c>
      <c r="N727" s="1">
        <v>1</v>
      </c>
      <c r="O727" s="1">
        <v>3</v>
      </c>
      <c r="P727" s="1">
        <v>10</v>
      </c>
      <c r="Q727" s="1">
        <v>13</v>
      </c>
      <c r="R727" s="1">
        <v>1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33</v>
      </c>
      <c r="AA727" s="1" t="str" cm="1">
        <f t="array" ref="AA727">_xlfn.IFS(AND(Z727&lt;36, Z727&gt;23), "24-35", AND(Z727&lt;51, Z727&gt;35),"36-50", AND(Z727&lt;66, Z727&gt;50), "51-66", Z727&gt;65, "66+", TRUE, "?")</f>
        <v>24-35</v>
      </c>
      <c r="AB727" s="1">
        <v>2283</v>
      </c>
      <c r="AC727" s="1">
        <v>1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1</v>
      </c>
      <c r="AJ727" s="1">
        <v>0</v>
      </c>
      <c r="AK727" s="1">
        <v>0</v>
      </c>
      <c r="AL727" s="1">
        <v>626</v>
      </c>
      <c r="AM727" s="2">
        <v>42566</v>
      </c>
      <c r="AN727" t="str">
        <f t="shared" si="23"/>
        <v>81361,702,0.00862821253426089,0,0,18,163,23,424,27,65,76,1,3,10,13,1,0,0,0,0,0,0,0,33,24-35,2283,1,0,0,0,0,0,1,0,0,626,42566</v>
      </c>
    </row>
    <row r="728" spans="1:40" ht="13" hidden="1" x14ac:dyDescent="0.15">
      <c r="A728">
        <v>487</v>
      </c>
      <c r="B728" s="1">
        <v>71367</v>
      </c>
      <c r="C728" s="1">
        <v>702</v>
      </c>
      <c r="D728" s="4">
        <f t="shared" si="22"/>
        <v>9.8364790449367353E-3</v>
      </c>
      <c r="E728" s="1">
        <v>0</v>
      </c>
      <c r="F728" s="1">
        <v>0</v>
      </c>
      <c r="G728" s="1">
        <v>24</v>
      </c>
      <c r="H728" s="1">
        <v>227</v>
      </c>
      <c r="I728" s="1">
        <v>23</v>
      </c>
      <c r="J728" s="1">
        <v>389</v>
      </c>
      <c r="K728" s="1">
        <v>42</v>
      </c>
      <c r="L728" s="1">
        <v>21</v>
      </c>
      <c r="M728" s="1">
        <v>75</v>
      </c>
      <c r="N728" s="1">
        <v>1</v>
      </c>
      <c r="O728" s="1">
        <v>4</v>
      </c>
      <c r="P728" s="1">
        <v>5</v>
      </c>
      <c r="Q728" s="1">
        <v>7</v>
      </c>
      <c r="R728" s="1">
        <v>2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61</v>
      </c>
      <c r="AA728" s="1" t="str" cm="1">
        <f t="array" ref="AA728">_xlfn.IFS(AND(Z728&lt;36, Z728&gt;23), "24-35", AND(Z728&lt;51, Z728&gt;35),"36-50", AND(Z728&lt;66, Z728&gt;50), "51-66", Z728&gt;65, "66+", TRUE, "?")</f>
        <v>51-66</v>
      </c>
      <c r="AB728" s="1">
        <v>2469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  <c r="AI728" s="1">
        <v>1</v>
      </c>
      <c r="AJ728" s="1">
        <v>0</v>
      </c>
      <c r="AK728" s="1">
        <v>0</v>
      </c>
      <c r="AL728" s="1">
        <v>627</v>
      </c>
      <c r="AM728" s="2">
        <v>42380</v>
      </c>
      <c r="AN728" t="str">
        <f t="shared" si="23"/>
        <v>71367,702,0.00983647904493674,0,0,24,227,23,389,42,21,75,1,4,5,7,2,0,0,0,0,0,0,0,61,51-66,2469,0,0,0,1,0,0,1,0,0,627,42380</v>
      </c>
    </row>
    <row r="729" spans="1:40" ht="13" x14ac:dyDescent="0.15">
      <c r="A729">
        <v>1250</v>
      </c>
      <c r="B729" s="1">
        <v>81361</v>
      </c>
      <c r="C729" s="1">
        <v>702</v>
      </c>
      <c r="D729" s="4">
        <f t="shared" si="22"/>
        <v>8.628212534260887E-3</v>
      </c>
      <c r="E729" s="1">
        <v>0</v>
      </c>
      <c r="F729" s="1">
        <v>0</v>
      </c>
      <c r="G729" s="1">
        <v>18</v>
      </c>
      <c r="H729" s="1">
        <v>163</v>
      </c>
      <c r="I729" s="1">
        <v>23</v>
      </c>
      <c r="J729" s="1">
        <v>424</v>
      </c>
      <c r="K729" s="1">
        <v>27</v>
      </c>
      <c r="L729" s="1">
        <v>65</v>
      </c>
      <c r="M729" s="1">
        <v>76</v>
      </c>
      <c r="N729" s="1">
        <v>1</v>
      </c>
      <c r="O729" s="1">
        <v>3</v>
      </c>
      <c r="P729" s="1">
        <v>10</v>
      </c>
      <c r="Q729" s="1">
        <v>13</v>
      </c>
      <c r="R729" s="1">
        <v>1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1</v>
      </c>
      <c r="Z729" s="1">
        <v>33</v>
      </c>
      <c r="AA729" s="1" t="str" cm="1">
        <f t="array" ref="AA729">_xlfn.IFS(AND(Z729&lt;36, Z729&gt;23), "24-35", AND(Z729&lt;51, Z729&gt;35),"36-50", AND(Z729&lt;66, Z729&gt;50), "51-66", Z729&gt;65, "66+", TRUE, "?")</f>
        <v>24-35</v>
      </c>
      <c r="AB729" s="1">
        <v>2283</v>
      </c>
      <c r="AC729" s="1">
        <v>1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1</v>
      </c>
      <c r="AJ729" s="1">
        <v>0</v>
      </c>
      <c r="AK729" s="1">
        <v>0</v>
      </c>
      <c r="AL729" s="1">
        <v>626</v>
      </c>
      <c r="AM729" s="2">
        <v>42566</v>
      </c>
      <c r="AN729" t="str">
        <f t="shared" si="23"/>
        <v>81361,702,0.00862821253426089,0,0,18,163,23,424,27,65,76,1,3,10,13,1,0,0,0,0,0,0,1,33,24-35,2283,1,0,0,0,0,0,1,0,0,626,42566</v>
      </c>
    </row>
    <row r="730" spans="1:40" ht="13" hidden="1" x14ac:dyDescent="0.15">
      <c r="A730">
        <v>795</v>
      </c>
      <c r="B730" s="1">
        <v>55284</v>
      </c>
      <c r="C730" s="1">
        <v>701</v>
      </c>
      <c r="D730" s="4">
        <f t="shared" si="22"/>
        <v>1.267997974097388E-2</v>
      </c>
      <c r="E730" s="1">
        <v>0</v>
      </c>
      <c r="F730" s="1">
        <v>1</v>
      </c>
      <c r="G730" s="1">
        <v>60</v>
      </c>
      <c r="H730" s="1">
        <v>547</v>
      </c>
      <c r="I730" s="1">
        <v>7</v>
      </c>
      <c r="J730" s="1">
        <v>140</v>
      </c>
      <c r="K730" s="1">
        <v>0</v>
      </c>
      <c r="L730" s="1">
        <v>7</v>
      </c>
      <c r="M730" s="1">
        <v>63</v>
      </c>
      <c r="N730" s="1">
        <v>3</v>
      </c>
      <c r="O730" s="1">
        <v>7</v>
      </c>
      <c r="P730" s="1">
        <v>5</v>
      </c>
      <c r="Q730" s="1">
        <v>8</v>
      </c>
      <c r="R730" s="1">
        <v>5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64</v>
      </c>
      <c r="AA730" s="1" t="str" cm="1">
        <f t="array" ref="AA730">_xlfn.IFS(AND(Z730&lt;36, Z730&gt;23), "24-35", AND(Z730&lt;51, Z730&gt;35),"36-50", AND(Z730&lt;66, Z730&gt;50), "51-66", Z730&gt;65, "66+", TRUE, "?")</f>
        <v>51-66</v>
      </c>
      <c r="AB730" s="1">
        <v>2711</v>
      </c>
      <c r="AC730" s="1">
        <v>0</v>
      </c>
      <c r="AD730" s="1">
        <v>0</v>
      </c>
      <c r="AE730" s="1">
        <v>1</v>
      </c>
      <c r="AF730" s="1">
        <v>0</v>
      </c>
      <c r="AG730" s="1">
        <v>0</v>
      </c>
      <c r="AH730" s="1">
        <v>0</v>
      </c>
      <c r="AI730" s="1">
        <v>0</v>
      </c>
      <c r="AJ730" s="1">
        <v>1</v>
      </c>
      <c r="AK730" s="1">
        <v>0</v>
      </c>
      <c r="AL730" s="1">
        <v>638</v>
      </c>
      <c r="AM730" s="2">
        <v>42138</v>
      </c>
      <c r="AN730" t="str">
        <f t="shared" si="23"/>
        <v>55284,701,0.0126799797409739,0,1,60,547,7,140,0,7,63,3,7,5,8,5,0,0,0,0,0,0,0,64,51-66,2711,0,0,1,0,0,0,0,1,0,638,42138</v>
      </c>
    </row>
    <row r="731" spans="1:40" ht="13" hidden="1" x14ac:dyDescent="0.15">
      <c r="A731">
        <v>204</v>
      </c>
      <c r="B731" s="1">
        <v>77622</v>
      </c>
      <c r="C731" s="1">
        <v>700</v>
      </c>
      <c r="D731" s="4">
        <f t="shared" si="22"/>
        <v>9.0180618896704545E-3</v>
      </c>
      <c r="E731" s="1">
        <v>0</v>
      </c>
      <c r="F731" s="1">
        <v>2</v>
      </c>
      <c r="G731" s="1">
        <v>3</v>
      </c>
      <c r="H731" s="1">
        <v>520</v>
      </c>
      <c r="I731" s="1">
        <v>7</v>
      </c>
      <c r="J731" s="1">
        <v>154</v>
      </c>
      <c r="K731" s="1">
        <v>19</v>
      </c>
      <c r="L731" s="1">
        <v>0</v>
      </c>
      <c r="M731" s="1">
        <v>14</v>
      </c>
      <c r="N731" s="1">
        <v>2</v>
      </c>
      <c r="O731" s="1">
        <v>6</v>
      </c>
      <c r="P731" s="1">
        <v>3</v>
      </c>
      <c r="Q731" s="1">
        <v>11</v>
      </c>
      <c r="R731" s="1">
        <v>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50</v>
      </c>
      <c r="AA731" s="1" t="str" cm="1">
        <f t="array" ref="AA731">_xlfn.IFS(AND(Z731&lt;36, Z731&gt;23), "24-35", AND(Z731&lt;51, Z731&gt;35),"36-50", AND(Z731&lt;66, Z731&gt;50), "51-66", Z731&gt;65, "66+", TRUE, "?")</f>
        <v>36-50</v>
      </c>
      <c r="AB731" s="1">
        <v>2235</v>
      </c>
      <c r="AC731" s="1">
        <v>0</v>
      </c>
      <c r="AD731" s="1">
        <v>0</v>
      </c>
      <c r="AE731" s="1">
        <v>0</v>
      </c>
      <c r="AF731" s="1">
        <v>1</v>
      </c>
      <c r="AG731" s="1">
        <v>0</v>
      </c>
      <c r="AH731" s="1">
        <v>0</v>
      </c>
      <c r="AI731" s="1">
        <v>0</v>
      </c>
      <c r="AJ731" s="1">
        <v>0</v>
      </c>
      <c r="AK731" s="1">
        <v>1</v>
      </c>
      <c r="AL731" s="1">
        <v>686</v>
      </c>
      <c r="AM731" s="2">
        <v>42614</v>
      </c>
      <c r="AN731" t="str">
        <f t="shared" si="23"/>
        <v>77622,700,0.00901806188967045,0,2,3,520,7,154,19,0,14,2,6,3,11,3,0,0,0,0,0,0,0,50,36-50,2235,0,0,0,1,0,0,0,0,1,686,42614</v>
      </c>
    </row>
    <row r="732" spans="1:40" ht="13" hidden="1" x14ac:dyDescent="0.15">
      <c r="A732">
        <v>279</v>
      </c>
      <c r="B732" s="1">
        <v>58821</v>
      </c>
      <c r="C732" s="1">
        <v>700</v>
      </c>
      <c r="D732" s="4">
        <f t="shared" si="22"/>
        <v>1.1900511722004046E-2</v>
      </c>
      <c r="E732" s="1">
        <v>0</v>
      </c>
      <c r="F732" s="1">
        <v>1</v>
      </c>
      <c r="G732" s="1">
        <v>44</v>
      </c>
      <c r="H732" s="1">
        <v>513</v>
      </c>
      <c r="I732" s="1">
        <v>14</v>
      </c>
      <c r="J732" s="1">
        <v>154</v>
      </c>
      <c r="K732" s="1">
        <v>19</v>
      </c>
      <c r="L732" s="1">
        <v>0</v>
      </c>
      <c r="M732" s="1">
        <v>28</v>
      </c>
      <c r="N732" s="1">
        <v>1</v>
      </c>
      <c r="O732" s="1">
        <v>9</v>
      </c>
      <c r="P732" s="1">
        <v>2</v>
      </c>
      <c r="Q732" s="1">
        <v>9</v>
      </c>
      <c r="R732" s="1">
        <v>6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64</v>
      </c>
      <c r="AA732" s="1" t="str" cm="1">
        <f t="array" ref="AA732">_xlfn.IFS(AND(Z732&lt;36, Z732&gt;23), "24-35", AND(Z732&lt;51, Z732&gt;35),"36-50", AND(Z732&lt;66, Z732&gt;50), "51-66", Z732&gt;65, "66+", TRUE, "?")</f>
        <v>51-66</v>
      </c>
      <c r="AB732" s="1">
        <v>2419</v>
      </c>
      <c r="AC732" s="1">
        <v>0</v>
      </c>
      <c r="AD732" s="1">
        <v>0</v>
      </c>
      <c r="AE732" s="1">
        <v>0</v>
      </c>
      <c r="AF732" s="1">
        <v>1</v>
      </c>
      <c r="AG732" s="1">
        <v>0</v>
      </c>
      <c r="AH732" s="1">
        <v>1</v>
      </c>
      <c r="AI732" s="1">
        <v>0</v>
      </c>
      <c r="AJ732" s="1">
        <v>0</v>
      </c>
      <c r="AK732" s="1">
        <v>0</v>
      </c>
      <c r="AL732" s="1">
        <v>672</v>
      </c>
      <c r="AM732" s="2">
        <v>42430</v>
      </c>
      <c r="AN732" t="str">
        <f t="shared" si="23"/>
        <v>58821,700,0.011900511722004,0,1,44,513,14,154,19,0,28,1,9,2,9,6,0,0,0,0,0,0,0,64,51-66,2419,0,0,0,1,0,1,0,0,0,672,42430</v>
      </c>
    </row>
    <row r="733" spans="1:40" ht="13" hidden="1" x14ac:dyDescent="0.15">
      <c r="A733">
        <v>656</v>
      </c>
      <c r="B733" s="1">
        <v>78901</v>
      </c>
      <c r="C733" s="1">
        <v>700</v>
      </c>
      <c r="D733" s="4">
        <f t="shared" si="22"/>
        <v>8.8718774160023318E-3</v>
      </c>
      <c r="E733" s="1">
        <v>0</v>
      </c>
      <c r="F733" s="1">
        <v>1</v>
      </c>
      <c r="G733" s="1">
        <v>99</v>
      </c>
      <c r="H733" s="1">
        <v>321</v>
      </c>
      <c r="I733" s="1">
        <v>11</v>
      </c>
      <c r="J733" s="1">
        <v>309</v>
      </c>
      <c r="K733" s="1">
        <v>33</v>
      </c>
      <c r="L733" s="1">
        <v>26</v>
      </c>
      <c r="M733" s="1">
        <v>34</v>
      </c>
      <c r="N733" s="1">
        <v>3</v>
      </c>
      <c r="O733" s="1">
        <v>9</v>
      </c>
      <c r="P733" s="1">
        <v>3</v>
      </c>
      <c r="Q733" s="1">
        <v>5</v>
      </c>
      <c r="R733" s="1">
        <v>4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47</v>
      </c>
      <c r="AA733" s="1" t="str" cm="1">
        <f t="array" ref="AA733">_xlfn.IFS(AND(Z733&lt;36, Z733&gt;23), "24-35", AND(Z733&lt;51, Z733&gt;35),"36-50", AND(Z733&lt;66, Z733&gt;50), "51-66", Z733&gt;65, "66+", TRUE, "?")</f>
        <v>36-50</v>
      </c>
      <c r="AB733" s="1">
        <v>2444</v>
      </c>
      <c r="AC733" s="1">
        <v>1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1</v>
      </c>
      <c r="AJ733" s="1">
        <v>0</v>
      </c>
      <c r="AK733" s="1">
        <v>0</v>
      </c>
      <c r="AL733" s="1">
        <v>666</v>
      </c>
      <c r="AM733" s="2">
        <v>42405</v>
      </c>
      <c r="AN733" t="str">
        <f t="shared" si="23"/>
        <v>78901,700,0.00887187741600233,0,1,99,321,11,309,33,26,34,3,9,3,5,4,0,0,0,0,0,0,0,47,36-50,2444,1,0,0,0,0,0,1,0,0,666,42405</v>
      </c>
    </row>
    <row r="734" spans="1:40" ht="13" hidden="1" x14ac:dyDescent="0.15">
      <c r="A734">
        <v>1501</v>
      </c>
      <c r="B734" s="1">
        <v>59821</v>
      </c>
      <c r="C734" s="1">
        <v>699</v>
      </c>
      <c r="D734" s="4">
        <f t="shared" si="22"/>
        <v>1.168485983183163E-2</v>
      </c>
      <c r="E734" s="1">
        <v>0</v>
      </c>
      <c r="F734" s="1">
        <v>1</v>
      </c>
      <c r="G734" s="1">
        <v>11</v>
      </c>
      <c r="H734" s="1">
        <v>629</v>
      </c>
      <c r="I734" s="1">
        <v>0</v>
      </c>
      <c r="J734" s="1">
        <v>70</v>
      </c>
      <c r="K734" s="1">
        <v>0</v>
      </c>
      <c r="L734" s="1">
        <v>0</v>
      </c>
      <c r="M734" s="1">
        <v>35</v>
      </c>
      <c r="N734" s="1">
        <v>6</v>
      </c>
      <c r="O734" s="1">
        <v>11</v>
      </c>
      <c r="P734" s="1">
        <v>2</v>
      </c>
      <c r="Q734" s="1">
        <v>7</v>
      </c>
      <c r="R734" s="1">
        <v>8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65</v>
      </c>
      <c r="AA734" s="1" t="str" cm="1">
        <f t="array" ref="AA734">_xlfn.IFS(AND(Z734&lt;36, Z734&gt;23), "24-35", AND(Z734&lt;51, Z734&gt;35),"36-50", AND(Z734&lt;66, Z734&gt;50), "51-66", Z734&gt;65, "66+", TRUE, "?")</f>
        <v>51-66</v>
      </c>
      <c r="AB734" s="1">
        <v>2602</v>
      </c>
      <c r="AC734" s="1">
        <v>0</v>
      </c>
      <c r="AD734" s="1">
        <v>1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1</v>
      </c>
      <c r="AL734" s="1">
        <v>664</v>
      </c>
      <c r="AM734" s="2">
        <v>42247</v>
      </c>
      <c r="AN734" t="str">
        <f t="shared" si="23"/>
        <v>59821,699,0.0116848598318316,0,1,11,629,0,70,0,0,35,6,11,2,7,8,0,0,0,0,0,0,0,65,51-66,2602,0,1,0,0,0,0,0,0,1,664,42247</v>
      </c>
    </row>
    <row r="735" spans="1:40" ht="13" hidden="1" x14ac:dyDescent="0.15">
      <c r="A735">
        <v>763</v>
      </c>
      <c r="B735" s="1">
        <v>73170</v>
      </c>
      <c r="C735" s="1">
        <v>694</v>
      </c>
      <c r="D735" s="4">
        <f t="shared" si="22"/>
        <v>9.4847615142818094E-3</v>
      </c>
      <c r="E735" s="1">
        <v>0</v>
      </c>
      <c r="F735" s="1">
        <v>0</v>
      </c>
      <c r="G735" s="1">
        <v>1</v>
      </c>
      <c r="H735" s="1">
        <v>184</v>
      </c>
      <c r="I735" s="1">
        <v>174</v>
      </c>
      <c r="J735" s="1">
        <v>256</v>
      </c>
      <c r="K735" s="1">
        <v>50</v>
      </c>
      <c r="L735" s="1">
        <v>30</v>
      </c>
      <c r="M735" s="1">
        <v>32</v>
      </c>
      <c r="N735" s="1">
        <v>1</v>
      </c>
      <c r="O735" s="1">
        <v>5</v>
      </c>
      <c r="P735" s="1">
        <v>4</v>
      </c>
      <c r="Q735" s="1">
        <v>6</v>
      </c>
      <c r="R735" s="1">
        <v>2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45</v>
      </c>
      <c r="AA735" s="1" t="str" cm="1">
        <f t="array" ref="AA735">_xlfn.IFS(AND(Z735&lt;36, Z735&gt;23), "24-35", AND(Z735&lt;51, Z735&gt;35),"36-50", AND(Z735&lt;66, Z735&gt;50), "51-66", Z735&gt;65, "66+", TRUE, "?")</f>
        <v>36-50</v>
      </c>
      <c r="AB735" s="1">
        <v>2188</v>
      </c>
      <c r="AC735" s="1">
        <v>0</v>
      </c>
      <c r="AD735" s="1">
        <v>0</v>
      </c>
      <c r="AE735" s="1">
        <v>1</v>
      </c>
      <c r="AF735" s="1">
        <v>0</v>
      </c>
      <c r="AG735" s="1">
        <v>0</v>
      </c>
      <c r="AH735" s="1">
        <v>0</v>
      </c>
      <c r="AI735" s="1">
        <v>1</v>
      </c>
      <c r="AJ735" s="1">
        <v>0</v>
      </c>
      <c r="AK735" s="1">
        <v>0</v>
      </c>
      <c r="AL735" s="1">
        <v>662</v>
      </c>
      <c r="AM735" s="2">
        <v>42661</v>
      </c>
      <c r="AN735" t="str">
        <f t="shared" si="23"/>
        <v>73170,694,0.00948476151428181,0,0,1,184,174,256,50,30,32,1,5,4,6,2,0,0,0,0,0,0,0,45,36-50,2188,0,0,1,0,0,0,1,0,0,662,42661</v>
      </c>
    </row>
    <row r="736" spans="1:40" ht="13" hidden="1" x14ac:dyDescent="0.15">
      <c r="A736">
        <v>1566</v>
      </c>
      <c r="B736" s="1">
        <v>64813</v>
      </c>
      <c r="C736" s="1">
        <v>693</v>
      </c>
      <c r="D736" s="4">
        <f t="shared" si="22"/>
        <v>1.0692299384382762E-2</v>
      </c>
      <c r="E736" s="1">
        <v>1</v>
      </c>
      <c r="F736" s="1">
        <v>0</v>
      </c>
      <c r="G736" s="1">
        <v>81</v>
      </c>
      <c r="H736" s="1">
        <v>293</v>
      </c>
      <c r="I736" s="1">
        <v>0</v>
      </c>
      <c r="J736" s="1">
        <v>124</v>
      </c>
      <c r="K736" s="1">
        <v>179</v>
      </c>
      <c r="L736" s="1">
        <v>97</v>
      </c>
      <c r="M736" s="1">
        <v>52</v>
      </c>
      <c r="N736" s="1">
        <v>1</v>
      </c>
      <c r="O736" s="1">
        <v>7</v>
      </c>
      <c r="P736" s="1">
        <v>2</v>
      </c>
      <c r="Q736" s="1">
        <v>10</v>
      </c>
      <c r="R736" s="1">
        <v>5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42</v>
      </c>
      <c r="AA736" s="1" t="str" cm="1">
        <f t="array" ref="AA736">_xlfn.IFS(AND(Z736&lt;36, Z736&gt;23), "24-35", AND(Z736&lt;51, Z736&gt;35),"36-50", AND(Z736&lt;66, Z736&gt;50), "51-66", Z736&gt;65, "66+", TRUE, "?")</f>
        <v>36-50</v>
      </c>
      <c r="AB736" s="1">
        <v>2337</v>
      </c>
      <c r="AC736" s="1">
        <v>0</v>
      </c>
      <c r="AD736" s="1">
        <v>1</v>
      </c>
      <c r="AE736" s="1">
        <v>0</v>
      </c>
      <c r="AF736" s="1">
        <v>0</v>
      </c>
      <c r="AG736" s="1">
        <v>0</v>
      </c>
      <c r="AH736" s="1">
        <v>0</v>
      </c>
      <c r="AI736" s="1">
        <v>1</v>
      </c>
      <c r="AJ736" s="1">
        <v>0</v>
      </c>
      <c r="AK736" s="1">
        <v>0</v>
      </c>
      <c r="AL736" s="1">
        <v>641</v>
      </c>
      <c r="AM736" s="2">
        <v>42512</v>
      </c>
      <c r="AN736" t="str">
        <f t="shared" si="23"/>
        <v>64813,693,0.0106922993843828,1,0,81,293,0,124,179,97,52,1,7,2,10,5,0,0,0,0,0,0,0,42,36-50,2337,0,1,0,0,0,0,1,0,0,641,42512</v>
      </c>
    </row>
    <row r="737" spans="1:40" ht="13" hidden="1" x14ac:dyDescent="0.15">
      <c r="A737">
        <v>1554</v>
      </c>
      <c r="B737" s="1">
        <v>62335</v>
      </c>
      <c r="C737" s="1">
        <v>682</v>
      </c>
      <c r="D737" s="4">
        <f t="shared" si="22"/>
        <v>1.0940883933584663E-2</v>
      </c>
      <c r="E737" s="1">
        <v>0</v>
      </c>
      <c r="F737" s="1">
        <v>1</v>
      </c>
      <c r="G737" s="1">
        <v>87</v>
      </c>
      <c r="H737" s="1">
        <v>243</v>
      </c>
      <c r="I737" s="1">
        <v>131</v>
      </c>
      <c r="J737" s="1">
        <v>217</v>
      </c>
      <c r="K737" s="1">
        <v>85</v>
      </c>
      <c r="L737" s="1">
        <v>6</v>
      </c>
      <c r="M737" s="1">
        <v>26</v>
      </c>
      <c r="N737" s="1">
        <v>2</v>
      </c>
      <c r="O737" s="1">
        <v>3</v>
      </c>
      <c r="P737" s="1">
        <v>3</v>
      </c>
      <c r="Q737" s="1">
        <v>13</v>
      </c>
      <c r="R737" s="1">
        <v>2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68</v>
      </c>
      <c r="AA737" s="1" t="str" cm="1">
        <f t="array" ref="AA737">_xlfn.IFS(AND(Z737&lt;36, Z737&gt;23), "24-35", AND(Z737&lt;51, Z737&gt;35),"36-50", AND(Z737&lt;66, Z737&gt;50), "51-66", Z737&gt;65, "66+", TRUE, "?")</f>
        <v>66+</v>
      </c>
      <c r="AB737" s="1">
        <v>2561</v>
      </c>
      <c r="AC737" s="1">
        <v>1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1</v>
      </c>
      <c r="AJ737" s="1">
        <v>0</v>
      </c>
      <c r="AK737" s="1">
        <v>0</v>
      </c>
      <c r="AL737" s="1">
        <v>656</v>
      </c>
      <c r="AM737" s="2">
        <v>42288</v>
      </c>
      <c r="AN737" t="str">
        <f t="shared" si="23"/>
        <v>62335,682,0.0109408839335847,0,1,87,243,131,217,85,6,26,2,3,3,13,2,0,0,0,0,0,0,0,68,66+,2561,1,0,0,0,0,0,1,0,0,656,42288</v>
      </c>
    </row>
    <row r="738" spans="1:40" ht="13" hidden="1" x14ac:dyDescent="0.15">
      <c r="A738">
        <v>1884</v>
      </c>
      <c r="B738" s="1">
        <v>71866</v>
      </c>
      <c r="C738" s="1">
        <v>682</v>
      </c>
      <c r="D738" s="4">
        <f t="shared" si="22"/>
        <v>9.4898839506859997E-3</v>
      </c>
      <c r="E738" s="1">
        <v>0</v>
      </c>
      <c r="F738" s="1">
        <v>1</v>
      </c>
      <c r="G738" s="1">
        <v>85</v>
      </c>
      <c r="H738" s="1">
        <v>184</v>
      </c>
      <c r="I738" s="1">
        <v>178</v>
      </c>
      <c r="J738" s="1">
        <v>178</v>
      </c>
      <c r="K738" s="1">
        <v>103</v>
      </c>
      <c r="L738" s="1">
        <v>39</v>
      </c>
      <c r="M738" s="1">
        <v>33</v>
      </c>
      <c r="N738" s="1">
        <v>1</v>
      </c>
      <c r="O738" s="1">
        <v>6</v>
      </c>
      <c r="P738" s="1">
        <v>3</v>
      </c>
      <c r="Q738" s="1">
        <v>10</v>
      </c>
      <c r="R738" s="1">
        <v>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64</v>
      </c>
      <c r="AA738" s="1" t="str" cm="1">
        <f t="array" ref="AA738">_xlfn.IFS(AND(Z738&lt;36, Z738&gt;23), "24-35", AND(Z738&lt;51, Z738&gt;35),"36-50", AND(Z738&lt;66, Z738&gt;50), "51-66", Z738&gt;65, "66+", TRUE, "?")</f>
        <v>51-66</v>
      </c>
      <c r="AB738" s="1">
        <v>2345</v>
      </c>
      <c r="AC738" s="1">
        <v>0</v>
      </c>
      <c r="AD738" s="1">
        <v>1</v>
      </c>
      <c r="AE738" s="1">
        <v>0</v>
      </c>
      <c r="AF738" s="1">
        <v>0</v>
      </c>
      <c r="AG738" s="1">
        <v>0</v>
      </c>
      <c r="AH738" s="1">
        <v>0</v>
      </c>
      <c r="AI738" s="1">
        <v>1</v>
      </c>
      <c r="AJ738" s="1">
        <v>0</v>
      </c>
      <c r="AK738" s="1">
        <v>0</v>
      </c>
      <c r="AL738" s="1">
        <v>649</v>
      </c>
      <c r="AM738" s="2">
        <v>42504</v>
      </c>
      <c r="AN738" t="str">
        <f t="shared" si="23"/>
        <v>71866,682,0.009489883950686,0,1,85,184,178,178,103,39,33,1,6,3,10,3,0,0,0,0,0,0,0,64,51-66,2345,0,1,0,0,0,0,1,0,0,649,42504</v>
      </c>
    </row>
    <row r="739" spans="1:40" ht="13" hidden="1" x14ac:dyDescent="0.15">
      <c r="A739">
        <v>524</v>
      </c>
      <c r="B739" s="1">
        <v>54880</v>
      </c>
      <c r="C739" s="1">
        <v>677</v>
      </c>
      <c r="D739" s="4">
        <f t="shared" si="22"/>
        <v>1.2336005830903791E-2</v>
      </c>
      <c r="E739" s="1">
        <v>1</v>
      </c>
      <c r="F739" s="1">
        <v>0</v>
      </c>
      <c r="G739" s="1">
        <v>57</v>
      </c>
      <c r="H739" s="1">
        <v>308</v>
      </c>
      <c r="I739" s="1">
        <v>85</v>
      </c>
      <c r="J739" s="1">
        <v>137</v>
      </c>
      <c r="K739" s="1">
        <v>102</v>
      </c>
      <c r="L739" s="1">
        <v>45</v>
      </c>
      <c r="M739" s="1">
        <v>118</v>
      </c>
      <c r="N739" s="1">
        <v>2</v>
      </c>
      <c r="O739" s="1">
        <v>6</v>
      </c>
      <c r="P739" s="1">
        <v>2</v>
      </c>
      <c r="Q739" s="1">
        <v>11</v>
      </c>
      <c r="R739" s="1">
        <v>5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42</v>
      </c>
      <c r="AA739" s="1" t="str" cm="1">
        <f t="array" ref="AA739">_xlfn.IFS(AND(Z739&lt;36, Z739&gt;23), "24-35", AND(Z739&lt;51, Z739&gt;35),"36-50", AND(Z739&lt;66, Z739&gt;50), "51-66", Z739&gt;65, "66+", TRUE, "?")</f>
        <v>36-50</v>
      </c>
      <c r="AB739" s="1">
        <v>2644</v>
      </c>
      <c r="AC739" s="1">
        <v>0</v>
      </c>
      <c r="AD739" s="1">
        <v>0</v>
      </c>
      <c r="AE739" s="1">
        <v>1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1</v>
      </c>
      <c r="AL739" s="1">
        <v>559</v>
      </c>
      <c r="AM739" s="2">
        <v>42205</v>
      </c>
      <c r="AN739" t="str">
        <f t="shared" si="23"/>
        <v>54880,677,0.0123360058309038,1,0,57,308,85,137,102,45,118,2,6,2,11,5,0,0,0,0,0,0,0,42,36-50,2644,0,0,1,0,0,0,0,0,1,559,42205</v>
      </c>
    </row>
    <row r="740" spans="1:40" ht="13" hidden="1" x14ac:dyDescent="0.15">
      <c r="A740">
        <v>1127</v>
      </c>
      <c r="B740" s="1">
        <v>58113</v>
      </c>
      <c r="C740" s="1">
        <v>674</v>
      </c>
      <c r="D740" s="4">
        <f t="shared" si="22"/>
        <v>1.1598093369813984E-2</v>
      </c>
      <c r="E740" s="1">
        <v>0</v>
      </c>
      <c r="F740" s="1">
        <v>1</v>
      </c>
      <c r="G740" s="1">
        <v>66</v>
      </c>
      <c r="H740" s="1">
        <v>221</v>
      </c>
      <c r="I740" s="1">
        <v>104</v>
      </c>
      <c r="J740" s="1">
        <v>169</v>
      </c>
      <c r="K740" s="1">
        <v>102</v>
      </c>
      <c r="L740" s="1">
        <v>78</v>
      </c>
      <c r="M740" s="1">
        <v>84</v>
      </c>
      <c r="N740" s="1">
        <v>3</v>
      </c>
      <c r="O740" s="1">
        <v>9</v>
      </c>
      <c r="P740" s="1">
        <v>2</v>
      </c>
      <c r="Q740" s="1">
        <v>8</v>
      </c>
      <c r="R740" s="1">
        <v>7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1</v>
      </c>
      <c r="Y740" s="1">
        <v>0</v>
      </c>
      <c r="Z740" s="1">
        <v>61</v>
      </c>
      <c r="AA740" s="1" t="str" cm="1">
        <f t="array" ref="AA740">_xlfn.IFS(AND(Z740&lt;36, Z740&gt;23), "24-35", AND(Z740&lt;51, Z740&gt;35),"36-50", AND(Z740&lt;66, Z740&gt;50), "51-66", Z740&gt;65, "66+", TRUE, "?")</f>
        <v>51-66</v>
      </c>
      <c r="AB740" s="1">
        <v>2679</v>
      </c>
      <c r="AC740" s="1">
        <v>0</v>
      </c>
      <c r="AD740" s="1">
        <v>1</v>
      </c>
      <c r="AE740" s="1">
        <v>0</v>
      </c>
      <c r="AF740" s="1">
        <v>0</v>
      </c>
      <c r="AG740" s="1">
        <v>0</v>
      </c>
      <c r="AH740" s="1">
        <v>0</v>
      </c>
      <c r="AI740" s="1">
        <v>1</v>
      </c>
      <c r="AJ740" s="1">
        <v>0</v>
      </c>
      <c r="AK740" s="1">
        <v>0</v>
      </c>
      <c r="AL740" s="1">
        <v>590</v>
      </c>
      <c r="AM740" s="2">
        <v>42170</v>
      </c>
      <c r="AN740" t="str">
        <f t="shared" si="23"/>
        <v>58113,674,0.011598093369814,0,1,66,221,104,169,102,78,84,3,9,2,8,7,0,0,0,0,0,1,0,61,51-66,2679,0,1,0,0,0,0,1,0,0,590,42170</v>
      </c>
    </row>
    <row r="741" spans="1:40" ht="13" hidden="1" x14ac:dyDescent="0.15">
      <c r="A741">
        <v>881</v>
      </c>
      <c r="B741" s="1">
        <v>55239</v>
      </c>
      <c r="C741" s="1">
        <v>673</v>
      </c>
      <c r="D741" s="4">
        <f t="shared" si="22"/>
        <v>1.2183421133619364E-2</v>
      </c>
      <c r="E741" s="1">
        <v>0</v>
      </c>
      <c r="F741" s="1">
        <v>1</v>
      </c>
      <c r="G741" s="1">
        <v>59</v>
      </c>
      <c r="H741" s="1">
        <v>371</v>
      </c>
      <c r="I741" s="1">
        <v>17</v>
      </c>
      <c r="J741" s="1">
        <v>238</v>
      </c>
      <c r="K741" s="1">
        <v>23</v>
      </c>
      <c r="L741" s="1">
        <v>24</v>
      </c>
      <c r="M741" s="1">
        <v>106</v>
      </c>
      <c r="N741" s="1">
        <v>3</v>
      </c>
      <c r="O741" s="1">
        <v>7</v>
      </c>
      <c r="P741" s="1">
        <v>5</v>
      </c>
      <c r="Q741" s="1">
        <v>11</v>
      </c>
      <c r="R741" s="1">
        <v>5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49</v>
      </c>
      <c r="AA741" s="1" t="str" cm="1">
        <f t="array" ref="AA741">_xlfn.IFS(AND(Z741&lt;36, Z741&gt;23), "24-35", AND(Z741&lt;51, Z741&gt;35),"36-50", AND(Z741&lt;66, Z741&gt;50), "51-66", Z741&gt;65, "66+", TRUE, "?")</f>
        <v>36-50</v>
      </c>
      <c r="AB741" s="1">
        <v>2509</v>
      </c>
      <c r="AC741" s="1">
        <v>0</v>
      </c>
      <c r="AD741" s="1">
        <v>0</v>
      </c>
      <c r="AE741" s="1">
        <v>1</v>
      </c>
      <c r="AF741" s="1">
        <v>0</v>
      </c>
      <c r="AG741" s="1">
        <v>0</v>
      </c>
      <c r="AH741" s="1">
        <v>0</v>
      </c>
      <c r="AI741" s="1">
        <v>1</v>
      </c>
      <c r="AJ741" s="1">
        <v>0</v>
      </c>
      <c r="AK741" s="1">
        <v>0</v>
      </c>
      <c r="AL741" s="1">
        <v>567</v>
      </c>
      <c r="AM741" s="2">
        <v>42340</v>
      </c>
      <c r="AN741" t="str">
        <f t="shared" si="23"/>
        <v>55239,673,0.0121834211336194,0,1,59,371,17,238,23,24,106,3,7,5,11,5,0,0,0,0,0,0,0,49,36-50,2509,0,0,1,0,0,0,1,0,0,567,42340</v>
      </c>
    </row>
    <row r="742" spans="1:40" ht="13" hidden="1" x14ac:dyDescent="0.15">
      <c r="A742">
        <v>478</v>
      </c>
      <c r="B742" s="1">
        <v>61250</v>
      </c>
      <c r="C742" s="1">
        <v>671</v>
      </c>
      <c r="D742" s="4">
        <f t="shared" si="22"/>
        <v>1.0955102040816327E-2</v>
      </c>
      <c r="E742" s="1">
        <v>0</v>
      </c>
      <c r="F742" s="1">
        <v>1</v>
      </c>
      <c r="G742" s="1">
        <v>49</v>
      </c>
      <c r="H742" s="1">
        <v>382</v>
      </c>
      <c r="I742" s="1">
        <v>138</v>
      </c>
      <c r="J742" s="1">
        <v>65</v>
      </c>
      <c r="K742" s="1">
        <v>60</v>
      </c>
      <c r="L742" s="1">
        <v>26</v>
      </c>
      <c r="M742" s="1">
        <v>59</v>
      </c>
      <c r="N742" s="1">
        <v>6</v>
      </c>
      <c r="O742" s="1">
        <v>5</v>
      </c>
      <c r="P742" s="1">
        <v>2</v>
      </c>
      <c r="Q742" s="1">
        <v>12</v>
      </c>
      <c r="R742" s="1">
        <v>5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61</v>
      </c>
      <c r="AA742" s="1" t="str" cm="1">
        <f t="array" ref="AA742">_xlfn.IFS(AND(Z742&lt;36, Z742&gt;23), "24-35", AND(Z742&lt;51, Z742&gt;35),"36-50", AND(Z742&lt;66, Z742&gt;50), "51-66", Z742&gt;65, "66+", TRUE, "?")</f>
        <v>51-66</v>
      </c>
      <c r="AB742" s="1">
        <v>2719</v>
      </c>
      <c r="AC742" s="1">
        <v>1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1</v>
      </c>
      <c r="AJ742" s="1">
        <v>0</v>
      </c>
      <c r="AK742" s="1">
        <v>0</v>
      </c>
      <c r="AL742" s="1">
        <v>612</v>
      </c>
      <c r="AM742" s="2">
        <v>42130</v>
      </c>
      <c r="AN742" t="str">
        <f t="shared" si="23"/>
        <v>61250,671,0.0109551020408163,0,1,49,382,138,65,60,26,59,6,5,2,12,5,0,0,0,0,0,0,0,61,51-66,2719,1,0,0,0,0,0,1,0,0,612,42130</v>
      </c>
    </row>
    <row r="743" spans="1:40" ht="13" hidden="1" x14ac:dyDescent="0.15">
      <c r="A743">
        <v>1479</v>
      </c>
      <c r="B743" s="1">
        <v>51250</v>
      </c>
      <c r="C743" s="1">
        <v>670</v>
      </c>
      <c r="D743" s="4">
        <f t="shared" si="22"/>
        <v>1.3073170731707317E-2</v>
      </c>
      <c r="E743" s="1">
        <v>1</v>
      </c>
      <c r="F743" s="1">
        <v>0</v>
      </c>
      <c r="G743" s="1">
        <v>28</v>
      </c>
      <c r="H743" s="1">
        <v>342</v>
      </c>
      <c r="I743" s="1">
        <v>32</v>
      </c>
      <c r="J743" s="1">
        <v>230</v>
      </c>
      <c r="K743" s="1">
        <v>34</v>
      </c>
      <c r="L743" s="1">
        <v>32</v>
      </c>
      <c r="M743" s="1">
        <v>40</v>
      </c>
      <c r="N743" s="1">
        <v>5</v>
      </c>
      <c r="O743" s="1">
        <v>10</v>
      </c>
      <c r="P743" s="1">
        <v>5</v>
      </c>
      <c r="Q743" s="1">
        <v>4</v>
      </c>
      <c r="R743" s="1">
        <v>9</v>
      </c>
      <c r="S743" s="1">
        <v>0</v>
      </c>
      <c r="T743" s="1">
        <v>0</v>
      </c>
      <c r="U743" s="1">
        <v>1</v>
      </c>
      <c r="V743" s="1">
        <v>0</v>
      </c>
      <c r="W743" s="1">
        <v>0</v>
      </c>
      <c r="X743" s="1">
        <v>0</v>
      </c>
      <c r="Y743" s="1">
        <v>0</v>
      </c>
      <c r="Z743" s="1">
        <v>30</v>
      </c>
      <c r="AA743" s="1" t="str" cm="1">
        <f t="array" ref="AA743">_xlfn.IFS(AND(Z743&lt;36, Z743&gt;23), "24-35", AND(Z743&lt;51, Z743&gt;35),"36-50", AND(Z743&lt;66, Z743&gt;50), "51-66", Z743&gt;65, "66+", TRUE, "?")</f>
        <v>24-35</v>
      </c>
      <c r="AB743" s="1">
        <v>2615</v>
      </c>
      <c r="AC743" s="1">
        <v>0</v>
      </c>
      <c r="AD743" s="1">
        <v>0</v>
      </c>
      <c r="AE743" s="1">
        <v>1</v>
      </c>
      <c r="AF743" s="1">
        <v>0</v>
      </c>
      <c r="AG743" s="1">
        <v>0</v>
      </c>
      <c r="AH743" s="1">
        <v>1</v>
      </c>
      <c r="AI743" s="1">
        <v>0</v>
      </c>
      <c r="AJ743" s="1">
        <v>0</v>
      </c>
      <c r="AK743" s="1">
        <v>0</v>
      </c>
      <c r="AL743" s="1">
        <v>630</v>
      </c>
      <c r="AM743" s="2">
        <v>42234</v>
      </c>
      <c r="AN743" t="str">
        <f t="shared" si="23"/>
        <v>51250,670,0.0130731707317073,1,0,28,342,32,230,34,32,40,5,10,5,4,9,0,0,1,0,0,0,0,30,24-35,2615,0,0,1,0,0,1,0,0,0,630,42234</v>
      </c>
    </row>
    <row r="744" spans="1:40" ht="13" hidden="1" x14ac:dyDescent="0.15">
      <c r="A744">
        <v>1208</v>
      </c>
      <c r="B744" s="1">
        <v>52531</v>
      </c>
      <c r="C744" s="1">
        <v>669</v>
      </c>
      <c r="D744" s="4">
        <f t="shared" si="22"/>
        <v>1.2735337229445471E-2</v>
      </c>
      <c r="E744" s="1">
        <v>0</v>
      </c>
      <c r="F744" s="1">
        <v>0</v>
      </c>
      <c r="G744" s="1">
        <v>68</v>
      </c>
      <c r="H744" s="1">
        <v>283</v>
      </c>
      <c r="I744" s="1">
        <v>112</v>
      </c>
      <c r="J744" s="1">
        <v>151</v>
      </c>
      <c r="K744" s="1">
        <v>51</v>
      </c>
      <c r="L744" s="1">
        <v>72</v>
      </c>
      <c r="M744" s="1">
        <v>125</v>
      </c>
      <c r="N744" s="1">
        <v>2</v>
      </c>
      <c r="O744" s="1">
        <v>7</v>
      </c>
      <c r="P744" s="1">
        <v>2</v>
      </c>
      <c r="Q744" s="1">
        <v>10</v>
      </c>
      <c r="R744" s="1">
        <v>6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49</v>
      </c>
      <c r="AA744" s="1" t="str" cm="1">
        <f t="array" ref="AA744">_xlfn.IFS(AND(Z744&lt;36, Z744&gt;23), "24-35", AND(Z744&lt;51, Z744&gt;35),"36-50", AND(Z744&lt;66, Z744&gt;50), "51-66", Z744&gt;65, "66+", TRUE, "?")</f>
        <v>36-50</v>
      </c>
      <c r="AB744" s="1">
        <v>2705</v>
      </c>
      <c r="AC744" s="1">
        <v>0</v>
      </c>
      <c r="AD744" s="1">
        <v>1</v>
      </c>
      <c r="AE744" s="1">
        <v>0</v>
      </c>
      <c r="AF744" s="1">
        <v>0</v>
      </c>
      <c r="AG744" s="1">
        <v>0</v>
      </c>
      <c r="AH744" s="1">
        <v>0</v>
      </c>
      <c r="AI744" s="1">
        <v>1</v>
      </c>
      <c r="AJ744" s="1">
        <v>0</v>
      </c>
      <c r="AK744" s="1">
        <v>0</v>
      </c>
      <c r="AL744" s="1">
        <v>544</v>
      </c>
      <c r="AM744" s="2">
        <v>42144</v>
      </c>
      <c r="AN744" t="str">
        <f t="shared" si="23"/>
        <v>52531,669,0.0127353372294455,0,0,68,283,112,151,51,72,125,2,7,2,10,6,0,0,0,0,0,0,0,49,36-50,2705,0,1,0,0,0,0,1,0,0,544,42144</v>
      </c>
    </row>
    <row r="745" spans="1:40" ht="13" hidden="1" x14ac:dyDescent="0.15">
      <c r="A745">
        <v>721</v>
      </c>
      <c r="B745" s="1">
        <v>72063</v>
      </c>
      <c r="C745" s="1">
        <v>668</v>
      </c>
      <c r="D745" s="4">
        <f t="shared" si="22"/>
        <v>9.2696668193108806E-3</v>
      </c>
      <c r="E745" s="1">
        <v>0</v>
      </c>
      <c r="F745" s="1">
        <v>1</v>
      </c>
      <c r="G745" s="1">
        <v>3</v>
      </c>
      <c r="H745" s="1">
        <v>180</v>
      </c>
      <c r="I745" s="1">
        <v>32</v>
      </c>
      <c r="J745" s="1">
        <v>348</v>
      </c>
      <c r="K745" s="1">
        <v>76</v>
      </c>
      <c r="L745" s="1">
        <v>32</v>
      </c>
      <c r="M745" s="1">
        <v>90</v>
      </c>
      <c r="N745" s="1">
        <v>2</v>
      </c>
      <c r="O745" s="1">
        <v>5</v>
      </c>
      <c r="P745" s="1">
        <v>2</v>
      </c>
      <c r="Q745" s="1">
        <v>12</v>
      </c>
      <c r="R745" s="1">
        <v>2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41</v>
      </c>
      <c r="AA745" s="1" t="str" cm="1">
        <f t="array" ref="AA745">_xlfn.IFS(AND(Z745&lt;36, Z745&gt;23), "24-35", AND(Z745&lt;51, Z745&gt;35),"36-50", AND(Z745&lt;66, Z745&gt;50), "51-66", Z745&gt;65, "66+", TRUE, "?")</f>
        <v>36-50</v>
      </c>
      <c r="AB745" s="1">
        <v>2520</v>
      </c>
      <c r="AC745" s="1">
        <v>0</v>
      </c>
      <c r="AD745" s="1">
        <v>1</v>
      </c>
      <c r="AE745" s="1">
        <v>0</v>
      </c>
      <c r="AF745" s="1">
        <v>0</v>
      </c>
      <c r="AG745" s="1">
        <v>0</v>
      </c>
      <c r="AH745" s="1">
        <v>0</v>
      </c>
      <c r="AI745" s="1">
        <v>1</v>
      </c>
      <c r="AJ745" s="1">
        <v>0</v>
      </c>
      <c r="AK745" s="1">
        <v>0</v>
      </c>
      <c r="AL745" s="1">
        <v>578</v>
      </c>
      <c r="AM745" s="2">
        <v>42329</v>
      </c>
      <c r="AN745" t="str">
        <f t="shared" si="23"/>
        <v>72063,668,0.00926966681931088,0,1,3,180,32,348,76,32,90,2,5,2,12,2,0,0,0,0,0,0,0,41,36-50,2520,0,1,0,0,0,0,1,0,0,578,42329</v>
      </c>
    </row>
    <row r="746" spans="1:40" ht="13" hidden="1" x14ac:dyDescent="0.15">
      <c r="A746">
        <v>1166</v>
      </c>
      <c r="B746" s="1">
        <v>66000</v>
      </c>
      <c r="C746" s="1">
        <v>666</v>
      </c>
      <c r="D746" s="4">
        <f t="shared" si="22"/>
        <v>1.0090909090909091E-2</v>
      </c>
      <c r="E746" s="1">
        <v>0</v>
      </c>
      <c r="F746" s="1">
        <v>0</v>
      </c>
      <c r="G746" s="1">
        <v>36</v>
      </c>
      <c r="H746" s="1">
        <v>244</v>
      </c>
      <c r="I746" s="1">
        <v>51</v>
      </c>
      <c r="J746" s="1">
        <v>270</v>
      </c>
      <c r="K746" s="1">
        <v>101</v>
      </c>
      <c r="L746" s="1">
        <v>0</v>
      </c>
      <c r="M746" s="1">
        <v>45</v>
      </c>
      <c r="N746" s="1">
        <v>1</v>
      </c>
      <c r="O746" s="1">
        <v>1</v>
      </c>
      <c r="P746" s="1">
        <v>3</v>
      </c>
      <c r="Q746" s="1">
        <v>5</v>
      </c>
      <c r="R746" s="1">
        <v>1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73</v>
      </c>
      <c r="AA746" s="1" t="str" cm="1">
        <f t="array" ref="AA746">_xlfn.IFS(AND(Z746&lt;36, Z746&gt;23), "24-35", AND(Z746&lt;51, Z746&gt;35),"36-50", AND(Z746&lt;66, Z746&gt;50), "51-66", Z746&gt;65, "66+", TRUE, "?")</f>
        <v>66+</v>
      </c>
      <c r="AB746" s="1">
        <v>2229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0</v>
      </c>
      <c r="AI746" s="1">
        <v>0</v>
      </c>
      <c r="AJ746" s="1">
        <v>1</v>
      </c>
      <c r="AK746" s="1">
        <v>0</v>
      </c>
      <c r="AL746" s="1">
        <v>621</v>
      </c>
      <c r="AM746" s="2">
        <v>42620</v>
      </c>
      <c r="AN746" t="str">
        <f t="shared" si="23"/>
        <v>66000,666,0.0100909090909091,0,0,36,244,51,270,101,0,45,1,1,3,5,1,0,0,0,0,0,0,0,73,66+,2229,0,0,0,1,0,0,0,1,0,621,42620</v>
      </c>
    </row>
    <row r="747" spans="1:40" ht="13" hidden="1" x14ac:dyDescent="0.15">
      <c r="A747">
        <v>986</v>
      </c>
      <c r="B747" s="1">
        <v>44529</v>
      </c>
      <c r="C747" s="1">
        <v>665</v>
      </c>
      <c r="D747" s="4">
        <f t="shared" si="22"/>
        <v>1.4934087897774484E-2</v>
      </c>
      <c r="E747" s="1">
        <v>0</v>
      </c>
      <c r="F747" s="1">
        <v>1</v>
      </c>
      <c r="G747" s="1">
        <v>98</v>
      </c>
      <c r="H747" s="1">
        <v>538</v>
      </c>
      <c r="I747" s="1">
        <v>13</v>
      </c>
      <c r="J747" s="1">
        <v>91</v>
      </c>
      <c r="K747" s="1">
        <v>17</v>
      </c>
      <c r="L747" s="1">
        <v>6</v>
      </c>
      <c r="M747" s="1">
        <v>26</v>
      </c>
      <c r="N747" s="1">
        <v>6</v>
      </c>
      <c r="O747" s="1">
        <v>6</v>
      </c>
      <c r="P747" s="1">
        <v>2</v>
      </c>
      <c r="Q747" s="1">
        <v>11</v>
      </c>
      <c r="R747" s="1">
        <v>5</v>
      </c>
      <c r="S747" s="1">
        <v>0</v>
      </c>
      <c r="T747" s="1">
        <v>0</v>
      </c>
      <c r="U747" s="1">
        <v>0</v>
      </c>
      <c r="V747" s="1">
        <v>1</v>
      </c>
      <c r="W747" s="1">
        <v>0</v>
      </c>
      <c r="X747" s="1">
        <v>0</v>
      </c>
      <c r="Y747" s="1">
        <v>0</v>
      </c>
      <c r="Z747" s="1">
        <v>54</v>
      </c>
      <c r="AA747" s="1" t="str" cm="1">
        <f t="array" ref="AA747">_xlfn.IFS(AND(Z747&lt;36, Z747&gt;23), "24-35", AND(Z747&lt;51, Z747&gt;35),"36-50", AND(Z747&lt;66, Z747&gt;50), "51-66", Z747&gt;65, "66+", TRUE, "?")</f>
        <v>51-66</v>
      </c>
      <c r="AB747" s="1">
        <v>2518</v>
      </c>
      <c r="AC747" s="1">
        <v>0</v>
      </c>
      <c r="AD747" s="1">
        <v>1</v>
      </c>
      <c r="AE747" s="1">
        <v>0</v>
      </c>
      <c r="AF747" s="1">
        <v>0</v>
      </c>
      <c r="AG747" s="1">
        <v>0</v>
      </c>
      <c r="AH747" s="1">
        <v>0</v>
      </c>
      <c r="AI747" s="1">
        <v>1</v>
      </c>
      <c r="AJ747" s="1">
        <v>0</v>
      </c>
      <c r="AK747" s="1">
        <v>0</v>
      </c>
      <c r="AL747" s="1">
        <v>639</v>
      </c>
      <c r="AM747" s="2">
        <v>42331</v>
      </c>
      <c r="AN747" t="str">
        <f t="shared" si="23"/>
        <v>44529,665,0.0149340878977745,0,1,98,538,13,91,17,6,26,6,6,2,11,5,0,0,0,1,0,0,0,54,51-66,2518,0,1,0,0,0,0,1,0,0,639,42331</v>
      </c>
    </row>
    <row r="748" spans="1:40" ht="13" hidden="1" x14ac:dyDescent="0.15">
      <c r="A748">
        <v>804</v>
      </c>
      <c r="B748" s="1">
        <v>55357</v>
      </c>
      <c r="C748" s="1">
        <v>663</v>
      </c>
      <c r="D748" s="4">
        <f t="shared" si="22"/>
        <v>1.197680510143252E-2</v>
      </c>
      <c r="E748" s="1">
        <v>2</v>
      </c>
      <c r="F748" s="1">
        <v>0</v>
      </c>
      <c r="G748" s="1">
        <v>66</v>
      </c>
      <c r="H748" s="1">
        <v>374</v>
      </c>
      <c r="I748" s="1">
        <v>64</v>
      </c>
      <c r="J748" s="1">
        <v>116</v>
      </c>
      <c r="K748" s="1">
        <v>84</v>
      </c>
      <c r="L748" s="1">
        <v>25</v>
      </c>
      <c r="M748" s="1">
        <v>64</v>
      </c>
      <c r="N748" s="1">
        <v>3</v>
      </c>
      <c r="O748" s="1">
        <v>6</v>
      </c>
      <c r="P748" s="1">
        <v>2</v>
      </c>
      <c r="Q748" s="1">
        <v>11</v>
      </c>
      <c r="R748" s="1">
        <v>5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35</v>
      </c>
      <c r="AA748" s="1" t="str" cm="1">
        <f t="array" ref="AA748">_xlfn.IFS(AND(Z748&lt;36, Z748&gt;23), "24-35", AND(Z748&lt;51, Z748&gt;35),"36-50", AND(Z748&lt;66, Z748&gt;50), "51-66", Z748&gt;65, "66+", TRUE, "?")</f>
        <v>24-35</v>
      </c>
      <c r="AB748" s="1">
        <v>2654</v>
      </c>
      <c r="AC748" s="1">
        <v>0</v>
      </c>
      <c r="AD748" s="1">
        <v>1</v>
      </c>
      <c r="AE748" s="1">
        <v>0</v>
      </c>
      <c r="AF748" s="1">
        <v>0</v>
      </c>
      <c r="AG748" s="1">
        <v>0</v>
      </c>
      <c r="AH748" s="1">
        <v>0</v>
      </c>
      <c r="AI748" s="1">
        <v>1</v>
      </c>
      <c r="AJ748" s="1">
        <v>0</v>
      </c>
      <c r="AK748" s="1">
        <v>0</v>
      </c>
      <c r="AL748" s="1">
        <v>599</v>
      </c>
      <c r="AM748" s="2">
        <v>42195</v>
      </c>
      <c r="AN748" t="str">
        <f t="shared" si="23"/>
        <v>55357,663,0.0119768051014325,2,0,66,374,64,116,84,25,64,3,6,2,11,5,0,0,0,0,0,0,0,35,24-35,2654,0,1,0,0,0,0,1,0,0,599,42195</v>
      </c>
    </row>
    <row r="749" spans="1:40" ht="13" x14ac:dyDescent="0.15">
      <c r="A749">
        <v>1255</v>
      </c>
      <c r="B749" s="1">
        <v>64090</v>
      </c>
      <c r="C749" s="1">
        <v>662</v>
      </c>
      <c r="D749" s="4">
        <f t="shared" si="22"/>
        <v>1.032922452800749E-2</v>
      </c>
      <c r="E749" s="1">
        <v>0</v>
      </c>
      <c r="F749" s="1">
        <v>1</v>
      </c>
      <c r="G749" s="1">
        <v>8</v>
      </c>
      <c r="H749" s="1">
        <v>316</v>
      </c>
      <c r="I749" s="1">
        <v>58</v>
      </c>
      <c r="J749" s="1">
        <v>161</v>
      </c>
      <c r="K749" s="1">
        <v>76</v>
      </c>
      <c r="L749" s="1">
        <v>51</v>
      </c>
      <c r="M749" s="1">
        <v>135</v>
      </c>
      <c r="N749" s="1">
        <v>1</v>
      </c>
      <c r="O749" s="1">
        <v>6</v>
      </c>
      <c r="P749" s="1">
        <v>9</v>
      </c>
      <c r="Q749" s="1">
        <v>4</v>
      </c>
      <c r="R749" s="1">
        <v>5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1</v>
      </c>
      <c r="Z749" s="1">
        <v>64</v>
      </c>
      <c r="AA749" s="1" t="str" cm="1">
        <f t="array" ref="AA749">_xlfn.IFS(AND(Z749&lt;36, Z749&gt;23), "24-35", AND(Z749&lt;51, Z749&gt;35),"36-50", AND(Z749&lt;66, Z749&gt;50), "51-66", Z749&gt;65, "66+", TRUE, "?")</f>
        <v>51-66</v>
      </c>
      <c r="AB749" s="1">
        <v>2485</v>
      </c>
      <c r="AC749" s="1">
        <v>0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</v>
      </c>
      <c r="AJ749" s="1">
        <v>0</v>
      </c>
      <c r="AK749" s="1">
        <v>0</v>
      </c>
      <c r="AL749" s="1">
        <v>527</v>
      </c>
      <c r="AM749" s="2">
        <v>42364</v>
      </c>
      <c r="AN749" t="str">
        <f t="shared" si="23"/>
        <v>64090,662,0.0103292245280075,0,1,8,316,58,161,76,51,135,1,6,9,4,5,0,0,0,0,0,0,1,64,51-66,2485,0,0,0,1,0,0,1,0,0,527,42364</v>
      </c>
    </row>
    <row r="750" spans="1:40" ht="13" x14ac:dyDescent="0.15">
      <c r="A750">
        <v>1258</v>
      </c>
      <c r="B750" s="1">
        <v>53378</v>
      </c>
      <c r="C750" s="1">
        <v>661</v>
      </c>
      <c r="D750" s="4">
        <f t="shared" si="22"/>
        <v>1.2383378920154372E-2</v>
      </c>
      <c r="E750" s="1">
        <v>1</v>
      </c>
      <c r="F750" s="1">
        <v>1</v>
      </c>
      <c r="G750" s="1">
        <v>41</v>
      </c>
      <c r="H750" s="1">
        <v>489</v>
      </c>
      <c r="I750" s="1">
        <v>6</v>
      </c>
      <c r="J750" s="1">
        <v>152</v>
      </c>
      <c r="K750" s="1">
        <v>8</v>
      </c>
      <c r="L750" s="1">
        <v>6</v>
      </c>
      <c r="M750" s="1">
        <v>132</v>
      </c>
      <c r="N750" s="1">
        <v>10</v>
      </c>
      <c r="O750" s="1">
        <v>9</v>
      </c>
      <c r="P750" s="1">
        <v>4</v>
      </c>
      <c r="Q750" s="1">
        <v>6</v>
      </c>
      <c r="R750" s="1">
        <v>8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1</v>
      </c>
      <c r="Z750" s="1">
        <v>57</v>
      </c>
      <c r="AA750" s="1" t="str" cm="1">
        <f t="array" ref="AA750">_xlfn.IFS(AND(Z750&lt;36, Z750&gt;23), "24-35", AND(Z750&lt;51, Z750&gt;35),"36-50", AND(Z750&lt;66, Z750&gt;50), "51-66", Z750&gt;65, "66+", TRUE, "?")</f>
        <v>51-66</v>
      </c>
      <c r="AB750" s="1">
        <v>2802</v>
      </c>
      <c r="AC750" s="1">
        <v>0</v>
      </c>
      <c r="AD750" s="1">
        <v>1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1</v>
      </c>
      <c r="AL750" s="1">
        <v>529</v>
      </c>
      <c r="AM750" s="2">
        <v>42047</v>
      </c>
      <c r="AN750" t="str">
        <f t="shared" si="23"/>
        <v>53378,661,0.0123833789201544,1,1,41,489,6,152,8,6,132,10,9,4,6,8,0,0,0,0,0,0,1,57,51-66,2802,0,1,0,0,0,0,0,0,1,529,42047</v>
      </c>
    </row>
    <row r="751" spans="1:40" ht="13" hidden="1" x14ac:dyDescent="0.15">
      <c r="A751">
        <v>1992</v>
      </c>
      <c r="B751" s="1">
        <v>57731</v>
      </c>
      <c r="C751" s="1">
        <v>660</v>
      </c>
      <c r="D751" s="4">
        <f t="shared" si="22"/>
        <v>1.1432332715525455E-2</v>
      </c>
      <c r="E751" s="1">
        <v>0</v>
      </c>
      <c r="F751" s="1">
        <v>1</v>
      </c>
      <c r="G751" s="1">
        <v>0</v>
      </c>
      <c r="H751" s="1">
        <v>266</v>
      </c>
      <c r="I751" s="1">
        <v>21</v>
      </c>
      <c r="J751" s="1">
        <v>300</v>
      </c>
      <c r="K751" s="1">
        <v>65</v>
      </c>
      <c r="L751" s="1">
        <v>8</v>
      </c>
      <c r="M751" s="1">
        <v>44</v>
      </c>
      <c r="N751" s="1">
        <v>4</v>
      </c>
      <c r="O751" s="1">
        <v>8</v>
      </c>
      <c r="P751" s="1">
        <v>8</v>
      </c>
      <c r="Q751" s="1">
        <v>6</v>
      </c>
      <c r="R751" s="1">
        <v>6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51</v>
      </c>
      <c r="AA751" s="1" t="str" cm="1">
        <f t="array" ref="AA751">_xlfn.IFS(AND(Z751&lt;36, Z751&gt;23), "24-35", AND(Z751&lt;51, Z751&gt;35),"36-50", AND(Z751&lt;66, Z751&gt;50), "51-66", Z751&gt;65, "66+", TRUE, "?")</f>
        <v>51-66</v>
      </c>
      <c r="AB751" s="1">
        <v>2742</v>
      </c>
      <c r="AC751" s="1">
        <v>0</v>
      </c>
      <c r="AD751" s="1">
        <v>0</v>
      </c>
      <c r="AE751" s="1">
        <v>1</v>
      </c>
      <c r="AF751" s="1">
        <v>0</v>
      </c>
      <c r="AG751" s="1">
        <v>0</v>
      </c>
      <c r="AH751" s="1">
        <v>0</v>
      </c>
      <c r="AI751" s="1">
        <v>1</v>
      </c>
      <c r="AJ751" s="1">
        <v>0</v>
      </c>
      <c r="AK751" s="1">
        <v>0</v>
      </c>
      <c r="AL751" s="1">
        <v>616</v>
      </c>
      <c r="AM751" s="2">
        <v>42107</v>
      </c>
      <c r="AN751" t="str">
        <f t="shared" si="23"/>
        <v>57731,660,0.0114323327155255,0,1,0,266,21,300,65,8,44,4,8,8,6,6,0,0,0,0,0,0,0,51,51-66,2742,0,0,1,0,0,0,1,0,0,616,42107</v>
      </c>
    </row>
    <row r="752" spans="1:40" ht="13" hidden="1" x14ac:dyDescent="0.15">
      <c r="A752">
        <v>1709</v>
      </c>
      <c r="B752" s="1">
        <v>60200</v>
      </c>
      <c r="C752" s="1">
        <v>659</v>
      </c>
      <c r="D752" s="4">
        <f t="shared" si="22"/>
        <v>1.0946843853820599E-2</v>
      </c>
      <c r="E752" s="1">
        <v>0</v>
      </c>
      <c r="F752" s="1">
        <v>1</v>
      </c>
      <c r="G752" s="1">
        <v>3</v>
      </c>
      <c r="H752" s="1">
        <v>502</v>
      </c>
      <c r="I752" s="1">
        <v>19</v>
      </c>
      <c r="J752" s="1">
        <v>132</v>
      </c>
      <c r="K752" s="1">
        <v>0</v>
      </c>
      <c r="L752" s="1">
        <v>6</v>
      </c>
      <c r="M752" s="1">
        <v>26</v>
      </c>
      <c r="N752" s="1">
        <v>6</v>
      </c>
      <c r="O752" s="1">
        <v>6</v>
      </c>
      <c r="P752" s="1">
        <v>2</v>
      </c>
      <c r="Q752" s="1">
        <v>11</v>
      </c>
      <c r="R752" s="1">
        <v>6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72</v>
      </c>
      <c r="AA752" s="1" t="str" cm="1">
        <f t="array" ref="AA752">_xlfn.IFS(AND(Z752&lt;36, Z752&gt;23), "24-35", AND(Z752&lt;51, Z752&gt;35),"36-50", AND(Z752&lt;66, Z752&gt;50), "51-66", Z752&gt;65, "66+", TRUE, "?")</f>
        <v>66+</v>
      </c>
      <c r="AB752" s="1">
        <v>2702</v>
      </c>
      <c r="AC752" s="1">
        <v>0</v>
      </c>
      <c r="AD752" s="1">
        <v>0</v>
      </c>
      <c r="AE752" s="1">
        <v>1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1</v>
      </c>
      <c r="AL752" s="1">
        <v>633</v>
      </c>
      <c r="AM752" s="2">
        <v>42147</v>
      </c>
      <c r="AN752" t="str">
        <f t="shared" si="23"/>
        <v>60200,659,0.0109468438538206,0,1,3,502,19,132,0,6,26,6,6,2,11,6,0,0,0,0,0,0,0,72,66+,2702,0,0,1,0,0,0,0,0,1,633,42147</v>
      </c>
    </row>
    <row r="753" spans="1:40" ht="13" hidden="1" x14ac:dyDescent="0.15">
      <c r="A753">
        <v>636</v>
      </c>
      <c r="B753" s="1">
        <v>65295</v>
      </c>
      <c r="C753" s="1">
        <v>658</v>
      </c>
      <c r="D753" s="4">
        <f t="shared" si="22"/>
        <v>1.0077341297189677E-2</v>
      </c>
      <c r="E753" s="1">
        <v>0</v>
      </c>
      <c r="F753" s="1">
        <v>0</v>
      </c>
      <c r="G753" s="1">
        <v>19</v>
      </c>
      <c r="H753" s="1">
        <v>365</v>
      </c>
      <c r="I753" s="1">
        <v>32</v>
      </c>
      <c r="J753" s="1">
        <v>117</v>
      </c>
      <c r="K753" s="1">
        <v>34</v>
      </c>
      <c r="L753" s="1">
        <v>110</v>
      </c>
      <c r="M753" s="1">
        <v>6</v>
      </c>
      <c r="N753" s="1">
        <v>1</v>
      </c>
      <c r="O753" s="1">
        <v>3</v>
      </c>
      <c r="P753" s="1">
        <v>3</v>
      </c>
      <c r="Q753" s="1">
        <v>13</v>
      </c>
      <c r="R753" s="1">
        <v>2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40</v>
      </c>
      <c r="AA753" s="1" t="str" cm="1">
        <f t="array" ref="AA753">_xlfn.IFS(AND(Z753&lt;36, Z753&gt;23), "24-35", AND(Z753&lt;51, Z753&gt;35),"36-50", AND(Z753&lt;66, Z753&gt;50), "51-66", Z753&gt;65, "66+", TRUE, "?")</f>
        <v>36-50</v>
      </c>
      <c r="AB753" s="1">
        <v>2347</v>
      </c>
      <c r="AC753" s="1">
        <v>0</v>
      </c>
      <c r="AD753" s="1">
        <v>0</v>
      </c>
      <c r="AE753" s="1">
        <v>1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1</v>
      </c>
      <c r="AL753" s="1">
        <v>652</v>
      </c>
      <c r="AM753" s="2">
        <v>42502</v>
      </c>
      <c r="AN753" t="str">
        <f t="shared" si="23"/>
        <v>65295,658,0.0100773412971897,0,0,19,365,32,117,34,110,6,1,3,3,13,2,0,0,0,0,0,0,0,40,36-50,2347,0,0,1,0,0,0,0,0,1,652,42502</v>
      </c>
    </row>
    <row r="754" spans="1:40" ht="13" hidden="1" x14ac:dyDescent="0.15">
      <c r="A754">
        <v>1755</v>
      </c>
      <c r="B754" s="1">
        <v>62694</v>
      </c>
      <c r="C754" s="1">
        <v>658</v>
      </c>
      <c r="D754" s="4">
        <f t="shared" si="22"/>
        <v>1.0495422209461831E-2</v>
      </c>
      <c r="E754" s="1">
        <v>1</v>
      </c>
      <c r="F754" s="1">
        <v>1</v>
      </c>
      <c r="G754" s="1">
        <v>29</v>
      </c>
      <c r="H754" s="1">
        <v>379</v>
      </c>
      <c r="I754" s="1">
        <v>6</v>
      </c>
      <c r="J754" s="1">
        <v>157</v>
      </c>
      <c r="K754" s="1">
        <v>25</v>
      </c>
      <c r="L754" s="1">
        <v>91</v>
      </c>
      <c r="M754" s="1">
        <v>91</v>
      </c>
      <c r="N754" s="1">
        <v>5</v>
      </c>
      <c r="O754" s="1">
        <v>9</v>
      </c>
      <c r="P754" s="1">
        <v>3</v>
      </c>
      <c r="Q754" s="1">
        <v>7</v>
      </c>
      <c r="R754" s="1">
        <v>7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55</v>
      </c>
      <c r="AA754" s="1" t="str" cm="1">
        <f t="array" ref="AA754">_xlfn.IFS(AND(Z754&lt;36, Z754&gt;23), "24-35", AND(Z754&lt;51, Z754&gt;35),"36-50", AND(Z754&lt;66, Z754&gt;50), "51-66", Z754&gt;65, "66+", TRUE, "?")</f>
        <v>51-66</v>
      </c>
      <c r="AB754" s="1">
        <v>2536</v>
      </c>
      <c r="AC754" s="1">
        <v>0</v>
      </c>
      <c r="AD754" s="1">
        <v>1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1</v>
      </c>
      <c r="AK754" s="1">
        <v>0</v>
      </c>
      <c r="AL754" s="1">
        <v>567</v>
      </c>
      <c r="AM754" s="2">
        <v>42313</v>
      </c>
      <c r="AN754" t="str">
        <f t="shared" si="23"/>
        <v>62694,658,0.0104954222094618,1,1,29,379,6,157,25,91,91,5,9,3,7,7,0,0,0,0,0,0,0,55,51-66,2536,0,1,0,0,0,0,0,1,0,567,42313</v>
      </c>
    </row>
    <row r="755" spans="1:40" ht="13" hidden="1" x14ac:dyDescent="0.15">
      <c r="A755">
        <v>464</v>
      </c>
      <c r="B755" s="1">
        <v>55614</v>
      </c>
      <c r="C755" s="1">
        <v>656</v>
      </c>
      <c r="D755" s="4">
        <f t="shared" si="22"/>
        <v>1.1795591038227785E-2</v>
      </c>
      <c r="E755" s="1">
        <v>0</v>
      </c>
      <c r="F755" s="1">
        <v>0</v>
      </c>
      <c r="G755" s="1">
        <v>85</v>
      </c>
      <c r="H755" s="1">
        <v>504</v>
      </c>
      <c r="I755" s="1">
        <v>13</v>
      </c>
      <c r="J755" s="1">
        <v>131</v>
      </c>
      <c r="K755" s="1">
        <v>8</v>
      </c>
      <c r="L755" s="1">
        <v>0</v>
      </c>
      <c r="M755" s="1">
        <v>26</v>
      </c>
      <c r="N755" s="1">
        <v>1</v>
      </c>
      <c r="O755" s="1">
        <v>9</v>
      </c>
      <c r="P755" s="1">
        <v>4</v>
      </c>
      <c r="Q755" s="1">
        <v>6</v>
      </c>
      <c r="R755" s="1">
        <v>7</v>
      </c>
      <c r="S755" s="1">
        <v>0</v>
      </c>
      <c r="T755" s="1">
        <v>0</v>
      </c>
      <c r="U755" s="1">
        <v>0</v>
      </c>
      <c r="V755" s="1">
        <v>1</v>
      </c>
      <c r="W755" s="1">
        <v>0</v>
      </c>
      <c r="X755" s="1">
        <v>0</v>
      </c>
      <c r="Y755" s="1">
        <v>0</v>
      </c>
      <c r="Z755" s="1">
        <v>76</v>
      </c>
      <c r="AA755" s="1" t="str" cm="1">
        <f t="array" ref="AA755">_xlfn.IFS(AND(Z755&lt;36, Z755&gt;23), "24-35", AND(Z755&lt;51, Z755&gt;35),"36-50", AND(Z755&lt;66, Z755&gt;50), "51-66", Z755&gt;65, "66+", TRUE, "?")</f>
        <v>66+</v>
      </c>
      <c r="AB755" s="1">
        <v>2373</v>
      </c>
      <c r="AC755" s="1">
        <v>1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1</v>
      </c>
      <c r="AL755" s="1">
        <v>630</v>
      </c>
      <c r="AM755" s="2">
        <v>42476</v>
      </c>
      <c r="AN755" t="str">
        <f t="shared" si="23"/>
        <v>55614,656,0.0117955910382278,0,0,85,504,13,131,8,0,26,1,9,4,6,7,0,0,0,1,0,0,0,76,66+,2373,1,0,0,0,0,0,0,0,1,630,42476</v>
      </c>
    </row>
    <row r="756" spans="1:40" ht="13" hidden="1" x14ac:dyDescent="0.15">
      <c r="A756">
        <v>1131</v>
      </c>
      <c r="B756" s="1">
        <v>50965</v>
      </c>
      <c r="C756" s="1">
        <v>656</v>
      </c>
      <c r="D756" s="4">
        <f t="shared" si="22"/>
        <v>1.2871578534288237E-2</v>
      </c>
      <c r="E756" s="1">
        <v>0</v>
      </c>
      <c r="F756" s="1">
        <v>1</v>
      </c>
      <c r="G756" s="1">
        <v>87</v>
      </c>
      <c r="H756" s="1">
        <v>544</v>
      </c>
      <c r="I756" s="1">
        <v>13</v>
      </c>
      <c r="J756" s="1">
        <v>85</v>
      </c>
      <c r="K756" s="1">
        <v>8</v>
      </c>
      <c r="L756" s="1">
        <v>6</v>
      </c>
      <c r="M756" s="1">
        <v>29</v>
      </c>
      <c r="N756" s="1">
        <v>3</v>
      </c>
      <c r="O756" s="1">
        <v>10</v>
      </c>
      <c r="P756" s="1">
        <v>4</v>
      </c>
      <c r="Q756" s="1">
        <v>5</v>
      </c>
      <c r="R756" s="1">
        <v>8</v>
      </c>
      <c r="S756" s="1">
        <v>0</v>
      </c>
      <c r="T756" s="1">
        <v>0</v>
      </c>
      <c r="U756" s="1">
        <v>1</v>
      </c>
      <c r="V756" s="1">
        <v>0</v>
      </c>
      <c r="W756" s="1">
        <v>0</v>
      </c>
      <c r="X756" s="1">
        <v>0</v>
      </c>
      <c r="Y756" s="1">
        <v>0</v>
      </c>
      <c r="Z756" s="1">
        <v>64</v>
      </c>
      <c r="AA756" s="1" t="str" cm="1">
        <f t="array" ref="AA756">_xlfn.IFS(AND(Z756&lt;36, Z756&gt;23), "24-35", AND(Z756&lt;51, Z756&gt;35),"36-50", AND(Z756&lt;66, Z756&gt;50), "51-66", Z756&gt;65, "66+", TRUE, "?")</f>
        <v>51-66</v>
      </c>
      <c r="AB756" s="1">
        <v>2653</v>
      </c>
      <c r="AC756" s="1">
        <v>0</v>
      </c>
      <c r="AD756" s="1">
        <v>1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1</v>
      </c>
      <c r="AK756" s="1">
        <v>0</v>
      </c>
      <c r="AL756" s="1">
        <v>627</v>
      </c>
      <c r="AM756" s="2">
        <v>42196</v>
      </c>
      <c r="AN756" t="str">
        <f t="shared" si="23"/>
        <v>50965,656,0.0128715785342882,0,1,87,544,13,85,8,6,29,3,10,4,5,8,0,0,1,0,0,0,0,64,51-66,2653,0,1,0,0,0,0,0,1,0,627,42196</v>
      </c>
    </row>
    <row r="757" spans="1:40" ht="13" hidden="1" x14ac:dyDescent="0.15">
      <c r="A757">
        <v>682</v>
      </c>
      <c r="B757" s="1">
        <v>89891</v>
      </c>
      <c r="C757" s="1">
        <v>653</v>
      </c>
      <c r="D757" s="4">
        <f t="shared" si="22"/>
        <v>7.2643534947881326E-3</v>
      </c>
      <c r="E757" s="1">
        <v>0</v>
      </c>
      <c r="F757" s="1">
        <v>0</v>
      </c>
      <c r="G757" s="1">
        <v>17</v>
      </c>
      <c r="H757" s="1">
        <v>412</v>
      </c>
      <c r="I757" s="1">
        <v>22</v>
      </c>
      <c r="J757" s="1">
        <v>132</v>
      </c>
      <c r="K757" s="1">
        <v>59</v>
      </c>
      <c r="L757" s="1">
        <v>28</v>
      </c>
      <c r="M757" s="1">
        <v>183</v>
      </c>
      <c r="N757" s="1">
        <v>1</v>
      </c>
      <c r="O757" s="1">
        <v>11</v>
      </c>
      <c r="P757" s="1">
        <v>6</v>
      </c>
      <c r="Q757" s="1">
        <v>8</v>
      </c>
      <c r="R757" s="1">
        <v>4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0</v>
      </c>
      <c r="Y757" s="1">
        <v>0</v>
      </c>
      <c r="Z757" s="1">
        <v>29</v>
      </c>
      <c r="AA757" s="1" t="str" cm="1">
        <f t="array" ref="AA757">_xlfn.IFS(AND(Z757&lt;36, Z757&gt;23), "24-35", AND(Z757&lt;51, Z757&gt;35),"36-50", AND(Z757&lt;66, Z757&gt;50), "51-66", Z757&gt;65, "66+", TRUE, "?")</f>
        <v>24-35</v>
      </c>
      <c r="AB757" s="1">
        <v>2599</v>
      </c>
      <c r="AC757" s="1">
        <v>0</v>
      </c>
      <c r="AD757" s="1">
        <v>0</v>
      </c>
      <c r="AE757" s="1">
        <v>0</v>
      </c>
      <c r="AF757" s="1">
        <v>1</v>
      </c>
      <c r="AG757" s="1">
        <v>0</v>
      </c>
      <c r="AH757" s="1">
        <v>0</v>
      </c>
      <c r="AI757" s="1">
        <v>1</v>
      </c>
      <c r="AJ757" s="1">
        <v>0</v>
      </c>
      <c r="AK757" s="1">
        <v>0</v>
      </c>
      <c r="AL757" s="1">
        <v>470</v>
      </c>
      <c r="AM757" s="2">
        <v>42250</v>
      </c>
      <c r="AN757" t="str">
        <f t="shared" si="23"/>
        <v>89891,653,0.00726435349478813,0,0,17,412,22,132,59,28,183,1,11,6,8,4,0,0,0,0,1,0,0,29,24-35,2599,0,0,0,1,0,0,1,0,0,470,42250</v>
      </c>
    </row>
    <row r="758" spans="1:40" ht="13" hidden="1" x14ac:dyDescent="0.15">
      <c r="A758">
        <v>1077</v>
      </c>
      <c r="B758" s="1">
        <v>54450</v>
      </c>
      <c r="C758" s="1">
        <v>652</v>
      </c>
      <c r="D758" s="4">
        <f t="shared" si="22"/>
        <v>1.1974288337924702E-2</v>
      </c>
      <c r="E758" s="1">
        <v>1</v>
      </c>
      <c r="F758" s="1">
        <v>1</v>
      </c>
      <c r="G758" s="1">
        <v>0</v>
      </c>
      <c r="H758" s="1">
        <v>454</v>
      </c>
      <c r="I758" s="1">
        <v>0</v>
      </c>
      <c r="J758" s="1">
        <v>171</v>
      </c>
      <c r="K758" s="1">
        <v>8</v>
      </c>
      <c r="L758" s="1">
        <v>19</v>
      </c>
      <c r="M758" s="1">
        <v>32</v>
      </c>
      <c r="N758" s="1">
        <v>12</v>
      </c>
      <c r="O758" s="1">
        <v>9</v>
      </c>
      <c r="P758" s="1">
        <v>2</v>
      </c>
      <c r="Q758" s="1">
        <v>8</v>
      </c>
      <c r="R758" s="1">
        <v>8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64</v>
      </c>
      <c r="AA758" s="1" t="str" cm="1">
        <f t="array" ref="AA758">_xlfn.IFS(AND(Z758&lt;36, Z758&gt;23), "24-35", AND(Z758&lt;51, Z758&gt;35),"36-50", AND(Z758&lt;66, Z758&gt;50), "51-66", Z758&gt;65, "66+", TRUE, "?")</f>
        <v>51-66</v>
      </c>
      <c r="AB758" s="1">
        <v>2812</v>
      </c>
      <c r="AC758" s="1">
        <v>0</v>
      </c>
      <c r="AD758" s="1">
        <v>0</v>
      </c>
      <c r="AE758" s="1">
        <v>0</v>
      </c>
      <c r="AF758" s="1">
        <v>1</v>
      </c>
      <c r="AG758" s="1">
        <v>0</v>
      </c>
      <c r="AH758" s="1">
        <v>0</v>
      </c>
      <c r="AI758" s="1">
        <v>1</v>
      </c>
      <c r="AJ758" s="1">
        <v>0</v>
      </c>
      <c r="AK758" s="1">
        <v>0</v>
      </c>
      <c r="AL758" s="1">
        <v>620</v>
      </c>
      <c r="AM758" s="2">
        <v>42037</v>
      </c>
      <c r="AN758" t="str">
        <f t="shared" si="23"/>
        <v>54450,652,0.0119742883379247,1,1,0,454,0,171,8,19,32,12,9,2,8,8,0,0,0,0,0,0,0,64,51-66,2812,0,0,0,1,0,0,1,0,0,620,42037</v>
      </c>
    </row>
    <row r="759" spans="1:40" ht="13" hidden="1" x14ac:dyDescent="0.15">
      <c r="A759">
        <v>2011</v>
      </c>
      <c r="B759" s="1">
        <v>57642</v>
      </c>
      <c r="C759" s="1">
        <v>652</v>
      </c>
      <c r="D759" s="4">
        <f t="shared" si="22"/>
        <v>1.1311196696852989E-2</v>
      </c>
      <c r="E759" s="1">
        <v>0</v>
      </c>
      <c r="F759" s="1">
        <v>1</v>
      </c>
      <c r="G759" s="1">
        <v>24</v>
      </c>
      <c r="H759" s="1">
        <v>580</v>
      </c>
      <c r="I759" s="1">
        <v>6</v>
      </c>
      <c r="J759" s="1">
        <v>58</v>
      </c>
      <c r="K759" s="1">
        <v>8</v>
      </c>
      <c r="L759" s="1">
        <v>0</v>
      </c>
      <c r="M759" s="1">
        <v>27</v>
      </c>
      <c r="N759" s="1">
        <v>3</v>
      </c>
      <c r="O759" s="1">
        <v>7</v>
      </c>
      <c r="P759" s="1">
        <v>6</v>
      </c>
      <c r="Q759" s="1">
        <v>6</v>
      </c>
      <c r="R759" s="1">
        <v>4</v>
      </c>
      <c r="S759" s="1">
        <v>0</v>
      </c>
      <c r="T759" s="1">
        <v>0</v>
      </c>
      <c r="U759" s="1">
        <v>1</v>
      </c>
      <c r="V759" s="1">
        <v>0</v>
      </c>
      <c r="W759" s="1">
        <v>0</v>
      </c>
      <c r="X759" s="1">
        <v>0</v>
      </c>
      <c r="Y759" s="1">
        <v>0</v>
      </c>
      <c r="Z759" s="1">
        <v>50</v>
      </c>
      <c r="AA759" s="1" t="str" cm="1">
        <f t="array" ref="AA759">_xlfn.IFS(AND(Z759&lt;36, Z759&gt;23), "24-35", AND(Z759&lt;51, Z759&gt;35),"36-50", AND(Z759&lt;66, Z759&gt;50), "51-66", Z759&gt;65, "66+", TRUE, "?")</f>
        <v>36-50</v>
      </c>
      <c r="AB759" s="1">
        <v>2330</v>
      </c>
      <c r="AC759" s="1">
        <v>0</v>
      </c>
      <c r="AD759" s="1">
        <v>0</v>
      </c>
      <c r="AE759" s="1">
        <v>1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1</v>
      </c>
      <c r="AL759" s="1">
        <v>625</v>
      </c>
      <c r="AM759" s="2">
        <v>42519</v>
      </c>
      <c r="AN759" t="str">
        <f t="shared" si="23"/>
        <v>57642,652,0.011311196696853,0,1,24,580,6,58,8,0,27,3,7,6,6,4,0,0,1,0,0,0,0,50,36-50,2330,0,0,1,0,0,0,0,0,1,625,42519</v>
      </c>
    </row>
    <row r="760" spans="1:40" ht="13" hidden="1" x14ac:dyDescent="0.15">
      <c r="A760">
        <v>465</v>
      </c>
      <c r="B760" s="1">
        <v>59432</v>
      </c>
      <c r="C760" s="1">
        <v>651</v>
      </c>
      <c r="D760" s="4">
        <f t="shared" si="22"/>
        <v>1.0953694979135819E-2</v>
      </c>
      <c r="E760" s="1">
        <v>0</v>
      </c>
      <c r="F760" s="1">
        <v>1</v>
      </c>
      <c r="G760" s="1">
        <v>88</v>
      </c>
      <c r="H760" s="1">
        <v>317</v>
      </c>
      <c r="I760" s="1">
        <v>25</v>
      </c>
      <c r="J760" s="1">
        <v>265</v>
      </c>
      <c r="K760" s="1">
        <v>25</v>
      </c>
      <c r="L760" s="1">
        <v>19</v>
      </c>
      <c r="M760" s="1">
        <v>12</v>
      </c>
      <c r="N760" s="1">
        <v>3</v>
      </c>
      <c r="O760" s="1">
        <v>5</v>
      </c>
      <c r="P760" s="1">
        <v>3</v>
      </c>
      <c r="Q760" s="1">
        <v>11</v>
      </c>
      <c r="R760" s="1">
        <v>5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58</v>
      </c>
      <c r="AA760" s="1" t="str" cm="1">
        <f t="array" ref="AA760">_xlfn.IFS(AND(Z760&lt;36, Z760&gt;23), "24-35", AND(Z760&lt;51, Z760&gt;35),"36-50", AND(Z760&lt;66, Z760&gt;50), "51-66", Z760&gt;65, "66+", TRUE, "?")</f>
        <v>51-66</v>
      </c>
      <c r="AB760" s="1">
        <v>2601</v>
      </c>
      <c r="AC760" s="1">
        <v>1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1</v>
      </c>
      <c r="AK760" s="1">
        <v>0</v>
      </c>
      <c r="AL760" s="1">
        <v>639</v>
      </c>
      <c r="AM760" s="2">
        <v>42248</v>
      </c>
      <c r="AN760" t="str">
        <f t="shared" si="23"/>
        <v>59432,651,0.0109536949791358,0,1,88,317,25,265,25,19,12,3,5,3,11,5,0,0,0,0,0,0,0,58,51-66,2601,1,0,0,0,0,0,0,1,0,639,42248</v>
      </c>
    </row>
    <row r="761" spans="1:40" ht="13" hidden="1" x14ac:dyDescent="0.15">
      <c r="A761">
        <v>1345</v>
      </c>
      <c r="B761" s="1">
        <v>69401</v>
      </c>
      <c r="C761" s="1">
        <v>651</v>
      </c>
      <c r="D761" s="4">
        <f t="shared" si="22"/>
        <v>9.3802682958458814E-3</v>
      </c>
      <c r="E761" s="1">
        <v>0</v>
      </c>
      <c r="F761" s="1">
        <v>1</v>
      </c>
      <c r="G761" s="1">
        <v>41</v>
      </c>
      <c r="H761" s="1">
        <v>399</v>
      </c>
      <c r="I761" s="1">
        <v>27</v>
      </c>
      <c r="J761" s="1">
        <v>159</v>
      </c>
      <c r="K761" s="1">
        <v>58</v>
      </c>
      <c r="L761" s="1">
        <v>8</v>
      </c>
      <c r="M761" s="1">
        <v>39</v>
      </c>
      <c r="N761" s="1">
        <v>4</v>
      </c>
      <c r="O761" s="1">
        <v>4</v>
      </c>
      <c r="P761" s="1">
        <v>4</v>
      </c>
      <c r="Q761" s="1">
        <v>5</v>
      </c>
      <c r="R761" s="1">
        <v>2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47</v>
      </c>
      <c r="AA761" s="1" t="str" cm="1">
        <f t="array" ref="AA761">_xlfn.IFS(AND(Z761&lt;36, Z761&gt;23), "24-35", AND(Z761&lt;51, Z761&gt;35),"36-50", AND(Z761&lt;66, Z761&gt;50), "51-66", Z761&gt;65, "66+", TRUE, "?")</f>
        <v>36-50</v>
      </c>
      <c r="AB761" s="1">
        <v>2257</v>
      </c>
      <c r="AC761" s="1">
        <v>0</v>
      </c>
      <c r="AD761" s="1">
        <v>0</v>
      </c>
      <c r="AE761" s="1">
        <v>0</v>
      </c>
      <c r="AF761" s="1">
        <v>1</v>
      </c>
      <c r="AG761" s="1">
        <v>0</v>
      </c>
      <c r="AH761" s="1">
        <v>1</v>
      </c>
      <c r="AI761" s="1">
        <v>0</v>
      </c>
      <c r="AJ761" s="1">
        <v>0</v>
      </c>
      <c r="AK761" s="1">
        <v>0</v>
      </c>
      <c r="AL761" s="1">
        <v>612</v>
      </c>
      <c r="AM761" s="2">
        <v>42592</v>
      </c>
      <c r="AN761" t="str">
        <f t="shared" si="23"/>
        <v>69401,651,0.00938026829584588,0,1,41,399,27,159,58,8,39,4,4,4,5,2,0,0,0,0,0,0,0,47,36-50,2257,0,0,0,1,0,1,0,0,0,612,42592</v>
      </c>
    </row>
    <row r="762" spans="1:40" ht="13" hidden="1" x14ac:dyDescent="0.15">
      <c r="A762">
        <v>1227</v>
      </c>
      <c r="B762" s="1">
        <v>65695</v>
      </c>
      <c r="C762" s="1">
        <v>650</v>
      </c>
      <c r="D762" s="4">
        <f t="shared" si="22"/>
        <v>9.8942080828069105E-3</v>
      </c>
      <c r="E762" s="1">
        <v>0</v>
      </c>
      <c r="F762" s="1">
        <v>1</v>
      </c>
      <c r="G762" s="1">
        <v>50</v>
      </c>
      <c r="H762" s="1">
        <v>371</v>
      </c>
      <c r="I762" s="1">
        <v>32</v>
      </c>
      <c r="J762" s="1">
        <v>189</v>
      </c>
      <c r="K762" s="1">
        <v>0</v>
      </c>
      <c r="L762" s="1">
        <v>58</v>
      </c>
      <c r="M762" s="1">
        <v>6</v>
      </c>
      <c r="N762" s="1">
        <v>2</v>
      </c>
      <c r="O762" s="1">
        <v>5</v>
      </c>
      <c r="P762" s="1">
        <v>4</v>
      </c>
      <c r="Q762" s="1">
        <v>10</v>
      </c>
      <c r="R762" s="1">
        <v>4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60</v>
      </c>
      <c r="AA762" s="1" t="str" cm="1">
        <f t="array" ref="AA762">_xlfn.IFS(AND(Z762&lt;36, Z762&gt;23), "24-35", AND(Z762&lt;51, Z762&gt;35),"36-50", AND(Z762&lt;66, Z762&gt;50), "51-66", Z762&gt;65, "66+", TRUE, "?")</f>
        <v>51-66</v>
      </c>
      <c r="AB762" s="1">
        <v>2308</v>
      </c>
      <c r="AC762" s="1">
        <v>0</v>
      </c>
      <c r="AD762" s="1">
        <v>1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1</v>
      </c>
      <c r="AL762" s="1">
        <v>644</v>
      </c>
      <c r="AM762" s="2">
        <v>42541</v>
      </c>
      <c r="AN762" t="str">
        <f t="shared" si="23"/>
        <v>65695,650,0.00989420808280691,0,1,50,371,32,189,0,58,6,2,5,4,10,4,0,0,0,0,0,0,0,60,51-66,2308,0,1,0,0,0,0,0,0,1,644,42541</v>
      </c>
    </row>
    <row r="763" spans="1:40" ht="13" hidden="1" x14ac:dyDescent="0.15">
      <c r="A763">
        <v>1392</v>
      </c>
      <c r="B763" s="1">
        <v>54108</v>
      </c>
      <c r="C763" s="1">
        <v>650</v>
      </c>
      <c r="D763" s="4">
        <f t="shared" si="22"/>
        <v>1.2013011015007022E-2</v>
      </c>
      <c r="E763" s="1">
        <v>1</v>
      </c>
      <c r="F763" s="1">
        <v>1</v>
      </c>
      <c r="G763" s="1">
        <v>74</v>
      </c>
      <c r="H763" s="1">
        <v>539</v>
      </c>
      <c r="I763" s="1">
        <v>6</v>
      </c>
      <c r="J763" s="1">
        <v>91</v>
      </c>
      <c r="K763" s="1">
        <v>8</v>
      </c>
      <c r="L763" s="1">
        <v>6</v>
      </c>
      <c r="M763" s="1">
        <v>97</v>
      </c>
      <c r="N763" s="1">
        <v>13</v>
      </c>
      <c r="O763" s="1">
        <v>8</v>
      </c>
      <c r="P763" s="1">
        <v>2</v>
      </c>
      <c r="Q763" s="1">
        <v>9</v>
      </c>
      <c r="R763" s="1">
        <v>8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47</v>
      </c>
      <c r="AA763" s="1" t="str" cm="1">
        <f t="array" ref="AA763">_xlfn.IFS(AND(Z763&lt;36, Z763&gt;23), "24-35", AND(Z763&lt;51, Z763&gt;35),"36-50", AND(Z763&lt;66, Z763&gt;50), "51-66", Z763&gt;65, "66+", TRUE, "?")</f>
        <v>36-50</v>
      </c>
      <c r="AB763" s="1">
        <v>2760</v>
      </c>
      <c r="AC763" s="1">
        <v>0</v>
      </c>
      <c r="AD763" s="1">
        <v>1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1</v>
      </c>
      <c r="AK763" s="1">
        <v>0</v>
      </c>
      <c r="AL763" s="1">
        <v>553</v>
      </c>
      <c r="AM763" s="2">
        <v>42089</v>
      </c>
      <c r="AN763" t="str">
        <f t="shared" si="23"/>
        <v>54108,650,0.012013011015007,1,1,74,539,6,91,8,6,97,13,8,2,9,8,0,0,0,0,0,0,0,47,36-50,2760,0,1,0,0,0,0,0,1,0,553,42089</v>
      </c>
    </row>
    <row r="764" spans="1:40" ht="13" hidden="1" x14ac:dyDescent="0.15">
      <c r="A764">
        <v>117</v>
      </c>
      <c r="B764" s="1">
        <v>77376</v>
      </c>
      <c r="C764" s="1">
        <v>649</v>
      </c>
      <c r="D764" s="4">
        <f t="shared" si="22"/>
        <v>8.3876137303556652E-3</v>
      </c>
      <c r="E764" s="1">
        <v>1</v>
      </c>
      <c r="F764" s="1">
        <v>1</v>
      </c>
      <c r="G764" s="1">
        <v>72</v>
      </c>
      <c r="H764" s="1">
        <v>492</v>
      </c>
      <c r="I764" s="1">
        <v>19</v>
      </c>
      <c r="J764" s="1">
        <v>110</v>
      </c>
      <c r="K764" s="1">
        <v>16</v>
      </c>
      <c r="L764" s="1">
        <v>12</v>
      </c>
      <c r="M764" s="1">
        <v>12</v>
      </c>
      <c r="N764" s="1">
        <v>4</v>
      </c>
      <c r="O764" s="1">
        <v>6</v>
      </c>
      <c r="P764" s="1">
        <v>3</v>
      </c>
      <c r="Q764" s="1">
        <v>10</v>
      </c>
      <c r="R764" s="1">
        <v>4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64</v>
      </c>
      <c r="AA764" s="1" t="str" cm="1">
        <f t="array" ref="AA764">_xlfn.IFS(AND(Z764&lt;36, Z764&gt;23), "24-35", AND(Z764&lt;51, Z764&gt;35),"36-50", AND(Z764&lt;66, Z764&gt;50), "51-66", Z764&gt;65, "66+", TRUE, "?")</f>
        <v>51-66</v>
      </c>
      <c r="AB764" s="1">
        <v>2209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0</v>
      </c>
      <c r="AJ764" s="1">
        <v>0</v>
      </c>
      <c r="AK764" s="1">
        <v>1</v>
      </c>
      <c r="AL764" s="1">
        <v>637</v>
      </c>
      <c r="AM764" s="2">
        <v>42640</v>
      </c>
      <c r="AN764" t="str">
        <f t="shared" si="23"/>
        <v>77376,649,0.00838761373035567,1,1,72,492,19,110,16,12,12,4,6,3,10,4,0,0,0,0,0,0,0,64,51-66,2209,0,0,0,1,0,0,0,0,1,637,42640</v>
      </c>
    </row>
    <row r="765" spans="1:40" ht="13" hidden="1" x14ac:dyDescent="0.15">
      <c r="A765">
        <v>1561</v>
      </c>
      <c r="B765" s="1">
        <v>55012</v>
      </c>
      <c r="C765" s="1">
        <v>647</v>
      </c>
      <c r="D765" s="4">
        <f t="shared" si="22"/>
        <v>1.1761070311931942E-2</v>
      </c>
      <c r="E765" s="1">
        <v>0</v>
      </c>
      <c r="F765" s="1">
        <v>1</v>
      </c>
      <c r="G765" s="1">
        <v>85</v>
      </c>
      <c r="H765" s="1">
        <v>582</v>
      </c>
      <c r="I765" s="1">
        <v>0</v>
      </c>
      <c r="J765" s="1">
        <v>65</v>
      </c>
      <c r="K765" s="1">
        <v>0</v>
      </c>
      <c r="L765" s="1">
        <v>0</v>
      </c>
      <c r="M765" s="1">
        <v>13</v>
      </c>
      <c r="N765" s="1">
        <v>6</v>
      </c>
      <c r="O765" s="1">
        <v>8</v>
      </c>
      <c r="P765" s="1">
        <v>2</v>
      </c>
      <c r="Q765" s="1">
        <v>9</v>
      </c>
      <c r="R765" s="1">
        <v>5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47</v>
      </c>
      <c r="AA765" s="1" t="str" cm="1">
        <f t="array" ref="AA765">_xlfn.IFS(AND(Z765&lt;36, Z765&gt;23), "24-35", AND(Z765&lt;51, Z765&gt;35),"36-50", AND(Z765&lt;66, Z765&gt;50), "51-66", Z765&gt;65, "66+", TRUE, "?")</f>
        <v>36-50</v>
      </c>
      <c r="AB765" s="1">
        <v>2259</v>
      </c>
      <c r="AC765" s="1">
        <v>0</v>
      </c>
      <c r="AD765" s="1">
        <v>0</v>
      </c>
      <c r="AE765" s="1">
        <v>0</v>
      </c>
      <c r="AF765" s="1">
        <v>1</v>
      </c>
      <c r="AG765" s="1">
        <v>0</v>
      </c>
      <c r="AH765" s="1">
        <v>0</v>
      </c>
      <c r="AI765" s="1">
        <v>0</v>
      </c>
      <c r="AJ765" s="1">
        <v>0</v>
      </c>
      <c r="AK765" s="1">
        <v>1</v>
      </c>
      <c r="AL765" s="1">
        <v>634</v>
      </c>
      <c r="AM765" s="2">
        <v>42590</v>
      </c>
      <c r="AN765" t="str">
        <f t="shared" si="23"/>
        <v>55012,647,0.0117610703119319,0,1,85,582,0,65,0,0,13,6,8,2,9,5,0,0,0,0,0,0,0,47,36-50,2259,0,0,0,1,0,0,0,0,1,634,42590</v>
      </c>
    </row>
    <row r="766" spans="1:40" ht="13" hidden="1" x14ac:dyDescent="0.15">
      <c r="A766">
        <v>457</v>
      </c>
      <c r="B766" s="1">
        <v>60093</v>
      </c>
      <c r="C766" s="1">
        <v>645</v>
      </c>
      <c r="D766" s="4">
        <f t="shared" si="22"/>
        <v>1.0733363286905297E-2</v>
      </c>
      <c r="E766" s="1">
        <v>0</v>
      </c>
      <c r="F766" s="1">
        <v>1</v>
      </c>
      <c r="G766" s="1">
        <v>92</v>
      </c>
      <c r="H766" s="1">
        <v>502</v>
      </c>
      <c r="I766" s="1">
        <v>12</v>
      </c>
      <c r="J766" s="1">
        <v>109</v>
      </c>
      <c r="K766" s="1">
        <v>16</v>
      </c>
      <c r="L766" s="1">
        <v>6</v>
      </c>
      <c r="M766" s="1">
        <v>90</v>
      </c>
      <c r="N766" s="1">
        <v>2</v>
      </c>
      <c r="O766" s="1">
        <v>7</v>
      </c>
      <c r="P766" s="1">
        <v>2</v>
      </c>
      <c r="Q766" s="1">
        <v>10</v>
      </c>
      <c r="R766" s="1">
        <v>6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46</v>
      </c>
      <c r="AA766" s="1" t="str" cm="1">
        <f t="array" ref="AA766">_xlfn.IFS(AND(Z766&lt;36, Z766&gt;23), "24-35", AND(Z766&lt;51, Z766&gt;35),"36-50", AND(Z766&lt;66, Z766&gt;50), "51-66", Z766&gt;65, "66+", TRUE, "?")</f>
        <v>36-50</v>
      </c>
      <c r="AB766" s="1">
        <v>2527</v>
      </c>
      <c r="AC766" s="1">
        <v>0</v>
      </c>
      <c r="AD766" s="1">
        <v>1</v>
      </c>
      <c r="AE766" s="1">
        <v>0</v>
      </c>
      <c r="AF766" s="1">
        <v>0</v>
      </c>
      <c r="AG766" s="1">
        <v>0</v>
      </c>
      <c r="AH766" s="1">
        <v>0</v>
      </c>
      <c r="AI766" s="1">
        <v>1</v>
      </c>
      <c r="AJ766" s="1">
        <v>0</v>
      </c>
      <c r="AK766" s="1">
        <v>0</v>
      </c>
      <c r="AL766" s="1">
        <v>555</v>
      </c>
      <c r="AM766" s="2">
        <v>42322</v>
      </c>
      <c r="AN766" t="str">
        <f t="shared" si="23"/>
        <v>60093,645,0.0107333632869053,0,1,92,502,12,109,16,6,90,2,7,2,10,6,0,0,0,0,0,0,0,46,36-50,2527,0,1,0,0,0,0,1,0,0,555,42322</v>
      </c>
    </row>
    <row r="767" spans="1:40" ht="13" hidden="1" x14ac:dyDescent="0.15">
      <c r="A767">
        <v>67</v>
      </c>
      <c r="B767" s="1">
        <v>60631</v>
      </c>
      <c r="C767" s="1">
        <v>642</v>
      </c>
      <c r="D767" s="4">
        <f t="shared" si="22"/>
        <v>1.0588642773498705E-2</v>
      </c>
      <c r="E767" s="1">
        <v>1</v>
      </c>
      <c r="F767" s="1">
        <v>1</v>
      </c>
      <c r="G767" s="1">
        <v>88</v>
      </c>
      <c r="H767" s="1">
        <v>565</v>
      </c>
      <c r="I767" s="1">
        <v>6</v>
      </c>
      <c r="J767" s="1">
        <v>65</v>
      </c>
      <c r="K767" s="1">
        <v>0</v>
      </c>
      <c r="L767" s="1">
        <v>6</v>
      </c>
      <c r="M767" s="1">
        <v>19</v>
      </c>
      <c r="N767" s="1">
        <v>5</v>
      </c>
      <c r="O767" s="1">
        <v>9</v>
      </c>
      <c r="P767" s="1">
        <v>2</v>
      </c>
      <c r="Q767" s="1">
        <v>8</v>
      </c>
      <c r="R767" s="1">
        <v>7</v>
      </c>
      <c r="S767" s="1">
        <v>0</v>
      </c>
      <c r="T767" s="1">
        <v>0</v>
      </c>
      <c r="U767" s="1">
        <v>0</v>
      </c>
      <c r="V767" s="1">
        <v>1</v>
      </c>
      <c r="W767" s="1">
        <v>0</v>
      </c>
      <c r="X767" s="1">
        <v>0</v>
      </c>
      <c r="Y767" s="1">
        <v>0</v>
      </c>
      <c r="Z767" s="1">
        <v>45</v>
      </c>
      <c r="AA767" s="1" t="str" cm="1">
        <f t="array" ref="AA767">_xlfn.IFS(AND(Z767&lt;36, Z767&gt;23), "24-35", AND(Z767&lt;51, Z767&gt;35),"36-50", AND(Z767&lt;66, Z767&gt;50), "51-66", Z767&gt;65, "66+", TRUE, "?")</f>
        <v>36-50</v>
      </c>
      <c r="AB767" s="1">
        <v>2609</v>
      </c>
      <c r="AC767" s="1">
        <v>0</v>
      </c>
      <c r="AD767" s="1">
        <v>1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1</v>
      </c>
      <c r="AL767" s="1">
        <v>623</v>
      </c>
      <c r="AM767" s="2">
        <v>42240</v>
      </c>
      <c r="AN767" t="str">
        <f t="shared" si="23"/>
        <v>60631,642,0.0105886427734987,1,1,88,565,6,65,0,6,19,5,9,2,8,7,0,0,0,1,0,0,0,45,36-50,2609,0,1,0,0,0,0,0,0,1,623,42240</v>
      </c>
    </row>
    <row r="768" spans="1:40" ht="13" x14ac:dyDescent="0.15">
      <c r="A768">
        <v>1263</v>
      </c>
      <c r="B768" s="1">
        <v>56046</v>
      </c>
      <c r="C768" s="1">
        <v>641</v>
      </c>
      <c r="D768" s="4">
        <f t="shared" si="22"/>
        <v>1.1437033865039432E-2</v>
      </c>
      <c r="E768" s="1">
        <v>0</v>
      </c>
      <c r="F768" s="1">
        <v>0</v>
      </c>
      <c r="G768" s="1">
        <v>9</v>
      </c>
      <c r="H768" s="1">
        <v>577</v>
      </c>
      <c r="I768" s="1">
        <v>0</v>
      </c>
      <c r="J768" s="1">
        <v>64</v>
      </c>
      <c r="K768" s="1">
        <v>0</v>
      </c>
      <c r="L768" s="1">
        <v>0</v>
      </c>
      <c r="M768" s="1">
        <v>51</v>
      </c>
      <c r="N768" s="1">
        <v>2</v>
      </c>
      <c r="O768" s="1">
        <v>10</v>
      </c>
      <c r="P768" s="1">
        <v>1</v>
      </c>
      <c r="Q768" s="1">
        <v>8</v>
      </c>
      <c r="R768" s="1">
        <v>8</v>
      </c>
      <c r="S768" s="1">
        <v>0</v>
      </c>
      <c r="T768" s="1">
        <v>0</v>
      </c>
      <c r="U768" s="1">
        <v>1</v>
      </c>
      <c r="V768" s="1">
        <v>0</v>
      </c>
      <c r="W768" s="1">
        <v>0</v>
      </c>
      <c r="X768" s="1">
        <v>0</v>
      </c>
      <c r="Y768" s="1">
        <v>1</v>
      </c>
      <c r="Z768" s="1">
        <v>55</v>
      </c>
      <c r="AA768" s="1" t="str" cm="1">
        <f t="array" ref="AA768">_xlfn.IFS(AND(Z768&lt;36, Z768&gt;23), "24-35", AND(Z768&lt;51, Z768&gt;35),"36-50", AND(Z768&lt;66, Z768&gt;50), "51-66", Z768&gt;65, "66+", TRUE, "?")</f>
        <v>51-66</v>
      </c>
      <c r="AB768" s="1">
        <v>2702</v>
      </c>
      <c r="AC768" s="1">
        <v>0</v>
      </c>
      <c r="AD768" s="1">
        <v>0</v>
      </c>
      <c r="AE768" s="1">
        <v>0</v>
      </c>
      <c r="AF768" s="1">
        <v>1</v>
      </c>
      <c r="AG768" s="1">
        <v>0</v>
      </c>
      <c r="AH768" s="1">
        <v>0</v>
      </c>
      <c r="AI768" s="1">
        <v>1</v>
      </c>
      <c r="AJ768" s="1">
        <v>0</v>
      </c>
      <c r="AK768" s="1">
        <v>0</v>
      </c>
      <c r="AL768" s="1">
        <v>590</v>
      </c>
      <c r="AM768" s="2">
        <v>42147</v>
      </c>
      <c r="AN768" t="str">
        <f t="shared" si="23"/>
        <v>56046,641,0.0114370338650394,0,0,9,577,0,64,0,0,51,2,10,1,8,8,0,0,1,0,0,0,1,55,51-66,2702,0,0,0,1,0,0,1,0,0,590,42147</v>
      </c>
    </row>
    <row r="769" spans="1:40" ht="13" hidden="1" x14ac:dyDescent="0.15">
      <c r="A769">
        <v>963</v>
      </c>
      <c r="B769" s="1">
        <v>56320</v>
      </c>
      <c r="C769" s="1">
        <v>619</v>
      </c>
      <c r="D769" s="4">
        <f t="shared" si="22"/>
        <v>1.0990767045454545E-2</v>
      </c>
      <c r="E769" s="1">
        <v>0</v>
      </c>
      <c r="F769" s="1">
        <v>1</v>
      </c>
      <c r="G769" s="1">
        <v>11</v>
      </c>
      <c r="H769" s="1">
        <v>201</v>
      </c>
      <c r="I769" s="1">
        <v>53</v>
      </c>
      <c r="J769" s="1">
        <v>172</v>
      </c>
      <c r="K769" s="1">
        <v>116</v>
      </c>
      <c r="L769" s="1">
        <v>77</v>
      </c>
      <c r="M769" s="1">
        <v>83</v>
      </c>
      <c r="N769" s="1">
        <v>3</v>
      </c>
      <c r="O769" s="1">
        <v>5</v>
      </c>
      <c r="P769" s="1">
        <v>4</v>
      </c>
      <c r="Q769" s="1">
        <v>9</v>
      </c>
      <c r="R769" s="1">
        <v>4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53</v>
      </c>
      <c r="AA769" s="1" t="str" cm="1">
        <f t="array" ref="AA769">_xlfn.IFS(AND(Z769&lt;36, Z769&gt;23), "24-35", AND(Z769&lt;51, Z769&gt;35),"36-50", AND(Z769&lt;66, Z769&gt;50), "51-66", Z769&gt;65, "66+", TRUE, "?")</f>
        <v>51-66</v>
      </c>
      <c r="AB769" s="1">
        <v>2606</v>
      </c>
      <c r="AC769" s="1">
        <v>0</v>
      </c>
      <c r="AD769" s="1">
        <v>1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1</v>
      </c>
      <c r="AL769" s="1">
        <v>536</v>
      </c>
      <c r="AM769" s="2">
        <v>42243</v>
      </c>
      <c r="AN769" t="str">
        <f t="shared" si="23"/>
        <v>56320,619,0.0109907670454545,0,1,11,201,53,172,116,77,83,3,5,4,9,4,0,0,0,0,0,0,0,53,51-66,2606,0,1,0,0,0,0,0,0,1,536,42243</v>
      </c>
    </row>
    <row r="770" spans="1:40" ht="13" x14ac:dyDescent="0.15">
      <c r="A770">
        <v>1265</v>
      </c>
      <c r="B770" s="1">
        <v>42000</v>
      </c>
      <c r="C770" s="1">
        <v>618</v>
      </c>
      <c r="D770" s="4">
        <f t="shared" ref="D770:D833" si="24">C770/B770</f>
        <v>1.4714285714285714E-2</v>
      </c>
      <c r="E770" s="1">
        <v>0</v>
      </c>
      <c r="F770" s="1">
        <v>0</v>
      </c>
      <c r="G770" s="1">
        <v>23</v>
      </c>
      <c r="H770" s="1">
        <v>124</v>
      </c>
      <c r="I770" s="1">
        <v>83</v>
      </c>
      <c r="J770" s="1">
        <v>267</v>
      </c>
      <c r="K770" s="1">
        <v>85</v>
      </c>
      <c r="L770" s="1">
        <v>59</v>
      </c>
      <c r="M770" s="1">
        <v>35</v>
      </c>
      <c r="N770" s="1">
        <v>2</v>
      </c>
      <c r="O770" s="1">
        <v>5</v>
      </c>
      <c r="P770" s="1">
        <v>2</v>
      </c>
      <c r="Q770" s="1">
        <v>11</v>
      </c>
      <c r="R770" s="1">
        <v>5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1</v>
      </c>
      <c r="Z770" s="1">
        <v>33</v>
      </c>
      <c r="AA770" s="1" t="str" cm="1">
        <f t="array" ref="AA770">_xlfn.IFS(AND(Z770&lt;36, Z770&gt;23), "24-35", AND(Z770&lt;51, Z770&gt;35),"36-50", AND(Z770&lt;66, Z770&gt;50), "51-66", Z770&gt;65, "66+", TRUE, "?")</f>
        <v>24-35</v>
      </c>
      <c r="AB770" s="1">
        <v>2694</v>
      </c>
      <c r="AC770" s="1">
        <v>0</v>
      </c>
      <c r="AD770" s="1">
        <v>0</v>
      </c>
      <c r="AE770" s="1">
        <v>1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1</v>
      </c>
      <c r="AL770" s="1">
        <v>583</v>
      </c>
      <c r="AM770" s="2">
        <v>42155</v>
      </c>
      <c r="AN770" t="str">
        <f t="shared" ref="AN770:AN833" si="25">_xlfn.TEXTJOIN(",",TRUE,B770:AM770)</f>
        <v>42000,618,0.0147142857142857,0,0,23,124,83,267,85,59,35,2,5,2,11,5,0,0,0,0,0,0,1,33,24-35,2694,0,0,1,0,0,0,0,0,1,583,42155</v>
      </c>
    </row>
    <row r="771" spans="1:40" ht="13" x14ac:dyDescent="0.15">
      <c r="A771">
        <v>1278</v>
      </c>
      <c r="B771" s="1">
        <v>33051</v>
      </c>
      <c r="C771" s="1">
        <v>616</v>
      </c>
      <c r="D771" s="4">
        <f t="shared" si="24"/>
        <v>1.8637862697043962E-2</v>
      </c>
      <c r="E771" s="1">
        <v>0</v>
      </c>
      <c r="F771" s="1">
        <v>0</v>
      </c>
      <c r="G771" s="1">
        <v>15</v>
      </c>
      <c r="H771" s="1">
        <v>100</v>
      </c>
      <c r="I771" s="1">
        <v>71</v>
      </c>
      <c r="J771" s="1">
        <v>243</v>
      </c>
      <c r="K771" s="1">
        <v>108</v>
      </c>
      <c r="L771" s="1">
        <v>94</v>
      </c>
      <c r="M771" s="1">
        <v>219</v>
      </c>
      <c r="N771" s="1">
        <v>3</v>
      </c>
      <c r="O771" s="1">
        <v>9</v>
      </c>
      <c r="P771" s="1">
        <v>1</v>
      </c>
      <c r="Q771" s="1">
        <v>8</v>
      </c>
      <c r="R771" s="1">
        <v>9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1</v>
      </c>
      <c r="Z771" s="1">
        <v>61</v>
      </c>
      <c r="AA771" s="1" t="str" cm="1">
        <f t="array" ref="AA771">_xlfn.IFS(AND(Z771&lt;36, Z771&gt;23), "24-35", AND(Z771&lt;51, Z771&gt;35),"36-50", AND(Z771&lt;66, Z771&gt;50), "51-66", Z771&gt;65, "66+", TRUE, "?")</f>
        <v>51-66</v>
      </c>
      <c r="AB771" s="1">
        <v>2841</v>
      </c>
      <c r="AC771" s="1">
        <v>0</v>
      </c>
      <c r="AD771" s="1">
        <v>0</v>
      </c>
      <c r="AE771" s="1">
        <v>0</v>
      </c>
      <c r="AF771" s="1">
        <v>0</v>
      </c>
      <c r="AG771" s="1">
        <v>1</v>
      </c>
      <c r="AH771" s="1">
        <v>0</v>
      </c>
      <c r="AI771" s="1">
        <v>0</v>
      </c>
      <c r="AJ771" s="1">
        <v>1</v>
      </c>
      <c r="AK771" s="1">
        <v>0</v>
      </c>
      <c r="AL771" s="1">
        <v>397</v>
      </c>
      <c r="AM771" s="2">
        <v>42008</v>
      </c>
      <c r="AN771" t="str">
        <f t="shared" si="25"/>
        <v>33051,616,0.018637862697044,0,0,15,100,71,243,108,94,219,3,9,1,8,9,0,0,0,0,0,0,1,61,51-66,2841,0,0,0,0,1,0,0,1,0,397,42008</v>
      </c>
    </row>
    <row r="772" spans="1:40" ht="13" x14ac:dyDescent="0.15">
      <c r="A772">
        <v>1288</v>
      </c>
      <c r="B772" s="1">
        <v>42564</v>
      </c>
      <c r="C772" s="1">
        <v>615</v>
      </c>
      <c r="D772" s="4">
        <f t="shared" si="24"/>
        <v>1.4448829997180716E-2</v>
      </c>
      <c r="E772" s="1">
        <v>0</v>
      </c>
      <c r="F772" s="1">
        <v>1</v>
      </c>
      <c r="G772" s="1">
        <v>28</v>
      </c>
      <c r="H772" s="1">
        <v>324</v>
      </c>
      <c r="I772" s="1">
        <v>48</v>
      </c>
      <c r="J772" s="1">
        <v>186</v>
      </c>
      <c r="K772" s="1">
        <v>39</v>
      </c>
      <c r="L772" s="1">
        <v>18</v>
      </c>
      <c r="M772" s="1">
        <v>198</v>
      </c>
      <c r="N772" s="1">
        <v>6</v>
      </c>
      <c r="O772" s="1">
        <v>6</v>
      </c>
      <c r="P772" s="1">
        <v>8</v>
      </c>
      <c r="Q772" s="1">
        <v>4</v>
      </c>
      <c r="R772" s="1">
        <v>7</v>
      </c>
      <c r="S772" s="1">
        <v>0</v>
      </c>
      <c r="T772" s="1">
        <v>0</v>
      </c>
      <c r="U772" s="1">
        <v>1</v>
      </c>
      <c r="V772" s="1">
        <v>0</v>
      </c>
      <c r="W772" s="1">
        <v>0</v>
      </c>
      <c r="X772" s="1">
        <v>0</v>
      </c>
      <c r="Y772" s="1">
        <v>1</v>
      </c>
      <c r="Z772" s="1">
        <v>52</v>
      </c>
      <c r="AA772" s="1" t="str" cm="1">
        <f t="array" ref="AA772">_xlfn.IFS(AND(Z772&lt;36, Z772&gt;23), "24-35", AND(Z772&lt;51, Z772&gt;35),"36-50", AND(Z772&lt;66, Z772&gt;50), "51-66", Z772&gt;65, "66+", TRUE, "?")</f>
        <v>51-66</v>
      </c>
      <c r="AB772" s="1">
        <v>2702</v>
      </c>
      <c r="AC772" s="1">
        <v>1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1</v>
      </c>
      <c r="AL772" s="1">
        <v>417</v>
      </c>
      <c r="AM772" s="2">
        <v>42147</v>
      </c>
      <c r="AN772" t="str">
        <f t="shared" si="25"/>
        <v>42564,615,0.0144488299971807,0,1,28,324,48,186,39,18,198,6,6,8,4,7,0,0,1,0,0,0,1,52,51-66,2702,1,0,0,0,0,0,0,0,1,417,42147</v>
      </c>
    </row>
    <row r="773" spans="1:40" ht="13" hidden="1" x14ac:dyDescent="0.15">
      <c r="A773">
        <v>1856</v>
      </c>
      <c r="B773" s="1">
        <v>60689</v>
      </c>
      <c r="C773" s="1">
        <v>615</v>
      </c>
      <c r="D773" s="4">
        <f t="shared" si="24"/>
        <v>1.0133632124437707E-2</v>
      </c>
      <c r="E773" s="1">
        <v>0</v>
      </c>
      <c r="F773" s="1">
        <v>1</v>
      </c>
      <c r="G773" s="1">
        <v>23</v>
      </c>
      <c r="H773" s="1">
        <v>240</v>
      </c>
      <c r="I773" s="1">
        <v>90</v>
      </c>
      <c r="J773" s="1">
        <v>216</v>
      </c>
      <c r="K773" s="1">
        <v>63</v>
      </c>
      <c r="L773" s="1">
        <v>6</v>
      </c>
      <c r="M773" s="1">
        <v>24</v>
      </c>
      <c r="N773" s="1">
        <v>4</v>
      </c>
      <c r="O773" s="1">
        <v>4</v>
      </c>
      <c r="P773" s="1">
        <v>4</v>
      </c>
      <c r="Q773" s="1">
        <v>10</v>
      </c>
      <c r="R773" s="1">
        <v>3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69</v>
      </c>
      <c r="AA773" s="1" t="str" cm="1">
        <f t="array" ref="AA773">_xlfn.IFS(AND(Z773&lt;36, Z773&gt;23), "24-35", AND(Z773&lt;51, Z773&gt;35),"36-50", AND(Z773&lt;66, Z773&gt;50), "51-66", Z773&gt;65, "66+", TRUE, "?")</f>
        <v>66+</v>
      </c>
      <c r="AB773" s="1">
        <v>2552</v>
      </c>
      <c r="AC773" s="1">
        <v>0</v>
      </c>
      <c r="AD773" s="1">
        <v>0</v>
      </c>
      <c r="AE773" s="1">
        <v>1</v>
      </c>
      <c r="AF773" s="1">
        <v>0</v>
      </c>
      <c r="AG773" s="1">
        <v>0</v>
      </c>
      <c r="AH773" s="1">
        <v>0</v>
      </c>
      <c r="AI773" s="1">
        <v>1</v>
      </c>
      <c r="AJ773" s="1">
        <v>0</v>
      </c>
      <c r="AK773" s="1">
        <v>0</v>
      </c>
      <c r="AL773" s="1">
        <v>591</v>
      </c>
      <c r="AM773" s="2">
        <v>42297</v>
      </c>
      <c r="AN773" t="str">
        <f t="shared" si="25"/>
        <v>60689,615,0.0101336321244377,0,1,23,240,90,216,63,6,24,4,4,4,10,3,0,0,0,0,0,0,0,69,66+,2552,0,0,1,0,0,0,1,0,0,591,42297</v>
      </c>
    </row>
    <row r="774" spans="1:40" ht="13" hidden="1" x14ac:dyDescent="0.15">
      <c r="A774">
        <v>912</v>
      </c>
      <c r="B774" s="1">
        <v>44010</v>
      </c>
      <c r="C774" s="1">
        <v>614</v>
      </c>
      <c r="D774" s="4">
        <f t="shared" si="24"/>
        <v>1.3951374687571006E-2</v>
      </c>
      <c r="E774" s="1">
        <v>1</v>
      </c>
      <c r="F774" s="1">
        <v>0</v>
      </c>
      <c r="G774" s="1">
        <v>46</v>
      </c>
      <c r="H774" s="1">
        <v>186</v>
      </c>
      <c r="I774" s="1">
        <v>36</v>
      </c>
      <c r="J774" s="1">
        <v>234</v>
      </c>
      <c r="K774" s="1">
        <v>86</v>
      </c>
      <c r="L774" s="1">
        <v>72</v>
      </c>
      <c r="M774" s="1">
        <v>48</v>
      </c>
      <c r="N774" s="1">
        <v>6</v>
      </c>
      <c r="O774" s="1">
        <v>10</v>
      </c>
      <c r="P774" s="1">
        <v>2</v>
      </c>
      <c r="Q774" s="1">
        <v>6</v>
      </c>
      <c r="R774" s="1">
        <v>9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40</v>
      </c>
      <c r="AA774" s="1" t="str" cm="1">
        <f t="array" ref="AA774">_xlfn.IFS(AND(Z774&lt;36, Z774&gt;23), "24-35", AND(Z774&lt;51, Z774&gt;35),"36-50", AND(Z774&lt;66, Z774&gt;50), "51-66", Z774&gt;65, "66+", TRUE, "?")</f>
        <v>36-50</v>
      </c>
      <c r="AB774" s="1">
        <v>2783</v>
      </c>
      <c r="AC774" s="1">
        <v>0</v>
      </c>
      <c r="AD774" s="1">
        <v>0</v>
      </c>
      <c r="AE774" s="1">
        <v>0</v>
      </c>
      <c r="AF774" s="1">
        <v>1</v>
      </c>
      <c r="AG774" s="1">
        <v>0</v>
      </c>
      <c r="AH774" s="1">
        <v>0</v>
      </c>
      <c r="AI774" s="1">
        <v>1</v>
      </c>
      <c r="AJ774" s="1">
        <v>0</v>
      </c>
      <c r="AK774" s="1">
        <v>0</v>
      </c>
      <c r="AL774" s="1">
        <v>566</v>
      </c>
      <c r="AM774" s="2">
        <v>42066</v>
      </c>
      <c r="AN774" t="str">
        <f t="shared" si="25"/>
        <v>44010,614,0.013951374687571,1,0,46,186,36,234,86,72,48,6,10,2,6,9,0,0,0,0,0,0,0,40,36-50,2783,0,0,0,1,0,0,1,0,0,566,42066</v>
      </c>
    </row>
    <row r="775" spans="1:40" ht="13" hidden="1" x14ac:dyDescent="0.15">
      <c r="A775">
        <v>109</v>
      </c>
      <c r="B775" s="1">
        <v>56129</v>
      </c>
      <c r="C775" s="1">
        <v>612</v>
      </c>
      <c r="D775" s="4">
        <f t="shared" si="24"/>
        <v>1.0903454542215254E-2</v>
      </c>
      <c r="E775" s="1">
        <v>0</v>
      </c>
      <c r="F775" s="1">
        <v>1</v>
      </c>
      <c r="G775" s="1">
        <v>65</v>
      </c>
      <c r="H775" s="1">
        <v>320</v>
      </c>
      <c r="I775" s="1">
        <v>48</v>
      </c>
      <c r="J775" s="1">
        <v>133</v>
      </c>
      <c r="K775" s="1">
        <v>39</v>
      </c>
      <c r="L775" s="1">
        <v>72</v>
      </c>
      <c r="M775" s="1">
        <v>48</v>
      </c>
      <c r="N775" s="1">
        <v>4</v>
      </c>
      <c r="O775" s="1">
        <v>6</v>
      </c>
      <c r="P775" s="1">
        <v>2</v>
      </c>
      <c r="Q775" s="1">
        <v>10</v>
      </c>
      <c r="R775" s="1">
        <v>4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67</v>
      </c>
      <c r="AA775" s="1" t="str" cm="1">
        <f t="array" ref="AA775">_xlfn.IFS(AND(Z775&lt;36, Z775&gt;23), "24-35", AND(Z775&lt;51, Z775&gt;35),"36-50", AND(Z775&lt;66, Z775&gt;50), "51-66", Z775&gt;65, "66+", TRUE, "?")</f>
        <v>66+</v>
      </c>
      <c r="AB775" s="1">
        <v>2533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0</v>
      </c>
      <c r="AJ775" s="1">
        <v>1</v>
      </c>
      <c r="AK775" s="1">
        <v>0</v>
      </c>
      <c r="AL775" s="1">
        <v>564</v>
      </c>
      <c r="AM775" s="2">
        <v>42316</v>
      </c>
      <c r="AN775" t="str">
        <f t="shared" si="25"/>
        <v>56129,612,0.0109034545422153,0,1,65,320,48,133,39,72,48,4,6,2,10,4,0,0,0,0,0,0,0,67,66+,2533,0,0,0,1,0,0,0,1,0,564,42316</v>
      </c>
    </row>
    <row r="776" spans="1:40" ht="13" hidden="1" x14ac:dyDescent="0.15">
      <c r="A776">
        <v>1431</v>
      </c>
      <c r="B776" s="1">
        <v>66033</v>
      </c>
      <c r="C776" s="1">
        <v>612</v>
      </c>
      <c r="D776" s="4">
        <f t="shared" si="24"/>
        <v>9.2680932261142157E-3</v>
      </c>
      <c r="E776" s="1">
        <v>0</v>
      </c>
      <c r="F776" s="1">
        <v>1</v>
      </c>
      <c r="G776" s="1">
        <v>76</v>
      </c>
      <c r="H776" s="1">
        <v>293</v>
      </c>
      <c r="I776" s="1">
        <v>35</v>
      </c>
      <c r="J776" s="1">
        <v>179</v>
      </c>
      <c r="K776" s="1">
        <v>46</v>
      </c>
      <c r="L776" s="1">
        <v>59</v>
      </c>
      <c r="M776" s="1">
        <v>65</v>
      </c>
      <c r="N776" s="1">
        <v>2</v>
      </c>
      <c r="O776" s="1">
        <v>8</v>
      </c>
      <c r="P776" s="1">
        <v>3</v>
      </c>
      <c r="Q776" s="1">
        <v>7</v>
      </c>
      <c r="R776" s="1">
        <v>7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63</v>
      </c>
      <c r="AA776" s="1" t="str" cm="1">
        <f t="array" ref="AA776">_xlfn.IFS(AND(Z776&lt;36, Z776&gt;23), "24-35", AND(Z776&lt;51, Z776&gt;35),"36-50", AND(Z776&lt;66, Z776&gt;50), "51-66", Z776&gt;65, "66+", TRUE, "?")</f>
        <v>51-66</v>
      </c>
      <c r="AB776" s="1">
        <v>2684</v>
      </c>
      <c r="AC776" s="1">
        <v>0</v>
      </c>
      <c r="AD776" s="1">
        <v>0</v>
      </c>
      <c r="AE776" s="1">
        <v>0</v>
      </c>
      <c r="AF776" s="1">
        <v>0</v>
      </c>
      <c r="AG776" s="1">
        <v>1</v>
      </c>
      <c r="AH776" s="1">
        <v>0</v>
      </c>
      <c r="AI776" s="1">
        <v>1</v>
      </c>
      <c r="AJ776" s="1">
        <v>0</v>
      </c>
      <c r="AK776" s="1">
        <v>0</v>
      </c>
      <c r="AL776" s="1">
        <v>547</v>
      </c>
      <c r="AM776" s="2">
        <v>42165</v>
      </c>
      <c r="AN776" t="str">
        <f t="shared" si="25"/>
        <v>66033,612,0.00926809322611422,0,1,76,293,35,179,46,59,65,2,8,3,7,7,0,0,0,0,0,0,0,63,51-66,2684,0,0,0,0,1,0,1,0,0,547,42165</v>
      </c>
    </row>
    <row r="777" spans="1:40" ht="13" hidden="1" x14ac:dyDescent="0.15">
      <c r="A777">
        <v>631</v>
      </c>
      <c r="B777" s="1">
        <v>77353</v>
      </c>
      <c r="C777" s="1">
        <v>611</v>
      </c>
      <c r="D777" s="4">
        <f t="shared" si="24"/>
        <v>7.8988533088567986E-3</v>
      </c>
      <c r="E777" s="1">
        <v>0</v>
      </c>
      <c r="F777" s="1">
        <v>1</v>
      </c>
      <c r="G777" s="1">
        <v>38</v>
      </c>
      <c r="H777" s="1">
        <v>275</v>
      </c>
      <c r="I777" s="1">
        <v>59</v>
      </c>
      <c r="J777" s="1">
        <v>107</v>
      </c>
      <c r="K777" s="1">
        <v>69</v>
      </c>
      <c r="L777" s="1">
        <v>101</v>
      </c>
      <c r="M777" s="1">
        <v>59</v>
      </c>
      <c r="N777" s="1">
        <v>2</v>
      </c>
      <c r="O777" s="1">
        <v>6</v>
      </c>
      <c r="P777" s="1">
        <v>4</v>
      </c>
      <c r="Q777" s="1">
        <v>8</v>
      </c>
      <c r="R777" s="1">
        <v>4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40</v>
      </c>
      <c r="AA777" s="1" t="str" cm="1">
        <f t="array" ref="AA777">_xlfn.IFS(AND(Z777&lt;36, Z777&gt;23), "24-35", AND(Z777&lt;51, Z777&gt;35),"36-50", AND(Z777&lt;66, Z777&gt;50), "51-66", Z777&gt;65, "66+", TRUE, "?")</f>
        <v>36-50</v>
      </c>
      <c r="AB777" s="1">
        <v>2354</v>
      </c>
      <c r="AC777" s="1">
        <v>0</v>
      </c>
      <c r="AD777" s="1">
        <v>1</v>
      </c>
      <c r="AE777" s="1">
        <v>0</v>
      </c>
      <c r="AF777" s="1">
        <v>0</v>
      </c>
      <c r="AG777" s="1">
        <v>0</v>
      </c>
      <c r="AH777" s="1">
        <v>0</v>
      </c>
      <c r="AI777" s="1">
        <v>1</v>
      </c>
      <c r="AJ777" s="1">
        <v>0</v>
      </c>
      <c r="AK777" s="1">
        <v>0</v>
      </c>
      <c r="AL777" s="1">
        <v>552</v>
      </c>
      <c r="AM777" s="2">
        <v>42495</v>
      </c>
      <c r="AN777" t="str">
        <f t="shared" si="25"/>
        <v>77353,611,0.0078988533088568,0,1,38,275,59,107,69,101,59,2,6,4,8,4,0,0,0,0,0,0,0,40,36-50,2354,0,1,0,0,0,0,1,0,0,552,42495</v>
      </c>
    </row>
    <row r="778" spans="1:40" ht="13" hidden="1" x14ac:dyDescent="0.15">
      <c r="A778">
        <v>642</v>
      </c>
      <c r="B778" s="1">
        <v>66476</v>
      </c>
      <c r="C778" s="1">
        <v>611</v>
      </c>
      <c r="D778" s="4">
        <f t="shared" si="24"/>
        <v>9.1912870810518087E-3</v>
      </c>
      <c r="E778" s="1">
        <v>0</v>
      </c>
      <c r="F778" s="1">
        <v>1</v>
      </c>
      <c r="G778" s="1">
        <v>99</v>
      </c>
      <c r="H778" s="1">
        <v>372</v>
      </c>
      <c r="I778" s="1">
        <v>18</v>
      </c>
      <c r="J778" s="1">
        <v>126</v>
      </c>
      <c r="K778" s="1">
        <v>47</v>
      </c>
      <c r="L778" s="1">
        <v>48</v>
      </c>
      <c r="M778" s="1">
        <v>78</v>
      </c>
      <c r="N778" s="1">
        <v>2</v>
      </c>
      <c r="O778" s="1">
        <v>5</v>
      </c>
      <c r="P778" s="1">
        <v>2</v>
      </c>
      <c r="Q778" s="1">
        <v>11</v>
      </c>
      <c r="R778" s="1">
        <v>4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44</v>
      </c>
      <c r="AA778" s="1" t="str" cm="1">
        <f t="array" ref="AA778">_xlfn.IFS(AND(Z778&lt;36, Z778&gt;23), "24-35", AND(Z778&lt;51, Z778&gt;35),"36-50", AND(Z778&lt;66, Z778&gt;50), "51-66", Z778&gt;65, "66+", TRUE, "?")</f>
        <v>36-50</v>
      </c>
      <c r="AB778" s="1">
        <v>2638</v>
      </c>
      <c r="AC778" s="1">
        <v>1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1</v>
      </c>
      <c r="AL778" s="1">
        <v>533</v>
      </c>
      <c r="AM778" s="2">
        <v>42211</v>
      </c>
      <c r="AN778" t="str">
        <f t="shared" si="25"/>
        <v>66476,611,0.00919128708105181,0,1,99,372,18,126,47,48,78,2,5,2,11,4,0,0,0,0,0,0,0,44,36-50,2638,1,0,0,0,0,0,0,0,1,533,42211</v>
      </c>
    </row>
    <row r="779" spans="1:40" ht="13" hidden="1" x14ac:dyDescent="0.15">
      <c r="A779">
        <v>900</v>
      </c>
      <c r="B779" s="1">
        <v>53700</v>
      </c>
      <c r="C779" s="1">
        <v>611</v>
      </c>
      <c r="D779" s="4">
        <f t="shared" si="24"/>
        <v>1.13780260707635E-2</v>
      </c>
      <c r="E779" s="1">
        <v>0</v>
      </c>
      <c r="F779" s="1">
        <v>1</v>
      </c>
      <c r="G779" s="1">
        <v>94</v>
      </c>
      <c r="H779" s="1">
        <v>263</v>
      </c>
      <c r="I779" s="1">
        <v>5</v>
      </c>
      <c r="J779" s="1">
        <v>233</v>
      </c>
      <c r="K779" s="1">
        <v>69</v>
      </c>
      <c r="L779" s="1">
        <v>41</v>
      </c>
      <c r="M779" s="1">
        <v>83</v>
      </c>
      <c r="N779" s="1">
        <v>4</v>
      </c>
      <c r="O779" s="1">
        <v>5</v>
      </c>
      <c r="P779" s="1">
        <v>5</v>
      </c>
      <c r="Q779" s="1">
        <v>8</v>
      </c>
      <c r="R779" s="1">
        <v>5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68</v>
      </c>
      <c r="AA779" s="1" t="str" cm="1">
        <f t="array" ref="AA779">_xlfn.IFS(AND(Z779&lt;36, Z779&gt;23), "24-35", AND(Z779&lt;51, Z779&gt;35),"36-50", AND(Z779&lt;66, Z779&gt;50), "51-66", Z779&gt;65, "66+", TRUE, "?")</f>
        <v>66+</v>
      </c>
      <c r="AB779" s="1">
        <v>2840</v>
      </c>
      <c r="AC779" s="1">
        <v>0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  <c r="AI779" s="1">
        <v>1</v>
      </c>
      <c r="AJ779" s="1">
        <v>0</v>
      </c>
      <c r="AK779" s="1">
        <v>0</v>
      </c>
      <c r="AL779" s="1">
        <v>528</v>
      </c>
      <c r="AM779" s="2">
        <v>42009</v>
      </c>
      <c r="AN779" t="str">
        <f t="shared" si="25"/>
        <v>53700,611,0.0113780260707635,0,1,94,263,5,233,69,41,83,4,5,5,8,5,0,0,0,0,0,0,0,68,66+,2840,0,0,1,0,0,0,1,0,0,528,42009</v>
      </c>
    </row>
    <row r="780" spans="1:40" ht="13" hidden="1" x14ac:dyDescent="0.15">
      <c r="A780">
        <v>513</v>
      </c>
      <c r="B780" s="1">
        <v>54058</v>
      </c>
      <c r="C780" s="1">
        <v>608</v>
      </c>
      <c r="D780" s="4">
        <f t="shared" si="24"/>
        <v>1.1247178955936217E-2</v>
      </c>
      <c r="E780" s="1">
        <v>0</v>
      </c>
      <c r="F780" s="1">
        <v>1</v>
      </c>
      <c r="G780" s="1">
        <v>56</v>
      </c>
      <c r="H780" s="1">
        <v>198</v>
      </c>
      <c r="I780" s="1">
        <v>18</v>
      </c>
      <c r="J780" s="1">
        <v>252</v>
      </c>
      <c r="K780" s="1">
        <v>32</v>
      </c>
      <c r="L780" s="1">
        <v>108</v>
      </c>
      <c r="M780" s="1">
        <v>54</v>
      </c>
      <c r="N780" s="1">
        <v>2</v>
      </c>
      <c r="O780" s="1">
        <v>4</v>
      </c>
      <c r="P780" s="1">
        <v>6</v>
      </c>
      <c r="Q780" s="1">
        <v>8</v>
      </c>
      <c r="R780" s="1">
        <v>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44</v>
      </c>
      <c r="AA780" s="1" t="str" cm="1">
        <f t="array" ref="AA780">_xlfn.IFS(AND(Z780&lt;36, Z780&gt;23), "24-35", AND(Z780&lt;51, Z780&gt;35),"36-50", AND(Z780&lt;66, Z780&gt;50), "51-66", Z780&gt;65, "66+", TRUE, "?")</f>
        <v>36-50</v>
      </c>
      <c r="AB780" s="1">
        <v>2549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</v>
      </c>
      <c r="AJ780" s="1">
        <v>0</v>
      </c>
      <c r="AK780" s="1">
        <v>0</v>
      </c>
      <c r="AL780" s="1">
        <v>554</v>
      </c>
      <c r="AM780" s="2">
        <v>42300</v>
      </c>
      <c r="AN780" t="str">
        <f t="shared" si="25"/>
        <v>54058,608,0.0112471789559362,0,1,56,198,18,252,32,108,54,2,4,6,8,3,0,0,0,0,0,0,0,44,36-50,2549,0,0,0,1,0,0,1,0,0,554,42300</v>
      </c>
    </row>
    <row r="781" spans="1:40" ht="13" hidden="1" x14ac:dyDescent="0.15">
      <c r="A781">
        <v>1356</v>
      </c>
      <c r="B781" s="1">
        <v>57957</v>
      </c>
      <c r="C781" s="1">
        <v>608</v>
      </c>
      <c r="D781" s="4">
        <f t="shared" si="24"/>
        <v>1.0490536087099055E-2</v>
      </c>
      <c r="E781" s="1">
        <v>0</v>
      </c>
      <c r="F781" s="1">
        <v>1</v>
      </c>
      <c r="G781" s="1">
        <v>24</v>
      </c>
      <c r="H781" s="1">
        <v>290</v>
      </c>
      <c r="I781" s="1">
        <v>59</v>
      </c>
      <c r="J781" s="1">
        <v>177</v>
      </c>
      <c r="K781" s="1">
        <v>77</v>
      </c>
      <c r="L781" s="1">
        <v>5</v>
      </c>
      <c r="M781" s="1">
        <v>29</v>
      </c>
      <c r="N781" s="1">
        <v>7</v>
      </c>
      <c r="O781" s="1">
        <v>4</v>
      </c>
      <c r="P781" s="1">
        <v>6</v>
      </c>
      <c r="Q781" s="1">
        <v>8</v>
      </c>
      <c r="R781" s="1">
        <v>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1</v>
      </c>
      <c r="Y781" s="1">
        <v>0</v>
      </c>
      <c r="Z781" s="1">
        <v>61</v>
      </c>
      <c r="AA781" s="1" t="str" cm="1">
        <f t="array" ref="AA781">_xlfn.IFS(AND(Z781&lt;36, Z781&gt;23), "24-35", AND(Z781&lt;51, Z781&gt;35),"36-50", AND(Z781&lt;66, Z781&gt;50), "51-66", Z781&gt;65, "66+", TRUE, "?")</f>
        <v>51-66</v>
      </c>
      <c r="AB781" s="1">
        <v>2473</v>
      </c>
      <c r="AC781" s="1">
        <v>0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  <c r="AI781" s="1">
        <v>1</v>
      </c>
      <c r="AJ781" s="1">
        <v>0</v>
      </c>
      <c r="AK781" s="1">
        <v>0</v>
      </c>
      <c r="AL781" s="1">
        <v>579</v>
      </c>
      <c r="AM781" s="2">
        <v>42376</v>
      </c>
      <c r="AN781" t="str">
        <f t="shared" si="25"/>
        <v>57957,608,0.0104905360870991,0,1,24,290,59,177,77,5,29,7,4,6,8,3,0,0,0,0,0,1,0,61,51-66,2473,0,0,0,1,0,0,1,0,0,579,42376</v>
      </c>
    </row>
    <row r="782" spans="1:40" ht="13" hidden="1" x14ac:dyDescent="0.15">
      <c r="A782">
        <v>654</v>
      </c>
      <c r="B782" s="1">
        <v>45938</v>
      </c>
      <c r="C782" s="1">
        <v>607</v>
      </c>
      <c r="D782" s="4">
        <f t="shared" si="24"/>
        <v>1.3213461622186425E-2</v>
      </c>
      <c r="E782" s="1">
        <v>0</v>
      </c>
      <c r="F782" s="1">
        <v>0</v>
      </c>
      <c r="G782" s="1">
        <v>46</v>
      </c>
      <c r="H782" s="1">
        <v>273</v>
      </c>
      <c r="I782" s="1">
        <v>11</v>
      </c>
      <c r="J782" s="1">
        <v>178</v>
      </c>
      <c r="K782" s="1">
        <v>62</v>
      </c>
      <c r="L782" s="1">
        <v>83</v>
      </c>
      <c r="M782" s="1">
        <v>29</v>
      </c>
      <c r="N782" s="1">
        <v>2</v>
      </c>
      <c r="O782" s="1">
        <v>8</v>
      </c>
      <c r="P782" s="1">
        <v>4</v>
      </c>
      <c r="Q782" s="1">
        <v>6</v>
      </c>
      <c r="R782" s="1">
        <v>6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59</v>
      </c>
      <c r="AA782" s="1" t="str" cm="1">
        <f t="array" ref="AA782">_xlfn.IFS(AND(Z782&lt;36, Z782&gt;23), "24-35", AND(Z782&lt;51, Z782&gt;35),"36-50", AND(Z782&lt;66, Z782&gt;50), "51-66", Z782&gt;65, "66+", TRUE, "?")</f>
        <v>51-66</v>
      </c>
      <c r="AB782" s="1">
        <v>2397</v>
      </c>
      <c r="AC782" s="1">
        <v>0</v>
      </c>
      <c r="AD782" s="1">
        <v>0</v>
      </c>
      <c r="AE782" s="1">
        <v>1</v>
      </c>
      <c r="AF782" s="1">
        <v>0</v>
      </c>
      <c r="AG782" s="1">
        <v>0</v>
      </c>
      <c r="AH782" s="1">
        <v>0</v>
      </c>
      <c r="AI782" s="1">
        <v>1</v>
      </c>
      <c r="AJ782" s="1">
        <v>0</v>
      </c>
      <c r="AK782" s="1">
        <v>0</v>
      </c>
      <c r="AL782" s="1">
        <v>578</v>
      </c>
      <c r="AM782" s="2">
        <v>42452</v>
      </c>
      <c r="AN782" t="str">
        <f t="shared" si="25"/>
        <v>45938,607,0.0132134616221864,0,0,46,273,11,178,62,83,29,2,8,4,6,6,0,0,0,0,0,0,0,59,51-66,2397,0,0,1,0,0,0,1,0,0,578,42452</v>
      </c>
    </row>
    <row r="783" spans="1:40" ht="13" hidden="1" x14ac:dyDescent="0.15">
      <c r="A783">
        <v>662</v>
      </c>
      <c r="B783" s="1">
        <v>43185</v>
      </c>
      <c r="C783" s="1">
        <v>607</v>
      </c>
      <c r="D783" s="4">
        <f t="shared" si="24"/>
        <v>1.4055806414264212E-2</v>
      </c>
      <c r="E783" s="1">
        <v>0</v>
      </c>
      <c r="F783" s="1">
        <v>1</v>
      </c>
      <c r="G783" s="1">
        <v>88</v>
      </c>
      <c r="H783" s="1">
        <v>537</v>
      </c>
      <c r="I783" s="1">
        <v>6</v>
      </c>
      <c r="J783" s="1">
        <v>42</v>
      </c>
      <c r="K783" s="1">
        <v>16</v>
      </c>
      <c r="L783" s="1">
        <v>6</v>
      </c>
      <c r="M783" s="1">
        <v>30</v>
      </c>
      <c r="N783" s="1">
        <v>2</v>
      </c>
      <c r="O783" s="1">
        <v>9</v>
      </c>
      <c r="P783" s="1">
        <v>3</v>
      </c>
      <c r="Q783" s="1">
        <v>6</v>
      </c>
      <c r="R783" s="1">
        <v>8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69</v>
      </c>
      <c r="AA783" s="1" t="str" cm="1">
        <f t="array" ref="AA783">_xlfn.IFS(AND(Z783&lt;36, Z783&gt;23), "24-35", AND(Z783&lt;51, Z783&gt;35),"36-50", AND(Z783&lt;66, Z783&gt;50), "51-66", Z783&gt;65, "66+", TRUE, "?")</f>
        <v>66+</v>
      </c>
      <c r="AB783" s="1">
        <v>2604</v>
      </c>
      <c r="AC783" s="1">
        <v>1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1</v>
      </c>
      <c r="AJ783" s="1">
        <v>0</v>
      </c>
      <c r="AK783" s="1">
        <v>0</v>
      </c>
      <c r="AL783" s="1">
        <v>577</v>
      </c>
      <c r="AM783" s="2">
        <v>42245</v>
      </c>
      <c r="AN783" t="str">
        <f t="shared" si="25"/>
        <v>43185,607,0.0140558064142642,0,1,88,537,6,42,16,6,30,2,9,3,6,8,0,0,0,0,0,0,0,69,66+,2604,1,0,0,0,0,0,1,0,0,577,42245</v>
      </c>
    </row>
    <row r="784" spans="1:40" ht="13" hidden="1" x14ac:dyDescent="0.15">
      <c r="A784">
        <v>56</v>
      </c>
      <c r="B784" s="1">
        <v>66653</v>
      </c>
      <c r="C784" s="1">
        <v>606</v>
      </c>
      <c r="D784" s="4">
        <f t="shared" si="24"/>
        <v>9.0918638320855779E-3</v>
      </c>
      <c r="E784" s="1">
        <v>1</v>
      </c>
      <c r="F784" s="1">
        <v>1</v>
      </c>
      <c r="G784" s="1">
        <v>18</v>
      </c>
      <c r="H784" s="1">
        <v>452</v>
      </c>
      <c r="I784" s="1">
        <v>18</v>
      </c>
      <c r="J784" s="1">
        <v>102</v>
      </c>
      <c r="K784" s="1">
        <v>16</v>
      </c>
      <c r="L784" s="1">
        <v>18</v>
      </c>
      <c r="M784" s="1">
        <v>6</v>
      </c>
      <c r="N784" s="1">
        <v>4</v>
      </c>
      <c r="O784" s="1">
        <v>4</v>
      </c>
      <c r="P784" s="1">
        <v>2</v>
      </c>
      <c r="Q784" s="1">
        <v>12</v>
      </c>
      <c r="R784" s="1">
        <v>3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45</v>
      </c>
      <c r="AA784" s="1" t="str" cm="1">
        <f t="array" ref="AA784">_xlfn.IFS(AND(Z784&lt;36, Z784&gt;23), "24-35", AND(Z784&lt;51, Z784&gt;35),"36-50", AND(Z784&lt;66, Z784&gt;50), "51-66", Z784&gt;65, "66+", TRUE, "?")</f>
        <v>36-50</v>
      </c>
      <c r="AB784" s="1">
        <v>2819</v>
      </c>
      <c r="AC784" s="1">
        <v>0</v>
      </c>
      <c r="AD784" s="1">
        <v>0</v>
      </c>
      <c r="AE784" s="1">
        <v>0</v>
      </c>
      <c r="AF784" s="1">
        <v>1</v>
      </c>
      <c r="AG784" s="1">
        <v>0</v>
      </c>
      <c r="AH784" s="1">
        <v>0</v>
      </c>
      <c r="AI784" s="1">
        <v>1</v>
      </c>
      <c r="AJ784" s="1">
        <v>0</v>
      </c>
      <c r="AK784" s="1">
        <v>0</v>
      </c>
      <c r="AL784" s="1">
        <v>600</v>
      </c>
      <c r="AM784" s="2">
        <v>42030</v>
      </c>
      <c r="AN784" t="str">
        <f t="shared" si="25"/>
        <v>66653,606,0.00909186383208558,1,1,18,452,18,102,16,18,6,4,4,2,12,3,0,0,0,0,0,0,0,45,36-50,2819,0,0,0,1,0,0,1,0,0,600,42030</v>
      </c>
    </row>
    <row r="785" spans="1:40" ht="13" hidden="1" x14ac:dyDescent="0.15">
      <c r="A785">
        <v>715</v>
      </c>
      <c r="B785" s="1">
        <v>75127</v>
      </c>
      <c r="C785" s="1">
        <v>606</v>
      </c>
      <c r="D785" s="4">
        <f t="shared" si="24"/>
        <v>8.0663409959135859E-3</v>
      </c>
      <c r="E785" s="1">
        <v>0</v>
      </c>
      <c r="F785" s="1">
        <v>0</v>
      </c>
      <c r="G785" s="1">
        <v>92</v>
      </c>
      <c r="H785" s="1">
        <v>203</v>
      </c>
      <c r="I785" s="1">
        <v>35</v>
      </c>
      <c r="J785" s="1">
        <v>305</v>
      </c>
      <c r="K785" s="1">
        <v>46</v>
      </c>
      <c r="L785" s="1">
        <v>17</v>
      </c>
      <c r="M785" s="1">
        <v>227</v>
      </c>
      <c r="N785" s="1">
        <v>1</v>
      </c>
      <c r="O785" s="1">
        <v>2</v>
      </c>
      <c r="P785" s="1">
        <v>11</v>
      </c>
      <c r="Q785" s="1">
        <v>5</v>
      </c>
      <c r="R785" s="1">
        <v>1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68</v>
      </c>
      <c r="AA785" s="1" t="str" cm="1">
        <f t="array" ref="AA785">_xlfn.IFS(AND(Z785&lt;36, Z785&gt;23), "24-35", AND(Z785&lt;51, Z785&gt;35),"36-50", AND(Z785&lt;66, Z785&gt;50), "51-66", Z785&gt;65, "66+", TRUE, "?")</f>
        <v>66+</v>
      </c>
      <c r="AB785" s="1">
        <v>2197</v>
      </c>
      <c r="AC785" s="1">
        <v>0</v>
      </c>
      <c r="AD785" s="1">
        <v>0</v>
      </c>
      <c r="AE785" s="1">
        <v>1</v>
      </c>
      <c r="AF785" s="1">
        <v>0</v>
      </c>
      <c r="AG785" s="1">
        <v>0</v>
      </c>
      <c r="AH785" s="1">
        <v>0</v>
      </c>
      <c r="AI785" s="1">
        <v>1</v>
      </c>
      <c r="AJ785" s="1">
        <v>0</v>
      </c>
      <c r="AK785" s="1">
        <v>0</v>
      </c>
      <c r="AL785" s="1">
        <v>379</v>
      </c>
      <c r="AM785" s="2">
        <v>42652</v>
      </c>
      <c r="AN785" t="str">
        <f t="shared" si="25"/>
        <v>75127,606,0.00806634099591359,0,0,92,203,35,305,46,17,227,1,2,11,5,1,0,0,0,0,0,0,0,68,66+,2197,0,0,1,0,0,0,1,0,0,379,42652</v>
      </c>
    </row>
    <row r="786" spans="1:40" ht="13" hidden="1" x14ac:dyDescent="0.15">
      <c r="A786">
        <v>1051</v>
      </c>
      <c r="B786" s="1">
        <v>47025</v>
      </c>
      <c r="C786" s="1">
        <v>606</v>
      </c>
      <c r="D786" s="4">
        <f t="shared" si="24"/>
        <v>1.2886762360446571E-2</v>
      </c>
      <c r="E786" s="1">
        <v>0</v>
      </c>
      <c r="F786" s="1">
        <v>1</v>
      </c>
      <c r="G786" s="1">
        <v>98</v>
      </c>
      <c r="H786" s="1">
        <v>508</v>
      </c>
      <c r="I786" s="1">
        <v>11</v>
      </c>
      <c r="J786" s="1">
        <v>59</v>
      </c>
      <c r="K786" s="1">
        <v>23</v>
      </c>
      <c r="L786" s="1">
        <v>5</v>
      </c>
      <c r="M786" s="1">
        <v>29</v>
      </c>
      <c r="N786" s="1">
        <v>5</v>
      </c>
      <c r="O786" s="1">
        <v>11</v>
      </c>
      <c r="P786" s="1">
        <v>1</v>
      </c>
      <c r="Q786" s="1">
        <v>6</v>
      </c>
      <c r="R786" s="1">
        <v>9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42</v>
      </c>
      <c r="AA786" s="1" t="str" cm="1">
        <f t="array" ref="AA786">_xlfn.IFS(AND(Z786&lt;36, Z786&gt;23), "24-35", AND(Z786&lt;51, Z786&gt;35),"36-50", AND(Z786&lt;66, Z786&gt;50), "51-66", Z786&gt;65, "66+", TRUE, "?")</f>
        <v>36-50</v>
      </c>
      <c r="AB786" s="1">
        <v>2449</v>
      </c>
      <c r="AC786" s="1">
        <v>0</v>
      </c>
      <c r="AD786" s="1">
        <v>1</v>
      </c>
      <c r="AE786" s="1">
        <v>0</v>
      </c>
      <c r="AF786" s="1">
        <v>0</v>
      </c>
      <c r="AG786" s="1">
        <v>0</v>
      </c>
      <c r="AH786" s="1">
        <v>1</v>
      </c>
      <c r="AI786" s="1">
        <v>0</v>
      </c>
      <c r="AJ786" s="1">
        <v>0</v>
      </c>
      <c r="AK786" s="1">
        <v>0</v>
      </c>
      <c r="AL786" s="1">
        <v>577</v>
      </c>
      <c r="AM786" s="2">
        <v>42400</v>
      </c>
      <c r="AN786" t="str">
        <f t="shared" si="25"/>
        <v>47025,606,0.0128867623604466,0,1,98,508,11,59,23,5,29,5,11,1,6,9,0,0,0,0,0,0,0,42,36-50,2449,0,1,0,0,0,1,0,0,0,577,42400</v>
      </c>
    </row>
    <row r="787" spans="1:40" ht="13" hidden="1" x14ac:dyDescent="0.15">
      <c r="A787">
        <v>884</v>
      </c>
      <c r="B787" s="1">
        <v>56067</v>
      </c>
      <c r="C787" s="1">
        <v>605</v>
      </c>
      <c r="D787" s="4">
        <f t="shared" si="24"/>
        <v>1.0790661173239161E-2</v>
      </c>
      <c r="E787" s="1">
        <v>0</v>
      </c>
      <c r="F787" s="1">
        <v>1</v>
      </c>
      <c r="G787" s="1">
        <v>51</v>
      </c>
      <c r="H787" s="1">
        <v>517</v>
      </c>
      <c r="I787" s="1">
        <v>12</v>
      </c>
      <c r="J787" s="1">
        <v>54</v>
      </c>
      <c r="K787" s="1">
        <v>16</v>
      </c>
      <c r="L787" s="1">
        <v>6</v>
      </c>
      <c r="M787" s="1">
        <v>120</v>
      </c>
      <c r="N787" s="1">
        <v>2</v>
      </c>
      <c r="O787" s="1">
        <v>7</v>
      </c>
      <c r="P787" s="1">
        <v>4</v>
      </c>
      <c r="Q787" s="1">
        <v>7</v>
      </c>
      <c r="R787" s="1">
        <v>5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58</v>
      </c>
      <c r="AA787" s="1" t="str" cm="1">
        <f t="array" ref="AA787">_xlfn.IFS(AND(Z787&lt;36, Z787&gt;23), "24-35", AND(Z787&lt;51, Z787&gt;35),"36-50", AND(Z787&lt;66, Z787&gt;50), "51-66", Z787&gt;65, "66+", TRUE, "?")</f>
        <v>51-66</v>
      </c>
      <c r="AB787" s="1">
        <v>2503</v>
      </c>
      <c r="AC787" s="1">
        <v>0</v>
      </c>
      <c r="AD787" s="1">
        <v>0</v>
      </c>
      <c r="AE787" s="1">
        <v>0</v>
      </c>
      <c r="AF787" s="1">
        <v>1</v>
      </c>
      <c r="AG787" s="1">
        <v>0</v>
      </c>
      <c r="AH787" s="1">
        <v>0</v>
      </c>
      <c r="AI787" s="1">
        <v>0</v>
      </c>
      <c r="AJ787" s="1">
        <v>0</v>
      </c>
      <c r="AK787" s="1">
        <v>1</v>
      </c>
      <c r="AL787" s="1">
        <v>485</v>
      </c>
      <c r="AM787" s="2">
        <v>42346</v>
      </c>
      <c r="AN787" t="str">
        <f t="shared" si="25"/>
        <v>56067,605,0.0107906611732392,0,1,51,517,12,54,16,6,120,2,7,4,7,5,0,0,0,0,0,0,0,58,51-66,2503,0,0,0,1,0,0,0,0,1,485,42346</v>
      </c>
    </row>
    <row r="788" spans="1:40" ht="13" hidden="1" x14ac:dyDescent="0.15">
      <c r="A788">
        <v>1270</v>
      </c>
      <c r="B788" s="1">
        <v>62159</v>
      </c>
      <c r="C788" s="1">
        <v>605</v>
      </c>
      <c r="D788" s="4">
        <f t="shared" si="24"/>
        <v>9.7331038144114288E-3</v>
      </c>
      <c r="E788" s="1">
        <v>0</v>
      </c>
      <c r="F788" s="1">
        <v>0</v>
      </c>
      <c r="G788" s="1">
        <v>68</v>
      </c>
      <c r="H788" s="1">
        <v>182</v>
      </c>
      <c r="I788" s="1">
        <v>17</v>
      </c>
      <c r="J788" s="1">
        <v>259</v>
      </c>
      <c r="K788" s="1">
        <v>77</v>
      </c>
      <c r="L788" s="1">
        <v>70</v>
      </c>
      <c r="M788" s="1">
        <v>29</v>
      </c>
      <c r="N788" s="1">
        <v>1</v>
      </c>
      <c r="O788" s="1">
        <v>6</v>
      </c>
      <c r="P788" s="1">
        <v>2</v>
      </c>
      <c r="Q788" s="1">
        <v>10</v>
      </c>
      <c r="R788" s="1">
        <v>4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74</v>
      </c>
      <c r="AA788" s="1" t="str" cm="1">
        <f t="array" ref="AA788">_xlfn.IFS(AND(Z788&lt;36, Z788&gt;23), "24-35", AND(Z788&lt;51, Z788&gt;35),"36-50", AND(Z788&lt;66, Z788&gt;50), "51-66", Z788&gt;65, "66+", TRUE, "?")</f>
        <v>66+</v>
      </c>
      <c r="AB788" s="1">
        <v>2221</v>
      </c>
      <c r="AC788" s="1">
        <v>0</v>
      </c>
      <c r="AD788" s="1">
        <v>0</v>
      </c>
      <c r="AE788" s="1">
        <v>1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1</v>
      </c>
      <c r="AL788" s="1">
        <v>576</v>
      </c>
      <c r="AM788" s="2">
        <v>42628</v>
      </c>
      <c r="AN788" t="str">
        <f t="shared" si="25"/>
        <v>62159,605,0.00973310381441143,0,0,68,182,17,259,77,70,29,1,6,2,10,4,0,0,0,0,0,0,0,74,66+,2221,0,0,1,0,0,0,0,0,1,576,42628</v>
      </c>
    </row>
    <row r="789" spans="1:40" ht="13" hidden="1" x14ac:dyDescent="0.15">
      <c r="A789">
        <v>1610</v>
      </c>
      <c r="B789" s="1">
        <v>77981</v>
      </c>
      <c r="C789" s="1">
        <v>604</v>
      </c>
      <c r="D789" s="4">
        <f t="shared" si="24"/>
        <v>7.7454764622151553E-3</v>
      </c>
      <c r="E789" s="1">
        <v>1</v>
      </c>
      <c r="F789" s="1">
        <v>0</v>
      </c>
      <c r="G789" s="1">
        <v>78</v>
      </c>
      <c r="H789" s="1">
        <v>138</v>
      </c>
      <c r="I789" s="1">
        <v>120</v>
      </c>
      <c r="J789" s="1">
        <v>204</v>
      </c>
      <c r="K789" s="1">
        <v>16</v>
      </c>
      <c r="L789" s="1">
        <v>126</v>
      </c>
      <c r="M789" s="1">
        <v>60</v>
      </c>
      <c r="N789" s="1">
        <v>3</v>
      </c>
      <c r="O789" s="1">
        <v>7</v>
      </c>
      <c r="P789" s="1">
        <v>4</v>
      </c>
      <c r="Q789" s="1">
        <v>7</v>
      </c>
      <c r="R789" s="1">
        <v>5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48</v>
      </c>
      <c r="AA789" s="1" t="str" cm="1">
        <f t="array" ref="AA789">_xlfn.IFS(AND(Z789&lt;36, Z789&gt;23), "24-35", AND(Z789&lt;51, Z789&gt;35),"36-50", AND(Z789&lt;66, Z789&gt;50), "51-66", Z789&gt;65, "66+", TRUE, "?")</f>
        <v>36-50</v>
      </c>
      <c r="AB789" s="1">
        <v>2558</v>
      </c>
      <c r="AC789" s="1">
        <v>0</v>
      </c>
      <c r="AD789" s="1">
        <v>1</v>
      </c>
      <c r="AE789" s="1">
        <v>0</v>
      </c>
      <c r="AF789" s="1">
        <v>0</v>
      </c>
      <c r="AG789" s="1">
        <v>0</v>
      </c>
      <c r="AH789" s="1">
        <v>0</v>
      </c>
      <c r="AI789" s="1">
        <v>1</v>
      </c>
      <c r="AJ789" s="1">
        <v>0</v>
      </c>
      <c r="AK789" s="1">
        <v>0</v>
      </c>
      <c r="AL789" s="1">
        <v>544</v>
      </c>
      <c r="AM789" s="2">
        <v>42291</v>
      </c>
      <c r="AN789" t="str">
        <f t="shared" si="25"/>
        <v>77981,604,0.00774547646221516,1,0,78,138,120,204,16,126,60,3,7,4,7,5,0,0,0,0,0,0,0,48,36-50,2558,0,1,0,0,0,0,1,0,0,544,42291</v>
      </c>
    </row>
    <row r="790" spans="1:40" ht="13" hidden="1" x14ac:dyDescent="0.15">
      <c r="A790">
        <v>296</v>
      </c>
      <c r="B790" s="1">
        <v>64795</v>
      </c>
      <c r="C790" s="1">
        <v>603</v>
      </c>
      <c r="D790" s="4">
        <f t="shared" si="24"/>
        <v>9.3062736322247087E-3</v>
      </c>
      <c r="E790" s="1">
        <v>0</v>
      </c>
      <c r="F790" s="1">
        <v>1</v>
      </c>
      <c r="G790" s="1">
        <v>23</v>
      </c>
      <c r="H790" s="1">
        <v>412</v>
      </c>
      <c r="I790" s="1">
        <v>5</v>
      </c>
      <c r="J790" s="1">
        <v>119</v>
      </c>
      <c r="K790" s="1">
        <v>38</v>
      </c>
      <c r="L790" s="1">
        <v>29</v>
      </c>
      <c r="M790" s="1">
        <v>77</v>
      </c>
      <c r="N790" s="1">
        <v>3</v>
      </c>
      <c r="O790" s="1">
        <v>3</v>
      </c>
      <c r="P790" s="1">
        <v>3</v>
      </c>
      <c r="Q790" s="1">
        <v>12</v>
      </c>
      <c r="R790" s="1">
        <v>2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49</v>
      </c>
      <c r="AA790" s="1" t="str" cm="1">
        <f t="array" ref="AA790">_xlfn.IFS(AND(Z790&lt;36, Z790&gt;23), "24-35", AND(Z790&lt;51, Z790&gt;35),"36-50", AND(Z790&lt;66, Z790&gt;50), "51-66", Z790&gt;65, "66+", TRUE, "?")</f>
        <v>36-50</v>
      </c>
      <c r="AB790" s="1">
        <v>2687</v>
      </c>
      <c r="AC790" s="1">
        <v>0</v>
      </c>
      <c r="AD790" s="1">
        <v>1</v>
      </c>
      <c r="AE790" s="1">
        <v>0</v>
      </c>
      <c r="AF790" s="1">
        <v>0</v>
      </c>
      <c r="AG790" s="1">
        <v>0</v>
      </c>
      <c r="AH790" s="1">
        <v>0</v>
      </c>
      <c r="AI790" s="1">
        <v>1</v>
      </c>
      <c r="AJ790" s="1">
        <v>0</v>
      </c>
      <c r="AK790" s="1">
        <v>0</v>
      </c>
      <c r="AL790" s="1">
        <v>526</v>
      </c>
      <c r="AM790" s="2">
        <v>42162</v>
      </c>
      <c r="AN790" t="str">
        <f t="shared" si="25"/>
        <v>64795,603,0.00930627363222471,0,1,23,412,5,119,38,29,77,3,3,3,12,2,0,0,0,0,0,0,0,49,36-50,2687,0,1,0,0,0,0,1,0,0,526,42162</v>
      </c>
    </row>
    <row r="791" spans="1:40" ht="13" hidden="1" x14ac:dyDescent="0.15">
      <c r="A791">
        <v>58</v>
      </c>
      <c r="B791" s="1">
        <v>67680</v>
      </c>
      <c r="C791" s="1">
        <v>600</v>
      </c>
      <c r="D791" s="4">
        <f t="shared" si="24"/>
        <v>8.8652482269503553E-3</v>
      </c>
      <c r="E791" s="1">
        <v>0</v>
      </c>
      <c r="F791" s="1">
        <v>1</v>
      </c>
      <c r="G791" s="1">
        <v>8</v>
      </c>
      <c r="H791" s="1">
        <v>546</v>
      </c>
      <c r="I791" s="1">
        <v>0</v>
      </c>
      <c r="J791" s="1">
        <v>48</v>
      </c>
      <c r="K791" s="1">
        <v>0</v>
      </c>
      <c r="L791" s="1">
        <v>6</v>
      </c>
      <c r="M791" s="1">
        <v>6</v>
      </c>
      <c r="N791" s="1">
        <v>1</v>
      </c>
      <c r="O791" s="1">
        <v>7</v>
      </c>
      <c r="P791" s="1">
        <v>3</v>
      </c>
      <c r="Q791" s="1">
        <v>8</v>
      </c>
      <c r="R791" s="1">
        <v>5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69</v>
      </c>
      <c r="AA791" s="1" t="str" cm="1">
        <f t="array" ref="AA791">_xlfn.IFS(AND(Z791&lt;36, Z791&gt;23), "24-35", AND(Z791&lt;51, Z791&gt;35),"36-50", AND(Z791&lt;66, Z791&gt;50), "51-66", Z791&gt;65, "66+", TRUE, "?")</f>
        <v>66+</v>
      </c>
      <c r="AB791" s="1">
        <v>2542</v>
      </c>
      <c r="AC791" s="1">
        <v>0</v>
      </c>
      <c r="AD791" s="1">
        <v>0</v>
      </c>
      <c r="AE791" s="1">
        <v>0</v>
      </c>
      <c r="AF791" s="1">
        <v>0</v>
      </c>
      <c r="AG791" s="1">
        <v>1</v>
      </c>
      <c r="AH791" s="1">
        <v>0</v>
      </c>
      <c r="AI791" s="1">
        <v>0</v>
      </c>
      <c r="AJ791" s="1">
        <v>0</v>
      </c>
      <c r="AK791" s="1">
        <v>1</v>
      </c>
      <c r="AL791" s="1">
        <v>594</v>
      </c>
      <c r="AM791" s="2">
        <v>42307</v>
      </c>
      <c r="AN791" t="str">
        <f t="shared" si="25"/>
        <v>67680,600,0.00886524822695036,0,1,8,546,0,48,0,6,6,1,7,3,8,5,0,0,0,0,0,0,0,69,66+,2542,0,0,0,0,1,0,0,0,1,594,42307</v>
      </c>
    </row>
    <row r="792" spans="1:40" ht="13" hidden="1" x14ac:dyDescent="0.15">
      <c r="A792">
        <v>554</v>
      </c>
      <c r="B792" s="1">
        <v>61794</v>
      </c>
      <c r="C792" s="1">
        <v>600</v>
      </c>
      <c r="D792" s="4">
        <f t="shared" si="24"/>
        <v>9.7096805515098552E-3</v>
      </c>
      <c r="E792" s="1">
        <v>0</v>
      </c>
      <c r="F792" s="1">
        <v>1</v>
      </c>
      <c r="G792" s="1">
        <v>74</v>
      </c>
      <c r="H792" s="1">
        <v>264</v>
      </c>
      <c r="I792" s="1">
        <v>47</v>
      </c>
      <c r="J792" s="1">
        <v>188</v>
      </c>
      <c r="K792" s="1">
        <v>54</v>
      </c>
      <c r="L792" s="1">
        <v>47</v>
      </c>
      <c r="M792" s="1">
        <v>11</v>
      </c>
      <c r="N792" s="1">
        <v>2</v>
      </c>
      <c r="O792" s="1">
        <v>4</v>
      </c>
      <c r="P792" s="1">
        <v>4</v>
      </c>
      <c r="Q792" s="1">
        <v>10</v>
      </c>
      <c r="R792" s="1">
        <v>2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59</v>
      </c>
      <c r="AA792" s="1" t="str" cm="1">
        <f t="array" ref="AA792">_xlfn.IFS(AND(Z792&lt;36, Z792&gt;23), "24-35", AND(Z792&lt;51, Z792&gt;35),"36-50", AND(Z792&lt;66, Z792&gt;50), "51-66", Z792&gt;65, "66+", TRUE, "?")</f>
        <v>51-66</v>
      </c>
      <c r="AB792" s="1">
        <v>2447</v>
      </c>
      <c r="AC792" s="1">
        <v>0</v>
      </c>
      <c r="AD792" s="1">
        <v>1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1</v>
      </c>
      <c r="AK792" s="1">
        <v>0</v>
      </c>
      <c r="AL792" s="1">
        <v>589</v>
      </c>
      <c r="AM792" s="2">
        <v>42402</v>
      </c>
      <c r="AN792" t="str">
        <f t="shared" si="25"/>
        <v>61794,600,0.00970968055150986,0,1,74,264,47,188,54,47,11,2,4,4,10,2,0,0,0,0,0,0,0,59,51-66,2447,0,1,0,0,0,0,0,1,0,589,42402</v>
      </c>
    </row>
    <row r="793" spans="1:40" ht="13" hidden="1" x14ac:dyDescent="0.15">
      <c r="A793">
        <v>2012</v>
      </c>
      <c r="B793" s="1">
        <v>63777</v>
      </c>
      <c r="C793" s="1">
        <v>600</v>
      </c>
      <c r="D793" s="4">
        <f t="shared" si="24"/>
        <v>9.4077802342537285E-3</v>
      </c>
      <c r="E793" s="1">
        <v>1</v>
      </c>
      <c r="F793" s="1">
        <v>1</v>
      </c>
      <c r="G793" s="1">
        <v>87</v>
      </c>
      <c r="H793" s="1">
        <v>457</v>
      </c>
      <c r="I793" s="1">
        <v>5</v>
      </c>
      <c r="J793" s="1">
        <v>106</v>
      </c>
      <c r="K793" s="1">
        <v>15</v>
      </c>
      <c r="L793" s="1">
        <v>17</v>
      </c>
      <c r="M793" s="1">
        <v>53</v>
      </c>
      <c r="N793" s="1">
        <v>8</v>
      </c>
      <c r="O793" s="1">
        <v>11</v>
      </c>
      <c r="P793" s="1">
        <v>1</v>
      </c>
      <c r="Q793" s="1">
        <v>6</v>
      </c>
      <c r="R793" s="1">
        <v>8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41</v>
      </c>
      <c r="AA793" s="1" t="str" cm="1">
        <f t="array" ref="AA793">_xlfn.IFS(AND(Z793&lt;36, Z793&gt;23), "24-35", AND(Z793&lt;51, Z793&gt;35),"36-50", AND(Z793&lt;66, Z793&gt;50), "51-66", Z793&gt;65, "66+", TRUE, "?")</f>
        <v>36-50</v>
      </c>
      <c r="AB793" s="1">
        <v>2621</v>
      </c>
      <c r="AC793" s="1">
        <v>0</v>
      </c>
      <c r="AD793" s="1">
        <v>1</v>
      </c>
      <c r="AE793" s="1">
        <v>0</v>
      </c>
      <c r="AF793" s="1">
        <v>0</v>
      </c>
      <c r="AG793" s="1">
        <v>0</v>
      </c>
      <c r="AH793" s="1">
        <v>0</v>
      </c>
      <c r="AI793" s="1">
        <v>1</v>
      </c>
      <c r="AJ793" s="1">
        <v>0</v>
      </c>
      <c r="AK793" s="1">
        <v>0</v>
      </c>
      <c r="AL793" s="1">
        <v>547</v>
      </c>
      <c r="AM793" s="2">
        <v>42228</v>
      </c>
      <c r="AN793" t="str">
        <f t="shared" si="25"/>
        <v>63777,600,0.00940778023425373,1,1,87,457,5,106,15,17,53,8,11,1,6,8,0,0,0,0,0,0,0,41,36-50,2621,0,1,0,0,0,0,1,0,0,547,42228</v>
      </c>
    </row>
    <row r="794" spans="1:40" ht="13" hidden="1" x14ac:dyDescent="0.15">
      <c r="A794">
        <v>1359</v>
      </c>
      <c r="B794" s="1">
        <v>49476</v>
      </c>
      <c r="C794" s="1">
        <v>599</v>
      </c>
      <c r="D794" s="4">
        <f t="shared" si="24"/>
        <v>1.2106880103484518E-2</v>
      </c>
      <c r="E794" s="1">
        <v>0</v>
      </c>
      <c r="F794" s="1">
        <v>1</v>
      </c>
      <c r="G794" s="1">
        <v>29</v>
      </c>
      <c r="H794" s="1">
        <v>386</v>
      </c>
      <c r="I794" s="1">
        <v>23</v>
      </c>
      <c r="J794" s="1">
        <v>95</v>
      </c>
      <c r="K794" s="1">
        <v>54</v>
      </c>
      <c r="L794" s="1">
        <v>41</v>
      </c>
      <c r="M794" s="1">
        <v>196</v>
      </c>
      <c r="N794" s="1">
        <v>4</v>
      </c>
      <c r="O794" s="1">
        <v>2</v>
      </c>
      <c r="P794" s="1">
        <v>11</v>
      </c>
      <c r="Q794" s="1">
        <v>5</v>
      </c>
      <c r="R794" s="1">
        <v>2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57</v>
      </c>
      <c r="AA794" s="1" t="str" cm="1">
        <f t="array" ref="AA794">_xlfn.IFS(AND(Z794&lt;36, Z794&gt;23), "24-35", AND(Z794&lt;51, Z794&gt;35),"36-50", AND(Z794&lt;66, Z794&gt;50), "51-66", Z794&gt;65, "66+", TRUE, "?")</f>
        <v>51-66</v>
      </c>
      <c r="AB794" s="1">
        <v>2533</v>
      </c>
      <c r="AC794" s="1">
        <v>1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1</v>
      </c>
      <c r="AK794" s="1">
        <v>0</v>
      </c>
      <c r="AL794" s="1">
        <v>403</v>
      </c>
      <c r="AM794" s="2">
        <v>42316</v>
      </c>
      <c r="AN794" t="str">
        <f t="shared" si="25"/>
        <v>49476,599,0.0121068801034845,0,1,29,386,23,95,54,41,196,4,2,11,5,2,0,0,0,0,0,0,0,57,51-66,2533,1,0,0,0,0,0,0,1,0,403,42316</v>
      </c>
    </row>
    <row r="795" spans="1:40" ht="13" hidden="1" x14ac:dyDescent="0.15">
      <c r="A795">
        <v>908</v>
      </c>
      <c r="B795" s="1">
        <v>54753</v>
      </c>
      <c r="C795" s="1">
        <v>597</v>
      </c>
      <c r="D795" s="4">
        <f t="shared" si="24"/>
        <v>1.0903512136321297E-2</v>
      </c>
      <c r="E795" s="1">
        <v>0</v>
      </c>
      <c r="F795" s="1">
        <v>1</v>
      </c>
      <c r="G795" s="1">
        <v>87</v>
      </c>
      <c r="H795" s="1">
        <v>197</v>
      </c>
      <c r="I795" s="1">
        <v>107</v>
      </c>
      <c r="J795" s="1">
        <v>227</v>
      </c>
      <c r="K795" s="1">
        <v>7</v>
      </c>
      <c r="L795" s="1">
        <v>59</v>
      </c>
      <c r="M795" s="1">
        <v>131</v>
      </c>
      <c r="N795" s="1">
        <v>3</v>
      </c>
      <c r="O795" s="1">
        <v>5</v>
      </c>
      <c r="P795" s="1">
        <v>2</v>
      </c>
      <c r="Q795" s="1">
        <v>11</v>
      </c>
      <c r="R795" s="1">
        <v>4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61</v>
      </c>
      <c r="AA795" s="1" t="str" cm="1">
        <f t="array" ref="AA795">_xlfn.IFS(AND(Z795&lt;36, Z795&gt;23), "24-35", AND(Z795&lt;51, Z795&gt;35),"36-50", AND(Z795&lt;66, Z795&gt;50), "51-66", Z795&gt;65, "66+", TRUE, "?")</f>
        <v>51-66</v>
      </c>
      <c r="AB795" s="1">
        <v>2449</v>
      </c>
      <c r="AC795" s="1">
        <v>0</v>
      </c>
      <c r="AD795" s="1">
        <v>0</v>
      </c>
      <c r="AE795" s="1">
        <v>0</v>
      </c>
      <c r="AF795" s="1">
        <v>1</v>
      </c>
      <c r="AG795" s="1">
        <v>0</v>
      </c>
      <c r="AH795" s="1">
        <v>0</v>
      </c>
      <c r="AI795" s="1">
        <v>1</v>
      </c>
      <c r="AJ795" s="1">
        <v>0</v>
      </c>
      <c r="AK795" s="1">
        <v>0</v>
      </c>
      <c r="AL795" s="1">
        <v>466</v>
      </c>
      <c r="AM795" s="2">
        <v>42400</v>
      </c>
      <c r="AN795" t="str">
        <f t="shared" si="25"/>
        <v>54753,597,0.0109035121363213,0,1,87,197,107,227,7,59,131,3,5,2,11,4,0,0,0,0,0,0,0,61,51-66,2449,0,0,0,1,0,0,1,0,0,466,42400</v>
      </c>
    </row>
    <row r="796" spans="1:40" ht="13" x14ac:dyDescent="0.15">
      <c r="A796">
        <v>1311</v>
      </c>
      <c r="B796" s="1">
        <v>60208</v>
      </c>
      <c r="C796" s="1">
        <v>597</v>
      </c>
      <c r="D796" s="4">
        <f t="shared" si="24"/>
        <v>9.9156258304544248E-3</v>
      </c>
      <c r="E796" s="1">
        <v>1</v>
      </c>
      <c r="F796" s="1">
        <v>1</v>
      </c>
      <c r="G796" s="1">
        <v>13</v>
      </c>
      <c r="H796" s="1">
        <v>488</v>
      </c>
      <c r="I796" s="1">
        <v>23</v>
      </c>
      <c r="J796" s="1">
        <v>71</v>
      </c>
      <c r="K796" s="1">
        <v>15</v>
      </c>
      <c r="L796" s="1">
        <v>0</v>
      </c>
      <c r="M796" s="1">
        <v>59</v>
      </c>
      <c r="N796" s="1">
        <v>11</v>
      </c>
      <c r="O796" s="1">
        <v>8</v>
      </c>
      <c r="P796" s="1">
        <v>3</v>
      </c>
      <c r="Q796" s="1">
        <v>7</v>
      </c>
      <c r="R796" s="1">
        <v>7</v>
      </c>
      <c r="S796" s="1">
        <v>0</v>
      </c>
      <c r="T796" s="1">
        <v>0</v>
      </c>
      <c r="U796" s="1">
        <v>0</v>
      </c>
      <c r="V796" s="1">
        <v>1</v>
      </c>
      <c r="W796" s="1">
        <v>0</v>
      </c>
      <c r="X796" s="1">
        <v>0</v>
      </c>
      <c r="Y796" s="1">
        <v>1</v>
      </c>
      <c r="Z796" s="1">
        <v>47</v>
      </c>
      <c r="AA796" s="1" t="str" cm="1">
        <f t="array" ref="AA796">_xlfn.IFS(AND(Z796&lt;36, Z796&gt;23), "24-35", AND(Z796&lt;51, Z796&gt;35),"36-50", AND(Z796&lt;66, Z796&gt;50), "51-66", Z796&gt;65, "66+", TRUE, "?")</f>
        <v>36-50</v>
      </c>
      <c r="AB796" s="1">
        <v>2789</v>
      </c>
      <c r="AC796" s="1">
        <v>0</v>
      </c>
      <c r="AD796" s="1">
        <v>0</v>
      </c>
      <c r="AE796" s="1">
        <v>0</v>
      </c>
      <c r="AF796" s="1">
        <v>0</v>
      </c>
      <c r="AG796" s="1">
        <v>1</v>
      </c>
      <c r="AH796" s="1">
        <v>0</v>
      </c>
      <c r="AI796" s="1">
        <v>1</v>
      </c>
      <c r="AJ796" s="1">
        <v>0</v>
      </c>
      <c r="AK796" s="1">
        <v>0</v>
      </c>
      <c r="AL796" s="1">
        <v>538</v>
      </c>
      <c r="AM796" s="2">
        <v>42060</v>
      </c>
      <c r="AN796" t="str">
        <f t="shared" si="25"/>
        <v>60208,597,0.00991562583045442,1,1,13,488,23,71,15,0,59,11,8,3,7,7,0,0,0,1,0,0,1,47,36-50,2789,0,0,0,0,1,0,1,0,0,538,42060</v>
      </c>
    </row>
    <row r="797" spans="1:40" ht="13" x14ac:dyDescent="0.15">
      <c r="A797">
        <v>1306</v>
      </c>
      <c r="B797" s="1">
        <v>55517</v>
      </c>
      <c r="C797" s="1">
        <v>597</v>
      </c>
      <c r="D797" s="4">
        <f t="shared" si="24"/>
        <v>1.0753462903254858E-2</v>
      </c>
      <c r="E797" s="1">
        <v>1</v>
      </c>
      <c r="F797" s="1">
        <v>1</v>
      </c>
      <c r="G797" s="1">
        <v>53</v>
      </c>
      <c r="H797" s="1">
        <v>483</v>
      </c>
      <c r="I797" s="1">
        <v>0</v>
      </c>
      <c r="J797" s="1">
        <v>108</v>
      </c>
      <c r="K797" s="1">
        <v>0</v>
      </c>
      <c r="L797" s="1">
        <v>6</v>
      </c>
      <c r="M797" s="1">
        <v>36</v>
      </c>
      <c r="N797" s="1">
        <v>5</v>
      </c>
      <c r="O797" s="1">
        <v>11</v>
      </c>
      <c r="P797" s="1">
        <v>1</v>
      </c>
      <c r="Q797" s="1">
        <v>6</v>
      </c>
      <c r="R797" s="1">
        <v>9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1</v>
      </c>
      <c r="Z797" s="1">
        <v>70</v>
      </c>
      <c r="AA797" s="1" t="str" cm="1">
        <f t="array" ref="AA797">_xlfn.IFS(AND(Z797&lt;36, Z797&gt;23), "24-35", AND(Z797&lt;51, Z797&gt;35),"36-50", AND(Z797&lt;66, Z797&gt;50), "51-66", Z797&gt;65, "66+", TRUE, "?")</f>
        <v>66+</v>
      </c>
      <c r="AB797" s="1">
        <v>2799</v>
      </c>
      <c r="AC797" s="1">
        <v>0</v>
      </c>
      <c r="AD797" s="1">
        <v>1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1</v>
      </c>
      <c r="AL797" s="1">
        <v>561</v>
      </c>
      <c r="AM797" s="2">
        <v>42050</v>
      </c>
      <c r="AN797" t="str">
        <f t="shared" si="25"/>
        <v>55517,597,0.0107534629032549,1,1,53,483,0,108,0,6,36,5,11,1,6,9,0,0,0,0,0,0,1,70,66+,2799,0,1,0,0,0,0,0,0,1,561,42050</v>
      </c>
    </row>
    <row r="798" spans="1:40" ht="13" hidden="1" x14ac:dyDescent="0.15">
      <c r="A798">
        <v>120</v>
      </c>
      <c r="B798" s="1">
        <v>73448</v>
      </c>
      <c r="C798" s="1">
        <v>595</v>
      </c>
      <c r="D798" s="4">
        <f t="shared" si="24"/>
        <v>8.1009693933122746E-3</v>
      </c>
      <c r="E798" s="1">
        <v>0</v>
      </c>
      <c r="F798" s="1">
        <v>0</v>
      </c>
      <c r="G798" s="1">
        <v>10</v>
      </c>
      <c r="H798" s="1">
        <v>236</v>
      </c>
      <c r="I798" s="1">
        <v>106</v>
      </c>
      <c r="J798" s="1">
        <v>189</v>
      </c>
      <c r="K798" s="1">
        <v>23</v>
      </c>
      <c r="L798" s="1">
        <v>41</v>
      </c>
      <c r="M798" s="1">
        <v>130</v>
      </c>
      <c r="N798" s="1">
        <v>1</v>
      </c>
      <c r="O798" s="1">
        <v>7</v>
      </c>
      <c r="P798" s="1">
        <v>2</v>
      </c>
      <c r="Q798" s="1">
        <v>9</v>
      </c>
      <c r="R798" s="1">
        <v>4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51</v>
      </c>
      <c r="AA798" s="1" t="str" cm="1">
        <f t="array" ref="AA798">_xlfn.IFS(AND(Z798&lt;36, Z798&gt;23), "24-35", AND(Z798&lt;51, Z798&gt;35),"36-50", AND(Z798&lt;66, Z798&gt;50), "51-66", Z798&gt;65, "66+", TRUE, "?")</f>
        <v>51-66</v>
      </c>
      <c r="AB798" s="1">
        <v>2298</v>
      </c>
      <c r="AC798" s="1">
        <v>0</v>
      </c>
      <c r="AD798" s="1">
        <v>1</v>
      </c>
      <c r="AE798" s="1">
        <v>0</v>
      </c>
      <c r="AF798" s="1">
        <v>0</v>
      </c>
      <c r="AG798" s="1">
        <v>0</v>
      </c>
      <c r="AH798" s="1">
        <v>0</v>
      </c>
      <c r="AI798" s="1">
        <v>1</v>
      </c>
      <c r="AJ798" s="1">
        <v>0</v>
      </c>
      <c r="AK798" s="1">
        <v>0</v>
      </c>
      <c r="AL798" s="1">
        <v>465</v>
      </c>
      <c r="AM798" s="2">
        <v>42551</v>
      </c>
      <c r="AN798" t="str">
        <f t="shared" si="25"/>
        <v>73448,595,0.00810096939331227,0,0,10,236,106,189,23,41,130,1,7,2,9,4,0,0,0,0,0,0,0,51,51-66,2298,0,1,0,0,0,0,1,0,0,465,42551</v>
      </c>
    </row>
    <row r="799" spans="1:40" ht="13" hidden="1" x14ac:dyDescent="0.15">
      <c r="A799">
        <v>336</v>
      </c>
      <c r="B799" s="1">
        <v>62187</v>
      </c>
      <c r="C799" s="1">
        <v>595</v>
      </c>
      <c r="D799" s="4">
        <f t="shared" si="24"/>
        <v>9.5679161239487359E-3</v>
      </c>
      <c r="E799" s="1">
        <v>0</v>
      </c>
      <c r="F799" s="1">
        <v>1</v>
      </c>
      <c r="G799" s="1">
        <v>38</v>
      </c>
      <c r="H799" s="1">
        <v>512</v>
      </c>
      <c r="I799" s="1">
        <v>0</v>
      </c>
      <c r="J799" s="1">
        <v>83</v>
      </c>
      <c r="K799" s="1">
        <v>0</v>
      </c>
      <c r="L799" s="1">
        <v>0</v>
      </c>
      <c r="M799" s="1">
        <v>41</v>
      </c>
      <c r="N799" s="1">
        <v>3</v>
      </c>
      <c r="O799" s="1">
        <v>6</v>
      </c>
      <c r="P799" s="1">
        <v>2</v>
      </c>
      <c r="Q799" s="1">
        <v>10</v>
      </c>
      <c r="R799" s="1">
        <v>4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51</v>
      </c>
      <c r="AA799" s="1" t="str" cm="1">
        <f t="array" ref="AA799">_xlfn.IFS(AND(Z799&lt;36, Z799&gt;23), "24-35", AND(Z799&lt;51, Z799&gt;35),"36-50", AND(Z799&lt;66, Z799&gt;50), "51-66", Z799&gt;65, "66+", TRUE, "?")</f>
        <v>51-66</v>
      </c>
      <c r="AB799" s="1">
        <v>2258</v>
      </c>
      <c r="AC799" s="1">
        <v>0</v>
      </c>
      <c r="AD799" s="1">
        <v>0</v>
      </c>
      <c r="AE799" s="1">
        <v>0</v>
      </c>
      <c r="AF799" s="1">
        <v>0</v>
      </c>
      <c r="AG799" s="1">
        <v>1</v>
      </c>
      <c r="AH799" s="1">
        <v>0</v>
      </c>
      <c r="AI799" s="1">
        <v>0</v>
      </c>
      <c r="AJ799" s="1">
        <v>0</v>
      </c>
      <c r="AK799" s="1">
        <v>1</v>
      </c>
      <c r="AL799" s="1">
        <v>554</v>
      </c>
      <c r="AM799" s="2">
        <v>42591</v>
      </c>
      <c r="AN799" t="str">
        <f t="shared" si="25"/>
        <v>62187,595,0.00956791612394874,0,1,38,512,0,83,0,0,41,3,6,2,10,4,0,0,0,0,0,0,0,51,51-66,2258,0,0,0,0,1,0,0,0,1,554,42591</v>
      </c>
    </row>
    <row r="800" spans="1:40" ht="13" hidden="1" x14ac:dyDescent="0.15">
      <c r="A800">
        <v>1094</v>
      </c>
      <c r="B800" s="1">
        <v>62710</v>
      </c>
      <c r="C800" s="1">
        <v>595</v>
      </c>
      <c r="D800" s="4">
        <f t="shared" si="24"/>
        <v>9.4881199170786159E-3</v>
      </c>
      <c r="E800" s="1">
        <v>0</v>
      </c>
      <c r="F800" s="1">
        <v>1</v>
      </c>
      <c r="G800" s="1">
        <v>53</v>
      </c>
      <c r="H800" s="1">
        <v>441</v>
      </c>
      <c r="I800" s="1">
        <v>35</v>
      </c>
      <c r="J800" s="1">
        <v>83</v>
      </c>
      <c r="K800" s="1">
        <v>7</v>
      </c>
      <c r="L800" s="1">
        <v>29</v>
      </c>
      <c r="M800" s="1">
        <v>11</v>
      </c>
      <c r="N800" s="1">
        <v>4</v>
      </c>
      <c r="O800" s="1">
        <v>4</v>
      </c>
      <c r="P800" s="1">
        <v>2</v>
      </c>
      <c r="Q800" s="1">
        <v>12</v>
      </c>
      <c r="R800" s="1">
        <v>4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48</v>
      </c>
      <c r="AA800" s="1" t="str" cm="1">
        <f t="array" ref="AA800">_xlfn.IFS(AND(Z800&lt;36, Z800&gt;23), "24-35", AND(Z800&lt;51, Z800&gt;35),"36-50", AND(Z800&lt;66, Z800&gt;50), "51-66", Z800&gt;65, "66+", TRUE, "?")</f>
        <v>36-50</v>
      </c>
      <c r="AB800" s="1">
        <v>2561</v>
      </c>
      <c r="AC800" s="1">
        <v>0</v>
      </c>
      <c r="AD800" s="1">
        <v>1</v>
      </c>
      <c r="AE800" s="1">
        <v>0</v>
      </c>
      <c r="AF800" s="1">
        <v>0</v>
      </c>
      <c r="AG800" s="1">
        <v>0</v>
      </c>
      <c r="AH800" s="1">
        <v>0</v>
      </c>
      <c r="AI800" s="1">
        <v>1</v>
      </c>
      <c r="AJ800" s="1">
        <v>0</v>
      </c>
      <c r="AK800" s="1">
        <v>0</v>
      </c>
      <c r="AL800" s="1">
        <v>584</v>
      </c>
      <c r="AM800" s="2">
        <v>42288</v>
      </c>
      <c r="AN800" t="str">
        <f t="shared" si="25"/>
        <v>62710,595,0.00948811991707862,0,1,53,441,35,83,7,29,11,4,4,2,12,4,0,0,0,0,0,0,0,48,36-50,2561,0,1,0,0,0,0,1,0,0,584,42288</v>
      </c>
    </row>
    <row r="801" spans="1:40" ht="13" hidden="1" x14ac:dyDescent="0.15">
      <c r="A801">
        <v>1383</v>
      </c>
      <c r="B801" s="1">
        <v>57867</v>
      </c>
      <c r="C801" s="1">
        <v>595</v>
      </c>
      <c r="D801" s="4">
        <f t="shared" si="24"/>
        <v>1.0282198835260166E-2</v>
      </c>
      <c r="E801" s="1">
        <v>1</v>
      </c>
      <c r="F801" s="1">
        <v>0</v>
      </c>
      <c r="G801" s="1">
        <v>48</v>
      </c>
      <c r="H801" s="1">
        <v>344</v>
      </c>
      <c r="I801" s="1">
        <v>35</v>
      </c>
      <c r="J801" s="1">
        <v>178</v>
      </c>
      <c r="K801" s="1">
        <v>15</v>
      </c>
      <c r="L801" s="1">
        <v>23</v>
      </c>
      <c r="M801" s="1">
        <v>17</v>
      </c>
      <c r="N801" s="1">
        <v>7</v>
      </c>
      <c r="O801" s="1">
        <v>7</v>
      </c>
      <c r="P801" s="1">
        <v>2</v>
      </c>
      <c r="Q801" s="1">
        <v>9</v>
      </c>
      <c r="R801" s="1">
        <v>6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42</v>
      </c>
      <c r="AA801" s="1" t="str" cm="1">
        <f t="array" ref="AA801">_xlfn.IFS(AND(Z801&lt;36, Z801&gt;23), "24-35", AND(Z801&lt;51, Z801&gt;35),"36-50", AND(Z801&lt;66, Z801&gt;50), "51-66", Z801&gt;65, "66+", TRUE, "?")</f>
        <v>36-50</v>
      </c>
      <c r="AB801" s="1">
        <v>2430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1</v>
      </c>
      <c r="AJ801" s="1">
        <v>0</v>
      </c>
      <c r="AK801" s="1">
        <v>0</v>
      </c>
      <c r="AL801" s="1">
        <v>578</v>
      </c>
      <c r="AM801" s="2">
        <v>42419</v>
      </c>
      <c r="AN801" t="str">
        <f t="shared" si="25"/>
        <v>57867,595,0.0102821988352602,1,0,48,344,35,178,15,23,17,7,7,2,9,6,0,0,0,0,0,0,0,42,36-50,2430,0,0,0,1,0,0,1,0,0,578,42419</v>
      </c>
    </row>
    <row r="802" spans="1:40" ht="13" hidden="1" x14ac:dyDescent="0.15">
      <c r="A802">
        <v>219</v>
      </c>
      <c r="B802" s="1">
        <v>79761</v>
      </c>
      <c r="C802" s="1">
        <v>594</v>
      </c>
      <c r="D802" s="4">
        <f t="shared" si="24"/>
        <v>7.4472486553578817E-3</v>
      </c>
      <c r="E802" s="1">
        <v>0</v>
      </c>
      <c r="F802" s="1">
        <v>1</v>
      </c>
      <c r="G802" s="1">
        <v>32</v>
      </c>
      <c r="H802" s="1">
        <v>415</v>
      </c>
      <c r="I802" s="1">
        <v>5</v>
      </c>
      <c r="J802" s="1">
        <v>124</v>
      </c>
      <c r="K802" s="1">
        <v>15</v>
      </c>
      <c r="L802" s="1">
        <v>35</v>
      </c>
      <c r="M802" s="1">
        <v>11</v>
      </c>
      <c r="N802" s="1">
        <v>1</v>
      </c>
      <c r="O802" s="1">
        <v>5</v>
      </c>
      <c r="P802" s="1">
        <v>2</v>
      </c>
      <c r="Q802" s="1">
        <v>11</v>
      </c>
      <c r="R802" s="1">
        <v>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62</v>
      </c>
      <c r="AA802" s="1" t="str" cm="1">
        <f t="array" ref="AA802">_xlfn.IFS(AND(Z802&lt;36, Z802&gt;23), "24-35", AND(Z802&lt;51, Z802&gt;35),"36-50", AND(Z802&lt;66, Z802&gt;50), "51-66", Z802&gt;65, "66+", TRUE, "?")</f>
        <v>51-66</v>
      </c>
      <c r="AB802" s="1">
        <v>2427</v>
      </c>
      <c r="AC802" s="1">
        <v>0</v>
      </c>
      <c r="AD802" s="1">
        <v>0</v>
      </c>
      <c r="AE802" s="1">
        <v>1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1</v>
      </c>
      <c r="AL802" s="1">
        <v>583</v>
      </c>
      <c r="AM802" s="2">
        <v>42422</v>
      </c>
      <c r="AN802" t="str">
        <f t="shared" si="25"/>
        <v>79761,594,0.00744724865535788,0,1,32,415,5,124,15,35,11,1,5,2,11,3,0,0,0,0,0,0,0,62,51-66,2427,0,0,1,0,0,0,0,0,1,583,42422</v>
      </c>
    </row>
    <row r="803" spans="1:40" ht="13" hidden="1" x14ac:dyDescent="0.15">
      <c r="A803">
        <v>619</v>
      </c>
      <c r="B803" s="1">
        <v>56253</v>
      </c>
      <c r="C803" s="1">
        <v>592</v>
      </c>
      <c r="D803" s="4">
        <f t="shared" si="24"/>
        <v>1.0523883170675341E-2</v>
      </c>
      <c r="E803" s="1">
        <v>0</v>
      </c>
      <c r="F803" s="1">
        <v>1</v>
      </c>
      <c r="G803" s="1">
        <v>83</v>
      </c>
      <c r="H803" s="1">
        <v>509</v>
      </c>
      <c r="I803" s="1">
        <v>0</v>
      </c>
      <c r="J803" s="1">
        <v>65</v>
      </c>
      <c r="K803" s="1">
        <v>7</v>
      </c>
      <c r="L803" s="1">
        <v>11</v>
      </c>
      <c r="M803" s="1">
        <v>5</v>
      </c>
      <c r="N803" s="1">
        <v>4</v>
      </c>
      <c r="O803" s="1">
        <v>7</v>
      </c>
      <c r="P803" s="1">
        <v>2</v>
      </c>
      <c r="Q803" s="1">
        <v>9</v>
      </c>
      <c r="R803" s="1">
        <v>6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57</v>
      </c>
      <c r="AA803" s="1" t="str" cm="1">
        <f t="array" ref="AA803">_xlfn.IFS(AND(Z803&lt;36, Z803&gt;23), "24-35", AND(Z803&lt;51, Z803&gt;35),"36-50", AND(Z803&lt;66, Z803&gt;50), "51-66", Z803&gt;65, "66+", TRUE, "?")</f>
        <v>51-66</v>
      </c>
      <c r="AB803" s="1">
        <v>2728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  <c r="AI803" s="1">
        <v>1</v>
      </c>
      <c r="AJ803" s="1">
        <v>0</v>
      </c>
      <c r="AK803" s="1">
        <v>0</v>
      </c>
      <c r="AL803" s="1">
        <v>587</v>
      </c>
      <c r="AM803" s="2">
        <v>42121</v>
      </c>
      <c r="AN803" t="str">
        <f t="shared" si="25"/>
        <v>56253,592,0.0105238831706753,0,1,83,509,0,65,7,11,5,4,7,2,9,6,0,0,0,0,0,0,0,57,51-66,2728,0,0,0,1,0,0,1,0,0,587,42121</v>
      </c>
    </row>
    <row r="804" spans="1:40" ht="13" hidden="1" x14ac:dyDescent="0.15">
      <c r="A804">
        <v>119</v>
      </c>
      <c r="B804" s="1">
        <v>61331</v>
      </c>
      <c r="C804" s="1">
        <v>591</v>
      </c>
      <c r="D804" s="4">
        <f t="shared" si="24"/>
        <v>9.6362361611583049E-3</v>
      </c>
      <c r="E804" s="1">
        <v>1</v>
      </c>
      <c r="F804" s="1">
        <v>1</v>
      </c>
      <c r="G804" s="1">
        <v>42</v>
      </c>
      <c r="H804" s="1">
        <v>534</v>
      </c>
      <c r="I804" s="1">
        <v>5</v>
      </c>
      <c r="J804" s="1">
        <v>47</v>
      </c>
      <c r="K804" s="1">
        <v>0</v>
      </c>
      <c r="L804" s="1">
        <v>5</v>
      </c>
      <c r="M804" s="1">
        <v>41</v>
      </c>
      <c r="N804" s="1">
        <v>5</v>
      </c>
      <c r="O804" s="1">
        <v>11</v>
      </c>
      <c r="P804" s="1">
        <v>1</v>
      </c>
      <c r="Q804" s="1">
        <v>6</v>
      </c>
      <c r="R804" s="1">
        <v>8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62</v>
      </c>
      <c r="AA804" s="1" t="str" cm="1">
        <f t="array" ref="AA804">_xlfn.IFS(AND(Z804&lt;36, Z804&gt;23), "24-35", AND(Z804&lt;51, Z804&gt;35),"36-50", AND(Z804&lt;66, Z804&gt;50), "51-66", Z804&gt;65, "66+", TRUE, "?")</f>
        <v>51-66</v>
      </c>
      <c r="AB804" s="1">
        <v>2635</v>
      </c>
      <c r="AC804" s="1">
        <v>0</v>
      </c>
      <c r="AD804" s="1">
        <v>0</v>
      </c>
      <c r="AE804" s="1">
        <v>1</v>
      </c>
      <c r="AF804" s="1">
        <v>0</v>
      </c>
      <c r="AG804" s="1">
        <v>0</v>
      </c>
      <c r="AH804" s="1">
        <v>0</v>
      </c>
      <c r="AI804" s="1">
        <v>0</v>
      </c>
      <c r="AJ804" s="1">
        <v>1</v>
      </c>
      <c r="AK804" s="1">
        <v>0</v>
      </c>
      <c r="AL804" s="1">
        <v>550</v>
      </c>
      <c r="AM804" s="2">
        <v>42214</v>
      </c>
      <c r="AN804" t="str">
        <f t="shared" si="25"/>
        <v>61331,591,0.0096362361611583,1,1,42,534,5,47,0,5,41,5,11,1,6,8,0,0,0,0,0,0,0,62,51-66,2635,0,0,1,0,0,0,0,1,0,550,42214</v>
      </c>
    </row>
    <row r="805" spans="1:40" ht="13" hidden="1" x14ac:dyDescent="0.15">
      <c r="A805">
        <v>657</v>
      </c>
      <c r="B805" s="1">
        <v>71427</v>
      </c>
      <c r="C805" s="1">
        <v>591</v>
      </c>
      <c r="D805" s="4">
        <f t="shared" si="24"/>
        <v>8.2741820320047042E-3</v>
      </c>
      <c r="E805" s="1">
        <v>2</v>
      </c>
      <c r="F805" s="1">
        <v>0</v>
      </c>
      <c r="G805" s="1">
        <v>26</v>
      </c>
      <c r="H805" s="1">
        <v>212</v>
      </c>
      <c r="I805" s="1">
        <v>123</v>
      </c>
      <c r="J805" s="1">
        <v>177</v>
      </c>
      <c r="K805" s="1">
        <v>15</v>
      </c>
      <c r="L805" s="1">
        <v>64</v>
      </c>
      <c r="M805" s="1">
        <v>23</v>
      </c>
      <c r="N805" s="1">
        <v>2</v>
      </c>
      <c r="O805" s="1">
        <v>8</v>
      </c>
      <c r="P805" s="1">
        <v>2</v>
      </c>
      <c r="Q805" s="1">
        <v>8</v>
      </c>
      <c r="R805" s="1">
        <v>4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42</v>
      </c>
      <c r="AA805" s="1" t="str" cm="1">
        <f t="array" ref="AA805">_xlfn.IFS(AND(Z805&lt;36, Z805&gt;23), "24-35", AND(Z805&lt;51, Z805&gt;35),"36-50", AND(Z805&lt;66, Z805&gt;50), "51-66", Z805&gt;65, "66+", TRUE, "?")</f>
        <v>36-50</v>
      </c>
      <c r="AB805" s="1">
        <v>2268</v>
      </c>
      <c r="AC805" s="1">
        <v>0</v>
      </c>
      <c r="AD805" s="1">
        <v>1</v>
      </c>
      <c r="AE805" s="1">
        <v>0</v>
      </c>
      <c r="AF805" s="1">
        <v>0</v>
      </c>
      <c r="AG805" s="1">
        <v>0</v>
      </c>
      <c r="AH805" s="1">
        <v>0</v>
      </c>
      <c r="AI805" s="1">
        <v>1</v>
      </c>
      <c r="AJ805" s="1">
        <v>0</v>
      </c>
      <c r="AK805" s="1">
        <v>0</v>
      </c>
      <c r="AL805" s="1">
        <v>568</v>
      </c>
      <c r="AM805" s="2">
        <v>42581</v>
      </c>
      <c r="AN805" t="str">
        <f t="shared" si="25"/>
        <v>71427,591,0.0082741820320047,2,0,26,212,123,177,15,64,23,2,8,2,8,4,0,0,0,0,0,0,0,42,36-50,2268,0,1,0,0,0,0,1,0,0,568,42581</v>
      </c>
    </row>
    <row r="806" spans="1:40" ht="13" hidden="1" x14ac:dyDescent="0.15">
      <c r="A806">
        <v>788</v>
      </c>
      <c r="B806" s="1">
        <v>56628</v>
      </c>
      <c r="C806" s="1">
        <v>590</v>
      </c>
      <c r="D806" s="4">
        <f t="shared" si="24"/>
        <v>1.0418874055237691E-2</v>
      </c>
      <c r="E806" s="1">
        <v>0</v>
      </c>
      <c r="F806" s="1">
        <v>1</v>
      </c>
      <c r="G806" s="1">
        <v>30</v>
      </c>
      <c r="H806" s="1">
        <v>479</v>
      </c>
      <c r="I806" s="1">
        <v>5</v>
      </c>
      <c r="J806" s="1">
        <v>82</v>
      </c>
      <c r="K806" s="1">
        <v>7</v>
      </c>
      <c r="L806" s="1">
        <v>17</v>
      </c>
      <c r="M806" s="1">
        <v>171</v>
      </c>
      <c r="N806" s="1">
        <v>2</v>
      </c>
      <c r="O806" s="1">
        <v>7</v>
      </c>
      <c r="P806" s="1">
        <v>6</v>
      </c>
      <c r="Q806" s="1">
        <v>5</v>
      </c>
      <c r="R806" s="1">
        <v>5</v>
      </c>
      <c r="S806" s="1">
        <v>0</v>
      </c>
      <c r="T806" s="1">
        <v>0</v>
      </c>
      <c r="U806" s="1">
        <v>1</v>
      </c>
      <c r="V806" s="1">
        <v>0</v>
      </c>
      <c r="W806" s="1">
        <v>0</v>
      </c>
      <c r="X806" s="1">
        <v>0</v>
      </c>
      <c r="Y806" s="1">
        <v>0</v>
      </c>
      <c r="Z806" s="1">
        <v>43</v>
      </c>
      <c r="AA806" s="1" t="str" cm="1">
        <f t="array" ref="AA806">_xlfn.IFS(AND(Z806&lt;36, Z806&gt;23), "24-35", AND(Z806&lt;51, Z806&gt;35),"36-50", AND(Z806&lt;66, Z806&gt;50), "51-66", Z806&gt;65, "66+", TRUE, "?")</f>
        <v>36-50</v>
      </c>
      <c r="AB806" s="1">
        <v>2259</v>
      </c>
      <c r="AC806" s="1">
        <v>0</v>
      </c>
      <c r="AD806" s="1">
        <v>0</v>
      </c>
      <c r="AE806" s="1">
        <v>1</v>
      </c>
      <c r="AF806" s="1">
        <v>0</v>
      </c>
      <c r="AG806" s="1">
        <v>0</v>
      </c>
      <c r="AH806" s="1">
        <v>0</v>
      </c>
      <c r="AI806" s="1">
        <v>1</v>
      </c>
      <c r="AJ806" s="1">
        <v>0</v>
      </c>
      <c r="AK806" s="1">
        <v>0</v>
      </c>
      <c r="AL806" s="1">
        <v>419</v>
      </c>
      <c r="AM806" s="2">
        <v>42590</v>
      </c>
      <c r="AN806" t="str">
        <f t="shared" si="25"/>
        <v>56628,590,0.0104188740552377,0,1,30,479,5,82,7,17,171,2,7,6,5,5,0,0,1,0,0,0,0,43,36-50,2259,0,0,1,0,0,0,1,0,0,419,42590</v>
      </c>
    </row>
    <row r="807" spans="1:40" ht="13" hidden="1" x14ac:dyDescent="0.15">
      <c r="A807">
        <v>300</v>
      </c>
      <c r="B807" s="1">
        <v>40464</v>
      </c>
      <c r="C807" s="1">
        <v>589</v>
      </c>
      <c r="D807" s="4">
        <f t="shared" si="24"/>
        <v>1.4556148675365758E-2</v>
      </c>
      <c r="E807" s="1">
        <v>0</v>
      </c>
      <c r="F807" s="1">
        <v>1</v>
      </c>
      <c r="G807" s="1">
        <v>78</v>
      </c>
      <c r="H807" s="1">
        <v>424</v>
      </c>
      <c r="I807" s="1">
        <v>17</v>
      </c>
      <c r="J807" s="1">
        <v>118</v>
      </c>
      <c r="K807" s="1">
        <v>7</v>
      </c>
      <c r="L807" s="1">
        <v>23</v>
      </c>
      <c r="M807" s="1">
        <v>41</v>
      </c>
      <c r="N807" s="1">
        <v>6</v>
      </c>
      <c r="O807" s="1">
        <v>8</v>
      </c>
      <c r="P807" s="1">
        <v>2</v>
      </c>
      <c r="Q807" s="1">
        <v>8</v>
      </c>
      <c r="R807" s="1">
        <v>8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67</v>
      </c>
      <c r="AA807" s="1" t="str" cm="1">
        <f t="array" ref="AA807">_xlfn.IFS(AND(Z807&lt;36, Z807&gt;23), "24-35", AND(Z807&lt;51, Z807&gt;35),"36-50", AND(Z807&lt;66, Z807&gt;50), "51-66", Z807&gt;65, "66+", TRUE, "?")</f>
        <v>66+</v>
      </c>
      <c r="AB807" s="1">
        <v>2693</v>
      </c>
      <c r="AC807" s="1">
        <v>0</v>
      </c>
      <c r="AD807" s="1">
        <v>0</v>
      </c>
      <c r="AE807" s="1">
        <v>1</v>
      </c>
      <c r="AF807" s="1">
        <v>0</v>
      </c>
      <c r="AG807" s="1">
        <v>0</v>
      </c>
      <c r="AH807" s="1">
        <v>0</v>
      </c>
      <c r="AI807" s="1">
        <v>1</v>
      </c>
      <c r="AJ807" s="1">
        <v>0</v>
      </c>
      <c r="AK807" s="1">
        <v>0</v>
      </c>
      <c r="AL807" s="1">
        <v>548</v>
      </c>
      <c r="AM807" s="2">
        <v>42156</v>
      </c>
      <c r="AN807" t="str">
        <f t="shared" si="25"/>
        <v>40464,589,0.0145561486753658,0,1,78,424,17,118,7,23,41,6,8,2,8,8,0,0,0,0,0,0,0,67,66+,2693,0,0,1,0,0,0,1,0,0,548,42156</v>
      </c>
    </row>
    <row r="808" spans="1:40" ht="13" hidden="1" x14ac:dyDescent="0.15">
      <c r="A808">
        <v>1549</v>
      </c>
      <c r="B808" s="1">
        <v>49090</v>
      </c>
      <c r="C808" s="1">
        <v>588</v>
      </c>
      <c r="D808" s="4">
        <f t="shared" si="24"/>
        <v>1.1977999592585048E-2</v>
      </c>
      <c r="E808" s="1">
        <v>0</v>
      </c>
      <c r="F808" s="1">
        <v>1</v>
      </c>
      <c r="G808" s="1">
        <v>45</v>
      </c>
      <c r="H808" s="1">
        <v>494</v>
      </c>
      <c r="I808" s="1">
        <v>5</v>
      </c>
      <c r="J808" s="1">
        <v>82</v>
      </c>
      <c r="K808" s="1">
        <v>7</v>
      </c>
      <c r="L808" s="1">
        <v>0</v>
      </c>
      <c r="M808" s="1">
        <v>100</v>
      </c>
      <c r="N808" s="1">
        <v>3</v>
      </c>
      <c r="O808" s="1">
        <v>7</v>
      </c>
      <c r="P808" s="1">
        <v>2</v>
      </c>
      <c r="Q808" s="1">
        <v>9</v>
      </c>
      <c r="R808" s="1">
        <v>7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69</v>
      </c>
      <c r="AA808" s="1" t="str" cm="1">
        <f t="array" ref="AA808">_xlfn.IFS(AND(Z808&lt;36, Z808&gt;23), "24-35", AND(Z808&lt;51, Z808&gt;35),"36-50", AND(Z808&lt;66, Z808&gt;50), "51-66", Z808&gt;65, "66+", TRUE, "?")</f>
        <v>66+</v>
      </c>
      <c r="AB808" s="1">
        <v>2504</v>
      </c>
      <c r="AC808" s="1">
        <v>0</v>
      </c>
      <c r="AD808" s="1">
        <v>0</v>
      </c>
      <c r="AE808" s="1">
        <v>1</v>
      </c>
      <c r="AF808" s="1">
        <v>0</v>
      </c>
      <c r="AG808" s="1">
        <v>0</v>
      </c>
      <c r="AH808" s="1">
        <v>0</v>
      </c>
      <c r="AI808" s="1">
        <v>1</v>
      </c>
      <c r="AJ808" s="1">
        <v>0</v>
      </c>
      <c r="AK808" s="1">
        <v>0</v>
      </c>
      <c r="AL808" s="1">
        <v>488</v>
      </c>
      <c r="AM808" s="2">
        <v>42345</v>
      </c>
      <c r="AN808" t="str">
        <f t="shared" si="25"/>
        <v>49090,588,0.011977999592585,0,1,45,494,5,82,7,0,100,3,7,2,9,7,0,0,0,0,0,0,0,69,66+,2504,0,0,1,0,0,0,1,0,0,488,42345</v>
      </c>
    </row>
    <row r="809" spans="1:40" ht="13" hidden="1" x14ac:dyDescent="0.15">
      <c r="A809">
        <v>1179</v>
      </c>
      <c r="B809" s="1">
        <v>74190</v>
      </c>
      <c r="C809" s="1">
        <v>577</v>
      </c>
      <c r="D809" s="4">
        <f t="shared" si="24"/>
        <v>7.7773284809273483E-3</v>
      </c>
      <c r="E809" s="1">
        <v>0</v>
      </c>
      <c r="F809" s="1">
        <v>1</v>
      </c>
      <c r="G809" s="1">
        <v>49</v>
      </c>
      <c r="H809" s="1">
        <v>151</v>
      </c>
      <c r="I809" s="1">
        <v>81</v>
      </c>
      <c r="J809" s="1">
        <v>86</v>
      </c>
      <c r="K809" s="1">
        <v>168</v>
      </c>
      <c r="L809" s="1">
        <v>91</v>
      </c>
      <c r="M809" s="1">
        <v>64</v>
      </c>
      <c r="N809" s="1">
        <v>2</v>
      </c>
      <c r="O809" s="1">
        <v>4</v>
      </c>
      <c r="P809" s="1">
        <v>2</v>
      </c>
      <c r="Q809" s="1">
        <v>11</v>
      </c>
      <c r="R809" s="1">
        <v>2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45</v>
      </c>
      <c r="AA809" s="1" t="str" cm="1">
        <f t="array" ref="AA809">_xlfn.IFS(AND(Z809&lt;36, Z809&gt;23), "24-35", AND(Z809&lt;51, Z809&gt;35),"36-50", AND(Z809&lt;66, Z809&gt;50), "51-66", Z809&gt;65, "66+", TRUE, "?")</f>
        <v>36-50</v>
      </c>
      <c r="AB809" s="1">
        <v>2207</v>
      </c>
      <c r="AC809" s="1">
        <v>0</v>
      </c>
      <c r="AD809" s="1">
        <v>1</v>
      </c>
      <c r="AE809" s="1">
        <v>0</v>
      </c>
      <c r="AF809" s="1">
        <v>0</v>
      </c>
      <c r="AG809" s="1">
        <v>0</v>
      </c>
      <c r="AH809" s="1">
        <v>0</v>
      </c>
      <c r="AI809" s="1">
        <v>1</v>
      </c>
      <c r="AJ809" s="1">
        <v>0</v>
      </c>
      <c r="AK809" s="1">
        <v>0</v>
      </c>
      <c r="AL809" s="1">
        <v>513</v>
      </c>
      <c r="AM809" s="2">
        <v>42642</v>
      </c>
      <c r="AN809" t="str">
        <f t="shared" si="25"/>
        <v>74190,577,0.00777732848092735,0,1,49,151,81,86,168,91,64,2,4,2,11,2,0,0,0,0,0,0,0,45,36-50,2207,0,1,0,0,0,0,1,0,0,513,42642</v>
      </c>
    </row>
    <row r="810" spans="1:40" ht="13" hidden="1" x14ac:dyDescent="0.15">
      <c r="A810">
        <v>1322</v>
      </c>
      <c r="B810" s="1">
        <v>65704</v>
      </c>
      <c r="C810" s="1">
        <v>571</v>
      </c>
      <c r="D810" s="4">
        <f t="shared" si="24"/>
        <v>8.6904906854985992E-3</v>
      </c>
      <c r="E810" s="1">
        <v>0</v>
      </c>
      <c r="F810" s="1">
        <v>0</v>
      </c>
      <c r="G810" s="1">
        <v>18</v>
      </c>
      <c r="H810" s="1">
        <v>279</v>
      </c>
      <c r="I810" s="1">
        <v>172</v>
      </c>
      <c r="J810" s="1">
        <v>74</v>
      </c>
      <c r="K810" s="1">
        <v>38</v>
      </c>
      <c r="L810" s="1">
        <v>8</v>
      </c>
      <c r="M810" s="1">
        <v>246</v>
      </c>
      <c r="N810" s="1">
        <v>1</v>
      </c>
      <c r="O810" s="1">
        <v>2</v>
      </c>
      <c r="P810" s="1">
        <v>10</v>
      </c>
      <c r="Q810" s="1">
        <v>10</v>
      </c>
      <c r="R810" s="1">
        <v>1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48</v>
      </c>
      <c r="AA810" s="1" t="str" cm="1">
        <f t="array" ref="AA810">_xlfn.IFS(AND(Z810&lt;36, Z810&gt;23), "24-35", AND(Z810&lt;51, Z810&gt;35),"36-50", AND(Z810&lt;66, Z810&gt;50), "51-66", Z810&gt;65, "66+", TRUE, "?")</f>
        <v>36-50</v>
      </c>
      <c r="AB810" s="1">
        <v>2418</v>
      </c>
      <c r="AC810" s="1">
        <v>0</v>
      </c>
      <c r="AD810" s="1">
        <v>0</v>
      </c>
      <c r="AE810" s="1">
        <v>1</v>
      </c>
      <c r="AF810" s="1">
        <v>0</v>
      </c>
      <c r="AG810" s="1">
        <v>0</v>
      </c>
      <c r="AH810" s="1">
        <v>1</v>
      </c>
      <c r="AI810" s="1">
        <v>0</v>
      </c>
      <c r="AJ810" s="1">
        <v>0</v>
      </c>
      <c r="AK810" s="1">
        <v>0</v>
      </c>
      <c r="AL810" s="1">
        <v>325</v>
      </c>
      <c r="AM810" s="2">
        <v>42431</v>
      </c>
      <c r="AN810" t="str">
        <f t="shared" si="25"/>
        <v>65704,571,0.0086904906854986,0,0,18,279,172,74,38,8,246,1,2,10,10,1,0,0,0,0,0,0,0,48,36-50,2418,0,0,1,0,0,1,0,0,0,325,42431</v>
      </c>
    </row>
    <row r="811" spans="1:40" ht="13" hidden="1" x14ac:dyDescent="0.15">
      <c r="A811">
        <v>7</v>
      </c>
      <c r="B811" s="1">
        <v>55635</v>
      </c>
      <c r="C811" s="1">
        <v>563</v>
      </c>
      <c r="D811" s="4">
        <f t="shared" si="24"/>
        <v>1.0119529073425003E-2</v>
      </c>
      <c r="E811" s="1">
        <v>0</v>
      </c>
      <c r="F811" s="1">
        <v>1</v>
      </c>
      <c r="G811" s="1">
        <v>34</v>
      </c>
      <c r="H811" s="1">
        <v>235</v>
      </c>
      <c r="I811" s="1">
        <v>65</v>
      </c>
      <c r="J811" s="1">
        <v>164</v>
      </c>
      <c r="K811" s="1">
        <v>50</v>
      </c>
      <c r="L811" s="1">
        <v>49</v>
      </c>
      <c r="M811" s="1">
        <v>27</v>
      </c>
      <c r="N811" s="1">
        <v>4</v>
      </c>
      <c r="O811" s="1">
        <v>7</v>
      </c>
      <c r="P811" s="1">
        <v>3</v>
      </c>
      <c r="Q811" s="1">
        <v>7</v>
      </c>
      <c r="R811" s="1">
        <v>6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49</v>
      </c>
      <c r="AA811" s="1" t="str" cm="1">
        <f t="array" ref="AA811">_xlfn.IFS(AND(Z811&lt;36, Z811&gt;23), "24-35", AND(Z811&lt;51, Z811&gt;35),"36-50", AND(Z811&lt;66, Z811&gt;50), "51-66", Z811&gt;65, "66+", TRUE, "?")</f>
        <v>36-50</v>
      </c>
      <c r="AB811" s="1">
        <v>2752</v>
      </c>
      <c r="AC811" s="1">
        <v>1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1</v>
      </c>
      <c r="AJ811" s="1">
        <v>0</v>
      </c>
      <c r="AK811" s="1">
        <v>0</v>
      </c>
      <c r="AL811" s="1">
        <v>536</v>
      </c>
      <c r="AM811" s="2">
        <v>42097</v>
      </c>
      <c r="AN811" t="str">
        <f t="shared" si="25"/>
        <v>55635,563,0.010119529073425,0,1,34,235,65,164,50,49,27,4,7,3,7,6,0,0,0,0,0,0,0,49,36-50,2752,1,0,0,0,0,0,1,0,0,536,42097</v>
      </c>
    </row>
    <row r="812" spans="1:40" ht="13" hidden="1" x14ac:dyDescent="0.15">
      <c r="A812">
        <v>1611</v>
      </c>
      <c r="B812" s="1">
        <v>62905</v>
      </c>
      <c r="C812" s="1">
        <v>563</v>
      </c>
      <c r="D812" s="4">
        <f t="shared" si="24"/>
        <v>8.9500039742468809E-3</v>
      </c>
      <c r="E812" s="1">
        <v>0</v>
      </c>
      <c r="F812" s="1">
        <v>1</v>
      </c>
      <c r="G812" s="1">
        <v>68</v>
      </c>
      <c r="H812" s="1">
        <v>166</v>
      </c>
      <c r="I812" s="1">
        <v>75</v>
      </c>
      <c r="J812" s="1">
        <v>96</v>
      </c>
      <c r="K812" s="1">
        <v>119</v>
      </c>
      <c r="L812" s="1">
        <v>107</v>
      </c>
      <c r="M812" s="1">
        <v>59</v>
      </c>
      <c r="N812" s="1">
        <v>3</v>
      </c>
      <c r="O812" s="1">
        <v>7</v>
      </c>
      <c r="P812" s="1">
        <v>2</v>
      </c>
      <c r="Q812" s="1">
        <v>8</v>
      </c>
      <c r="R812" s="1">
        <v>4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56</v>
      </c>
      <c r="AA812" s="1" t="str" cm="1">
        <f t="array" ref="AA812">_xlfn.IFS(AND(Z812&lt;36, Z812&gt;23), "24-35", AND(Z812&lt;51, Z812&gt;35),"36-50", AND(Z812&lt;66, Z812&gt;50), "51-66", Z812&gt;65, "66+", TRUE, "?")</f>
        <v>51-66</v>
      </c>
      <c r="AB812" s="1">
        <v>2451</v>
      </c>
      <c r="AC812" s="1">
        <v>0</v>
      </c>
      <c r="AD812" s="1">
        <v>1</v>
      </c>
      <c r="AE812" s="1">
        <v>0</v>
      </c>
      <c r="AF812" s="1">
        <v>0</v>
      </c>
      <c r="AG812" s="1">
        <v>0</v>
      </c>
      <c r="AH812" s="1">
        <v>1</v>
      </c>
      <c r="AI812" s="1">
        <v>0</v>
      </c>
      <c r="AJ812" s="1">
        <v>0</v>
      </c>
      <c r="AK812" s="1">
        <v>0</v>
      </c>
      <c r="AL812" s="1">
        <v>504</v>
      </c>
      <c r="AM812" s="2">
        <v>42398</v>
      </c>
      <c r="AN812" t="str">
        <f t="shared" si="25"/>
        <v>62905,563,0.00895000397424688,0,1,68,166,75,96,119,107,59,3,7,2,8,4,0,0,0,0,0,0,0,56,51-66,2451,0,1,0,0,0,1,0,0,0,504,42398</v>
      </c>
    </row>
    <row r="813" spans="1:40" ht="13" hidden="1" x14ac:dyDescent="0.15">
      <c r="A813">
        <v>1434</v>
      </c>
      <c r="B813" s="1">
        <v>76800</v>
      </c>
      <c r="C813" s="1">
        <v>560</v>
      </c>
      <c r="D813" s="4">
        <f t="shared" si="24"/>
        <v>7.2916666666666668E-3</v>
      </c>
      <c r="E813" s="1">
        <v>0</v>
      </c>
      <c r="F813" s="1">
        <v>0</v>
      </c>
      <c r="G813" s="1">
        <v>33</v>
      </c>
      <c r="H813" s="1">
        <v>173</v>
      </c>
      <c r="I813" s="1">
        <v>26</v>
      </c>
      <c r="J813" s="1">
        <v>255</v>
      </c>
      <c r="K813" s="1">
        <v>35</v>
      </c>
      <c r="L813" s="1">
        <v>71</v>
      </c>
      <c r="M813" s="1">
        <v>81</v>
      </c>
      <c r="N813" s="1">
        <v>1</v>
      </c>
      <c r="O813" s="1">
        <v>4</v>
      </c>
      <c r="P813" s="1">
        <v>4</v>
      </c>
      <c r="Q813" s="1">
        <v>7</v>
      </c>
      <c r="R813" s="1">
        <v>1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55</v>
      </c>
      <c r="AA813" s="1" t="str" cm="1">
        <f t="array" ref="AA813">_xlfn.IFS(AND(Z813&lt;36, Z813&gt;23), "24-35", AND(Z813&lt;51, Z813&gt;35),"36-50", AND(Z813&lt;66, Z813&gt;50), "51-66", Z813&gt;65, "66+", TRUE, "?")</f>
        <v>51-66</v>
      </c>
      <c r="AB813" s="1">
        <v>2272</v>
      </c>
      <c r="AC813" s="1">
        <v>0</v>
      </c>
      <c r="AD813" s="1">
        <v>1</v>
      </c>
      <c r="AE813" s="1">
        <v>0</v>
      </c>
      <c r="AF813" s="1">
        <v>0</v>
      </c>
      <c r="AG813" s="1">
        <v>0</v>
      </c>
      <c r="AH813" s="1">
        <v>1</v>
      </c>
      <c r="AI813" s="1">
        <v>0</v>
      </c>
      <c r="AJ813" s="1">
        <v>0</v>
      </c>
      <c r="AK813" s="1">
        <v>0</v>
      </c>
      <c r="AL813" s="1">
        <v>479</v>
      </c>
      <c r="AM813" s="2">
        <v>42577</v>
      </c>
      <c r="AN813" t="str">
        <f t="shared" si="25"/>
        <v>76800,560,0.00729166666666667,0,0,33,173,26,255,35,71,81,1,4,4,7,1,0,0,0,0,0,0,0,55,51-66,2272,0,1,0,0,0,1,0,0,0,479,42577</v>
      </c>
    </row>
    <row r="814" spans="1:40" ht="13" hidden="1" x14ac:dyDescent="0.15">
      <c r="A814">
        <v>1521</v>
      </c>
      <c r="B814" s="1">
        <v>50334</v>
      </c>
      <c r="C814" s="1">
        <v>560</v>
      </c>
      <c r="D814" s="4">
        <f t="shared" si="24"/>
        <v>1.1125680454563516E-2</v>
      </c>
      <c r="E814" s="1">
        <v>0</v>
      </c>
      <c r="F814" s="1">
        <v>1</v>
      </c>
      <c r="G814" s="1">
        <v>24</v>
      </c>
      <c r="H814" s="1">
        <v>284</v>
      </c>
      <c r="I814" s="1">
        <v>16</v>
      </c>
      <c r="J814" s="1">
        <v>160</v>
      </c>
      <c r="K814" s="1">
        <v>84</v>
      </c>
      <c r="L814" s="1">
        <v>16</v>
      </c>
      <c r="M814" s="1">
        <v>134</v>
      </c>
      <c r="N814" s="1">
        <v>6</v>
      </c>
      <c r="O814" s="1">
        <v>7</v>
      </c>
      <c r="P814" s="1">
        <v>4</v>
      </c>
      <c r="Q814" s="1">
        <v>6</v>
      </c>
      <c r="R814" s="1">
        <v>6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48</v>
      </c>
      <c r="AA814" s="1" t="str" cm="1">
        <f t="array" ref="AA814">_xlfn.IFS(AND(Z814&lt;36, Z814&gt;23), "24-35", AND(Z814&lt;51, Z814&gt;35),"36-50", AND(Z814&lt;66, Z814&gt;50), "51-66", Z814&gt;65, "66+", TRUE, "?")</f>
        <v>36-50</v>
      </c>
      <c r="AB814" s="1">
        <v>2499</v>
      </c>
      <c r="AC814" s="1">
        <v>0</v>
      </c>
      <c r="AD814" s="1">
        <v>0</v>
      </c>
      <c r="AE814" s="1">
        <v>0</v>
      </c>
      <c r="AF814" s="1">
        <v>1</v>
      </c>
      <c r="AG814" s="1">
        <v>0</v>
      </c>
      <c r="AH814" s="1">
        <v>1</v>
      </c>
      <c r="AI814" s="1">
        <v>0</v>
      </c>
      <c r="AJ814" s="1">
        <v>0</v>
      </c>
      <c r="AK814" s="1">
        <v>0</v>
      </c>
      <c r="AL814" s="1">
        <v>426</v>
      </c>
      <c r="AM814" s="2">
        <v>42350</v>
      </c>
      <c r="AN814" t="str">
        <f t="shared" si="25"/>
        <v>50334,560,0.0111256804545635,0,1,24,284,16,160,84,16,134,6,7,4,6,6,0,0,0,0,0,0,0,48,36-50,2499,0,0,0,1,0,1,0,0,0,426,42350</v>
      </c>
    </row>
    <row r="815" spans="1:40" ht="13" hidden="1" x14ac:dyDescent="0.15">
      <c r="A815">
        <v>751</v>
      </c>
      <c r="B815" s="1">
        <v>61872</v>
      </c>
      <c r="C815" s="1">
        <v>557</v>
      </c>
      <c r="D815" s="4">
        <f t="shared" si="24"/>
        <v>9.0024566847685551E-3</v>
      </c>
      <c r="E815" s="1">
        <v>0</v>
      </c>
      <c r="F815" s="1">
        <v>1</v>
      </c>
      <c r="G815" s="1">
        <v>81</v>
      </c>
      <c r="H815" s="1">
        <v>330</v>
      </c>
      <c r="I815" s="1">
        <v>5</v>
      </c>
      <c r="J815" s="1">
        <v>159</v>
      </c>
      <c r="K815" s="1">
        <v>36</v>
      </c>
      <c r="L815" s="1">
        <v>27</v>
      </c>
      <c r="M815" s="1">
        <v>16</v>
      </c>
      <c r="N815" s="1">
        <v>4</v>
      </c>
      <c r="O815" s="1">
        <v>4</v>
      </c>
      <c r="P815" s="1">
        <v>4</v>
      </c>
      <c r="Q815" s="1">
        <v>9</v>
      </c>
      <c r="R815" s="1">
        <v>4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50</v>
      </c>
      <c r="AA815" s="1" t="str" cm="1">
        <f t="array" ref="AA815">_xlfn.IFS(AND(Z815&lt;36, Z815&gt;23), "24-35", AND(Z815&lt;51, Z815&gt;35),"36-50", AND(Z815&lt;66, Z815&gt;50), "51-66", Z815&gt;65, "66+", TRUE, "?")</f>
        <v>36-50</v>
      </c>
      <c r="AB815" s="1">
        <v>2357</v>
      </c>
      <c r="AC815" s="1">
        <v>0</v>
      </c>
      <c r="AD815" s="1">
        <v>1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1</v>
      </c>
      <c r="AK815" s="1">
        <v>0</v>
      </c>
      <c r="AL815" s="1">
        <v>541</v>
      </c>
      <c r="AM815" s="2">
        <v>42492</v>
      </c>
      <c r="AN815" t="str">
        <f t="shared" si="25"/>
        <v>61872,557,0.00900245668476856,0,1,81,330,5,159,36,27,16,4,4,4,9,4,0,0,0,0,0,0,0,50,36-50,2357,0,1,0,0,0,0,0,1,0,541,42492</v>
      </c>
    </row>
    <row r="816" spans="1:40" ht="13" hidden="1" x14ac:dyDescent="0.15">
      <c r="A816">
        <v>1502</v>
      </c>
      <c r="B816" s="1">
        <v>50002</v>
      </c>
      <c r="C816" s="1">
        <v>556</v>
      </c>
      <c r="D816" s="4">
        <f t="shared" si="24"/>
        <v>1.1119555217791288E-2</v>
      </c>
      <c r="E816" s="1">
        <v>0</v>
      </c>
      <c r="F816" s="1">
        <v>1</v>
      </c>
      <c r="G816" s="1">
        <v>21</v>
      </c>
      <c r="H816" s="1">
        <v>443</v>
      </c>
      <c r="I816" s="1">
        <v>5</v>
      </c>
      <c r="J816" s="1">
        <v>71</v>
      </c>
      <c r="K816" s="1">
        <v>21</v>
      </c>
      <c r="L816" s="1">
        <v>16</v>
      </c>
      <c r="M816" s="1">
        <v>82</v>
      </c>
      <c r="N816" s="1">
        <v>2</v>
      </c>
      <c r="O816" s="1">
        <v>8</v>
      </c>
      <c r="P816" s="1">
        <v>2</v>
      </c>
      <c r="Q816" s="1">
        <v>7</v>
      </c>
      <c r="R816" s="1">
        <v>7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66</v>
      </c>
      <c r="AA816" s="1" t="str" cm="1">
        <f t="array" ref="AA816">_xlfn.IFS(AND(Z816&lt;36, Z816&gt;23), "24-35", AND(Z816&lt;51, Z816&gt;35),"36-50", AND(Z816&lt;66, Z816&gt;50), "51-66", Z816&gt;65, "66+", TRUE, "?")</f>
        <v>66+</v>
      </c>
      <c r="AB816" s="1">
        <v>2536</v>
      </c>
      <c r="AC816" s="1">
        <v>1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1</v>
      </c>
      <c r="AJ816" s="1">
        <v>0</v>
      </c>
      <c r="AK816" s="1">
        <v>0</v>
      </c>
      <c r="AL816" s="1">
        <v>474</v>
      </c>
      <c r="AM816" s="2">
        <v>42313</v>
      </c>
      <c r="AN816" t="str">
        <f t="shared" si="25"/>
        <v>50002,556,0.0111195552177913,0,1,21,443,5,71,21,16,82,2,8,2,7,7,0,0,0,0,0,0,0,66,66+,2536,1,0,0,0,0,0,1,0,0,474,42313</v>
      </c>
    </row>
    <row r="817" spans="1:40" ht="13" hidden="1" x14ac:dyDescent="0.15">
      <c r="A817">
        <v>339</v>
      </c>
      <c r="B817" s="1">
        <v>54803</v>
      </c>
      <c r="C817" s="1">
        <v>551</v>
      </c>
      <c r="D817" s="4">
        <f t="shared" si="24"/>
        <v>1.0054194113460943E-2</v>
      </c>
      <c r="E817" s="1">
        <v>0</v>
      </c>
      <c r="F817" s="1">
        <v>1</v>
      </c>
      <c r="G817" s="1">
        <v>65</v>
      </c>
      <c r="H817" s="1">
        <v>404</v>
      </c>
      <c r="I817" s="1">
        <v>0</v>
      </c>
      <c r="J817" s="1">
        <v>92</v>
      </c>
      <c r="K817" s="1">
        <v>28</v>
      </c>
      <c r="L817" s="1">
        <v>27</v>
      </c>
      <c r="M817" s="1">
        <v>142</v>
      </c>
      <c r="N817" s="1">
        <v>2</v>
      </c>
      <c r="O817" s="1">
        <v>6</v>
      </c>
      <c r="P817" s="1">
        <v>2</v>
      </c>
      <c r="Q817" s="1">
        <v>9</v>
      </c>
      <c r="R817" s="1">
        <v>4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51</v>
      </c>
      <c r="AA817" s="1" t="str" cm="1">
        <f t="array" ref="AA817">_xlfn.IFS(AND(Z817&lt;36, Z817&gt;23), "24-35", AND(Z817&lt;51, Z817&gt;35),"36-50", AND(Z817&lt;66, Z817&gt;50), "51-66", Z817&gt;65, "66+", TRUE, "?")</f>
        <v>51-66</v>
      </c>
      <c r="AB817" s="1">
        <v>2836</v>
      </c>
      <c r="AC817" s="1">
        <v>0</v>
      </c>
      <c r="AD817" s="1">
        <v>0</v>
      </c>
      <c r="AE817" s="1">
        <v>1</v>
      </c>
      <c r="AF817" s="1">
        <v>0</v>
      </c>
      <c r="AG817" s="1">
        <v>0</v>
      </c>
      <c r="AH817" s="1">
        <v>0</v>
      </c>
      <c r="AI817" s="1">
        <v>1</v>
      </c>
      <c r="AJ817" s="1">
        <v>0</v>
      </c>
      <c r="AK817" s="1">
        <v>0</v>
      </c>
      <c r="AL817" s="1">
        <v>409</v>
      </c>
      <c r="AM817" s="2">
        <v>42013</v>
      </c>
      <c r="AN817" t="str">
        <f t="shared" si="25"/>
        <v>54803,551,0.0100541941134609,0,1,65,404,0,92,28,27,142,2,6,2,9,4,0,0,0,0,0,0,0,51,51-66,2836,0,0,1,0,0,0,1,0,0,409,42013</v>
      </c>
    </row>
    <row r="818" spans="1:40" ht="13" hidden="1" x14ac:dyDescent="0.15">
      <c r="A818">
        <v>1912</v>
      </c>
      <c r="B818" s="1">
        <v>58275</v>
      </c>
      <c r="C818" s="1">
        <v>551</v>
      </c>
      <c r="D818" s="4">
        <f t="shared" si="24"/>
        <v>9.4551694551694553E-3</v>
      </c>
      <c r="E818" s="1">
        <v>1</v>
      </c>
      <c r="F818" s="1">
        <v>1</v>
      </c>
      <c r="G818" s="1">
        <v>48</v>
      </c>
      <c r="H818" s="1">
        <v>189</v>
      </c>
      <c r="I818" s="1">
        <v>10</v>
      </c>
      <c r="J818" s="1">
        <v>253</v>
      </c>
      <c r="K818" s="1">
        <v>56</v>
      </c>
      <c r="L818" s="1">
        <v>43</v>
      </c>
      <c r="M818" s="1">
        <v>64</v>
      </c>
      <c r="N818" s="1">
        <v>6</v>
      </c>
      <c r="O818" s="1">
        <v>8</v>
      </c>
      <c r="P818" s="1">
        <v>2</v>
      </c>
      <c r="Q818" s="1">
        <v>7</v>
      </c>
      <c r="R818" s="1">
        <v>7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65</v>
      </c>
      <c r="AA818" s="1" t="str" cm="1">
        <f t="array" ref="AA818">_xlfn.IFS(AND(Z818&lt;36, Z818&gt;23), "24-35", AND(Z818&lt;51, Z818&gt;35),"36-50", AND(Z818&lt;66, Z818&gt;50), "51-66", Z818&gt;65, "66+", TRUE, "?")</f>
        <v>51-66</v>
      </c>
      <c r="AB818" s="1">
        <v>2551</v>
      </c>
      <c r="AC818" s="1">
        <v>0</v>
      </c>
      <c r="AD818" s="1">
        <v>0</v>
      </c>
      <c r="AE818" s="1">
        <v>0</v>
      </c>
      <c r="AF818" s="1">
        <v>0</v>
      </c>
      <c r="AG818" s="1">
        <v>1</v>
      </c>
      <c r="AH818" s="1">
        <v>0</v>
      </c>
      <c r="AI818" s="1">
        <v>1</v>
      </c>
      <c r="AJ818" s="1">
        <v>0</v>
      </c>
      <c r="AK818" s="1">
        <v>0</v>
      </c>
      <c r="AL818" s="1">
        <v>487</v>
      </c>
      <c r="AM818" s="2">
        <v>42298</v>
      </c>
      <c r="AN818" t="str">
        <f t="shared" si="25"/>
        <v>58275,551,0.00945516945516946,1,1,48,189,10,253,56,43,64,6,8,2,7,7,0,0,0,0,0,0,0,65,51-66,2551,0,0,0,0,1,0,1,0,0,487,42298</v>
      </c>
    </row>
    <row r="819" spans="1:40" ht="13" hidden="1" x14ac:dyDescent="0.15">
      <c r="A819">
        <v>889</v>
      </c>
      <c r="B819" s="1">
        <v>57937</v>
      </c>
      <c r="C819" s="1">
        <v>550</v>
      </c>
      <c r="D819" s="4">
        <f t="shared" si="24"/>
        <v>9.4930700588570349E-3</v>
      </c>
      <c r="E819" s="1">
        <v>0</v>
      </c>
      <c r="F819" s="1">
        <v>1</v>
      </c>
      <c r="G819" s="1">
        <v>56</v>
      </c>
      <c r="H819" s="1">
        <v>261</v>
      </c>
      <c r="I819" s="1">
        <v>42</v>
      </c>
      <c r="J819" s="1">
        <v>144</v>
      </c>
      <c r="K819" s="1">
        <v>55</v>
      </c>
      <c r="L819" s="1">
        <v>48</v>
      </c>
      <c r="M819" s="1">
        <v>133</v>
      </c>
      <c r="N819" s="1">
        <v>3</v>
      </c>
      <c r="O819" s="1">
        <v>4</v>
      </c>
      <c r="P819" s="1">
        <v>4</v>
      </c>
      <c r="Q819" s="1">
        <v>9</v>
      </c>
      <c r="R819" s="1">
        <v>3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38</v>
      </c>
      <c r="AA819" s="1" t="str" cm="1">
        <f t="array" ref="AA819">_xlfn.IFS(AND(Z819&lt;36, Z819&gt;23), "24-35", AND(Z819&lt;51, Z819&gt;35),"36-50", AND(Z819&lt;66, Z819&gt;50), "51-66", Z819&gt;65, "66+", TRUE, "?")</f>
        <v>36-50</v>
      </c>
      <c r="AB819" s="1">
        <v>2292</v>
      </c>
      <c r="AC819" s="1">
        <v>0</v>
      </c>
      <c r="AD819" s="1">
        <v>1</v>
      </c>
      <c r="AE819" s="1">
        <v>0</v>
      </c>
      <c r="AF819" s="1">
        <v>0</v>
      </c>
      <c r="AG819" s="1">
        <v>0</v>
      </c>
      <c r="AH819" s="1">
        <v>1</v>
      </c>
      <c r="AI819" s="1">
        <v>0</v>
      </c>
      <c r="AJ819" s="1">
        <v>0</v>
      </c>
      <c r="AK819" s="1">
        <v>0</v>
      </c>
      <c r="AL819" s="1">
        <v>417</v>
      </c>
      <c r="AM819" s="2">
        <v>42557</v>
      </c>
      <c r="AN819" t="str">
        <f t="shared" si="25"/>
        <v>57937,550,0.00949307005885703,0,1,56,261,42,144,55,48,133,3,4,4,9,3,0,0,0,0,0,0,0,38,36-50,2292,0,1,0,0,0,1,0,0,0,417,42557</v>
      </c>
    </row>
    <row r="820" spans="1:40" ht="13" hidden="1" x14ac:dyDescent="0.15">
      <c r="A820">
        <v>1395</v>
      </c>
      <c r="B820" s="1">
        <v>57136</v>
      </c>
      <c r="C820" s="1">
        <v>550</v>
      </c>
      <c r="D820" s="4">
        <f t="shared" si="24"/>
        <v>9.6261551386166346E-3</v>
      </c>
      <c r="E820" s="1">
        <v>1</v>
      </c>
      <c r="F820" s="1">
        <v>1</v>
      </c>
      <c r="G820" s="1">
        <v>48</v>
      </c>
      <c r="H820" s="1">
        <v>306</v>
      </c>
      <c r="I820" s="1">
        <v>5</v>
      </c>
      <c r="J820" s="1">
        <v>109</v>
      </c>
      <c r="K820" s="1">
        <v>21</v>
      </c>
      <c r="L820" s="1">
        <v>109</v>
      </c>
      <c r="M820" s="1">
        <v>92</v>
      </c>
      <c r="N820" s="1">
        <v>9</v>
      </c>
      <c r="O820" s="1">
        <v>5</v>
      </c>
      <c r="P820" s="1">
        <v>2</v>
      </c>
      <c r="Q820" s="1">
        <v>10</v>
      </c>
      <c r="R820" s="1">
        <v>6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48</v>
      </c>
      <c r="AA820" s="1" t="str" cm="1">
        <f t="array" ref="AA820">_xlfn.IFS(AND(Z820&lt;36, Z820&gt;23), "24-35", AND(Z820&lt;51, Z820&gt;35),"36-50", AND(Z820&lt;66, Z820&gt;50), "51-66", Z820&gt;65, "66+", TRUE, "?")</f>
        <v>36-50</v>
      </c>
      <c r="AB820" s="1">
        <v>2514</v>
      </c>
      <c r="AC820" s="1">
        <v>0</v>
      </c>
      <c r="AD820" s="1">
        <v>1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1</v>
      </c>
      <c r="AK820" s="1">
        <v>0</v>
      </c>
      <c r="AL820" s="1">
        <v>458</v>
      </c>
      <c r="AM820" s="2">
        <v>42335</v>
      </c>
      <c r="AN820" t="str">
        <f t="shared" si="25"/>
        <v>57136,550,0.00962615513861663,1,1,48,306,5,109,21,109,92,9,5,2,10,6,0,0,0,0,0,0,0,48,36-50,2514,0,1,0,0,0,0,0,1,0,458,42335</v>
      </c>
    </row>
    <row r="821" spans="1:40" ht="13" hidden="1" x14ac:dyDescent="0.15">
      <c r="A821">
        <v>101</v>
      </c>
      <c r="B821" s="1">
        <v>57288</v>
      </c>
      <c r="C821" s="1">
        <v>548</v>
      </c>
      <c r="D821" s="4">
        <f t="shared" si="24"/>
        <v>9.5657031140902113E-3</v>
      </c>
      <c r="E821" s="1">
        <v>0</v>
      </c>
      <c r="F821" s="1">
        <v>1</v>
      </c>
      <c r="G821" s="1">
        <v>27</v>
      </c>
      <c r="H821" s="1">
        <v>527</v>
      </c>
      <c r="I821" s="1">
        <v>0</v>
      </c>
      <c r="J821" s="1">
        <v>21</v>
      </c>
      <c r="K821" s="1">
        <v>0</v>
      </c>
      <c r="L821" s="1">
        <v>0</v>
      </c>
      <c r="M821" s="1">
        <v>60</v>
      </c>
      <c r="N821" s="1">
        <v>3</v>
      </c>
      <c r="O821" s="1">
        <v>8</v>
      </c>
      <c r="P821" s="1">
        <v>1</v>
      </c>
      <c r="Q821" s="1">
        <v>8</v>
      </c>
      <c r="R821" s="1">
        <v>6</v>
      </c>
      <c r="S821" s="1">
        <v>0</v>
      </c>
      <c r="T821" s="1">
        <v>0</v>
      </c>
      <c r="U821" s="1">
        <v>0</v>
      </c>
      <c r="V821" s="1">
        <v>1</v>
      </c>
      <c r="W821" s="1">
        <v>0</v>
      </c>
      <c r="X821" s="1">
        <v>0</v>
      </c>
      <c r="Y821" s="1">
        <v>0</v>
      </c>
      <c r="Z821" s="1">
        <v>57</v>
      </c>
      <c r="AA821" s="1" t="str" cm="1">
        <f t="array" ref="AA821">_xlfn.IFS(AND(Z821&lt;36, Z821&gt;23), "24-35", AND(Z821&lt;51, Z821&gt;35),"36-50", AND(Z821&lt;66, Z821&gt;50), "51-66", Z821&gt;65, "66+", TRUE, "?")</f>
        <v>51-66</v>
      </c>
      <c r="AB821" s="1">
        <v>2163</v>
      </c>
      <c r="AC821" s="1">
        <v>0</v>
      </c>
      <c r="AD821" s="1">
        <v>0</v>
      </c>
      <c r="AE821" s="1">
        <v>0</v>
      </c>
      <c r="AF821" s="1">
        <v>1</v>
      </c>
      <c r="AG821" s="1">
        <v>0</v>
      </c>
      <c r="AH821" s="1">
        <v>0</v>
      </c>
      <c r="AI821" s="1">
        <v>0</v>
      </c>
      <c r="AJ821" s="1">
        <v>1</v>
      </c>
      <c r="AK821" s="1">
        <v>0</v>
      </c>
      <c r="AL821" s="1">
        <v>488</v>
      </c>
      <c r="AM821" s="2">
        <v>42686</v>
      </c>
      <c r="AN821" t="str">
        <f t="shared" si="25"/>
        <v>57288,548,0.00956570311409021,0,1,27,527,0,21,0,0,60,3,8,1,8,6,0,0,0,1,0,0,0,57,51-66,2163,0,0,0,1,0,0,0,1,0,488,42686</v>
      </c>
    </row>
    <row r="822" spans="1:40" ht="13" hidden="1" x14ac:dyDescent="0.15">
      <c r="A822">
        <v>712</v>
      </c>
      <c r="B822" s="1">
        <v>79146</v>
      </c>
      <c r="C822" s="1">
        <v>548</v>
      </c>
      <c r="D822" s="4">
        <f t="shared" si="24"/>
        <v>6.9239127688070145E-3</v>
      </c>
      <c r="E822" s="1">
        <v>1</v>
      </c>
      <c r="F822" s="1">
        <v>1</v>
      </c>
      <c r="G822" s="1">
        <v>33</v>
      </c>
      <c r="H822" s="1">
        <v>245</v>
      </c>
      <c r="I822" s="1">
        <v>16</v>
      </c>
      <c r="J822" s="1">
        <v>223</v>
      </c>
      <c r="K822" s="1">
        <v>21</v>
      </c>
      <c r="L822" s="1">
        <v>43</v>
      </c>
      <c r="M822" s="1">
        <v>16</v>
      </c>
      <c r="N822" s="1">
        <v>2</v>
      </c>
      <c r="O822" s="1">
        <v>8</v>
      </c>
      <c r="P822" s="1">
        <v>1</v>
      </c>
      <c r="Q822" s="1">
        <v>8</v>
      </c>
      <c r="R822" s="1">
        <v>6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53</v>
      </c>
      <c r="AA822" s="1" t="str" cm="1">
        <f t="array" ref="AA822">_xlfn.IFS(AND(Z822&lt;36, Z822&gt;23), "24-35", AND(Z822&lt;51, Z822&gt;35),"36-50", AND(Z822&lt;66, Z822&gt;50), "51-66", Z822&gt;65, "66+", TRUE, "?")</f>
        <v>51-66</v>
      </c>
      <c r="AB822" s="1">
        <v>2225</v>
      </c>
      <c r="AC822" s="1">
        <v>0</v>
      </c>
      <c r="AD822" s="1">
        <v>0</v>
      </c>
      <c r="AE822" s="1">
        <v>1</v>
      </c>
      <c r="AF822" s="1">
        <v>0</v>
      </c>
      <c r="AG822" s="1">
        <v>0</v>
      </c>
      <c r="AH822" s="1">
        <v>0</v>
      </c>
      <c r="AI822" s="1">
        <v>1</v>
      </c>
      <c r="AJ822" s="1">
        <v>0</v>
      </c>
      <c r="AK822" s="1">
        <v>0</v>
      </c>
      <c r="AL822" s="1">
        <v>532</v>
      </c>
      <c r="AM822" s="2">
        <v>42624</v>
      </c>
      <c r="AN822" t="str">
        <f t="shared" si="25"/>
        <v>79146,548,0.00692391276880701,1,1,33,245,16,223,21,43,16,2,8,1,8,6,0,0,0,0,0,0,0,53,51-66,2225,0,0,1,0,0,0,1,0,0,532,42624</v>
      </c>
    </row>
    <row r="823" spans="1:40" ht="13" x14ac:dyDescent="0.15">
      <c r="A823">
        <v>1313</v>
      </c>
      <c r="B823" s="1">
        <v>64713</v>
      </c>
      <c r="C823" s="1">
        <v>548</v>
      </c>
      <c r="D823" s="4">
        <f t="shared" si="24"/>
        <v>8.4681594115556379E-3</v>
      </c>
      <c r="E823" s="1">
        <v>1</v>
      </c>
      <c r="F823" s="1">
        <v>0</v>
      </c>
      <c r="G823" s="1">
        <v>11</v>
      </c>
      <c r="H823" s="1">
        <v>180</v>
      </c>
      <c r="I823" s="1">
        <v>60</v>
      </c>
      <c r="J823" s="1">
        <v>241</v>
      </c>
      <c r="K823" s="1">
        <v>13</v>
      </c>
      <c r="L823" s="1">
        <v>54</v>
      </c>
      <c r="M823" s="1">
        <v>54</v>
      </c>
      <c r="N823" s="1">
        <v>2</v>
      </c>
      <c r="O823" s="1">
        <v>5</v>
      </c>
      <c r="P823" s="1">
        <v>5</v>
      </c>
      <c r="Q823" s="1">
        <v>7</v>
      </c>
      <c r="R823" s="1">
        <v>4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</v>
      </c>
      <c r="Z823" s="1">
        <v>50</v>
      </c>
      <c r="AA823" s="1" t="str" cm="1">
        <f t="array" ref="AA823">_xlfn.IFS(AND(Z823&lt;36, Z823&gt;23), "24-35", AND(Z823&lt;51, Z823&gt;35),"36-50", AND(Z823&lt;66, Z823&gt;50), "51-66", Z823&gt;65, "66+", TRUE, "?")</f>
        <v>36-50</v>
      </c>
      <c r="AB823" s="1">
        <v>2301</v>
      </c>
      <c r="AC823" s="1">
        <v>1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1</v>
      </c>
      <c r="AJ823" s="1">
        <v>0</v>
      </c>
      <c r="AK823" s="1">
        <v>0</v>
      </c>
      <c r="AL823" s="1">
        <v>494</v>
      </c>
      <c r="AM823" s="2">
        <v>42548</v>
      </c>
      <c r="AN823" t="str">
        <f t="shared" si="25"/>
        <v>64713,548,0.00846815941155564,1,0,11,180,60,241,13,54,54,2,5,5,7,4,0,0,0,0,0,0,1,50,36-50,2301,1,0,0,0,0,0,1,0,0,494,42548</v>
      </c>
    </row>
    <row r="824" spans="1:40" ht="13" hidden="1" x14ac:dyDescent="0.15">
      <c r="A824">
        <v>668</v>
      </c>
      <c r="B824" s="1">
        <v>58398</v>
      </c>
      <c r="C824" s="1">
        <v>547</v>
      </c>
      <c r="D824" s="4">
        <f t="shared" si="24"/>
        <v>9.3667591355868357E-3</v>
      </c>
      <c r="E824" s="1">
        <v>0</v>
      </c>
      <c r="F824" s="1">
        <v>0</v>
      </c>
      <c r="G824" s="1">
        <v>44</v>
      </c>
      <c r="H824" s="1">
        <v>299</v>
      </c>
      <c r="I824" s="1">
        <v>5</v>
      </c>
      <c r="J824" s="1">
        <v>201</v>
      </c>
      <c r="K824" s="1">
        <v>21</v>
      </c>
      <c r="L824" s="1">
        <v>21</v>
      </c>
      <c r="M824" s="1">
        <v>49</v>
      </c>
      <c r="N824" s="1">
        <v>3</v>
      </c>
      <c r="O824" s="1">
        <v>5</v>
      </c>
      <c r="P824" s="1">
        <v>4</v>
      </c>
      <c r="Q824" s="1">
        <v>8</v>
      </c>
      <c r="R824" s="1">
        <v>4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67</v>
      </c>
      <c r="AA824" s="1" t="str" cm="1">
        <f t="array" ref="AA824">_xlfn.IFS(AND(Z824&lt;36, Z824&gt;23), "24-35", AND(Z824&lt;51, Z824&gt;35),"36-50", AND(Z824&lt;66, Z824&gt;50), "51-66", Z824&gt;65, "66+", TRUE, "?")</f>
        <v>66+</v>
      </c>
      <c r="AB824" s="1">
        <v>2570</v>
      </c>
      <c r="AC824" s="1">
        <v>0</v>
      </c>
      <c r="AD824" s="1">
        <v>0</v>
      </c>
      <c r="AE824" s="1">
        <v>0</v>
      </c>
      <c r="AF824" s="1">
        <v>1</v>
      </c>
      <c r="AG824" s="1">
        <v>0</v>
      </c>
      <c r="AH824" s="1">
        <v>0</v>
      </c>
      <c r="AI824" s="1">
        <v>1</v>
      </c>
      <c r="AJ824" s="1">
        <v>0</v>
      </c>
      <c r="AK824" s="1">
        <v>0</v>
      </c>
      <c r="AL824" s="1">
        <v>498</v>
      </c>
      <c r="AM824" s="2">
        <v>42279</v>
      </c>
      <c r="AN824" t="str">
        <f t="shared" si="25"/>
        <v>58398,547,0.00936675913558684,0,0,44,299,5,201,21,21,49,3,5,4,8,4,0,0,0,0,0,0,0,67,66+,2570,0,0,0,1,0,0,1,0,0,498,42279</v>
      </c>
    </row>
    <row r="825" spans="1:40" ht="13" hidden="1" x14ac:dyDescent="0.15">
      <c r="A825">
        <v>1964</v>
      </c>
      <c r="B825" s="1">
        <v>69263</v>
      </c>
      <c r="C825" s="1">
        <v>547</v>
      </c>
      <c r="D825" s="4">
        <f t="shared" si="24"/>
        <v>7.8974344166438063E-3</v>
      </c>
      <c r="E825" s="1">
        <v>0</v>
      </c>
      <c r="F825" s="1">
        <v>1</v>
      </c>
      <c r="G825" s="1">
        <v>14</v>
      </c>
      <c r="H825" s="1">
        <v>492</v>
      </c>
      <c r="I825" s="1">
        <v>5</v>
      </c>
      <c r="J825" s="1">
        <v>32</v>
      </c>
      <c r="K825" s="1">
        <v>13</v>
      </c>
      <c r="L825" s="1">
        <v>5</v>
      </c>
      <c r="M825" s="1">
        <v>21</v>
      </c>
      <c r="N825" s="1">
        <v>1</v>
      </c>
      <c r="O825" s="1">
        <v>9</v>
      </c>
      <c r="P825" s="1">
        <v>1</v>
      </c>
      <c r="Q825" s="1">
        <v>7</v>
      </c>
      <c r="R825" s="1">
        <v>6</v>
      </c>
      <c r="S825" s="1">
        <v>0</v>
      </c>
      <c r="T825" s="1">
        <v>0</v>
      </c>
      <c r="U825" s="1">
        <v>0</v>
      </c>
      <c r="V825" s="1">
        <v>1</v>
      </c>
      <c r="W825" s="1">
        <v>0</v>
      </c>
      <c r="X825" s="1">
        <v>0</v>
      </c>
      <c r="Y825" s="1">
        <v>0</v>
      </c>
      <c r="Z825" s="1">
        <v>55</v>
      </c>
      <c r="AA825" s="1" t="str" cm="1">
        <f t="array" ref="AA825">_xlfn.IFS(AND(Z825&lt;36, Z825&gt;23), "24-35", AND(Z825&lt;51, Z825&gt;35),"36-50", AND(Z825&lt;66, Z825&gt;50), "51-66", Z825&gt;65, "66+", TRUE, "?")</f>
        <v>51-66</v>
      </c>
      <c r="AB825" s="1">
        <v>2275</v>
      </c>
      <c r="AC825" s="1">
        <v>0</v>
      </c>
      <c r="AD825" s="1">
        <v>0</v>
      </c>
      <c r="AE825" s="1">
        <v>1</v>
      </c>
      <c r="AF825" s="1">
        <v>0</v>
      </c>
      <c r="AG825" s="1">
        <v>0</v>
      </c>
      <c r="AH825" s="1">
        <v>0</v>
      </c>
      <c r="AI825" s="1">
        <v>1</v>
      </c>
      <c r="AJ825" s="1">
        <v>0</v>
      </c>
      <c r="AK825" s="1">
        <v>0</v>
      </c>
      <c r="AL825" s="1">
        <v>526</v>
      </c>
      <c r="AM825" s="2">
        <v>42574</v>
      </c>
      <c r="AN825" t="str">
        <f t="shared" si="25"/>
        <v>69263,547,0.00789743441664381,0,1,14,492,5,32,13,5,21,1,9,1,7,6,0,0,0,1,0,0,0,55,51-66,2275,0,0,1,0,0,0,1,0,0,526,42574</v>
      </c>
    </row>
    <row r="826" spans="1:40" ht="13" hidden="1" x14ac:dyDescent="0.15">
      <c r="A826">
        <v>933</v>
      </c>
      <c r="B826" s="1">
        <v>42021</v>
      </c>
      <c r="C826" s="1">
        <v>546</v>
      </c>
      <c r="D826" s="4">
        <f t="shared" si="24"/>
        <v>1.2993503248375811E-2</v>
      </c>
      <c r="E826" s="1">
        <v>1</v>
      </c>
      <c r="F826" s="1">
        <v>0</v>
      </c>
      <c r="G826" s="1">
        <v>34</v>
      </c>
      <c r="H826" s="1">
        <v>393</v>
      </c>
      <c r="I826" s="1">
        <v>5</v>
      </c>
      <c r="J826" s="1">
        <v>136</v>
      </c>
      <c r="K826" s="1">
        <v>7</v>
      </c>
      <c r="L826" s="1">
        <v>5</v>
      </c>
      <c r="M826" s="1">
        <v>27</v>
      </c>
      <c r="N826" s="1">
        <v>5</v>
      </c>
      <c r="O826" s="1">
        <v>10</v>
      </c>
      <c r="P826" s="1">
        <v>1</v>
      </c>
      <c r="Q826" s="1">
        <v>6</v>
      </c>
      <c r="R826" s="1">
        <v>9</v>
      </c>
      <c r="S826" s="1">
        <v>0</v>
      </c>
      <c r="T826" s="1">
        <v>0</v>
      </c>
      <c r="U826" s="1">
        <v>1</v>
      </c>
      <c r="V826" s="1">
        <v>0</v>
      </c>
      <c r="W826" s="1">
        <v>0</v>
      </c>
      <c r="X826" s="1">
        <v>0</v>
      </c>
      <c r="Y826" s="1">
        <v>0</v>
      </c>
      <c r="Z826" s="1">
        <v>39</v>
      </c>
      <c r="AA826" s="1" t="str" cm="1">
        <f t="array" ref="AA826">_xlfn.IFS(AND(Z826&lt;36, Z826&gt;23), "24-35", AND(Z826&lt;51, Z826&gt;35),"36-50", AND(Z826&lt;66, Z826&gt;50), "51-66", Z826&gt;65, "66+", TRUE, "?")</f>
        <v>36-50</v>
      </c>
      <c r="AB826" s="1">
        <v>2826</v>
      </c>
      <c r="AC826" s="1">
        <v>0</v>
      </c>
      <c r="AD826" s="1">
        <v>0</v>
      </c>
      <c r="AE826" s="1">
        <v>0</v>
      </c>
      <c r="AF826" s="1">
        <v>1</v>
      </c>
      <c r="AG826" s="1">
        <v>0</v>
      </c>
      <c r="AH826" s="1">
        <v>0</v>
      </c>
      <c r="AI826" s="1">
        <v>0</v>
      </c>
      <c r="AJ826" s="1">
        <v>1</v>
      </c>
      <c r="AK826" s="1">
        <v>0</v>
      </c>
      <c r="AL826" s="1">
        <v>519</v>
      </c>
      <c r="AM826" s="2">
        <v>42023</v>
      </c>
      <c r="AN826" t="str">
        <f t="shared" si="25"/>
        <v>42021,546,0.0129935032483758,1,0,34,393,5,136,7,5,27,5,10,1,6,9,0,0,1,0,0,0,0,39,36-50,2826,0,0,0,1,0,0,0,1,0,519,42023</v>
      </c>
    </row>
    <row r="827" spans="1:40" ht="13" hidden="1" x14ac:dyDescent="0.15">
      <c r="A827">
        <v>1041</v>
      </c>
      <c r="B827" s="1">
        <v>65463</v>
      </c>
      <c r="C827" s="1">
        <v>546</v>
      </c>
      <c r="D827" s="4">
        <f t="shared" si="24"/>
        <v>8.3405893405435125E-3</v>
      </c>
      <c r="E827" s="1">
        <v>1</v>
      </c>
      <c r="F827" s="1">
        <v>0</v>
      </c>
      <c r="G827" s="1">
        <v>17</v>
      </c>
      <c r="H827" s="1">
        <v>391</v>
      </c>
      <c r="I827" s="1">
        <v>32</v>
      </c>
      <c r="J827" s="1">
        <v>70</v>
      </c>
      <c r="K827" s="1">
        <v>21</v>
      </c>
      <c r="L827" s="1">
        <v>32</v>
      </c>
      <c r="M827" s="1">
        <v>16</v>
      </c>
      <c r="N827" s="1">
        <v>2</v>
      </c>
      <c r="O827" s="1">
        <v>6</v>
      </c>
      <c r="P827" s="1">
        <v>2</v>
      </c>
      <c r="Q827" s="1">
        <v>9</v>
      </c>
      <c r="R827" s="1">
        <v>5</v>
      </c>
      <c r="S827" s="1">
        <v>0</v>
      </c>
      <c r="T827" s="1">
        <v>0</v>
      </c>
      <c r="U827" s="1">
        <v>0</v>
      </c>
      <c r="V827" s="1">
        <v>1</v>
      </c>
      <c r="W827" s="1">
        <v>0</v>
      </c>
      <c r="X827" s="1">
        <v>0</v>
      </c>
      <c r="Y827" s="1">
        <v>0</v>
      </c>
      <c r="Z827" s="1">
        <v>46</v>
      </c>
      <c r="AA827" s="1" t="str" cm="1">
        <f t="array" ref="AA827">_xlfn.IFS(AND(Z827&lt;36, Z827&gt;23), "24-35", AND(Z827&lt;51, Z827&gt;35),"36-50", AND(Z827&lt;66, Z827&gt;50), "51-66", Z827&gt;65, "66+", TRUE, "?")</f>
        <v>36-50</v>
      </c>
      <c r="AB827" s="1">
        <v>2309</v>
      </c>
      <c r="AC827" s="1">
        <v>0</v>
      </c>
      <c r="AD827" s="1">
        <v>1</v>
      </c>
      <c r="AE827" s="1">
        <v>0</v>
      </c>
      <c r="AF827" s="1">
        <v>0</v>
      </c>
      <c r="AG827" s="1">
        <v>0</v>
      </c>
      <c r="AH827" s="1">
        <v>1</v>
      </c>
      <c r="AI827" s="1">
        <v>0</v>
      </c>
      <c r="AJ827" s="1">
        <v>0</v>
      </c>
      <c r="AK827" s="1">
        <v>0</v>
      </c>
      <c r="AL827" s="1">
        <v>530</v>
      </c>
      <c r="AM827" s="2">
        <v>42540</v>
      </c>
      <c r="AN827" t="str">
        <f t="shared" si="25"/>
        <v>65463,546,0.00834058934054351,1,0,17,391,32,70,21,32,16,2,6,2,9,5,0,0,0,1,0,0,0,46,36-50,2309,0,1,0,0,0,1,0,0,0,530,42540</v>
      </c>
    </row>
    <row r="828" spans="1:40" ht="13" hidden="1" x14ac:dyDescent="0.15">
      <c r="A828">
        <v>1355</v>
      </c>
      <c r="B828" s="1">
        <v>64866</v>
      </c>
      <c r="C828" s="1">
        <v>546</v>
      </c>
      <c r="D828" s="4">
        <f t="shared" si="24"/>
        <v>8.4173526963278143E-3</v>
      </c>
      <c r="E828" s="1">
        <v>0</v>
      </c>
      <c r="F828" s="1">
        <v>1</v>
      </c>
      <c r="G828" s="1">
        <v>9</v>
      </c>
      <c r="H828" s="1">
        <v>508</v>
      </c>
      <c r="I828" s="1">
        <v>5</v>
      </c>
      <c r="J828" s="1">
        <v>21</v>
      </c>
      <c r="K828" s="1">
        <v>7</v>
      </c>
      <c r="L828" s="1">
        <v>5</v>
      </c>
      <c r="M828" s="1">
        <v>10</v>
      </c>
      <c r="N828" s="1">
        <v>4</v>
      </c>
      <c r="O828" s="1">
        <v>7</v>
      </c>
      <c r="P828" s="1">
        <v>3</v>
      </c>
      <c r="Q828" s="1">
        <v>7</v>
      </c>
      <c r="R828" s="1">
        <v>5</v>
      </c>
      <c r="S828" s="1">
        <v>0</v>
      </c>
      <c r="T828" s="1">
        <v>0</v>
      </c>
      <c r="U828" s="1">
        <v>0</v>
      </c>
      <c r="V828" s="1">
        <v>1</v>
      </c>
      <c r="W828" s="1">
        <v>0</v>
      </c>
      <c r="X828" s="1">
        <v>0</v>
      </c>
      <c r="Y828" s="1">
        <v>0</v>
      </c>
      <c r="Z828" s="1">
        <v>70</v>
      </c>
      <c r="AA828" s="1" t="str" cm="1">
        <f t="array" ref="AA828">_xlfn.IFS(AND(Z828&lt;36, Z828&gt;23), "24-35", AND(Z828&lt;51, Z828&gt;35),"36-50", AND(Z828&lt;66, Z828&gt;50), "51-66", Z828&gt;65, "66+", TRUE, "?")</f>
        <v>66+</v>
      </c>
      <c r="AB828" s="1">
        <v>2313</v>
      </c>
      <c r="AC828" s="1">
        <v>0</v>
      </c>
      <c r="AD828" s="1">
        <v>0</v>
      </c>
      <c r="AE828" s="1">
        <v>0</v>
      </c>
      <c r="AF828" s="1">
        <v>0</v>
      </c>
      <c r="AG828" s="1">
        <v>1</v>
      </c>
      <c r="AH828" s="1">
        <v>0</v>
      </c>
      <c r="AI828" s="1">
        <v>0</v>
      </c>
      <c r="AJ828" s="1">
        <v>1</v>
      </c>
      <c r="AK828" s="1">
        <v>0</v>
      </c>
      <c r="AL828" s="1">
        <v>536</v>
      </c>
      <c r="AM828" s="2">
        <v>42536</v>
      </c>
      <c r="AN828" t="str">
        <f t="shared" si="25"/>
        <v>64866,546,0.00841735269632781,0,1,9,508,5,21,7,5,10,4,7,3,7,5,0,0,0,1,0,0,0,70,66+,2313,0,0,0,0,1,0,0,1,0,536,42536</v>
      </c>
    </row>
    <row r="829" spans="1:40" ht="13" hidden="1" x14ac:dyDescent="0.15">
      <c r="A829">
        <v>570</v>
      </c>
      <c r="B829" s="1">
        <v>61467</v>
      </c>
      <c r="C829" s="1">
        <v>545</v>
      </c>
      <c r="D829" s="4">
        <f t="shared" si="24"/>
        <v>8.8665462768640086E-3</v>
      </c>
      <c r="E829" s="1">
        <v>0</v>
      </c>
      <c r="F829" s="1">
        <v>2</v>
      </c>
      <c r="G829" s="1">
        <v>69</v>
      </c>
      <c r="H829" s="1">
        <v>410</v>
      </c>
      <c r="I829" s="1">
        <v>16</v>
      </c>
      <c r="J829" s="1">
        <v>114</v>
      </c>
      <c r="K829" s="1">
        <v>0</v>
      </c>
      <c r="L829" s="1">
        <v>5</v>
      </c>
      <c r="M829" s="1">
        <v>49</v>
      </c>
      <c r="N829" s="1">
        <v>3</v>
      </c>
      <c r="O829" s="1">
        <v>5</v>
      </c>
      <c r="P829" s="1">
        <v>2</v>
      </c>
      <c r="Q829" s="1">
        <v>10</v>
      </c>
      <c r="R829" s="1">
        <v>5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72</v>
      </c>
      <c r="AA829" s="1" t="str" cm="1">
        <f t="array" ref="AA829">_xlfn.IFS(AND(Z829&lt;36, Z829&gt;23), "24-35", AND(Z829&lt;51, Z829&gt;35),"36-50", AND(Z829&lt;66, Z829&gt;50), "51-66", Z829&gt;65, "66+", TRUE, "?")</f>
        <v>66+</v>
      </c>
      <c r="AB829" s="1">
        <v>2726</v>
      </c>
      <c r="AC829" s="1">
        <v>0</v>
      </c>
      <c r="AD829" s="1">
        <v>1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1</v>
      </c>
      <c r="AL829" s="1">
        <v>496</v>
      </c>
      <c r="AM829" s="2">
        <v>42123</v>
      </c>
      <c r="AN829" t="str">
        <f t="shared" si="25"/>
        <v>61467,545,0.00886654627686401,0,2,69,410,16,114,0,5,49,3,5,2,10,5,0,0,0,0,0,0,0,72,66+,2726,0,1,0,0,0,0,0,0,1,496,42123</v>
      </c>
    </row>
    <row r="830" spans="1:40" ht="13" hidden="1" x14ac:dyDescent="0.15">
      <c r="A830">
        <v>63</v>
      </c>
      <c r="B830" s="1">
        <v>69096</v>
      </c>
      <c r="C830" s="1">
        <v>544</v>
      </c>
      <c r="D830" s="4">
        <f t="shared" si="24"/>
        <v>7.8731040870672689E-3</v>
      </c>
      <c r="E830" s="1">
        <v>0</v>
      </c>
      <c r="F830" s="1">
        <v>1</v>
      </c>
      <c r="G830" s="1">
        <v>4</v>
      </c>
      <c r="H830" s="1">
        <v>247</v>
      </c>
      <c r="I830" s="1">
        <v>49</v>
      </c>
      <c r="J830" s="1">
        <v>159</v>
      </c>
      <c r="K830" s="1">
        <v>7</v>
      </c>
      <c r="L830" s="1">
        <v>82</v>
      </c>
      <c r="M830" s="1">
        <v>109</v>
      </c>
      <c r="N830" s="1">
        <v>1</v>
      </c>
      <c r="O830" s="1">
        <v>5</v>
      </c>
      <c r="P830" s="1">
        <v>2</v>
      </c>
      <c r="Q830" s="1">
        <v>10</v>
      </c>
      <c r="R830" s="1">
        <v>4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62</v>
      </c>
      <c r="AA830" s="1" t="str" cm="1">
        <f t="array" ref="AA830">_xlfn.IFS(AND(Z830&lt;36, Z830&gt;23), "24-35", AND(Z830&lt;51, Z830&gt;35),"36-50", AND(Z830&lt;66, Z830&gt;50), "51-66", Z830&gt;65, "66+", TRUE, "?")</f>
        <v>51-66</v>
      </c>
      <c r="AB830" s="1">
        <v>2434</v>
      </c>
      <c r="AC830" s="1">
        <v>0</v>
      </c>
      <c r="AD830" s="1">
        <v>0</v>
      </c>
      <c r="AE830" s="1">
        <v>0</v>
      </c>
      <c r="AF830" s="1">
        <v>1</v>
      </c>
      <c r="AG830" s="1">
        <v>0</v>
      </c>
      <c r="AH830" s="1">
        <v>0</v>
      </c>
      <c r="AI830" s="1">
        <v>1</v>
      </c>
      <c r="AJ830" s="1">
        <v>0</v>
      </c>
      <c r="AK830" s="1">
        <v>0</v>
      </c>
      <c r="AL830" s="1">
        <v>435</v>
      </c>
      <c r="AM830" s="2">
        <v>42415</v>
      </c>
      <c r="AN830" t="str">
        <f t="shared" si="25"/>
        <v>69096,544,0.00787310408706727,0,1,4,247,49,159,7,82,109,1,5,2,10,4,0,0,0,0,0,0,0,62,51-66,2434,0,0,0,1,0,0,1,0,0,435,42415</v>
      </c>
    </row>
    <row r="831" spans="1:40" ht="13" hidden="1" x14ac:dyDescent="0.15">
      <c r="A831">
        <v>1859</v>
      </c>
      <c r="B831" s="1">
        <v>49767</v>
      </c>
      <c r="C831" s="1">
        <v>543</v>
      </c>
      <c r="D831" s="4">
        <f t="shared" si="24"/>
        <v>1.0910844535535596E-2</v>
      </c>
      <c r="E831" s="1">
        <v>0</v>
      </c>
      <c r="F831" s="1">
        <v>0</v>
      </c>
      <c r="G831" s="1">
        <v>92</v>
      </c>
      <c r="H831" s="1">
        <v>202</v>
      </c>
      <c r="I831" s="1">
        <v>47</v>
      </c>
      <c r="J831" s="1">
        <v>197</v>
      </c>
      <c r="K831" s="1">
        <v>55</v>
      </c>
      <c r="L831" s="1">
        <v>42</v>
      </c>
      <c r="M831" s="1">
        <v>149</v>
      </c>
      <c r="N831" s="1">
        <v>1</v>
      </c>
      <c r="O831" s="1">
        <v>5</v>
      </c>
      <c r="P831" s="1">
        <v>4</v>
      </c>
      <c r="Q831" s="1">
        <v>8</v>
      </c>
      <c r="R831" s="1">
        <v>4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29</v>
      </c>
      <c r="AA831" s="1" t="str" cm="1">
        <f t="array" ref="AA831">_xlfn.IFS(AND(Z831&lt;36, Z831&gt;23), "24-35", AND(Z831&lt;51, Z831&gt;35),"36-50", AND(Z831&lt;66, Z831&gt;50), "51-66", Z831&gt;65, "66+", TRUE, "?")</f>
        <v>24-35</v>
      </c>
      <c r="AB831" s="1">
        <v>2582</v>
      </c>
      <c r="AC831" s="1">
        <v>0</v>
      </c>
      <c r="AD831" s="1">
        <v>0</v>
      </c>
      <c r="AE831" s="1">
        <v>1</v>
      </c>
      <c r="AF831" s="1">
        <v>0</v>
      </c>
      <c r="AG831" s="1">
        <v>0</v>
      </c>
      <c r="AH831" s="1">
        <v>0</v>
      </c>
      <c r="AI831" s="1">
        <v>1</v>
      </c>
      <c r="AJ831" s="1">
        <v>0</v>
      </c>
      <c r="AK831" s="1">
        <v>0</v>
      </c>
      <c r="AL831" s="1">
        <v>394</v>
      </c>
      <c r="AM831" s="2">
        <v>42267</v>
      </c>
      <c r="AN831" t="str">
        <f t="shared" si="25"/>
        <v>49767,543,0.0109108445355356,0,0,92,202,47,197,55,42,149,1,5,4,8,4,0,0,0,0,0,0,0,29,24-35,2582,0,0,1,0,0,0,1,0,0,394,42267</v>
      </c>
    </row>
    <row r="832" spans="1:40" ht="13" x14ac:dyDescent="0.15">
      <c r="A832">
        <v>1338</v>
      </c>
      <c r="B832" s="1">
        <v>56337</v>
      </c>
      <c r="C832" s="1">
        <v>542</v>
      </c>
      <c r="D832" s="4">
        <f t="shared" si="24"/>
        <v>9.6206755773292855E-3</v>
      </c>
      <c r="E832" s="1">
        <v>1</v>
      </c>
      <c r="F832" s="1">
        <v>1</v>
      </c>
      <c r="G832" s="1">
        <v>25</v>
      </c>
      <c r="H832" s="1">
        <v>349</v>
      </c>
      <c r="I832" s="1">
        <v>16</v>
      </c>
      <c r="J832" s="1">
        <v>144</v>
      </c>
      <c r="K832" s="1">
        <v>28</v>
      </c>
      <c r="L832" s="1">
        <v>5</v>
      </c>
      <c r="M832" s="1">
        <v>182</v>
      </c>
      <c r="N832" s="1">
        <v>5</v>
      </c>
      <c r="O832" s="1">
        <v>8</v>
      </c>
      <c r="P832" s="1">
        <v>5</v>
      </c>
      <c r="Q832" s="1">
        <v>4</v>
      </c>
      <c r="R832" s="1">
        <v>8</v>
      </c>
      <c r="S832" s="1">
        <v>1</v>
      </c>
      <c r="T832" s="1">
        <v>0</v>
      </c>
      <c r="U832" s="1">
        <v>1</v>
      </c>
      <c r="V832" s="1">
        <v>0</v>
      </c>
      <c r="W832" s="1">
        <v>0</v>
      </c>
      <c r="X832" s="1">
        <v>0</v>
      </c>
      <c r="Y832" s="1">
        <v>1</v>
      </c>
      <c r="Z832" s="1">
        <v>39</v>
      </c>
      <c r="AA832" s="1" t="str" cm="1">
        <f t="array" ref="AA832">_xlfn.IFS(AND(Z832&lt;36, Z832&gt;23), "24-35", AND(Z832&lt;51, Z832&gt;35),"36-50", AND(Z832&lt;66, Z832&gt;50), "51-66", Z832&gt;65, "66+", TRUE, "?")</f>
        <v>36-50</v>
      </c>
      <c r="AB832" s="1">
        <v>2618</v>
      </c>
      <c r="AC832" s="1">
        <v>0</v>
      </c>
      <c r="AD832" s="1">
        <v>1</v>
      </c>
      <c r="AE832" s="1">
        <v>0</v>
      </c>
      <c r="AF832" s="1">
        <v>0</v>
      </c>
      <c r="AG832" s="1">
        <v>0</v>
      </c>
      <c r="AH832" s="1">
        <v>1</v>
      </c>
      <c r="AI832" s="1">
        <v>0</v>
      </c>
      <c r="AJ832" s="1">
        <v>0</v>
      </c>
      <c r="AK832" s="1">
        <v>0</v>
      </c>
      <c r="AL832" s="1">
        <v>360</v>
      </c>
      <c r="AM832" s="2">
        <v>42231</v>
      </c>
      <c r="AN832" t="str">
        <f t="shared" si="25"/>
        <v>56337,542,0.00962067557732929,1,1,25,349,16,144,28,5,182,5,8,5,4,8,1,0,1,0,0,0,1,39,36-50,2618,0,1,0,0,0,1,0,0,0,360,42231</v>
      </c>
    </row>
    <row r="833" spans="1:40" ht="13" x14ac:dyDescent="0.15">
      <c r="A833">
        <v>1315</v>
      </c>
      <c r="B833" s="1">
        <v>42720</v>
      </c>
      <c r="C833" s="1">
        <v>542</v>
      </c>
      <c r="D833" s="4">
        <f t="shared" si="24"/>
        <v>1.2687265917602997E-2</v>
      </c>
      <c r="E833" s="1">
        <v>1</v>
      </c>
      <c r="F833" s="1">
        <v>1</v>
      </c>
      <c r="G833" s="1">
        <v>9</v>
      </c>
      <c r="H833" s="1">
        <v>392</v>
      </c>
      <c r="I833" s="1">
        <v>5</v>
      </c>
      <c r="J833" s="1">
        <v>91</v>
      </c>
      <c r="K833" s="1">
        <v>28</v>
      </c>
      <c r="L833" s="1">
        <v>26</v>
      </c>
      <c r="M833" s="1">
        <v>112</v>
      </c>
      <c r="N833" s="1">
        <v>8</v>
      </c>
      <c r="O833" s="1">
        <v>7</v>
      </c>
      <c r="P833" s="1">
        <v>3</v>
      </c>
      <c r="Q833" s="1">
        <v>7</v>
      </c>
      <c r="R833" s="1">
        <v>8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1</v>
      </c>
      <c r="Z833" s="1">
        <v>55</v>
      </c>
      <c r="AA833" s="1" t="str" cm="1">
        <f t="array" ref="AA833">_xlfn.IFS(AND(Z833&lt;36, Z833&gt;23), "24-35", AND(Z833&lt;51, Z833&gt;35),"36-50", AND(Z833&lt;66, Z833&gt;50), "51-66", Z833&gt;65, "66+", TRUE, "?")</f>
        <v>51-66</v>
      </c>
      <c r="AB833" s="1">
        <v>2590</v>
      </c>
      <c r="AC833" s="1">
        <v>0</v>
      </c>
      <c r="AD833" s="1">
        <v>0</v>
      </c>
      <c r="AE833" s="1">
        <v>1</v>
      </c>
      <c r="AF833" s="1">
        <v>0</v>
      </c>
      <c r="AG833" s="1">
        <v>0</v>
      </c>
      <c r="AH833" s="1">
        <v>0</v>
      </c>
      <c r="AI833" s="1">
        <v>1</v>
      </c>
      <c r="AJ833" s="1">
        <v>0</v>
      </c>
      <c r="AK833" s="1">
        <v>0</v>
      </c>
      <c r="AL833" s="1">
        <v>430</v>
      </c>
      <c r="AM833" s="2">
        <v>42259</v>
      </c>
      <c r="AN833" t="str">
        <f t="shared" si="25"/>
        <v>42720,542,0.012687265917603,1,1,9,392,5,91,28,26,112,8,7,3,7,8,0,0,0,0,0,0,1,55,51-66,2590,0,0,1,0,0,0,1,0,0,430,42259</v>
      </c>
    </row>
    <row r="834" spans="1:40" ht="13" hidden="1" x14ac:dyDescent="0.15">
      <c r="A834">
        <v>1192</v>
      </c>
      <c r="B834" s="1">
        <v>57183</v>
      </c>
      <c r="C834" s="1">
        <v>540</v>
      </c>
      <c r="D834" s="4">
        <f t="shared" ref="D834:D897" si="26">C834/B834</f>
        <v>9.4433660353601592E-3</v>
      </c>
      <c r="E834" s="1">
        <v>1</v>
      </c>
      <c r="F834" s="1">
        <v>1</v>
      </c>
      <c r="G834" s="1">
        <v>51</v>
      </c>
      <c r="H834" s="1">
        <v>464</v>
      </c>
      <c r="I834" s="1">
        <v>5</v>
      </c>
      <c r="J834" s="1">
        <v>64</v>
      </c>
      <c r="K834" s="1">
        <v>7</v>
      </c>
      <c r="L834" s="1">
        <v>0</v>
      </c>
      <c r="M834" s="1">
        <v>70</v>
      </c>
      <c r="N834" s="1">
        <v>8</v>
      </c>
      <c r="O834" s="1">
        <v>9</v>
      </c>
      <c r="P834" s="1">
        <v>1</v>
      </c>
      <c r="Q834" s="1">
        <v>7</v>
      </c>
      <c r="R834" s="1">
        <v>8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54</v>
      </c>
      <c r="AA834" s="1" t="str" cm="1">
        <f t="array" ref="AA834">_xlfn.IFS(AND(Z834&lt;36, Z834&gt;23), "24-35", AND(Z834&lt;51, Z834&gt;35),"36-50", AND(Z834&lt;66, Z834&gt;50), "51-66", Z834&gt;65, "66+", TRUE, "?")</f>
        <v>51-66</v>
      </c>
      <c r="AB834" s="1">
        <v>2626</v>
      </c>
      <c r="AC834" s="1">
        <v>0</v>
      </c>
      <c r="AD834" s="1">
        <v>1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1</v>
      </c>
      <c r="AK834" s="1">
        <v>0</v>
      </c>
      <c r="AL834" s="1">
        <v>470</v>
      </c>
      <c r="AM834" s="2">
        <v>42223</v>
      </c>
      <c r="AN834" t="str">
        <f t="shared" ref="AN834:AN897" si="27">_xlfn.TEXTJOIN(",",TRUE,B834:AM834)</f>
        <v>57183,540,0.00944336603536016,1,1,51,464,5,64,7,0,70,8,9,1,7,8,0,0,0,0,0,0,0,54,51-66,2626,0,1,0,0,0,0,0,1,0,470,42223</v>
      </c>
    </row>
    <row r="835" spans="1:40" ht="13" x14ac:dyDescent="0.15">
      <c r="A835">
        <v>1339</v>
      </c>
      <c r="B835" s="1">
        <v>57091</v>
      </c>
      <c r="C835" s="1">
        <v>540</v>
      </c>
      <c r="D835" s="4">
        <f t="shared" si="26"/>
        <v>9.4585836646756925E-3</v>
      </c>
      <c r="E835" s="1">
        <v>0</v>
      </c>
      <c r="F835" s="1">
        <v>0</v>
      </c>
      <c r="G835" s="1">
        <v>0</v>
      </c>
      <c r="H835" s="1">
        <v>464</v>
      </c>
      <c r="I835" s="1">
        <v>5</v>
      </c>
      <c r="J835" s="1">
        <v>64</v>
      </c>
      <c r="K835" s="1">
        <v>7</v>
      </c>
      <c r="L835" s="1">
        <v>0</v>
      </c>
      <c r="M835" s="1">
        <v>37</v>
      </c>
      <c r="N835" s="1">
        <v>1</v>
      </c>
      <c r="O835" s="1">
        <v>7</v>
      </c>
      <c r="P835" s="1">
        <v>3</v>
      </c>
      <c r="Q835" s="1">
        <v>7</v>
      </c>
      <c r="R835" s="1">
        <v>5</v>
      </c>
      <c r="S835" s="1">
        <v>0</v>
      </c>
      <c r="T835" s="1">
        <v>1</v>
      </c>
      <c r="U835" s="1">
        <v>0</v>
      </c>
      <c r="V835" s="1">
        <v>0</v>
      </c>
      <c r="W835" s="1">
        <v>0</v>
      </c>
      <c r="X835" s="1">
        <v>0</v>
      </c>
      <c r="Y835" s="1">
        <v>1</v>
      </c>
      <c r="Z835" s="1">
        <v>59</v>
      </c>
      <c r="AA835" s="1" t="str" cm="1">
        <f t="array" ref="AA835">_xlfn.IFS(AND(Z835&lt;36, Z835&gt;23), "24-35", AND(Z835&lt;51, Z835&gt;35),"36-50", AND(Z835&lt;66, Z835&gt;50), "51-66", Z835&gt;65, "66+", TRUE, "?")</f>
        <v>51-66</v>
      </c>
      <c r="AB835" s="1">
        <v>2173</v>
      </c>
      <c r="AC835" s="1">
        <v>0</v>
      </c>
      <c r="AD835" s="1">
        <v>0</v>
      </c>
      <c r="AE835" s="1">
        <v>1</v>
      </c>
      <c r="AF835" s="1">
        <v>0</v>
      </c>
      <c r="AG835" s="1">
        <v>0</v>
      </c>
      <c r="AH835" s="1">
        <v>0</v>
      </c>
      <c r="AI835" s="1">
        <v>1</v>
      </c>
      <c r="AJ835" s="1">
        <v>0</v>
      </c>
      <c r="AK835" s="1">
        <v>0</v>
      </c>
      <c r="AL835" s="1">
        <v>503</v>
      </c>
      <c r="AM835" s="2">
        <v>42676</v>
      </c>
      <c r="AN835" t="str">
        <f t="shared" si="27"/>
        <v>57091,540,0.00945858366467569,0,0,0,464,5,64,7,0,37,1,7,3,7,5,0,1,0,0,0,0,1,59,51-66,2173,0,0,1,0,0,0,1,0,0,503,42676</v>
      </c>
    </row>
    <row r="836" spans="1:40" ht="13" hidden="1" x14ac:dyDescent="0.15">
      <c r="A836">
        <v>23</v>
      </c>
      <c r="B836" s="1">
        <v>65324</v>
      </c>
      <c r="C836" s="1">
        <v>539</v>
      </c>
      <c r="D836" s="4">
        <f t="shared" si="26"/>
        <v>8.251178739819974E-3</v>
      </c>
      <c r="E836" s="1">
        <v>0</v>
      </c>
      <c r="F836" s="1">
        <v>1</v>
      </c>
      <c r="G836" s="1">
        <v>0</v>
      </c>
      <c r="H836" s="1">
        <v>384</v>
      </c>
      <c r="I836" s="1">
        <v>0</v>
      </c>
      <c r="J836" s="1">
        <v>102</v>
      </c>
      <c r="K836" s="1">
        <v>21</v>
      </c>
      <c r="L836" s="1">
        <v>32</v>
      </c>
      <c r="M836" s="1">
        <v>5</v>
      </c>
      <c r="N836" s="1">
        <v>3</v>
      </c>
      <c r="O836" s="1">
        <v>6</v>
      </c>
      <c r="P836" s="1">
        <v>2</v>
      </c>
      <c r="Q836" s="1">
        <v>9</v>
      </c>
      <c r="R836" s="1">
        <v>4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66</v>
      </c>
      <c r="AA836" s="1" t="str" cm="1">
        <f t="array" ref="AA836">_xlfn.IFS(AND(Z836&lt;36, Z836&gt;23), "24-35", AND(Z836&lt;51, Z836&gt;35),"36-50", AND(Z836&lt;66, Z836&gt;50), "51-66", Z836&gt;65, "66+", TRUE, "?")</f>
        <v>66+</v>
      </c>
      <c r="AB836" s="1">
        <v>2328</v>
      </c>
      <c r="AC836" s="1">
        <v>0</v>
      </c>
      <c r="AD836" s="1">
        <v>1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1</v>
      </c>
      <c r="AL836" s="1">
        <v>534</v>
      </c>
      <c r="AM836" s="2">
        <v>42521</v>
      </c>
      <c r="AN836" t="str">
        <f t="shared" si="27"/>
        <v>65324,539,0.00825117873981997,0,1,0,384,0,102,21,32,5,3,6,2,9,4,0,0,0,0,0,0,0,66,66+,2328,0,1,0,0,0,0,0,0,1,534,42521</v>
      </c>
    </row>
    <row r="837" spans="1:40" ht="13" hidden="1" x14ac:dyDescent="0.15">
      <c r="A837">
        <v>1360</v>
      </c>
      <c r="B837" s="1">
        <v>50725</v>
      </c>
      <c r="C837" s="1">
        <v>538</v>
      </c>
      <c r="D837" s="4">
        <f t="shared" si="26"/>
        <v>1.0606209955643174E-2</v>
      </c>
      <c r="E837" s="1">
        <v>0</v>
      </c>
      <c r="F837" s="1">
        <v>1</v>
      </c>
      <c r="G837" s="1">
        <v>45</v>
      </c>
      <c r="H837" s="1">
        <v>443</v>
      </c>
      <c r="I837" s="1">
        <v>10</v>
      </c>
      <c r="J837" s="1">
        <v>75</v>
      </c>
      <c r="K837" s="1">
        <v>0</v>
      </c>
      <c r="L837" s="1">
        <v>10</v>
      </c>
      <c r="M837" s="1">
        <v>48</v>
      </c>
      <c r="N837" s="1">
        <v>4</v>
      </c>
      <c r="O837" s="1">
        <v>8</v>
      </c>
      <c r="P837" s="1">
        <v>1</v>
      </c>
      <c r="Q837" s="1">
        <v>8</v>
      </c>
      <c r="R837" s="1">
        <v>8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67</v>
      </c>
      <c r="AA837" s="1" t="str" cm="1">
        <f t="array" ref="AA837">_xlfn.IFS(AND(Z837&lt;36, Z837&gt;23), "24-35", AND(Z837&lt;51, Z837&gt;35),"36-50", AND(Z837&lt;66, Z837&gt;50), "51-66", Z837&gt;65, "66+", TRUE, "?")</f>
        <v>66+</v>
      </c>
      <c r="AB837" s="1">
        <v>2660</v>
      </c>
      <c r="AC837" s="1">
        <v>0</v>
      </c>
      <c r="AD837" s="1">
        <v>1</v>
      </c>
      <c r="AE837" s="1">
        <v>0</v>
      </c>
      <c r="AF837" s="1">
        <v>0</v>
      </c>
      <c r="AG837" s="1">
        <v>0</v>
      </c>
      <c r="AH837" s="1">
        <v>0</v>
      </c>
      <c r="AI837" s="1">
        <v>1</v>
      </c>
      <c r="AJ837" s="1">
        <v>0</v>
      </c>
      <c r="AK837" s="1">
        <v>0</v>
      </c>
      <c r="AL837" s="1">
        <v>490</v>
      </c>
      <c r="AM837" s="2">
        <v>42189</v>
      </c>
      <c r="AN837" t="str">
        <f t="shared" si="27"/>
        <v>50725,538,0.0106062099556432,0,1,45,443,10,75,0,10,48,4,8,1,8,8,0,0,0,0,0,0,0,67,66+,2660,0,1,0,0,0,0,1,0,0,490,42189</v>
      </c>
    </row>
    <row r="838" spans="1:40" ht="13" hidden="1" x14ac:dyDescent="0.15">
      <c r="A838">
        <v>438</v>
      </c>
      <c r="B838" s="1">
        <v>53790</v>
      </c>
      <c r="C838" s="1">
        <v>537</v>
      </c>
      <c r="D838" s="4">
        <f t="shared" si="26"/>
        <v>9.983268265476854E-3</v>
      </c>
      <c r="E838" s="1">
        <v>0</v>
      </c>
      <c r="F838" s="1">
        <v>2</v>
      </c>
      <c r="G838" s="1">
        <v>86</v>
      </c>
      <c r="H838" s="1">
        <v>335</v>
      </c>
      <c r="I838" s="1">
        <v>42</v>
      </c>
      <c r="J838" s="1">
        <v>127</v>
      </c>
      <c r="K838" s="1">
        <v>28</v>
      </c>
      <c r="L838" s="1">
        <v>5</v>
      </c>
      <c r="M838" s="1">
        <v>5</v>
      </c>
      <c r="N838" s="1">
        <v>3</v>
      </c>
      <c r="O838" s="1">
        <v>7</v>
      </c>
      <c r="P838" s="1">
        <v>2</v>
      </c>
      <c r="Q838" s="1">
        <v>8</v>
      </c>
      <c r="R838" s="1">
        <v>6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69</v>
      </c>
      <c r="AA838" s="1" t="str" cm="1">
        <f t="array" ref="AA838">_xlfn.IFS(AND(Z838&lt;36, Z838&gt;23), "24-35", AND(Z838&lt;51, Z838&gt;35),"36-50", AND(Z838&lt;66, Z838&gt;50), "51-66", Z838&gt;65, "66+", TRUE, "?")</f>
        <v>66+</v>
      </c>
      <c r="AB838" s="1">
        <v>2274</v>
      </c>
      <c r="AC838" s="1">
        <v>0</v>
      </c>
      <c r="AD838" s="1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1</v>
      </c>
      <c r="AJ838" s="1">
        <v>0</v>
      </c>
      <c r="AK838" s="1">
        <v>0</v>
      </c>
      <c r="AL838" s="1">
        <v>532</v>
      </c>
      <c r="AM838" s="2">
        <v>42575</v>
      </c>
      <c r="AN838" t="str">
        <f t="shared" si="27"/>
        <v>53790,537,0.00998326826547685,0,2,86,335,42,127,28,5,5,3,7,2,8,6,0,0,0,0,0,0,0,69,66+,2274,0,1,0,0,0,0,1,0,0,532,42575</v>
      </c>
    </row>
    <row r="839" spans="1:40" ht="13" hidden="1" x14ac:dyDescent="0.15">
      <c r="A839">
        <v>1508</v>
      </c>
      <c r="B839" s="1">
        <v>56386</v>
      </c>
      <c r="C839" s="1">
        <v>537</v>
      </c>
      <c r="D839" s="4">
        <f t="shared" si="26"/>
        <v>9.5236406200120589E-3</v>
      </c>
      <c r="E839" s="1">
        <v>1</v>
      </c>
      <c r="F839" s="1">
        <v>1</v>
      </c>
      <c r="G839" s="1">
        <v>51</v>
      </c>
      <c r="H839" s="1">
        <v>230</v>
      </c>
      <c r="I839" s="1">
        <v>48</v>
      </c>
      <c r="J839" s="1">
        <v>214</v>
      </c>
      <c r="K839" s="1">
        <v>13</v>
      </c>
      <c r="L839" s="1">
        <v>32</v>
      </c>
      <c r="M839" s="1">
        <v>75</v>
      </c>
      <c r="N839" s="1">
        <v>8</v>
      </c>
      <c r="O839" s="1">
        <v>9</v>
      </c>
      <c r="P839" s="1">
        <v>1</v>
      </c>
      <c r="Q839" s="1">
        <v>7</v>
      </c>
      <c r="R839" s="1">
        <v>9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39</v>
      </c>
      <c r="AA839" s="1" t="str" cm="1">
        <f t="array" ref="AA839">_xlfn.IFS(AND(Z839&lt;36, Z839&gt;23), "24-35", AND(Z839&lt;51, Z839&gt;35),"36-50", AND(Z839&lt;66, Z839&gt;50), "51-66", Z839&gt;65, "66+", TRUE, "?")</f>
        <v>36-50</v>
      </c>
      <c r="AB839" s="1">
        <v>2769</v>
      </c>
      <c r="AC839" s="1">
        <v>0</v>
      </c>
      <c r="AD839" s="1">
        <v>0</v>
      </c>
      <c r="AE839" s="1">
        <v>0</v>
      </c>
      <c r="AF839" s="1">
        <v>1</v>
      </c>
      <c r="AG839" s="1">
        <v>0</v>
      </c>
      <c r="AH839" s="1">
        <v>0</v>
      </c>
      <c r="AI839" s="1">
        <v>1</v>
      </c>
      <c r="AJ839" s="1">
        <v>0</v>
      </c>
      <c r="AK839" s="1">
        <v>0</v>
      </c>
      <c r="AL839" s="1">
        <v>462</v>
      </c>
      <c r="AM839" s="2">
        <v>42080</v>
      </c>
      <c r="AN839" t="str">
        <f t="shared" si="27"/>
        <v>56386,537,0.00952364062001206,1,1,51,230,48,214,13,32,75,8,9,1,7,9,0,0,0,0,0,0,0,39,36-50,2769,0,0,0,1,0,0,1,0,0,462,42080</v>
      </c>
    </row>
    <row r="840" spans="1:40" ht="13" hidden="1" x14ac:dyDescent="0.15">
      <c r="A840">
        <v>1589</v>
      </c>
      <c r="B840" s="1">
        <v>75342</v>
      </c>
      <c r="C840" s="1">
        <v>537</v>
      </c>
      <c r="D840" s="4">
        <f t="shared" si="26"/>
        <v>7.1274986063550212E-3</v>
      </c>
      <c r="E840" s="1">
        <v>0</v>
      </c>
      <c r="F840" s="1">
        <v>1</v>
      </c>
      <c r="G840" s="1">
        <v>38</v>
      </c>
      <c r="H840" s="1">
        <v>204</v>
      </c>
      <c r="I840" s="1">
        <v>97</v>
      </c>
      <c r="J840" s="1">
        <v>97</v>
      </c>
      <c r="K840" s="1">
        <v>21</v>
      </c>
      <c r="L840" s="1">
        <v>118</v>
      </c>
      <c r="M840" s="1">
        <v>26</v>
      </c>
      <c r="N840" s="1">
        <v>1</v>
      </c>
      <c r="O840" s="1">
        <v>5</v>
      </c>
      <c r="P840" s="1">
        <v>2</v>
      </c>
      <c r="Q840" s="1">
        <v>10</v>
      </c>
      <c r="R840" s="1">
        <v>4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62</v>
      </c>
      <c r="AA840" s="1" t="str" cm="1">
        <f t="array" ref="AA840">_xlfn.IFS(AND(Z840&lt;36, Z840&gt;23), "24-35", AND(Z840&lt;51, Z840&gt;35),"36-50", AND(Z840&lt;66, Z840&gt;50), "51-66", Z840&gt;65, "66+", TRUE, "?")</f>
        <v>51-66</v>
      </c>
      <c r="AB840" s="1">
        <v>2578</v>
      </c>
      <c r="AC840" s="1">
        <v>0</v>
      </c>
      <c r="AD840" s="1">
        <v>0</v>
      </c>
      <c r="AE840" s="1">
        <v>1</v>
      </c>
      <c r="AF840" s="1">
        <v>0</v>
      </c>
      <c r="AG840" s="1">
        <v>0</v>
      </c>
      <c r="AH840" s="1">
        <v>1</v>
      </c>
      <c r="AI840" s="1">
        <v>0</v>
      </c>
      <c r="AJ840" s="1">
        <v>0</v>
      </c>
      <c r="AK840" s="1">
        <v>0</v>
      </c>
      <c r="AL840" s="1">
        <v>511</v>
      </c>
      <c r="AM840" s="2">
        <v>42271</v>
      </c>
      <c r="AN840" t="str">
        <f t="shared" si="27"/>
        <v>75342,537,0.00712749860635502,0,1,38,204,97,97,21,118,26,1,5,2,10,4,0,0,0,0,0,0,0,62,51-66,2578,0,0,1,0,0,1,0,0,0,511,42271</v>
      </c>
    </row>
    <row r="841" spans="1:40" ht="13" hidden="1" x14ac:dyDescent="0.15">
      <c r="A841">
        <v>1974</v>
      </c>
      <c r="B841" s="1">
        <v>44325</v>
      </c>
      <c r="C841" s="1">
        <v>537</v>
      </c>
      <c r="D841" s="4">
        <f t="shared" si="26"/>
        <v>1.2115059221658207E-2</v>
      </c>
      <c r="E841" s="1">
        <v>0</v>
      </c>
      <c r="F841" s="1">
        <v>1</v>
      </c>
      <c r="G841" s="1">
        <v>69</v>
      </c>
      <c r="H841" s="1">
        <v>516</v>
      </c>
      <c r="I841" s="1">
        <v>0</v>
      </c>
      <c r="J841" s="1">
        <v>21</v>
      </c>
      <c r="K841" s="1">
        <v>0</v>
      </c>
      <c r="L841" s="1">
        <v>0</v>
      </c>
      <c r="M841" s="1">
        <v>5</v>
      </c>
      <c r="N841" s="1">
        <v>4</v>
      </c>
      <c r="O841" s="1">
        <v>8</v>
      </c>
      <c r="P841" s="1">
        <v>2</v>
      </c>
      <c r="Q841" s="1">
        <v>7</v>
      </c>
      <c r="R841" s="1">
        <v>8</v>
      </c>
      <c r="S841" s="1">
        <v>0</v>
      </c>
      <c r="T841" s="1">
        <v>0</v>
      </c>
      <c r="U841" s="1">
        <v>0</v>
      </c>
      <c r="V841" s="1">
        <v>1</v>
      </c>
      <c r="W841" s="1">
        <v>0</v>
      </c>
      <c r="X841" s="1">
        <v>0</v>
      </c>
      <c r="Y841" s="1">
        <v>0</v>
      </c>
      <c r="Z841" s="1">
        <v>48</v>
      </c>
      <c r="AA841" s="1" t="str" cm="1">
        <f t="array" ref="AA841">_xlfn.IFS(AND(Z841&lt;36, Z841&gt;23), "24-35", AND(Z841&lt;51, Z841&gt;35),"36-50", AND(Z841&lt;66, Z841&gt;50), "51-66", Z841&gt;65, "66+", TRUE, "?")</f>
        <v>36-50</v>
      </c>
      <c r="AB841" s="1">
        <v>2638</v>
      </c>
      <c r="AC841" s="1">
        <v>0</v>
      </c>
      <c r="AD841" s="1">
        <v>1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1</v>
      </c>
      <c r="AL841" s="1">
        <v>532</v>
      </c>
      <c r="AM841" s="2">
        <v>42211</v>
      </c>
      <c r="AN841" t="str">
        <f t="shared" si="27"/>
        <v>44325,537,0.0121150592216582,0,1,69,516,0,21,0,0,5,4,8,2,7,8,0,0,0,1,0,0,0,48,36-50,2638,0,1,0,0,0,0,0,0,1,532,42211</v>
      </c>
    </row>
    <row r="842" spans="1:40" ht="13" hidden="1" x14ac:dyDescent="0.15">
      <c r="A842">
        <v>286</v>
      </c>
      <c r="B842" s="1">
        <v>64100</v>
      </c>
      <c r="C842" s="1">
        <v>536</v>
      </c>
      <c r="D842" s="4">
        <f t="shared" si="26"/>
        <v>8.361934477379096E-3</v>
      </c>
      <c r="E842" s="1">
        <v>0</v>
      </c>
      <c r="F842" s="1">
        <v>1</v>
      </c>
      <c r="G842" s="1">
        <v>93</v>
      </c>
      <c r="H842" s="1">
        <v>509</v>
      </c>
      <c r="I842" s="1">
        <v>0</v>
      </c>
      <c r="J842" s="1">
        <v>27</v>
      </c>
      <c r="K842" s="1">
        <v>0</v>
      </c>
      <c r="L842" s="1">
        <v>0</v>
      </c>
      <c r="M842" s="1">
        <v>10</v>
      </c>
      <c r="N842" s="1">
        <v>1</v>
      </c>
      <c r="O842" s="1">
        <v>8</v>
      </c>
      <c r="P842" s="1">
        <v>3</v>
      </c>
      <c r="Q842" s="1">
        <v>6</v>
      </c>
      <c r="R842" s="1">
        <v>7</v>
      </c>
      <c r="S842" s="1">
        <v>0</v>
      </c>
      <c r="T842" s="1">
        <v>0</v>
      </c>
      <c r="U842" s="1">
        <v>0</v>
      </c>
      <c r="V842" s="1">
        <v>1</v>
      </c>
      <c r="W842" s="1">
        <v>0</v>
      </c>
      <c r="X842" s="1">
        <v>0</v>
      </c>
      <c r="Y842" s="1">
        <v>0</v>
      </c>
      <c r="Z842" s="1">
        <v>56</v>
      </c>
      <c r="AA842" s="1" t="str" cm="1">
        <f t="array" ref="AA842">_xlfn.IFS(AND(Z842&lt;36, Z842&gt;23), "24-35", AND(Z842&lt;51, Z842&gt;35),"36-50", AND(Z842&lt;66, Z842&gt;50), "51-66", Z842&gt;65, "66+", TRUE, "?")</f>
        <v>51-66</v>
      </c>
      <c r="AB842" s="1">
        <v>2451</v>
      </c>
      <c r="AC842" s="1">
        <v>0</v>
      </c>
      <c r="AD842" s="1">
        <v>1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1</v>
      </c>
      <c r="AK842" s="1">
        <v>0</v>
      </c>
      <c r="AL842" s="1">
        <v>526</v>
      </c>
      <c r="AM842" s="2">
        <v>42398</v>
      </c>
      <c r="AN842" t="str">
        <f t="shared" si="27"/>
        <v>64100,536,0.0083619344773791,0,1,93,509,0,27,0,0,10,1,8,3,6,7,0,0,0,1,0,0,0,56,51-66,2451,0,1,0,0,0,0,0,1,0,526,42398</v>
      </c>
    </row>
    <row r="843" spans="1:40" ht="13" hidden="1" x14ac:dyDescent="0.15">
      <c r="A843">
        <v>904</v>
      </c>
      <c r="B843" s="1">
        <v>52597</v>
      </c>
      <c r="C843" s="1">
        <v>536</v>
      </c>
      <c r="D843" s="4">
        <f t="shared" si="26"/>
        <v>1.019069528680343E-2</v>
      </c>
      <c r="E843" s="1">
        <v>0</v>
      </c>
      <c r="F843" s="1">
        <v>1</v>
      </c>
      <c r="G843" s="1">
        <v>69</v>
      </c>
      <c r="H843" s="1">
        <v>492</v>
      </c>
      <c r="I843" s="1">
        <v>0</v>
      </c>
      <c r="J843" s="1">
        <v>37</v>
      </c>
      <c r="K843" s="1">
        <v>7</v>
      </c>
      <c r="L843" s="1">
        <v>0</v>
      </c>
      <c r="M843" s="1">
        <v>42</v>
      </c>
      <c r="N843" s="1">
        <v>3</v>
      </c>
      <c r="O843" s="1">
        <v>6</v>
      </c>
      <c r="P843" s="1">
        <v>3</v>
      </c>
      <c r="Q843" s="1">
        <v>8</v>
      </c>
      <c r="R843" s="1">
        <v>5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58</v>
      </c>
      <c r="AA843" s="1" t="str" cm="1">
        <f t="array" ref="AA843">_xlfn.IFS(AND(Z843&lt;36, Z843&gt;23), "24-35", AND(Z843&lt;51, Z843&gt;35),"36-50", AND(Z843&lt;66, Z843&gt;50), "51-66", Z843&gt;65, "66+", TRUE, "?")</f>
        <v>51-66</v>
      </c>
      <c r="AB843" s="1">
        <v>2212</v>
      </c>
      <c r="AC843" s="1">
        <v>0</v>
      </c>
      <c r="AD843" s="1">
        <v>0</v>
      </c>
      <c r="AE843" s="1">
        <v>1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1</v>
      </c>
      <c r="AL843" s="1">
        <v>494</v>
      </c>
      <c r="AM843" s="2">
        <v>42637</v>
      </c>
      <c r="AN843" t="str">
        <f t="shared" si="27"/>
        <v>52597,536,0.0101906952868034,0,1,69,492,0,37,7,0,42,3,6,3,8,5,0,0,0,0,0,0,0,58,51-66,2212,0,0,1,0,0,0,0,0,1,494,42637</v>
      </c>
    </row>
    <row r="844" spans="1:40" ht="13" hidden="1" x14ac:dyDescent="0.15">
      <c r="A844">
        <v>780</v>
      </c>
      <c r="B844" s="1">
        <v>48789</v>
      </c>
      <c r="C844" s="1">
        <v>535</v>
      </c>
      <c r="D844" s="4">
        <f t="shared" si="26"/>
        <v>1.096558650515485E-2</v>
      </c>
      <c r="E844" s="1">
        <v>0</v>
      </c>
      <c r="F844" s="1">
        <v>0</v>
      </c>
      <c r="G844" s="1">
        <v>94</v>
      </c>
      <c r="H844" s="1">
        <v>351</v>
      </c>
      <c r="I844" s="1">
        <v>16</v>
      </c>
      <c r="J844" s="1">
        <v>156</v>
      </c>
      <c r="K844" s="1">
        <v>7</v>
      </c>
      <c r="L844" s="1">
        <v>5</v>
      </c>
      <c r="M844" s="1">
        <v>145</v>
      </c>
      <c r="N844" s="1">
        <v>1</v>
      </c>
      <c r="O844" s="1">
        <v>6</v>
      </c>
      <c r="P844" s="1">
        <v>4</v>
      </c>
      <c r="Q844" s="1">
        <v>7</v>
      </c>
      <c r="R844" s="1">
        <v>6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28</v>
      </c>
      <c r="AA844" s="1" t="str" cm="1">
        <f t="array" ref="AA844">_xlfn.IFS(AND(Z844&lt;36, Z844&gt;23), "24-35", AND(Z844&lt;51, Z844&gt;35),"36-50", AND(Z844&lt;66, Z844&gt;50), "51-66", Z844&gt;65, "66+", TRUE, "?")</f>
        <v>24-35</v>
      </c>
      <c r="AB844" s="1">
        <v>2816</v>
      </c>
      <c r="AC844" s="1">
        <v>0</v>
      </c>
      <c r="AD844" s="1">
        <v>0</v>
      </c>
      <c r="AE844" s="1">
        <v>1</v>
      </c>
      <c r="AF844" s="1">
        <v>0</v>
      </c>
      <c r="AG844" s="1">
        <v>0</v>
      </c>
      <c r="AH844" s="1">
        <v>0</v>
      </c>
      <c r="AI844" s="1">
        <v>1</v>
      </c>
      <c r="AJ844" s="1">
        <v>0</v>
      </c>
      <c r="AK844" s="1">
        <v>0</v>
      </c>
      <c r="AL844" s="1">
        <v>390</v>
      </c>
      <c r="AM844" s="2">
        <v>42033</v>
      </c>
      <c r="AN844" t="str">
        <f t="shared" si="27"/>
        <v>48789,535,0.0109655865051548,0,0,94,351,16,156,7,5,145,1,6,4,7,6,0,0,0,0,0,0,0,28,24-35,2816,0,0,1,0,0,0,1,0,0,390,42033</v>
      </c>
    </row>
    <row r="845" spans="1:40" ht="13" hidden="1" x14ac:dyDescent="0.15">
      <c r="A845">
        <v>781</v>
      </c>
      <c r="B845" s="1">
        <v>56575</v>
      </c>
      <c r="C845" s="1">
        <v>532</v>
      </c>
      <c r="D845" s="4">
        <f t="shared" si="26"/>
        <v>9.4034467520989831E-3</v>
      </c>
      <c r="E845" s="1">
        <v>0</v>
      </c>
      <c r="F845" s="1">
        <v>2</v>
      </c>
      <c r="G845" s="1">
        <v>42</v>
      </c>
      <c r="H845" s="1">
        <v>421</v>
      </c>
      <c r="I845" s="1">
        <v>5</v>
      </c>
      <c r="J845" s="1">
        <v>90</v>
      </c>
      <c r="K845" s="1">
        <v>0</v>
      </c>
      <c r="L845" s="1">
        <v>16</v>
      </c>
      <c r="M845" s="1">
        <v>10</v>
      </c>
      <c r="N845" s="1">
        <v>3</v>
      </c>
      <c r="O845" s="1">
        <v>7</v>
      </c>
      <c r="P845" s="1">
        <v>3</v>
      </c>
      <c r="Q845" s="1">
        <v>7</v>
      </c>
      <c r="R845" s="1">
        <v>5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53</v>
      </c>
      <c r="AA845" s="1" t="str" cm="1">
        <f t="array" ref="AA845">_xlfn.IFS(AND(Z845&lt;36, Z845&gt;23), "24-35", AND(Z845&lt;51, Z845&gt;35),"36-50", AND(Z845&lt;66, Z845&gt;50), "51-66", Z845&gt;65, "66+", TRUE, "?")</f>
        <v>51-66</v>
      </c>
      <c r="AB845" s="1">
        <v>2579</v>
      </c>
      <c r="AC845" s="1">
        <v>0</v>
      </c>
      <c r="AD845" s="1">
        <v>0</v>
      </c>
      <c r="AE845" s="1">
        <v>0</v>
      </c>
      <c r="AF845" s="1">
        <v>1</v>
      </c>
      <c r="AG845" s="1">
        <v>0</v>
      </c>
      <c r="AH845" s="1">
        <v>0</v>
      </c>
      <c r="AI845" s="1">
        <v>0</v>
      </c>
      <c r="AJ845" s="1">
        <v>0</v>
      </c>
      <c r="AK845" s="1">
        <v>1</v>
      </c>
      <c r="AL845" s="1">
        <v>522</v>
      </c>
      <c r="AM845" s="2">
        <v>42270</v>
      </c>
      <c r="AN845" t="str">
        <f t="shared" si="27"/>
        <v>56575,532,0.00940344675209898,0,2,42,421,5,90,0,16,10,3,7,3,7,5,0,0,0,0,0,0,0,53,51-66,2579,0,0,0,1,0,0,0,0,1,522,42270</v>
      </c>
    </row>
    <row r="846" spans="1:40" ht="13" hidden="1" x14ac:dyDescent="0.15">
      <c r="A846">
        <v>976</v>
      </c>
      <c r="B846" s="1">
        <v>47703</v>
      </c>
      <c r="C846" s="1">
        <v>532</v>
      </c>
      <c r="D846" s="4">
        <f t="shared" si="26"/>
        <v>1.1152338427352578E-2</v>
      </c>
      <c r="E846" s="1">
        <v>0</v>
      </c>
      <c r="F846" s="1">
        <v>1</v>
      </c>
      <c r="G846" s="1">
        <v>95</v>
      </c>
      <c r="H846" s="1">
        <v>359</v>
      </c>
      <c r="I846" s="1">
        <v>0</v>
      </c>
      <c r="J846" s="1">
        <v>134</v>
      </c>
      <c r="K846" s="1">
        <v>13</v>
      </c>
      <c r="L846" s="1">
        <v>26</v>
      </c>
      <c r="M846" s="1">
        <v>123</v>
      </c>
      <c r="N846" s="1">
        <v>4</v>
      </c>
      <c r="O846" s="1">
        <v>6</v>
      </c>
      <c r="P846" s="1">
        <v>3</v>
      </c>
      <c r="Q846" s="1">
        <v>8</v>
      </c>
      <c r="R846" s="1">
        <v>5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67</v>
      </c>
      <c r="AA846" s="1" t="str" cm="1">
        <f t="array" ref="AA846">_xlfn.IFS(AND(Z846&lt;36, Z846&gt;23), "24-35", AND(Z846&lt;51, Z846&gt;35),"36-50", AND(Z846&lt;66, Z846&gt;50), "51-66", Z846&gt;65, "66+", TRUE, "?")</f>
        <v>66+</v>
      </c>
      <c r="AB846" s="1">
        <v>2555</v>
      </c>
      <c r="AC846" s="1">
        <v>0</v>
      </c>
      <c r="AD846" s="1">
        <v>1</v>
      </c>
      <c r="AE846" s="1">
        <v>0</v>
      </c>
      <c r="AF846" s="1">
        <v>0</v>
      </c>
      <c r="AG846" s="1">
        <v>0</v>
      </c>
      <c r="AH846" s="1">
        <v>0</v>
      </c>
      <c r="AI846" s="1">
        <v>1</v>
      </c>
      <c r="AJ846" s="1">
        <v>0</v>
      </c>
      <c r="AK846" s="1">
        <v>0</v>
      </c>
      <c r="AL846" s="1">
        <v>409</v>
      </c>
      <c r="AM846" s="2">
        <v>42294</v>
      </c>
      <c r="AN846" t="str">
        <f t="shared" si="27"/>
        <v>47703,532,0.0111523384273526,0,1,95,359,0,134,13,26,123,4,6,3,8,5,0,0,0,0,0,0,0,67,66+,2555,0,1,0,0,0,0,1,0,0,409,42294</v>
      </c>
    </row>
    <row r="847" spans="1:40" ht="13" hidden="1" x14ac:dyDescent="0.15">
      <c r="A847">
        <v>85</v>
      </c>
      <c r="B847" s="1">
        <v>47916</v>
      </c>
      <c r="C847" s="1">
        <v>531</v>
      </c>
      <c r="D847" s="4">
        <f t="shared" si="26"/>
        <v>1.1081893313298272E-2</v>
      </c>
      <c r="E847" s="1">
        <v>0</v>
      </c>
      <c r="F847" s="1">
        <v>1</v>
      </c>
      <c r="G847" s="1">
        <v>72</v>
      </c>
      <c r="H847" s="1">
        <v>505</v>
      </c>
      <c r="I847" s="1">
        <v>0</v>
      </c>
      <c r="J847" s="1">
        <v>26</v>
      </c>
      <c r="K847" s="1">
        <v>0</v>
      </c>
      <c r="L847" s="1">
        <v>0</v>
      </c>
      <c r="M847" s="1">
        <v>75</v>
      </c>
      <c r="N847" s="1">
        <v>5</v>
      </c>
      <c r="O847" s="1">
        <v>7</v>
      </c>
      <c r="P847" s="1">
        <v>4</v>
      </c>
      <c r="Q847" s="1">
        <v>6</v>
      </c>
      <c r="R847" s="1">
        <v>6</v>
      </c>
      <c r="S847" s="1">
        <v>0</v>
      </c>
      <c r="T847" s="1">
        <v>0</v>
      </c>
      <c r="U847" s="1">
        <v>0</v>
      </c>
      <c r="V847" s="1">
        <v>1</v>
      </c>
      <c r="W847" s="1">
        <v>0</v>
      </c>
      <c r="X847" s="1">
        <v>0</v>
      </c>
      <c r="Y847" s="1">
        <v>0</v>
      </c>
      <c r="Z847" s="1">
        <v>60</v>
      </c>
      <c r="AA847" s="1" t="str" cm="1">
        <f t="array" ref="AA847">_xlfn.IFS(AND(Z847&lt;36, Z847&gt;23), "24-35", AND(Z847&lt;51, Z847&gt;35),"36-50", AND(Z847&lt;66, Z847&gt;50), "51-66", Z847&gt;65, "66+", TRUE, "?")</f>
        <v>51-66</v>
      </c>
      <c r="AB847" s="1">
        <v>2743</v>
      </c>
      <c r="AC847" s="1">
        <v>0</v>
      </c>
      <c r="AD847" s="1">
        <v>0</v>
      </c>
      <c r="AE847" s="1">
        <v>0</v>
      </c>
      <c r="AF847" s="1">
        <v>0</v>
      </c>
      <c r="AG847" s="1">
        <v>1</v>
      </c>
      <c r="AH847" s="1">
        <v>0</v>
      </c>
      <c r="AI847" s="1">
        <v>1</v>
      </c>
      <c r="AJ847" s="1">
        <v>0</v>
      </c>
      <c r="AK847" s="1">
        <v>0</v>
      </c>
      <c r="AL847" s="1">
        <v>456</v>
      </c>
      <c r="AM847" s="2">
        <v>42106</v>
      </c>
      <c r="AN847" t="str">
        <f t="shared" si="27"/>
        <v>47916,531,0.0110818933132983,0,1,72,505,0,26,0,0,75,5,7,4,6,6,0,0,0,1,0,0,0,60,51-66,2743,0,0,0,0,1,0,1,0,0,456,42106</v>
      </c>
    </row>
    <row r="848" spans="1:40" ht="13" hidden="1" x14ac:dyDescent="0.15">
      <c r="A848">
        <v>1799</v>
      </c>
      <c r="B848" s="1">
        <v>32632</v>
      </c>
      <c r="C848" s="1">
        <v>523</v>
      </c>
      <c r="D848" s="4">
        <f t="shared" si="26"/>
        <v>1.60272125520961E-2</v>
      </c>
      <c r="E848" s="1">
        <v>0</v>
      </c>
      <c r="F848" s="1">
        <v>0</v>
      </c>
      <c r="G848" s="1">
        <v>32</v>
      </c>
      <c r="H848" s="1">
        <v>63</v>
      </c>
      <c r="I848" s="1">
        <v>151</v>
      </c>
      <c r="J848" s="1">
        <v>137</v>
      </c>
      <c r="K848" s="1">
        <v>153</v>
      </c>
      <c r="L848" s="1">
        <v>19</v>
      </c>
      <c r="M848" s="1">
        <v>53</v>
      </c>
      <c r="N848" s="1">
        <v>2</v>
      </c>
      <c r="O848" s="1">
        <v>4</v>
      </c>
      <c r="P848" s="1">
        <v>4</v>
      </c>
      <c r="Q848" s="1">
        <v>8</v>
      </c>
      <c r="R848" s="1">
        <v>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57</v>
      </c>
      <c r="AA848" s="1" t="str" cm="1">
        <f t="array" ref="AA848">_xlfn.IFS(AND(Z848&lt;36, Z848&gt;23), "24-35", AND(Z848&lt;51, Z848&gt;35),"36-50", AND(Z848&lt;66, Z848&gt;50), "51-66", Z848&gt;65, "66+", TRUE, "?")</f>
        <v>51-66</v>
      </c>
      <c r="AB848" s="1">
        <v>2855</v>
      </c>
      <c r="AC848" s="1">
        <v>0</v>
      </c>
      <c r="AD848" s="1">
        <v>1</v>
      </c>
      <c r="AE848" s="1">
        <v>0</v>
      </c>
      <c r="AF848" s="1">
        <v>0</v>
      </c>
      <c r="AG848" s="1">
        <v>0</v>
      </c>
      <c r="AH848" s="1">
        <v>1</v>
      </c>
      <c r="AI848" s="1">
        <v>0</v>
      </c>
      <c r="AJ848" s="1">
        <v>0</v>
      </c>
      <c r="AK848" s="1">
        <v>0</v>
      </c>
      <c r="AL848" s="1">
        <v>470</v>
      </c>
      <c r="AM848" s="2">
        <v>41994</v>
      </c>
      <c r="AN848" t="str">
        <f t="shared" si="27"/>
        <v>32632,523,0.0160272125520961,0,0,32,63,151,137,153,19,53,2,4,4,8,5,0,0,0,0,0,0,0,57,51-66,2855,0,1,0,0,0,1,0,0,0,470,41994</v>
      </c>
    </row>
    <row r="849" spans="1:40" ht="13" x14ac:dyDescent="0.15">
      <c r="A849">
        <v>1348</v>
      </c>
      <c r="B849" s="1">
        <v>38410</v>
      </c>
      <c r="C849" s="1">
        <v>520</v>
      </c>
      <c r="D849" s="4">
        <f t="shared" si="26"/>
        <v>1.3538141109086176E-2</v>
      </c>
      <c r="E849" s="1">
        <v>0</v>
      </c>
      <c r="F849" s="1">
        <v>0</v>
      </c>
      <c r="G849" s="1">
        <v>65</v>
      </c>
      <c r="H849" s="1">
        <v>153</v>
      </c>
      <c r="I849" s="1">
        <v>64</v>
      </c>
      <c r="J849" s="1">
        <v>123</v>
      </c>
      <c r="K849" s="1">
        <v>116</v>
      </c>
      <c r="L849" s="1">
        <v>64</v>
      </c>
      <c r="M849" s="1">
        <v>14</v>
      </c>
      <c r="N849" s="1">
        <v>2</v>
      </c>
      <c r="O849" s="1">
        <v>5</v>
      </c>
      <c r="P849" s="1">
        <v>2</v>
      </c>
      <c r="Q849" s="1">
        <v>9</v>
      </c>
      <c r="R849" s="1">
        <v>6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1</v>
      </c>
      <c r="Z849" s="1">
        <v>46</v>
      </c>
      <c r="AA849" s="1" t="str" cm="1">
        <f t="array" ref="AA849">_xlfn.IFS(AND(Z849&lt;36, Z849&gt;23), "24-35", AND(Z849&lt;51, Z849&gt;35),"36-50", AND(Z849&lt;66, Z849&gt;50), "51-66", Z849&gt;65, "66+", TRUE, "?")</f>
        <v>36-50</v>
      </c>
      <c r="AB849" s="1">
        <v>2812</v>
      </c>
      <c r="AC849" s="1">
        <v>0</v>
      </c>
      <c r="AD849" s="1">
        <v>1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1</v>
      </c>
      <c r="AL849" s="1">
        <v>506</v>
      </c>
      <c r="AM849" s="2">
        <v>42037</v>
      </c>
      <c r="AN849" t="str">
        <f t="shared" si="27"/>
        <v>38410,520,0.0135381411090862,0,0,65,153,64,123,116,64,14,2,5,2,9,6,0,0,0,0,0,0,1,46,36-50,2812,0,1,0,0,0,0,0,0,1,506,42037</v>
      </c>
    </row>
    <row r="850" spans="1:40" ht="13" hidden="1" x14ac:dyDescent="0.15">
      <c r="A850">
        <v>1495</v>
      </c>
      <c r="B850" s="1">
        <v>41003</v>
      </c>
      <c r="C850" s="1">
        <v>513</v>
      </c>
      <c r="D850" s="4">
        <f t="shared" si="26"/>
        <v>1.2511279662463723E-2</v>
      </c>
      <c r="E850" s="1">
        <v>0</v>
      </c>
      <c r="F850" s="1">
        <v>0</v>
      </c>
      <c r="G850" s="1">
        <v>11</v>
      </c>
      <c r="H850" s="1">
        <v>123</v>
      </c>
      <c r="I850" s="1">
        <v>133</v>
      </c>
      <c r="J850" s="1">
        <v>142</v>
      </c>
      <c r="K850" s="1">
        <v>71</v>
      </c>
      <c r="L850" s="1">
        <v>44</v>
      </c>
      <c r="M850" s="1">
        <v>88</v>
      </c>
      <c r="N850" s="1">
        <v>1</v>
      </c>
      <c r="O850" s="1">
        <v>6</v>
      </c>
      <c r="P850" s="1">
        <v>2</v>
      </c>
      <c r="Q850" s="1">
        <v>8</v>
      </c>
      <c r="R850" s="1">
        <v>6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57</v>
      </c>
      <c r="AA850" s="1" t="str" cm="1">
        <f t="array" ref="AA850">_xlfn.IFS(AND(Z850&lt;36, Z850&gt;23), "24-35", AND(Z850&lt;51, Z850&gt;35),"36-50", AND(Z850&lt;66, Z850&gt;50), "51-66", Z850&gt;65, "66+", TRUE, "?")</f>
        <v>51-66</v>
      </c>
      <c r="AB850" s="1">
        <v>2628</v>
      </c>
      <c r="AC850" s="1">
        <v>1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1</v>
      </c>
      <c r="AL850" s="1">
        <v>425</v>
      </c>
      <c r="AM850" s="2">
        <v>42221</v>
      </c>
      <c r="AN850" t="str">
        <f t="shared" si="27"/>
        <v>41003,513,0.0125112796624637,0,0,11,123,133,142,71,44,88,1,6,2,8,6,0,0,0,0,0,0,0,57,51-66,2628,1,0,0,0,0,0,0,0,1,425,42221</v>
      </c>
    </row>
    <row r="851" spans="1:40" ht="13" hidden="1" x14ac:dyDescent="0.15">
      <c r="A851">
        <v>1776</v>
      </c>
      <c r="B851" s="1">
        <v>56939</v>
      </c>
      <c r="C851" s="1">
        <v>512</v>
      </c>
      <c r="D851" s="4">
        <f t="shared" si="26"/>
        <v>8.9920792426983268E-3</v>
      </c>
      <c r="E851" s="1">
        <v>0</v>
      </c>
      <c r="F851" s="1">
        <v>1</v>
      </c>
      <c r="G851" s="1">
        <v>19</v>
      </c>
      <c r="H851" s="1">
        <v>256</v>
      </c>
      <c r="I851" s="1">
        <v>34</v>
      </c>
      <c r="J851" s="1">
        <v>103</v>
      </c>
      <c r="K851" s="1">
        <v>90</v>
      </c>
      <c r="L851" s="1">
        <v>29</v>
      </c>
      <c r="M851" s="1">
        <v>49</v>
      </c>
      <c r="N851" s="1">
        <v>2</v>
      </c>
      <c r="O851" s="1">
        <v>3</v>
      </c>
      <c r="P851" s="1">
        <v>3</v>
      </c>
      <c r="Q851" s="1">
        <v>10</v>
      </c>
      <c r="R851" s="1">
        <v>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44</v>
      </c>
      <c r="AA851" s="1" t="str" cm="1">
        <f t="array" ref="AA851">_xlfn.IFS(AND(Z851&lt;36, Z851&gt;23), "24-35", AND(Z851&lt;51, Z851&gt;35),"36-50", AND(Z851&lt;66, Z851&gt;50), "51-66", Z851&gt;65, "66+", TRUE, "?")</f>
        <v>36-50</v>
      </c>
      <c r="AB851" s="1">
        <v>2443</v>
      </c>
      <c r="AC851" s="1">
        <v>0</v>
      </c>
      <c r="AD851" s="1">
        <v>1</v>
      </c>
      <c r="AE851" s="1">
        <v>0</v>
      </c>
      <c r="AF851" s="1">
        <v>0</v>
      </c>
      <c r="AG851" s="1">
        <v>0</v>
      </c>
      <c r="AH851" s="1">
        <v>0</v>
      </c>
      <c r="AI851" s="1">
        <v>1</v>
      </c>
      <c r="AJ851" s="1">
        <v>0</v>
      </c>
      <c r="AK851" s="1">
        <v>0</v>
      </c>
      <c r="AL851" s="1">
        <v>463</v>
      </c>
      <c r="AM851" s="2">
        <v>42406</v>
      </c>
      <c r="AN851" t="str">
        <f t="shared" si="27"/>
        <v>56939,512,0.00899207924269833,0,1,19,256,34,103,90,29,49,2,3,3,10,3,0,0,0,0,0,0,0,44,36-50,2443,0,1,0,0,0,0,1,0,0,463,42406</v>
      </c>
    </row>
    <row r="852" spans="1:40" ht="13" hidden="1" x14ac:dyDescent="0.15">
      <c r="A852">
        <v>1136</v>
      </c>
      <c r="B852" s="1">
        <v>65748</v>
      </c>
      <c r="C852" s="1">
        <v>511</v>
      </c>
      <c r="D852" s="4">
        <f t="shared" si="26"/>
        <v>7.7720995315446861E-3</v>
      </c>
      <c r="E852" s="1">
        <v>0</v>
      </c>
      <c r="F852" s="1">
        <v>1</v>
      </c>
      <c r="G852" s="1">
        <v>58</v>
      </c>
      <c r="H852" s="1">
        <v>172</v>
      </c>
      <c r="I852" s="1">
        <v>73</v>
      </c>
      <c r="J852" s="1">
        <v>93</v>
      </c>
      <c r="K852" s="1">
        <v>95</v>
      </c>
      <c r="L852" s="1">
        <v>78</v>
      </c>
      <c r="M852" s="1">
        <v>34</v>
      </c>
      <c r="N852" s="1">
        <v>2</v>
      </c>
      <c r="O852" s="1">
        <v>2</v>
      </c>
      <c r="P852" s="1">
        <v>4</v>
      </c>
      <c r="Q852" s="1">
        <v>10</v>
      </c>
      <c r="R852" s="1">
        <v>1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1</v>
      </c>
      <c r="Y852" s="1">
        <v>0</v>
      </c>
      <c r="Z852" s="1">
        <v>65</v>
      </c>
      <c r="AA852" s="1" t="str" cm="1">
        <f t="array" ref="AA852">_xlfn.IFS(AND(Z852&lt;36, Z852&gt;23), "24-35", AND(Z852&lt;51, Z852&gt;35),"36-50", AND(Z852&lt;66, Z852&gt;50), "51-66", Z852&gt;65, "66+", TRUE, "?")</f>
        <v>51-66</v>
      </c>
      <c r="AB852" s="1">
        <v>2599</v>
      </c>
      <c r="AC852" s="1">
        <v>0</v>
      </c>
      <c r="AD852" s="1">
        <v>0</v>
      </c>
      <c r="AE852" s="1">
        <v>0</v>
      </c>
      <c r="AF852" s="1">
        <v>1</v>
      </c>
      <c r="AG852" s="1">
        <v>0</v>
      </c>
      <c r="AH852" s="1">
        <v>0</v>
      </c>
      <c r="AI852" s="1">
        <v>1</v>
      </c>
      <c r="AJ852" s="1">
        <v>0</v>
      </c>
      <c r="AK852" s="1">
        <v>0</v>
      </c>
      <c r="AL852" s="1">
        <v>477</v>
      </c>
      <c r="AM852" s="2">
        <v>42250</v>
      </c>
      <c r="AN852" t="str">
        <f t="shared" si="27"/>
        <v>65748,511,0.00777209953154469,0,1,58,172,73,93,95,78,34,2,2,4,10,1,0,0,0,0,0,1,0,65,51-66,2599,0,0,0,1,0,0,1,0,0,477,42250</v>
      </c>
    </row>
    <row r="853" spans="1:40" ht="13" hidden="1" x14ac:dyDescent="0.15">
      <c r="A853">
        <v>835</v>
      </c>
      <c r="B853" s="1">
        <v>51195</v>
      </c>
      <c r="C853" s="1">
        <v>506</v>
      </c>
      <c r="D853" s="4">
        <f t="shared" si="26"/>
        <v>9.8837777126672532E-3</v>
      </c>
      <c r="E853" s="1">
        <v>1</v>
      </c>
      <c r="F853" s="1">
        <v>1</v>
      </c>
      <c r="G853" s="1">
        <v>46</v>
      </c>
      <c r="H853" s="1">
        <v>230</v>
      </c>
      <c r="I853" s="1">
        <v>14</v>
      </c>
      <c r="J853" s="1">
        <v>156</v>
      </c>
      <c r="K853" s="1">
        <v>82</v>
      </c>
      <c r="L853" s="1">
        <v>24</v>
      </c>
      <c r="M853" s="1">
        <v>58</v>
      </c>
      <c r="N853" s="1">
        <v>8</v>
      </c>
      <c r="O853" s="1">
        <v>9</v>
      </c>
      <c r="P853" s="1">
        <v>2</v>
      </c>
      <c r="Q853" s="1">
        <v>5</v>
      </c>
      <c r="R853" s="1">
        <v>8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58</v>
      </c>
      <c r="AA853" s="1" t="str" cm="1">
        <f t="array" ref="AA853">_xlfn.IFS(AND(Z853&lt;36, Z853&gt;23), "24-35", AND(Z853&lt;51, Z853&gt;35),"36-50", AND(Z853&lt;66, Z853&gt;50), "51-66", Z853&gt;65, "66+", TRUE, "?")</f>
        <v>51-66</v>
      </c>
      <c r="AB853" s="1">
        <v>2613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1</v>
      </c>
      <c r="AJ853" s="1">
        <v>0</v>
      </c>
      <c r="AK853" s="1">
        <v>0</v>
      </c>
      <c r="AL853" s="1">
        <v>448</v>
      </c>
      <c r="AM853" s="2">
        <v>42236</v>
      </c>
      <c r="AN853" t="str">
        <f t="shared" si="27"/>
        <v>51195,506,0.00988377771266725,1,1,46,230,14,156,82,24,58,8,9,2,5,8,0,0,0,0,0,0,0,58,51-66,2613,0,0,0,1,0,0,1,0,0,448,42236</v>
      </c>
    </row>
    <row r="854" spans="1:40" ht="13" hidden="1" x14ac:dyDescent="0.15">
      <c r="A854">
        <v>1925</v>
      </c>
      <c r="B854" s="1">
        <v>53230</v>
      </c>
      <c r="C854" s="1">
        <v>503</v>
      </c>
      <c r="D854" s="4">
        <f t="shared" si="26"/>
        <v>9.4495585196317858E-3</v>
      </c>
      <c r="E854" s="1">
        <v>0</v>
      </c>
      <c r="F854" s="1">
        <v>1</v>
      </c>
      <c r="G854" s="1">
        <v>86</v>
      </c>
      <c r="H854" s="1">
        <v>176</v>
      </c>
      <c r="I854" s="1">
        <v>72</v>
      </c>
      <c r="J854" s="1">
        <v>98</v>
      </c>
      <c r="K854" s="1">
        <v>136</v>
      </c>
      <c r="L854" s="1">
        <v>21</v>
      </c>
      <c r="M854" s="1">
        <v>229</v>
      </c>
      <c r="N854" s="1">
        <v>4</v>
      </c>
      <c r="O854" s="1">
        <v>5</v>
      </c>
      <c r="P854" s="1">
        <v>2</v>
      </c>
      <c r="Q854" s="1">
        <v>12</v>
      </c>
      <c r="R854" s="1">
        <v>5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64</v>
      </c>
      <c r="AA854" s="1" t="str" cm="1">
        <f t="array" ref="AA854">_xlfn.IFS(AND(Z854&lt;36, Z854&gt;23), "24-35", AND(Z854&lt;51, Z854&gt;35),"36-50", AND(Z854&lt;66, Z854&gt;50), "51-66", Z854&gt;65, "66+", TRUE, "?")</f>
        <v>51-66</v>
      </c>
      <c r="AB854" s="1">
        <v>2854</v>
      </c>
      <c r="AC854" s="1">
        <v>0</v>
      </c>
      <c r="AD854" s="1">
        <v>1</v>
      </c>
      <c r="AE854" s="1">
        <v>0</v>
      </c>
      <c r="AF854" s="1">
        <v>0</v>
      </c>
      <c r="AG854" s="1">
        <v>0</v>
      </c>
      <c r="AH854" s="1">
        <v>1</v>
      </c>
      <c r="AI854" s="1">
        <v>0</v>
      </c>
      <c r="AJ854" s="1">
        <v>0</v>
      </c>
      <c r="AK854" s="1">
        <v>0</v>
      </c>
      <c r="AL854" s="1">
        <v>274</v>
      </c>
      <c r="AM854" s="2">
        <v>41995</v>
      </c>
      <c r="AN854" t="str">
        <f t="shared" si="27"/>
        <v>53230,503,0.00944955851963179,0,1,86,176,72,98,136,21,229,4,5,2,12,5,0,0,0,0,0,0,0,64,51-66,2854,0,1,0,0,0,1,0,0,0,274,41995</v>
      </c>
    </row>
    <row r="855" spans="1:40" ht="13" hidden="1" x14ac:dyDescent="0.15">
      <c r="A855">
        <v>768</v>
      </c>
      <c r="B855" s="1">
        <v>22507</v>
      </c>
      <c r="C855" s="1">
        <v>502</v>
      </c>
      <c r="D855" s="4">
        <f t="shared" si="26"/>
        <v>2.2304172035366776E-2</v>
      </c>
      <c r="E855" s="1">
        <v>0</v>
      </c>
      <c r="F855" s="1">
        <v>0</v>
      </c>
      <c r="G855" s="1">
        <v>67</v>
      </c>
      <c r="H855" s="1">
        <v>68</v>
      </c>
      <c r="I855" s="1">
        <v>0</v>
      </c>
      <c r="J855" s="1">
        <v>226</v>
      </c>
      <c r="K855" s="1">
        <v>51</v>
      </c>
      <c r="L855" s="1">
        <v>157</v>
      </c>
      <c r="M855" s="1">
        <v>68</v>
      </c>
      <c r="N855" s="1">
        <v>3</v>
      </c>
      <c r="O855" s="1">
        <v>10</v>
      </c>
      <c r="P855" s="1">
        <v>2</v>
      </c>
      <c r="Q855" s="1">
        <v>4</v>
      </c>
      <c r="R855" s="1">
        <v>9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66</v>
      </c>
      <c r="AA855" s="1" t="str" cm="1">
        <f t="array" ref="AA855">_xlfn.IFS(AND(Z855&lt;36, Z855&gt;23), "24-35", AND(Z855&lt;51, Z855&gt;35),"36-50", AND(Z855&lt;66, Z855&gt;50), "51-66", Z855&gt;65, "66+", TRUE, "?")</f>
        <v>66+</v>
      </c>
      <c r="AB855" s="1">
        <v>2741</v>
      </c>
      <c r="AC855" s="1">
        <v>0</v>
      </c>
      <c r="AD855" s="1">
        <v>0</v>
      </c>
      <c r="AE855" s="1">
        <v>1</v>
      </c>
      <c r="AF855" s="1">
        <v>0</v>
      </c>
      <c r="AG855" s="1">
        <v>0</v>
      </c>
      <c r="AH855" s="1">
        <v>0</v>
      </c>
      <c r="AI855" s="1">
        <v>1</v>
      </c>
      <c r="AJ855" s="1">
        <v>0</v>
      </c>
      <c r="AK855" s="1">
        <v>0</v>
      </c>
      <c r="AL855" s="1">
        <v>434</v>
      </c>
      <c r="AM855" s="2">
        <v>42108</v>
      </c>
      <c r="AN855" t="str">
        <f t="shared" si="27"/>
        <v>22507,502,0.0223041720353668,0,0,67,68,0,226,51,157,68,3,10,2,4,9,0,0,0,0,0,0,0,66,66+,2741,0,0,1,0,0,0,1,0,0,434,42108</v>
      </c>
    </row>
    <row r="856" spans="1:40" ht="13" hidden="1" x14ac:dyDescent="0.15">
      <c r="A856">
        <v>1273</v>
      </c>
      <c r="B856" s="1">
        <v>58554</v>
      </c>
      <c r="C856" s="1">
        <v>498</v>
      </c>
      <c r="D856" s="4">
        <f t="shared" si="26"/>
        <v>8.50496977149298E-3</v>
      </c>
      <c r="E856" s="1">
        <v>1</v>
      </c>
      <c r="F856" s="1">
        <v>1</v>
      </c>
      <c r="G856" s="1">
        <v>55</v>
      </c>
      <c r="H856" s="1">
        <v>368</v>
      </c>
      <c r="I856" s="1">
        <v>24</v>
      </c>
      <c r="J856" s="1">
        <v>68</v>
      </c>
      <c r="K856" s="1">
        <v>38</v>
      </c>
      <c r="L856" s="1">
        <v>0</v>
      </c>
      <c r="M856" s="1">
        <v>88</v>
      </c>
      <c r="N856" s="1">
        <v>6</v>
      </c>
      <c r="O856" s="1">
        <v>8</v>
      </c>
      <c r="P856" s="1">
        <v>2</v>
      </c>
      <c r="Q856" s="1">
        <v>6</v>
      </c>
      <c r="R856" s="1">
        <v>7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52</v>
      </c>
      <c r="AA856" s="1" t="str" cm="1">
        <f t="array" ref="AA856">_xlfn.IFS(AND(Z856&lt;36, Z856&gt;23), "24-35", AND(Z856&lt;51, Z856&gt;35),"36-50", AND(Z856&lt;66, Z856&gt;50), "51-66", Z856&gt;65, "66+", TRUE, "?")</f>
        <v>51-66</v>
      </c>
      <c r="AB856" s="1">
        <v>2800</v>
      </c>
      <c r="AC856" s="1">
        <v>0</v>
      </c>
      <c r="AD856" s="1">
        <v>0</v>
      </c>
      <c r="AE856" s="1">
        <v>0</v>
      </c>
      <c r="AF856" s="1">
        <v>1</v>
      </c>
      <c r="AG856" s="1">
        <v>0</v>
      </c>
      <c r="AH856" s="1">
        <v>0</v>
      </c>
      <c r="AI856" s="1">
        <v>1</v>
      </c>
      <c r="AJ856" s="1">
        <v>0</v>
      </c>
      <c r="AK856" s="1">
        <v>0</v>
      </c>
      <c r="AL856" s="1">
        <v>410</v>
      </c>
      <c r="AM856" s="2">
        <v>42049</v>
      </c>
      <c r="AN856" t="str">
        <f t="shared" si="27"/>
        <v>58554,498,0.00850496977149298,1,1,55,368,24,68,38,0,88,6,8,2,6,7,0,0,0,0,0,0,0,52,51-66,2800,0,0,0,1,0,0,1,0,0,410,42049</v>
      </c>
    </row>
    <row r="857" spans="1:40" ht="13" hidden="1" x14ac:dyDescent="0.15">
      <c r="A857">
        <v>51</v>
      </c>
      <c r="B857" s="1">
        <v>66373</v>
      </c>
      <c r="C857" s="1">
        <v>497</v>
      </c>
      <c r="D857" s="4">
        <f t="shared" si="26"/>
        <v>7.4879845720398353E-3</v>
      </c>
      <c r="E857" s="1">
        <v>1</v>
      </c>
      <c r="F857" s="1">
        <v>1</v>
      </c>
      <c r="G857" s="1">
        <v>57</v>
      </c>
      <c r="H857" s="1">
        <v>328</v>
      </c>
      <c r="I857" s="1">
        <v>9</v>
      </c>
      <c r="J857" s="1">
        <v>124</v>
      </c>
      <c r="K857" s="1">
        <v>12</v>
      </c>
      <c r="L857" s="1">
        <v>24</v>
      </c>
      <c r="M857" s="1">
        <v>109</v>
      </c>
      <c r="N857" s="1">
        <v>7</v>
      </c>
      <c r="O857" s="1">
        <v>4</v>
      </c>
      <c r="P857" s="1">
        <v>2</v>
      </c>
      <c r="Q857" s="1">
        <v>10</v>
      </c>
      <c r="R857" s="1">
        <v>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42</v>
      </c>
      <c r="AA857" s="1" t="str" cm="1">
        <f t="array" ref="AA857">_xlfn.IFS(AND(Z857&lt;36, Z857&gt;23), "24-35", AND(Z857&lt;51, Z857&gt;35),"36-50", AND(Z857&lt;66, Z857&gt;50), "51-66", Z857&gt;65, "66+", TRUE, "?")</f>
        <v>36-50</v>
      </c>
      <c r="AB857" s="1">
        <v>2541</v>
      </c>
      <c r="AC857" s="1">
        <v>0</v>
      </c>
      <c r="AD857" s="1">
        <v>1</v>
      </c>
      <c r="AE857" s="1">
        <v>0</v>
      </c>
      <c r="AF857" s="1">
        <v>0</v>
      </c>
      <c r="AG857" s="1">
        <v>0</v>
      </c>
      <c r="AH857" s="1">
        <v>0</v>
      </c>
      <c r="AI857" s="1">
        <v>1</v>
      </c>
      <c r="AJ857" s="1">
        <v>0</v>
      </c>
      <c r="AK857" s="1">
        <v>0</v>
      </c>
      <c r="AL857" s="1">
        <v>388</v>
      </c>
      <c r="AM857" s="2">
        <v>42308</v>
      </c>
      <c r="AN857" t="str">
        <f t="shared" si="27"/>
        <v>66373,497,0.00748798457203984,1,1,57,328,9,124,12,24,109,7,4,2,10,3,0,0,0,0,0,0,0,42,36-50,2541,0,1,0,0,0,0,1,0,0,388,42308</v>
      </c>
    </row>
    <row r="858" spans="1:40" ht="13" hidden="1" x14ac:dyDescent="0.15">
      <c r="A858">
        <v>195</v>
      </c>
      <c r="B858" s="1">
        <v>46014</v>
      </c>
      <c r="C858" s="1">
        <v>497</v>
      </c>
      <c r="D858" s="4">
        <f t="shared" si="26"/>
        <v>1.0801060546790107E-2</v>
      </c>
      <c r="E858" s="1">
        <v>1</v>
      </c>
      <c r="F858" s="1">
        <v>1</v>
      </c>
      <c r="G858" s="1">
        <v>21</v>
      </c>
      <c r="H858" s="1">
        <v>410</v>
      </c>
      <c r="I858" s="1">
        <v>0</v>
      </c>
      <c r="J858" s="1">
        <v>59</v>
      </c>
      <c r="K858" s="1">
        <v>19</v>
      </c>
      <c r="L858" s="1">
        <v>9</v>
      </c>
      <c r="M858" s="1">
        <v>44</v>
      </c>
      <c r="N858" s="1">
        <v>10</v>
      </c>
      <c r="O858" s="1">
        <v>7</v>
      </c>
      <c r="P858" s="1">
        <v>1</v>
      </c>
      <c r="Q858" s="1">
        <v>8</v>
      </c>
      <c r="R858" s="1">
        <v>7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46</v>
      </c>
      <c r="AA858" s="1" t="str" cm="1">
        <f t="array" ref="AA858">_xlfn.IFS(AND(Z858&lt;36, Z858&gt;23), "24-35", AND(Z858&lt;51, Z858&gt;35),"36-50", AND(Z858&lt;66, Z858&gt;50), "51-66", Z858&gt;65, "66+", TRUE, "?")</f>
        <v>36-50</v>
      </c>
      <c r="AB858" s="1">
        <v>2683</v>
      </c>
      <c r="AC858" s="1">
        <v>0</v>
      </c>
      <c r="AD858" s="1">
        <v>0</v>
      </c>
      <c r="AE858" s="1">
        <v>0</v>
      </c>
      <c r="AF858" s="1">
        <v>1</v>
      </c>
      <c r="AG858" s="1">
        <v>0</v>
      </c>
      <c r="AH858" s="1">
        <v>0</v>
      </c>
      <c r="AI858" s="1">
        <v>0</v>
      </c>
      <c r="AJ858" s="1">
        <v>1</v>
      </c>
      <c r="AK858" s="1">
        <v>0</v>
      </c>
      <c r="AL858" s="1">
        <v>453</v>
      </c>
      <c r="AM858" s="2">
        <v>42166</v>
      </c>
      <c r="AN858" t="str">
        <f t="shared" si="27"/>
        <v>46014,497,0.0108010605467901,1,1,21,410,0,59,19,9,44,10,7,1,8,7,0,0,0,0,0,0,0,46,36-50,2683,0,0,0,1,0,0,0,1,0,453,42166</v>
      </c>
    </row>
    <row r="859" spans="1:40" ht="13" hidden="1" x14ac:dyDescent="0.15">
      <c r="A859">
        <v>823</v>
      </c>
      <c r="B859" s="1">
        <v>42835</v>
      </c>
      <c r="C859" s="1">
        <v>497</v>
      </c>
      <c r="D859" s="4">
        <f t="shared" si="26"/>
        <v>1.1602661375043772E-2</v>
      </c>
      <c r="E859" s="1">
        <v>1</v>
      </c>
      <c r="F859" s="1">
        <v>1</v>
      </c>
      <c r="G859" s="1">
        <v>64</v>
      </c>
      <c r="H859" s="1">
        <v>379</v>
      </c>
      <c r="I859" s="1">
        <v>4</v>
      </c>
      <c r="J859" s="1">
        <v>93</v>
      </c>
      <c r="K859" s="1">
        <v>12</v>
      </c>
      <c r="L859" s="1">
        <v>9</v>
      </c>
      <c r="M859" s="1">
        <v>98</v>
      </c>
      <c r="N859" s="1">
        <v>7</v>
      </c>
      <c r="O859" s="1">
        <v>6</v>
      </c>
      <c r="P859" s="1">
        <v>6</v>
      </c>
      <c r="Q859" s="1">
        <v>4</v>
      </c>
      <c r="R859" s="1">
        <v>6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49</v>
      </c>
      <c r="AA859" s="1" t="str" cm="1">
        <f t="array" ref="AA859">_xlfn.IFS(AND(Z859&lt;36, Z859&gt;23), "24-35", AND(Z859&lt;51, Z859&gt;35),"36-50", AND(Z859&lt;66, Z859&gt;50), "51-66", Z859&gt;65, "66+", TRUE, "?")</f>
        <v>36-50</v>
      </c>
      <c r="AB859" s="1">
        <v>2523</v>
      </c>
      <c r="AC859" s="1">
        <v>1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1</v>
      </c>
      <c r="AK859" s="1">
        <v>0</v>
      </c>
      <c r="AL859" s="1">
        <v>399</v>
      </c>
      <c r="AM859" s="2">
        <v>42326</v>
      </c>
      <c r="AN859" t="str">
        <f t="shared" si="27"/>
        <v>42835,497,0.0116026613750438,1,1,64,379,4,93,12,9,98,7,6,6,4,6,0,0,0,0,0,0,0,49,36-50,2523,1,0,0,0,0,0,0,1,0,399,42326</v>
      </c>
    </row>
    <row r="860" spans="1:40" ht="13" hidden="1" x14ac:dyDescent="0.15">
      <c r="A860">
        <v>1000</v>
      </c>
      <c r="B860" s="1">
        <v>65526</v>
      </c>
      <c r="C860" s="1">
        <v>497</v>
      </c>
      <c r="D860" s="4">
        <f t="shared" si="26"/>
        <v>7.5847755089582759E-3</v>
      </c>
      <c r="E860" s="1">
        <v>0</v>
      </c>
      <c r="F860" s="1">
        <v>1</v>
      </c>
      <c r="G860" s="1">
        <v>22</v>
      </c>
      <c r="H860" s="1">
        <v>397</v>
      </c>
      <c r="I860" s="1">
        <v>19</v>
      </c>
      <c r="J860" s="1">
        <v>69</v>
      </c>
      <c r="K860" s="1">
        <v>12</v>
      </c>
      <c r="L860" s="1">
        <v>0</v>
      </c>
      <c r="M860" s="1">
        <v>9</v>
      </c>
      <c r="N860" s="1">
        <v>1</v>
      </c>
      <c r="O860" s="1">
        <v>4</v>
      </c>
      <c r="P860" s="1">
        <v>4</v>
      </c>
      <c r="Q860" s="1">
        <v>8</v>
      </c>
      <c r="R860" s="1">
        <v>2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56</v>
      </c>
      <c r="AA860" s="1" t="str" cm="1">
        <f t="array" ref="AA860">_xlfn.IFS(AND(Z860&lt;36, Z860&gt;23), "24-35", AND(Z860&lt;51, Z860&gt;35),"36-50", AND(Z860&lt;66, Z860&gt;50), "51-66", Z860&gt;65, "66+", TRUE, "?")</f>
        <v>51-66</v>
      </c>
      <c r="AB860" s="1">
        <v>2238</v>
      </c>
      <c r="AC860" s="1">
        <v>0</v>
      </c>
      <c r="AD860" s="1">
        <v>1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1</v>
      </c>
      <c r="AL860" s="1">
        <v>488</v>
      </c>
      <c r="AM860" s="2">
        <v>42611</v>
      </c>
      <c r="AN860" t="str">
        <f t="shared" si="27"/>
        <v>65526,497,0.00758477550895828,0,1,22,397,19,69,12,0,9,1,4,4,8,2,0,0,0,0,0,0,0,56,51-66,2238,0,1,0,0,0,0,0,0,1,488,42611</v>
      </c>
    </row>
    <row r="861" spans="1:40" ht="13" hidden="1" x14ac:dyDescent="0.15">
      <c r="A861">
        <v>183</v>
      </c>
      <c r="B861" s="1">
        <v>69142</v>
      </c>
      <c r="C861" s="1">
        <v>496</v>
      </c>
      <c r="D861" s="4">
        <f t="shared" si="26"/>
        <v>7.173642648462584E-3</v>
      </c>
      <c r="E861" s="1">
        <v>0</v>
      </c>
      <c r="F861" s="1">
        <v>1</v>
      </c>
      <c r="G861" s="1">
        <v>50</v>
      </c>
      <c r="H861" s="1">
        <v>448</v>
      </c>
      <c r="I861" s="1">
        <v>4</v>
      </c>
      <c r="J861" s="1">
        <v>34</v>
      </c>
      <c r="K861" s="1">
        <v>6</v>
      </c>
      <c r="L861" s="1">
        <v>4</v>
      </c>
      <c r="M861" s="1">
        <v>39</v>
      </c>
      <c r="N861" s="1">
        <v>3</v>
      </c>
      <c r="O861" s="1">
        <v>8</v>
      </c>
      <c r="P861" s="1">
        <v>1</v>
      </c>
      <c r="Q861" s="1">
        <v>7</v>
      </c>
      <c r="R861" s="1">
        <v>5</v>
      </c>
      <c r="S861" s="1">
        <v>0</v>
      </c>
      <c r="T861" s="1">
        <v>0</v>
      </c>
      <c r="U861" s="1">
        <v>0</v>
      </c>
      <c r="V861" s="1">
        <v>1</v>
      </c>
      <c r="W861" s="1">
        <v>0</v>
      </c>
      <c r="X861" s="1">
        <v>0</v>
      </c>
      <c r="Y861" s="1">
        <v>0</v>
      </c>
      <c r="Z861" s="1">
        <v>68</v>
      </c>
      <c r="AA861" s="1" t="str" cm="1">
        <f t="array" ref="AA861">_xlfn.IFS(AND(Z861&lt;36, Z861&gt;23), "24-35", AND(Z861&lt;51, Z861&gt;35),"36-50", AND(Z861&lt;66, Z861&gt;50), "51-66", Z861&gt;65, "66+", TRUE, "?")</f>
        <v>66+</v>
      </c>
      <c r="AB861" s="1">
        <v>2159</v>
      </c>
      <c r="AC861" s="1">
        <v>1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1</v>
      </c>
      <c r="AJ861" s="1">
        <v>0</v>
      </c>
      <c r="AK861" s="1">
        <v>0</v>
      </c>
      <c r="AL861" s="1">
        <v>457</v>
      </c>
      <c r="AM861" s="2">
        <v>42690</v>
      </c>
      <c r="AN861" t="str">
        <f t="shared" si="27"/>
        <v>69142,496,0.00717364264846258,0,1,50,448,4,34,6,4,39,3,8,1,7,5,0,0,0,1,0,0,0,68,66+,2159,1,0,0,0,0,0,1,0,0,457,42690</v>
      </c>
    </row>
    <row r="862" spans="1:40" ht="13" hidden="1" x14ac:dyDescent="0.15">
      <c r="A862">
        <v>1141</v>
      </c>
      <c r="B862" s="1">
        <v>61559</v>
      </c>
      <c r="C862" s="1">
        <v>496</v>
      </c>
      <c r="D862" s="4">
        <f t="shared" si="26"/>
        <v>8.0573108724963042E-3</v>
      </c>
      <c r="E862" s="1">
        <v>0</v>
      </c>
      <c r="F862" s="1">
        <v>1</v>
      </c>
      <c r="G862" s="1">
        <v>8</v>
      </c>
      <c r="H862" s="1">
        <v>279</v>
      </c>
      <c r="I862" s="1">
        <v>83</v>
      </c>
      <c r="J862" s="1">
        <v>88</v>
      </c>
      <c r="K862" s="1">
        <v>32</v>
      </c>
      <c r="L862" s="1">
        <v>14</v>
      </c>
      <c r="M862" s="1">
        <v>34</v>
      </c>
      <c r="N862" s="1">
        <v>1</v>
      </c>
      <c r="O862" s="1">
        <v>4</v>
      </c>
      <c r="P862" s="1">
        <v>2</v>
      </c>
      <c r="Q862" s="1">
        <v>10</v>
      </c>
      <c r="R862" s="1">
        <v>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55</v>
      </c>
      <c r="AA862" s="1" t="str" cm="1">
        <f t="array" ref="AA862">_xlfn.IFS(AND(Z862&lt;36, Z862&gt;23), "24-35", AND(Z862&lt;51, Z862&gt;35),"36-50", AND(Z862&lt;66, Z862&gt;50), "51-66", Z862&gt;65, "66+", TRUE, "?")</f>
        <v>51-66</v>
      </c>
      <c r="AB862" s="1">
        <v>2506</v>
      </c>
      <c r="AC862" s="1">
        <v>0</v>
      </c>
      <c r="AD862" s="1">
        <v>0</v>
      </c>
      <c r="AE862" s="1">
        <v>1</v>
      </c>
      <c r="AF862" s="1">
        <v>0</v>
      </c>
      <c r="AG862" s="1">
        <v>0</v>
      </c>
      <c r="AH862" s="1">
        <v>0</v>
      </c>
      <c r="AI862" s="1">
        <v>1</v>
      </c>
      <c r="AJ862" s="1">
        <v>0</v>
      </c>
      <c r="AK862" s="1">
        <v>0</v>
      </c>
      <c r="AL862" s="1">
        <v>462</v>
      </c>
      <c r="AM862" s="2">
        <v>42343</v>
      </c>
      <c r="AN862" t="str">
        <f t="shared" si="27"/>
        <v>61559,496,0.0080573108724963,0,1,8,279,83,88,32,14,34,1,4,2,10,3,0,0,0,0,0,0,0,55,51-66,2506,0,0,1,0,0,0,1,0,0,462,42343</v>
      </c>
    </row>
    <row r="863" spans="1:40" ht="13" x14ac:dyDescent="0.15">
      <c r="A863">
        <v>1351</v>
      </c>
      <c r="B863" s="1">
        <v>46049</v>
      </c>
      <c r="C863" s="1">
        <v>496</v>
      </c>
      <c r="D863" s="4">
        <f t="shared" si="26"/>
        <v>1.0771135095224652E-2</v>
      </c>
      <c r="E863" s="1">
        <v>1</v>
      </c>
      <c r="F863" s="1">
        <v>1</v>
      </c>
      <c r="G863" s="1">
        <v>11</v>
      </c>
      <c r="H863" s="1">
        <v>342</v>
      </c>
      <c r="I863" s="1">
        <v>9</v>
      </c>
      <c r="J863" s="1">
        <v>112</v>
      </c>
      <c r="K863" s="1">
        <v>19</v>
      </c>
      <c r="L863" s="1">
        <v>14</v>
      </c>
      <c r="M863" s="1">
        <v>19</v>
      </c>
      <c r="N863" s="1">
        <v>10</v>
      </c>
      <c r="O863" s="1">
        <v>5</v>
      </c>
      <c r="P863" s="1">
        <v>2</v>
      </c>
      <c r="Q863" s="1">
        <v>9</v>
      </c>
      <c r="R863" s="1">
        <v>7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</v>
      </c>
      <c r="Z863" s="1">
        <v>44</v>
      </c>
      <c r="AA863" s="1" t="str" cm="1">
        <f t="array" ref="AA863">_xlfn.IFS(AND(Z863&lt;36, Z863&gt;23), "24-35", AND(Z863&lt;51, Z863&gt;35),"36-50", AND(Z863&lt;66, Z863&gt;50), "51-66", Z863&gt;65, "66+", TRUE, "?")</f>
        <v>36-50</v>
      </c>
      <c r="AB863" s="1">
        <v>2502</v>
      </c>
      <c r="AC863" s="1">
        <v>0</v>
      </c>
      <c r="AD863" s="1">
        <v>1</v>
      </c>
      <c r="AE863" s="1">
        <v>0</v>
      </c>
      <c r="AF863" s="1">
        <v>0</v>
      </c>
      <c r="AG863" s="1">
        <v>0</v>
      </c>
      <c r="AH863" s="1">
        <v>0</v>
      </c>
      <c r="AI863" s="1">
        <v>1</v>
      </c>
      <c r="AJ863" s="1">
        <v>0</v>
      </c>
      <c r="AK863" s="1">
        <v>0</v>
      </c>
      <c r="AL863" s="1">
        <v>477</v>
      </c>
      <c r="AM863" s="2">
        <v>42347</v>
      </c>
      <c r="AN863" t="str">
        <f t="shared" si="27"/>
        <v>46049,496,0.0107711350952247,1,1,11,342,9,112,19,14,19,10,5,2,9,7,0,0,0,0,0,0,1,44,36-50,2502,0,1,0,0,0,0,1,0,0,477,42347</v>
      </c>
    </row>
    <row r="864" spans="1:40" ht="13" hidden="1" x14ac:dyDescent="0.15">
      <c r="A864">
        <v>1883</v>
      </c>
      <c r="B864" s="1">
        <v>54591</v>
      </c>
      <c r="C864" s="1">
        <v>495</v>
      </c>
      <c r="D864" s="4">
        <f t="shared" si="26"/>
        <v>9.0674286970379731E-3</v>
      </c>
      <c r="E864" s="1">
        <v>0</v>
      </c>
      <c r="F864" s="1">
        <v>1</v>
      </c>
      <c r="G864" s="1">
        <v>63</v>
      </c>
      <c r="H864" s="1">
        <v>376</v>
      </c>
      <c r="I864" s="1">
        <v>4</v>
      </c>
      <c r="J864" s="1">
        <v>94</v>
      </c>
      <c r="K864" s="1">
        <v>12</v>
      </c>
      <c r="L864" s="1">
        <v>9</v>
      </c>
      <c r="M864" s="1">
        <v>24</v>
      </c>
      <c r="N864" s="1">
        <v>3</v>
      </c>
      <c r="O864" s="1">
        <v>6</v>
      </c>
      <c r="P864" s="1">
        <v>2</v>
      </c>
      <c r="Q864" s="1">
        <v>8</v>
      </c>
      <c r="R864" s="1">
        <v>5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71</v>
      </c>
      <c r="AA864" s="1" t="str" cm="1">
        <f t="array" ref="AA864">_xlfn.IFS(AND(Z864&lt;36, Z864&gt;23), "24-35", AND(Z864&lt;51, Z864&gt;35),"36-50", AND(Z864&lt;66, Z864&gt;50), "51-66", Z864&gt;65, "66+", TRUE, "?")</f>
        <v>66+</v>
      </c>
      <c r="AB864" s="1">
        <v>2487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1</v>
      </c>
      <c r="AJ864" s="1">
        <v>0</v>
      </c>
      <c r="AK864" s="1">
        <v>0</v>
      </c>
      <c r="AL864" s="1">
        <v>471</v>
      </c>
      <c r="AM864" s="2">
        <v>42362</v>
      </c>
      <c r="AN864" t="str">
        <f t="shared" si="27"/>
        <v>54591,495,0.00906742869703797,0,1,63,376,4,94,12,9,24,3,6,2,8,5,0,0,0,0,0,0,0,71,66+,2487,0,0,0,1,0,0,1,0,0,471,42362</v>
      </c>
    </row>
    <row r="865" spans="1:40" ht="13" hidden="1" x14ac:dyDescent="0.15">
      <c r="A865">
        <v>447</v>
      </c>
      <c r="B865" s="1">
        <v>55842</v>
      </c>
      <c r="C865" s="1">
        <v>494</v>
      </c>
      <c r="D865" s="4">
        <f t="shared" si="26"/>
        <v>8.8463880233515986E-3</v>
      </c>
      <c r="E865" s="1">
        <v>0</v>
      </c>
      <c r="F865" s="1">
        <v>1</v>
      </c>
      <c r="G865" s="1">
        <v>19</v>
      </c>
      <c r="H865" s="1">
        <v>451</v>
      </c>
      <c r="I865" s="1">
        <v>0</v>
      </c>
      <c r="J865" s="1">
        <v>39</v>
      </c>
      <c r="K865" s="1">
        <v>0</v>
      </c>
      <c r="L865" s="1">
        <v>4</v>
      </c>
      <c r="M865" s="1">
        <v>24</v>
      </c>
      <c r="N865" s="1">
        <v>1</v>
      </c>
      <c r="O865" s="1">
        <v>7</v>
      </c>
      <c r="P865" s="1">
        <v>1</v>
      </c>
      <c r="Q865" s="1">
        <v>8</v>
      </c>
      <c r="R865" s="1">
        <v>5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43</v>
      </c>
      <c r="AA865" s="1" t="str" cm="1">
        <f t="array" ref="AA865">_xlfn.IFS(AND(Z865&lt;36, Z865&gt;23), "24-35", AND(Z865&lt;51, Z865&gt;35),"36-50", AND(Z865&lt;66, Z865&gt;50), "51-66", Z865&gt;65, "66+", TRUE, "?")</f>
        <v>36-50</v>
      </c>
      <c r="AB865" s="1">
        <v>2196</v>
      </c>
      <c r="AC865" s="1">
        <v>0</v>
      </c>
      <c r="AD865" s="1">
        <v>1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1</v>
      </c>
      <c r="AK865" s="1">
        <v>0</v>
      </c>
      <c r="AL865" s="1">
        <v>470</v>
      </c>
      <c r="AM865" s="2">
        <v>42653</v>
      </c>
      <c r="AN865" t="str">
        <f t="shared" si="27"/>
        <v>55842,494,0.0088463880233516,0,1,19,451,0,39,0,4,24,1,7,1,8,5,0,0,0,0,0,0,0,43,36-50,2196,0,1,0,0,0,0,0,1,0,470,42653</v>
      </c>
    </row>
    <row r="866" spans="1:40" ht="13" x14ac:dyDescent="0.15">
      <c r="A866">
        <v>1353</v>
      </c>
      <c r="B866" s="1">
        <v>86836</v>
      </c>
      <c r="C866" s="1">
        <v>494</v>
      </c>
      <c r="D866" s="4">
        <f t="shared" si="26"/>
        <v>5.6888847943249348E-3</v>
      </c>
      <c r="E866" s="1">
        <v>0</v>
      </c>
      <c r="F866" s="1">
        <v>0</v>
      </c>
      <c r="G866" s="1">
        <v>7</v>
      </c>
      <c r="H866" s="1">
        <v>179</v>
      </c>
      <c r="I866" s="1">
        <v>21</v>
      </c>
      <c r="J866" s="1">
        <v>273</v>
      </c>
      <c r="K866" s="1">
        <v>0</v>
      </c>
      <c r="L866" s="1">
        <v>21</v>
      </c>
      <c r="M866" s="1">
        <v>63</v>
      </c>
      <c r="N866" s="1">
        <v>1</v>
      </c>
      <c r="O866" s="1">
        <v>6</v>
      </c>
      <c r="P866" s="1">
        <v>10</v>
      </c>
      <c r="Q866" s="1">
        <v>6</v>
      </c>
      <c r="R866" s="1">
        <v>5</v>
      </c>
      <c r="S866" s="1">
        <v>1</v>
      </c>
      <c r="T866" s="1">
        <v>0</v>
      </c>
      <c r="U866" s="1">
        <v>1</v>
      </c>
      <c r="V866" s="1">
        <v>0</v>
      </c>
      <c r="W866" s="1">
        <v>1</v>
      </c>
      <c r="X866" s="1">
        <v>0</v>
      </c>
      <c r="Y866" s="1">
        <v>1</v>
      </c>
      <c r="Z866" s="1">
        <v>45</v>
      </c>
      <c r="AA866" s="1" t="str" cm="1">
        <f t="array" ref="AA866">_xlfn.IFS(AND(Z866&lt;36, Z866&gt;23), "24-35", AND(Z866&lt;51, Z866&gt;35),"36-50", AND(Z866&lt;66, Z866&gt;50), "51-66", Z866&gt;65, "66+", TRUE, "?")</f>
        <v>36-50</v>
      </c>
      <c r="AB866" s="1">
        <v>2814</v>
      </c>
      <c r="AC866" s="1">
        <v>0</v>
      </c>
      <c r="AD866" s="1">
        <v>1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1</v>
      </c>
      <c r="AL866" s="1">
        <v>431</v>
      </c>
      <c r="AM866" s="2">
        <v>42035</v>
      </c>
      <c r="AN866" t="str">
        <f t="shared" si="27"/>
        <v>86836,494,0.00568888479432493,0,0,7,179,21,273,0,21,63,1,6,10,6,5,1,0,1,0,1,0,1,45,36-50,2814,0,1,0,0,0,0,0,0,1,431,42035</v>
      </c>
    </row>
    <row r="867" spans="1:40" ht="13" hidden="1" x14ac:dyDescent="0.15">
      <c r="A867">
        <v>2000</v>
      </c>
      <c r="B867" s="1">
        <v>41769</v>
      </c>
      <c r="C867" s="1">
        <v>494</v>
      </c>
      <c r="D867" s="4">
        <f t="shared" si="26"/>
        <v>1.1826953003423592E-2</v>
      </c>
      <c r="E867" s="1">
        <v>0</v>
      </c>
      <c r="F867" s="1">
        <v>1</v>
      </c>
      <c r="G867" s="1">
        <v>31</v>
      </c>
      <c r="H867" s="1">
        <v>302</v>
      </c>
      <c r="I867" s="1">
        <v>29</v>
      </c>
      <c r="J867" s="1">
        <v>131</v>
      </c>
      <c r="K867" s="1">
        <v>32</v>
      </c>
      <c r="L867" s="1">
        <v>0</v>
      </c>
      <c r="M867" s="1">
        <v>27</v>
      </c>
      <c r="N867" s="1">
        <v>6</v>
      </c>
      <c r="O867" s="1">
        <v>8</v>
      </c>
      <c r="P867" s="1">
        <v>1</v>
      </c>
      <c r="Q867" s="1">
        <v>7</v>
      </c>
      <c r="R867" s="1">
        <v>8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65</v>
      </c>
      <c r="AA867" s="1" t="str" cm="1">
        <f t="array" ref="AA867">_xlfn.IFS(AND(Z867&lt;36, Z867&gt;23), "24-35", AND(Z867&lt;51, Z867&gt;35),"36-50", AND(Z867&lt;66, Z867&gt;50), "51-66", Z867&gt;65, "66+", TRUE, "?")</f>
        <v>51-66</v>
      </c>
      <c r="AB867" s="1">
        <v>2660</v>
      </c>
      <c r="AC867" s="1">
        <v>1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0</v>
      </c>
      <c r="AJ867" s="1">
        <v>0</v>
      </c>
      <c r="AK867" s="1">
        <v>0</v>
      </c>
      <c r="AL867" s="1">
        <v>467</v>
      </c>
      <c r="AM867" s="2">
        <v>42189</v>
      </c>
      <c r="AN867" t="str">
        <f t="shared" si="27"/>
        <v>41769,494,0.0118269530034236,0,1,31,302,29,131,32,0,27,6,8,1,7,8,0,0,0,0,0,0,0,65,51-66,2660,1,0,0,0,0,1,0,0,0,467,42189</v>
      </c>
    </row>
    <row r="868" spans="1:40" ht="13" hidden="1" x14ac:dyDescent="0.15">
      <c r="A868">
        <v>47</v>
      </c>
      <c r="B868" s="1">
        <v>65486</v>
      </c>
      <c r="C868" s="1">
        <v>493</v>
      </c>
      <c r="D868" s="4">
        <f t="shared" si="26"/>
        <v>7.5283266652414254E-3</v>
      </c>
      <c r="E868" s="1">
        <v>0</v>
      </c>
      <c r="F868" s="1">
        <v>1</v>
      </c>
      <c r="G868" s="1">
        <v>29</v>
      </c>
      <c r="H868" s="1">
        <v>245</v>
      </c>
      <c r="I868" s="1">
        <v>19</v>
      </c>
      <c r="J868" s="1">
        <v>125</v>
      </c>
      <c r="K868" s="1">
        <v>37</v>
      </c>
      <c r="L868" s="1">
        <v>67</v>
      </c>
      <c r="M868" s="1">
        <v>14</v>
      </c>
      <c r="N868" s="1">
        <v>1</v>
      </c>
      <c r="O868" s="1">
        <v>4</v>
      </c>
      <c r="P868" s="1">
        <v>2</v>
      </c>
      <c r="Q868" s="1">
        <v>10</v>
      </c>
      <c r="R868" s="1">
        <v>2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63</v>
      </c>
      <c r="AA868" s="1" t="str" cm="1">
        <f t="array" ref="AA868">_xlfn.IFS(AND(Z868&lt;36, Z868&gt;23), "24-35", AND(Z868&lt;51, Z868&gt;35),"36-50", AND(Z868&lt;66, Z868&gt;50), "51-66", Z868&gt;65, "66+", TRUE, "?")</f>
        <v>51-66</v>
      </c>
      <c r="AB868" s="1">
        <v>2207</v>
      </c>
      <c r="AC868" s="1">
        <v>0</v>
      </c>
      <c r="AD868" s="1">
        <v>0</v>
      </c>
      <c r="AE868" s="1">
        <v>0</v>
      </c>
      <c r="AF868" s="1">
        <v>0</v>
      </c>
      <c r="AG868" s="1">
        <v>1</v>
      </c>
      <c r="AH868" s="1">
        <v>0</v>
      </c>
      <c r="AI868" s="1">
        <v>1</v>
      </c>
      <c r="AJ868" s="1">
        <v>0</v>
      </c>
      <c r="AK868" s="1">
        <v>0</v>
      </c>
      <c r="AL868" s="1">
        <v>479</v>
      </c>
      <c r="AM868" s="2">
        <v>42642</v>
      </c>
      <c r="AN868" t="str">
        <f t="shared" si="27"/>
        <v>65486,493,0.00752832666524143,0,1,29,245,19,125,37,67,14,1,4,2,10,2,0,0,0,0,0,0,0,63,51-66,2207,0,0,0,0,1,0,1,0,0,479,42642</v>
      </c>
    </row>
    <row r="869" spans="1:40" ht="13" hidden="1" x14ac:dyDescent="0.15">
      <c r="A869">
        <v>318</v>
      </c>
      <c r="B869" s="1">
        <v>59292</v>
      </c>
      <c r="C869" s="1">
        <v>493</v>
      </c>
      <c r="D869" s="4">
        <f t="shared" si="26"/>
        <v>8.3147810834513936E-3</v>
      </c>
      <c r="E869" s="1">
        <v>0</v>
      </c>
      <c r="F869" s="1">
        <v>1</v>
      </c>
      <c r="G869" s="1">
        <v>71</v>
      </c>
      <c r="H869" s="1">
        <v>378</v>
      </c>
      <c r="I869" s="1">
        <v>14</v>
      </c>
      <c r="J869" s="1">
        <v>68</v>
      </c>
      <c r="K869" s="1">
        <v>19</v>
      </c>
      <c r="L869" s="1">
        <v>14</v>
      </c>
      <c r="M869" s="1">
        <v>14</v>
      </c>
      <c r="N869" s="1">
        <v>2</v>
      </c>
      <c r="O869" s="1">
        <v>3</v>
      </c>
      <c r="P869" s="1">
        <v>5</v>
      </c>
      <c r="Q869" s="1">
        <v>8</v>
      </c>
      <c r="R869" s="1">
        <v>3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70</v>
      </c>
      <c r="AA869" s="1" t="str" cm="1">
        <f t="array" ref="AA869">_xlfn.IFS(AND(Z869&lt;36, Z869&gt;23), "24-35", AND(Z869&lt;51, Z869&gt;35),"36-50", AND(Z869&lt;66, Z869&gt;50), "51-66", Z869&gt;65, "66+", TRUE, "?")</f>
        <v>66+</v>
      </c>
      <c r="AB869" s="1">
        <v>2540</v>
      </c>
      <c r="AC869" s="1">
        <v>0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0</v>
      </c>
      <c r="AJ869" s="1">
        <v>0</v>
      </c>
      <c r="AK869" s="1">
        <v>1</v>
      </c>
      <c r="AL869" s="1">
        <v>479</v>
      </c>
      <c r="AM869" s="2">
        <v>42309</v>
      </c>
      <c r="AN869" t="str">
        <f t="shared" si="27"/>
        <v>59292,493,0.00831478108345139,0,1,71,378,14,68,19,14,14,2,3,5,8,3,0,0,0,0,0,0,0,70,66+,2540,0,0,0,1,0,0,0,0,1,479,42309</v>
      </c>
    </row>
    <row r="870" spans="1:40" ht="13" hidden="1" x14ac:dyDescent="0.15">
      <c r="A870">
        <v>403</v>
      </c>
      <c r="B870" s="1">
        <v>42387</v>
      </c>
      <c r="C870" s="1">
        <v>493</v>
      </c>
      <c r="D870" s="4">
        <f t="shared" si="26"/>
        <v>1.16309245759313E-2</v>
      </c>
      <c r="E870" s="1">
        <v>1</v>
      </c>
      <c r="F870" s="1">
        <v>0</v>
      </c>
      <c r="G870" s="1">
        <v>42</v>
      </c>
      <c r="H870" s="1">
        <v>235</v>
      </c>
      <c r="I870" s="1">
        <v>0</v>
      </c>
      <c r="J870" s="1">
        <v>235</v>
      </c>
      <c r="K870" s="1">
        <v>19</v>
      </c>
      <c r="L870" s="1">
        <v>4</v>
      </c>
      <c r="M870" s="1">
        <v>191</v>
      </c>
      <c r="N870" s="1">
        <v>5</v>
      </c>
      <c r="O870" s="1">
        <v>8</v>
      </c>
      <c r="P870" s="1">
        <v>1</v>
      </c>
      <c r="Q870" s="1">
        <v>7</v>
      </c>
      <c r="R870" s="1">
        <v>8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31</v>
      </c>
      <c r="AA870" s="1" t="str" cm="1">
        <f t="array" ref="AA870">_xlfn.IFS(AND(Z870&lt;36, Z870&gt;23), "24-35", AND(Z870&lt;51, Z870&gt;35),"36-50", AND(Z870&lt;66, Z870&gt;50), "51-66", Z870&gt;65, "66+", TRUE, "?")</f>
        <v>24-35</v>
      </c>
      <c r="AB870" s="1">
        <v>2767</v>
      </c>
      <c r="AC870" s="1">
        <v>0</v>
      </c>
      <c r="AD870" s="1">
        <v>1</v>
      </c>
      <c r="AE870" s="1">
        <v>0</v>
      </c>
      <c r="AF870" s="1">
        <v>0</v>
      </c>
      <c r="AG870" s="1">
        <v>0</v>
      </c>
      <c r="AH870" s="1">
        <v>0</v>
      </c>
      <c r="AI870" s="1">
        <v>1</v>
      </c>
      <c r="AJ870" s="1">
        <v>0</v>
      </c>
      <c r="AK870" s="1">
        <v>0</v>
      </c>
      <c r="AL870" s="1">
        <v>302</v>
      </c>
      <c r="AM870" s="2">
        <v>42082</v>
      </c>
      <c r="AN870" t="str">
        <f t="shared" si="27"/>
        <v>42387,493,0.0116309245759313,1,0,42,235,0,235,19,4,191,5,8,1,7,8,0,0,0,0,0,0,0,31,24-35,2767,0,1,0,0,0,0,1,0,0,302,42082</v>
      </c>
    </row>
    <row r="871" spans="1:40" ht="13" hidden="1" x14ac:dyDescent="0.15">
      <c r="A871">
        <v>520</v>
      </c>
      <c r="B871" s="1">
        <v>60504</v>
      </c>
      <c r="C871" s="1">
        <v>492</v>
      </c>
      <c r="D871" s="4">
        <f t="shared" si="26"/>
        <v>8.1316937723125739E-3</v>
      </c>
      <c r="E871" s="1">
        <v>0</v>
      </c>
      <c r="F871" s="1">
        <v>1</v>
      </c>
      <c r="G871" s="1">
        <v>73</v>
      </c>
      <c r="H871" s="1">
        <v>458</v>
      </c>
      <c r="I871" s="1">
        <v>0</v>
      </c>
      <c r="J871" s="1">
        <v>24</v>
      </c>
      <c r="K871" s="1">
        <v>6</v>
      </c>
      <c r="L871" s="1">
        <v>4</v>
      </c>
      <c r="M871" s="1">
        <v>34</v>
      </c>
      <c r="N871" s="1">
        <v>2</v>
      </c>
      <c r="O871" s="1">
        <v>6</v>
      </c>
      <c r="P871" s="1">
        <v>2</v>
      </c>
      <c r="Q871" s="1">
        <v>8</v>
      </c>
      <c r="R871" s="1">
        <v>6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49</v>
      </c>
      <c r="AA871" s="1" t="str" cm="1">
        <f t="array" ref="AA871">_xlfn.IFS(AND(Z871&lt;36, Z871&gt;23), "24-35", AND(Z871&lt;51, Z871&gt;35),"36-50", AND(Z871&lt;66, Z871&gt;50), "51-66", Z871&gt;65, "66+", TRUE, "?")</f>
        <v>36-50</v>
      </c>
      <c r="AB871" s="1">
        <v>2301</v>
      </c>
      <c r="AC871" s="1">
        <v>0</v>
      </c>
      <c r="AD871" s="1">
        <v>0</v>
      </c>
      <c r="AE871" s="1">
        <v>1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1</v>
      </c>
      <c r="AL871" s="1">
        <v>458</v>
      </c>
      <c r="AM871" s="2">
        <v>42548</v>
      </c>
      <c r="AN871" t="str">
        <f t="shared" si="27"/>
        <v>60504,492,0.00813169377231257,0,1,73,458,0,24,6,4,34,2,6,2,8,6,0,0,0,0,0,0,0,49,36-50,2301,0,0,1,0,0,0,0,0,1,458,42548</v>
      </c>
    </row>
    <row r="872" spans="1:40" ht="13" x14ac:dyDescent="0.15">
      <c r="A872">
        <v>1354</v>
      </c>
      <c r="B872" s="1">
        <v>57091</v>
      </c>
      <c r="C872" s="1">
        <v>492</v>
      </c>
      <c r="D872" s="4">
        <f t="shared" si="26"/>
        <v>8.6178206722600757E-3</v>
      </c>
      <c r="E872" s="1">
        <v>0</v>
      </c>
      <c r="F872" s="1">
        <v>1</v>
      </c>
      <c r="G872" s="1">
        <v>82</v>
      </c>
      <c r="H872" s="1">
        <v>462</v>
      </c>
      <c r="I872" s="1">
        <v>0</v>
      </c>
      <c r="J872" s="1">
        <v>24</v>
      </c>
      <c r="K872" s="1">
        <v>6</v>
      </c>
      <c r="L872" s="1">
        <v>0</v>
      </c>
      <c r="M872" s="1">
        <v>4</v>
      </c>
      <c r="N872" s="1">
        <v>2</v>
      </c>
      <c r="O872" s="1">
        <v>9</v>
      </c>
      <c r="P872" s="1">
        <v>2</v>
      </c>
      <c r="Q872" s="1">
        <v>5</v>
      </c>
      <c r="R872" s="1">
        <v>7</v>
      </c>
      <c r="S872" s="1">
        <v>0</v>
      </c>
      <c r="T872" s="1">
        <v>0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48</v>
      </c>
      <c r="AA872" s="1" t="str" cm="1">
        <f t="array" ref="AA872">_xlfn.IFS(AND(Z872&lt;36, Z872&gt;23), "24-35", AND(Z872&lt;51, Z872&gt;35),"36-50", AND(Z872&lt;66, Z872&gt;50), "51-66", Z872&gt;65, "66+", TRUE, "?")</f>
        <v>36-50</v>
      </c>
      <c r="AB872" s="1">
        <v>2742</v>
      </c>
      <c r="AC872" s="1">
        <v>0</v>
      </c>
      <c r="AD872" s="1">
        <v>1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1</v>
      </c>
      <c r="AL872" s="1">
        <v>488</v>
      </c>
      <c r="AM872" s="2">
        <v>42107</v>
      </c>
      <c r="AN872" t="str">
        <f t="shared" si="27"/>
        <v>57091,492,0.00861782067226008,0,1,82,462,0,24,6,0,4,2,9,2,5,7,0,0,0,1,0,0,1,48,36-50,2742,0,1,0,0,0,0,0,0,1,488,42107</v>
      </c>
    </row>
    <row r="873" spans="1:40" ht="13" hidden="1" x14ac:dyDescent="0.15">
      <c r="A873">
        <v>171</v>
      </c>
      <c r="B873" s="1">
        <v>61286</v>
      </c>
      <c r="C873" s="1">
        <v>491</v>
      </c>
      <c r="D873" s="4">
        <f t="shared" si="26"/>
        <v>8.0116176614561229E-3</v>
      </c>
      <c r="E873" s="1">
        <v>0</v>
      </c>
      <c r="F873" s="1">
        <v>1</v>
      </c>
      <c r="G873" s="1">
        <v>34</v>
      </c>
      <c r="H873" s="1">
        <v>356</v>
      </c>
      <c r="I873" s="1">
        <v>0</v>
      </c>
      <c r="J873" s="1">
        <v>107</v>
      </c>
      <c r="K873" s="1">
        <v>19</v>
      </c>
      <c r="L873" s="1">
        <v>9</v>
      </c>
      <c r="M873" s="1">
        <v>117</v>
      </c>
      <c r="N873" s="1">
        <v>2</v>
      </c>
      <c r="O873" s="1">
        <v>7</v>
      </c>
      <c r="P873" s="1">
        <v>1</v>
      </c>
      <c r="Q873" s="1">
        <v>8</v>
      </c>
      <c r="R873" s="1">
        <v>5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54</v>
      </c>
      <c r="AA873" s="1" t="str" cm="1">
        <f t="array" ref="AA873">_xlfn.IFS(AND(Z873&lt;36, Z873&gt;23), "24-35", AND(Z873&lt;51, Z873&gt;35),"36-50", AND(Z873&lt;66, Z873&gt;50), "51-66", Z873&gt;65, "66+", TRUE, "?")</f>
        <v>51-66</v>
      </c>
      <c r="AB873" s="1">
        <v>2490</v>
      </c>
      <c r="AC873" s="1">
        <v>0</v>
      </c>
      <c r="AD873" s="1">
        <v>1</v>
      </c>
      <c r="AE873" s="1">
        <v>0</v>
      </c>
      <c r="AF873" s="1">
        <v>0</v>
      </c>
      <c r="AG873" s="1">
        <v>0</v>
      </c>
      <c r="AH873" s="1">
        <v>0</v>
      </c>
      <c r="AI873" s="1">
        <v>1</v>
      </c>
      <c r="AJ873" s="1">
        <v>0</v>
      </c>
      <c r="AK873" s="1">
        <v>0</v>
      </c>
      <c r="AL873" s="1">
        <v>374</v>
      </c>
      <c r="AM873" s="2">
        <v>42359</v>
      </c>
      <c r="AN873" t="str">
        <f t="shared" si="27"/>
        <v>61286,491,0.00801161766145612,0,1,34,356,0,107,19,9,117,2,7,1,8,5,0,0,0,0,0,0,0,54,51-66,2490,0,1,0,0,0,0,1,0,0,374,42359</v>
      </c>
    </row>
    <row r="874" spans="1:40" ht="13" hidden="1" x14ac:dyDescent="0.15">
      <c r="A874">
        <v>629</v>
      </c>
      <c r="B874" s="1">
        <v>59247</v>
      </c>
      <c r="C874" s="1">
        <v>491</v>
      </c>
      <c r="D874" s="4">
        <f t="shared" si="26"/>
        <v>8.2873394433473427E-3</v>
      </c>
      <c r="E874" s="1">
        <v>0</v>
      </c>
      <c r="F874" s="1">
        <v>2</v>
      </c>
      <c r="G874" s="1">
        <v>87</v>
      </c>
      <c r="H874" s="1">
        <v>327</v>
      </c>
      <c r="I874" s="1">
        <v>9</v>
      </c>
      <c r="J874" s="1">
        <v>122</v>
      </c>
      <c r="K874" s="1">
        <v>19</v>
      </c>
      <c r="L874" s="1">
        <v>14</v>
      </c>
      <c r="M874" s="1">
        <v>83</v>
      </c>
      <c r="N874" s="1">
        <v>5</v>
      </c>
      <c r="O874" s="1">
        <v>5</v>
      </c>
      <c r="P874" s="1">
        <v>2</v>
      </c>
      <c r="Q874" s="1">
        <v>9</v>
      </c>
      <c r="R874" s="1">
        <v>6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58</v>
      </c>
      <c r="AA874" s="1" t="str" cm="1">
        <f t="array" ref="AA874">_xlfn.IFS(AND(Z874&lt;36, Z874&gt;23), "24-35", AND(Z874&lt;51, Z874&gt;35),"36-50", AND(Z874&lt;66, Z874&gt;50), "51-66", Z874&gt;65, "66+", TRUE, "?")</f>
        <v>51-66</v>
      </c>
      <c r="AB874" s="1">
        <v>2392</v>
      </c>
      <c r="AC874" s="1">
        <v>0</v>
      </c>
      <c r="AD874" s="1">
        <v>0</v>
      </c>
      <c r="AE874" s="1">
        <v>1</v>
      </c>
      <c r="AF874" s="1">
        <v>0</v>
      </c>
      <c r="AG874" s="1">
        <v>0</v>
      </c>
      <c r="AH874" s="1">
        <v>0</v>
      </c>
      <c r="AI874" s="1">
        <v>0</v>
      </c>
      <c r="AJ874" s="1">
        <v>1</v>
      </c>
      <c r="AK874" s="1">
        <v>0</v>
      </c>
      <c r="AL874" s="1">
        <v>408</v>
      </c>
      <c r="AM874" s="2">
        <v>42457</v>
      </c>
      <c r="AN874" t="str">
        <f t="shared" si="27"/>
        <v>59247,491,0.00828733944334734,0,2,87,327,9,122,19,14,83,5,5,2,9,6,0,0,0,0,0,0,0,58,51-66,2392,0,0,1,0,0,0,0,1,0,408,42457</v>
      </c>
    </row>
    <row r="875" spans="1:40" ht="13" hidden="1" x14ac:dyDescent="0.15">
      <c r="A875">
        <v>766</v>
      </c>
      <c r="B875" s="1">
        <v>65968</v>
      </c>
      <c r="C875" s="1">
        <v>491</v>
      </c>
      <c r="D875" s="4">
        <f t="shared" si="26"/>
        <v>7.4430026679602234E-3</v>
      </c>
      <c r="E875" s="1">
        <v>0</v>
      </c>
      <c r="F875" s="1">
        <v>1</v>
      </c>
      <c r="G875" s="1">
        <v>12</v>
      </c>
      <c r="H875" s="1">
        <v>376</v>
      </c>
      <c r="I875" s="1">
        <v>9</v>
      </c>
      <c r="J875" s="1">
        <v>83</v>
      </c>
      <c r="K875" s="1">
        <v>19</v>
      </c>
      <c r="L875" s="1">
        <v>4</v>
      </c>
      <c r="M875" s="1">
        <v>4</v>
      </c>
      <c r="N875" s="1">
        <v>2</v>
      </c>
      <c r="O875" s="1">
        <v>5</v>
      </c>
      <c r="P875" s="1">
        <v>4</v>
      </c>
      <c r="Q875" s="1">
        <v>7</v>
      </c>
      <c r="R875" s="1">
        <v>3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50</v>
      </c>
      <c r="AA875" s="1" t="str" cm="1">
        <f t="array" ref="AA875">_xlfn.IFS(AND(Z875&lt;36, Z875&gt;23), "24-35", AND(Z875&lt;51, Z875&gt;35),"36-50", AND(Z875&lt;66, Z875&gt;50), "51-66", Z875&gt;65, "66+", TRUE, "?")</f>
        <v>36-50</v>
      </c>
      <c r="AB875" s="1">
        <v>2207</v>
      </c>
      <c r="AC875" s="1">
        <v>0</v>
      </c>
      <c r="AD875" s="1">
        <v>0</v>
      </c>
      <c r="AE875" s="1">
        <v>0</v>
      </c>
      <c r="AF875" s="1">
        <v>1</v>
      </c>
      <c r="AG875" s="1">
        <v>0</v>
      </c>
      <c r="AH875" s="1">
        <v>0</v>
      </c>
      <c r="AI875" s="1">
        <v>0</v>
      </c>
      <c r="AJ875" s="1">
        <v>0</v>
      </c>
      <c r="AK875" s="1">
        <v>1</v>
      </c>
      <c r="AL875" s="1">
        <v>487</v>
      </c>
      <c r="AM875" s="2">
        <v>42642</v>
      </c>
      <c r="AN875" t="str">
        <f t="shared" si="27"/>
        <v>65968,491,0.00744300266796022,0,1,12,376,9,83,19,4,4,2,5,4,7,3,0,0,0,0,0,0,0,50,36-50,2207,0,0,0,1,0,0,0,0,1,487,42642</v>
      </c>
    </row>
    <row r="876" spans="1:40" ht="13" hidden="1" x14ac:dyDescent="0.15">
      <c r="A876">
        <v>1656</v>
      </c>
      <c r="B876" s="1">
        <v>50387</v>
      </c>
      <c r="C876" s="1">
        <v>491</v>
      </c>
      <c r="D876" s="4">
        <f t="shared" si="26"/>
        <v>9.7445769742195414E-3</v>
      </c>
      <c r="E876" s="1">
        <v>0</v>
      </c>
      <c r="F876" s="1">
        <v>2</v>
      </c>
      <c r="G876" s="1">
        <v>91</v>
      </c>
      <c r="H876" s="1">
        <v>369</v>
      </c>
      <c r="I876" s="1">
        <v>9</v>
      </c>
      <c r="J876" s="1">
        <v>87</v>
      </c>
      <c r="K876" s="1">
        <v>12</v>
      </c>
      <c r="L876" s="1">
        <v>14</v>
      </c>
      <c r="M876" s="1">
        <v>34</v>
      </c>
      <c r="N876" s="1">
        <v>3</v>
      </c>
      <c r="O876" s="1">
        <v>6</v>
      </c>
      <c r="P876" s="1">
        <v>2</v>
      </c>
      <c r="Q876" s="1">
        <v>8</v>
      </c>
      <c r="R876" s="1">
        <v>5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64</v>
      </c>
      <c r="AA876" s="1" t="str" cm="1">
        <f t="array" ref="AA876">_xlfn.IFS(AND(Z876&lt;36, Z876&gt;23), "24-35", AND(Z876&lt;51, Z876&gt;35),"36-50", AND(Z876&lt;66, Z876&gt;50), "51-66", Z876&gt;65, "66+", TRUE, "?")</f>
        <v>51-66</v>
      </c>
      <c r="AB876" s="1">
        <v>2461</v>
      </c>
      <c r="AC876" s="1">
        <v>0</v>
      </c>
      <c r="AD876" s="1">
        <v>1</v>
      </c>
      <c r="AE876" s="1">
        <v>0</v>
      </c>
      <c r="AF876" s="1">
        <v>0</v>
      </c>
      <c r="AG876" s="1">
        <v>0</v>
      </c>
      <c r="AH876" s="1">
        <v>0</v>
      </c>
      <c r="AI876" s="1">
        <v>1</v>
      </c>
      <c r="AJ876" s="1">
        <v>0</v>
      </c>
      <c r="AK876" s="1">
        <v>0</v>
      </c>
      <c r="AL876" s="1">
        <v>457</v>
      </c>
      <c r="AM876" s="2">
        <v>42388</v>
      </c>
      <c r="AN876" t="str">
        <f t="shared" si="27"/>
        <v>50387,491,0.00974457697421954,0,2,91,369,9,87,12,14,34,3,6,2,8,5,0,0,0,0,0,0,0,64,51-66,2461,0,1,0,0,0,0,1,0,0,457,42388</v>
      </c>
    </row>
    <row r="877" spans="1:40" ht="13" hidden="1" x14ac:dyDescent="0.15">
      <c r="A877">
        <v>739</v>
      </c>
      <c r="B877" s="1">
        <v>43783</v>
      </c>
      <c r="C877" s="1">
        <v>490</v>
      </c>
      <c r="D877" s="4">
        <f t="shared" si="26"/>
        <v>1.1191558367402873E-2</v>
      </c>
      <c r="E877" s="1">
        <v>1</v>
      </c>
      <c r="F877" s="1">
        <v>0</v>
      </c>
      <c r="G877" s="1">
        <v>22</v>
      </c>
      <c r="H877" s="1">
        <v>327</v>
      </c>
      <c r="I877" s="1">
        <v>9</v>
      </c>
      <c r="J877" s="1">
        <v>125</v>
      </c>
      <c r="K877" s="1">
        <v>25</v>
      </c>
      <c r="L877" s="1">
        <v>4</v>
      </c>
      <c r="M877" s="1">
        <v>139</v>
      </c>
      <c r="N877" s="1">
        <v>6</v>
      </c>
      <c r="O877" s="1">
        <v>7</v>
      </c>
      <c r="P877" s="1">
        <v>1</v>
      </c>
      <c r="Q877" s="1">
        <v>8</v>
      </c>
      <c r="R877" s="1">
        <v>7</v>
      </c>
      <c r="S877" s="1">
        <v>0</v>
      </c>
      <c r="T877" s="1">
        <v>0</v>
      </c>
      <c r="U877" s="1">
        <v>1</v>
      </c>
      <c r="V877" s="1">
        <v>0</v>
      </c>
      <c r="W877" s="1">
        <v>0</v>
      </c>
      <c r="X877" s="1">
        <v>0</v>
      </c>
      <c r="Y877" s="1">
        <v>0</v>
      </c>
      <c r="Z877" s="1">
        <v>42</v>
      </c>
      <c r="AA877" s="1" t="str" cm="1">
        <f t="array" ref="AA877">_xlfn.IFS(AND(Z877&lt;36, Z877&gt;23), "24-35", AND(Z877&lt;51, Z877&gt;35),"36-50", AND(Z877&lt;66, Z877&gt;50), "51-66", Z877&gt;65, "66+", TRUE, "?")</f>
        <v>36-50</v>
      </c>
      <c r="AB877" s="1">
        <v>2190</v>
      </c>
      <c r="AC877" s="1">
        <v>0</v>
      </c>
      <c r="AD877" s="1">
        <v>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1</v>
      </c>
      <c r="AK877" s="1">
        <v>0</v>
      </c>
      <c r="AL877" s="1">
        <v>351</v>
      </c>
      <c r="AM877" s="2">
        <v>42659</v>
      </c>
      <c r="AN877" t="str">
        <f t="shared" si="27"/>
        <v>43783,490,0.0111915583674029,1,0,22,327,9,125,25,4,139,6,7,1,8,7,0,0,1,0,0,0,0,42,36-50,2190,0,1,0,0,0,0,0,1,0,351,42659</v>
      </c>
    </row>
    <row r="878" spans="1:40" ht="13" hidden="1" x14ac:dyDescent="0.15">
      <c r="A878">
        <v>1091</v>
      </c>
      <c r="B878" s="1">
        <v>59594</v>
      </c>
      <c r="C878" s="1">
        <v>490</v>
      </c>
      <c r="D878" s="4">
        <f t="shared" si="26"/>
        <v>8.2223042588180015E-3</v>
      </c>
      <c r="E878" s="1">
        <v>0</v>
      </c>
      <c r="F878" s="1">
        <v>1</v>
      </c>
      <c r="G878" s="1">
        <v>74</v>
      </c>
      <c r="H878" s="1">
        <v>457</v>
      </c>
      <c r="I878" s="1">
        <v>4</v>
      </c>
      <c r="J878" s="1">
        <v>29</v>
      </c>
      <c r="K878" s="1">
        <v>0</v>
      </c>
      <c r="L878" s="1">
        <v>0</v>
      </c>
      <c r="M878" s="1">
        <v>9</v>
      </c>
      <c r="N878" s="1">
        <v>1</v>
      </c>
      <c r="O878" s="1">
        <v>8</v>
      </c>
      <c r="P878" s="1">
        <v>1</v>
      </c>
      <c r="Q878" s="1">
        <v>7</v>
      </c>
      <c r="R878" s="1">
        <v>7</v>
      </c>
      <c r="S878" s="1">
        <v>0</v>
      </c>
      <c r="T878" s="1">
        <v>0</v>
      </c>
      <c r="U878" s="1">
        <v>0</v>
      </c>
      <c r="V878" s="1">
        <v>1</v>
      </c>
      <c r="W878" s="1">
        <v>0</v>
      </c>
      <c r="X878" s="1">
        <v>0</v>
      </c>
      <c r="Y878" s="1">
        <v>0</v>
      </c>
      <c r="Z878" s="1">
        <v>55</v>
      </c>
      <c r="AA878" s="1" t="str" cm="1">
        <f t="array" ref="AA878">_xlfn.IFS(AND(Z878&lt;36, Z878&gt;23), "24-35", AND(Z878&lt;51, Z878&gt;35),"36-50", AND(Z878&lt;66, Z878&gt;50), "51-66", Z878&gt;65, "66+", TRUE, "?")</f>
        <v>51-66</v>
      </c>
      <c r="AB878" s="1">
        <v>2776</v>
      </c>
      <c r="AC878" s="1">
        <v>0</v>
      </c>
      <c r="AD878" s="1">
        <v>1</v>
      </c>
      <c r="AE878" s="1">
        <v>0</v>
      </c>
      <c r="AF878" s="1">
        <v>0</v>
      </c>
      <c r="AG878" s="1">
        <v>0</v>
      </c>
      <c r="AH878" s="1">
        <v>0</v>
      </c>
      <c r="AI878" s="1">
        <v>1</v>
      </c>
      <c r="AJ878" s="1">
        <v>0</v>
      </c>
      <c r="AK878" s="1">
        <v>0</v>
      </c>
      <c r="AL878" s="1">
        <v>481</v>
      </c>
      <c r="AM878" s="2">
        <v>42073</v>
      </c>
      <c r="AN878" t="str">
        <f t="shared" si="27"/>
        <v>59594,490,0.008222304258818,0,1,74,457,4,29,0,0,9,1,8,1,7,7,0,0,0,1,0,0,0,55,51-66,2776,0,1,0,0,0,0,1,0,0,481,42073</v>
      </c>
    </row>
    <row r="879" spans="1:40" ht="13" x14ac:dyDescent="0.15">
      <c r="A879">
        <v>1366</v>
      </c>
      <c r="B879" s="1">
        <v>78028</v>
      </c>
      <c r="C879" s="1">
        <v>490</v>
      </c>
      <c r="D879" s="4">
        <f t="shared" si="26"/>
        <v>6.279796995950172E-3</v>
      </c>
      <c r="E879" s="1">
        <v>0</v>
      </c>
      <c r="F879" s="1">
        <v>1</v>
      </c>
      <c r="G879" s="1">
        <v>38</v>
      </c>
      <c r="H879" s="1">
        <v>158</v>
      </c>
      <c r="I879" s="1">
        <v>19</v>
      </c>
      <c r="J879" s="1">
        <v>288</v>
      </c>
      <c r="K879" s="1">
        <v>25</v>
      </c>
      <c r="L879" s="1">
        <v>0</v>
      </c>
      <c r="M879" s="1">
        <v>38</v>
      </c>
      <c r="N879" s="1">
        <v>1</v>
      </c>
      <c r="O879" s="1">
        <v>6</v>
      </c>
      <c r="P879" s="1">
        <v>4</v>
      </c>
      <c r="Q879" s="1">
        <v>9</v>
      </c>
      <c r="R879" s="1">
        <v>7</v>
      </c>
      <c r="S879" s="1">
        <v>0</v>
      </c>
      <c r="T879" s="1">
        <v>0</v>
      </c>
      <c r="U879" s="1">
        <v>0</v>
      </c>
      <c r="V879" s="1">
        <v>1</v>
      </c>
      <c r="W879" s="1">
        <v>1</v>
      </c>
      <c r="X879" s="1">
        <v>0</v>
      </c>
      <c r="Y879" s="1">
        <v>1</v>
      </c>
      <c r="Z879" s="1">
        <v>64</v>
      </c>
      <c r="AA879" s="1" t="str" cm="1">
        <f t="array" ref="AA879">_xlfn.IFS(AND(Z879&lt;36, Z879&gt;23), "24-35", AND(Z879&lt;51, Z879&gt;35),"36-50", AND(Z879&lt;66, Z879&gt;50), "51-66", Z879&gt;65, "66+", TRUE, "?")</f>
        <v>51-66</v>
      </c>
      <c r="AB879" s="1">
        <v>2816</v>
      </c>
      <c r="AC879" s="1">
        <v>0</v>
      </c>
      <c r="AD879" s="1">
        <v>0</v>
      </c>
      <c r="AE879" s="1">
        <v>0</v>
      </c>
      <c r="AF879" s="1">
        <v>0</v>
      </c>
      <c r="AG879" s="1">
        <v>1</v>
      </c>
      <c r="AH879" s="1">
        <v>0</v>
      </c>
      <c r="AI879" s="1">
        <v>0</v>
      </c>
      <c r="AJ879" s="1">
        <v>0</v>
      </c>
      <c r="AK879" s="1">
        <v>1</v>
      </c>
      <c r="AL879" s="1">
        <v>452</v>
      </c>
      <c r="AM879" s="2">
        <v>42033</v>
      </c>
      <c r="AN879" t="str">
        <f t="shared" si="27"/>
        <v>78028,490,0.00627979699595017,0,1,38,158,19,288,25,0,38,1,6,4,9,7,0,0,0,1,1,0,1,64,51-66,2816,0,0,0,0,1,0,0,0,1,452,42033</v>
      </c>
    </row>
    <row r="880" spans="1:40" ht="13" hidden="1" x14ac:dyDescent="0.15">
      <c r="A880">
        <v>1284</v>
      </c>
      <c r="B880" s="1">
        <v>50611</v>
      </c>
      <c r="C880" s="1">
        <v>489</v>
      </c>
      <c r="D880" s="4">
        <f t="shared" si="26"/>
        <v>9.6619312007271141E-3</v>
      </c>
      <c r="E880" s="1">
        <v>0</v>
      </c>
      <c r="F880" s="1">
        <v>1</v>
      </c>
      <c r="G880" s="1">
        <v>98</v>
      </c>
      <c r="H880" s="1">
        <v>459</v>
      </c>
      <c r="I880" s="1">
        <v>0</v>
      </c>
      <c r="J880" s="1">
        <v>24</v>
      </c>
      <c r="K880" s="1">
        <v>6</v>
      </c>
      <c r="L880" s="1">
        <v>0</v>
      </c>
      <c r="M880" s="1">
        <v>4</v>
      </c>
      <c r="N880" s="1">
        <v>6</v>
      </c>
      <c r="O880" s="1">
        <v>4</v>
      </c>
      <c r="P880" s="1">
        <v>5</v>
      </c>
      <c r="Q880" s="1">
        <v>7</v>
      </c>
      <c r="R880" s="1">
        <v>6</v>
      </c>
      <c r="S880" s="1">
        <v>0</v>
      </c>
      <c r="T880" s="1">
        <v>0</v>
      </c>
      <c r="U880" s="1">
        <v>0</v>
      </c>
      <c r="V880" s="1">
        <v>1</v>
      </c>
      <c r="W880" s="1">
        <v>0</v>
      </c>
      <c r="X880" s="1">
        <v>0</v>
      </c>
      <c r="Y880" s="1">
        <v>0</v>
      </c>
      <c r="Z880" s="1">
        <v>60</v>
      </c>
      <c r="AA880" s="1" t="str" cm="1">
        <f t="array" ref="AA880">_xlfn.IFS(AND(Z880&lt;36, Z880&gt;23), "24-35", AND(Z880&lt;51, Z880&gt;35),"36-50", AND(Z880&lt;66, Z880&gt;50), "51-66", Z880&gt;65, "66+", TRUE, "?")</f>
        <v>51-66</v>
      </c>
      <c r="AB880" s="1">
        <v>2792</v>
      </c>
      <c r="AC880" s="1">
        <v>1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1</v>
      </c>
      <c r="AL880" s="1">
        <v>485</v>
      </c>
      <c r="AM880" s="2">
        <v>42057</v>
      </c>
      <c r="AN880" t="str">
        <f t="shared" si="27"/>
        <v>50611,489,0.00966193120072711,0,1,98,459,0,24,6,0,4,6,4,5,7,6,0,0,0,1,0,0,0,60,51-66,2792,1,0,0,0,0,0,0,0,1,485,42057</v>
      </c>
    </row>
    <row r="881" spans="1:40" ht="13" x14ac:dyDescent="0.15">
      <c r="A881">
        <v>1380</v>
      </c>
      <c r="B881" s="1">
        <v>50611</v>
      </c>
      <c r="C881" s="1">
        <v>489</v>
      </c>
      <c r="D881" s="4">
        <f t="shared" si="26"/>
        <v>9.6619312007271141E-3</v>
      </c>
      <c r="E881" s="1">
        <v>0</v>
      </c>
      <c r="F881" s="1">
        <v>1</v>
      </c>
      <c r="G881" s="1">
        <v>98</v>
      </c>
      <c r="H881" s="1">
        <v>459</v>
      </c>
      <c r="I881" s="1">
        <v>0</v>
      </c>
      <c r="J881" s="1">
        <v>24</v>
      </c>
      <c r="K881" s="1">
        <v>6</v>
      </c>
      <c r="L881" s="1">
        <v>0</v>
      </c>
      <c r="M881" s="1">
        <v>4</v>
      </c>
      <c r="N881" s="1">
        <v>6</v>
      </c>
      <c r="O881" s="1">
        <v>4</v>
      </c>
      <c r="P881" s="1">
        <v>5</v>
      </c>
      <c r="Q881" s="1">
        <v>7</v>
      </c>
      <c r="R881" s="1">
        <v>6</v>
      </c>
      <c r="S881" s="1">
        <v>0</v>
      </c>
      <c r="T881" s="1">
        <v>0</v>
      </c>
      <c r="U881" s="1">
        <v>0</v>
      </c>
      <c r="V881" s="1">
        <v>1</v>
      </c>
      <c r="W881" s="1">
        <v>0</v>
      </c>
      <c r="X881" s="1">
        <v>0</v>
      </c>
      <c r="Y881" s="1">
        <v>1</v>
      </c>
      <c r="Z881" s="1">
        <v>60</v>
      </c>
      <c r="AA881" s="1" t="str" cm="1">
        <f t="array" ref="AA881">_xlfn.IFS(AND(Z881&lt;36, Z881&gt;23), "24-35", AND(Z881&lt;51, Z881&gt;35),"36-50", AND(Z881&lt;66, Z881&gt;50), "51-66", Z881&gt;65, "66+", TRUE, "?")</f>
        <v>51-66</v>
      </c>
      <c r="AB881" s="1">
        <v>2792</v>
      </c>
      <c r="AC881" s="1">
        <v>1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1</v>
      </c>
      <c r="AL881" s="1">
        <v>485</v>
      </c>
      <c r="AM881" s="2">
        <v>42057</v>
      </c>
      <c r="AN881" t="str">
        <f t="shared" si="27"/>
        <v>50611,489,0.00966193120072711,0,1,98,459,0,24,6,0,4,6,4,5,7,6,0,0,0,1,0,0,1,60,51-66,2792,1,0,0,0,0,0,0,0,1,485,42057</v>
      </c>
    </row>
    <row r="882" spans="1:40" ht="13" hidden="1" x14ac:dyDescent="0.15">
      <c r="A882">
        <v>1472</v>
      </c>
      <c r="B882" s="1">
        <v>53843</v>
      </c>
      <c r="C882" s="1">
        <v>489</v>
      </c>
      <c r="D882" s="4">
        <f t="shared" si="26"/>
        <v>9.0819605148301542E-3</v>
      </c>
      <c r="E882" s="1">
        <v>0</v>
      </c>
      <c r="F882" s="1">
        <v>1</v>
      </c>
      <c r="G882" s="1">
        <v>64</v>
      </c>
      <c r="H882" s="1">
        <v>378</v>
      </c>
      <c r="I882" s="1">
        <v>0</v>
      </c>
      <c r="J882" s="1">
        <v>88</v>
      </c>
      <c r="K882" s="1">
        <v>19</v>
      </c>
      <c r="L882" s="1">
        <v>4</v>
      </c>
      <c r="M882" s="1">
        <v>73</v>
      </c>
      <c r="N882" s="1">
        <v>4</v>
      </c>
      <c r="O882" s="1">
        <v>8</v>
      </c>
      <c r="P882" s="1">
        <v>5</v>
      </c>
      <c r="Q882" s="1">
        <v>3</v>
      </c>
      <c r="R882" s="1">
        <v>7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55</v>
      </c>
      <c r="AA882" s="1" t="str" cm="1">
        <f t="array" ref="AA882">_xlfn.IFS(AND(Z882&lt;36, Z882&gt;23), "24-35", AND(Z882&lt;51, Z882&gt;35),"36-50", AND(Z882&lt;66, Z882&gt;50), "51-66", Z882&gt;65, "66+", TRUE, "?")</f>
        <v>51-66</v>
      </c>
      <c r="AB882" s="1">
        <v>2526</v>
      </c>
      <c r="AC882" s="1">
        <v>0</v>
      </c>
      <c r="AD882" s="1">
        <v>1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1</v>
      </c>
      <c r="AK882" s="1">
        <v>0</v>
      </c>
      <c r="AL882" s="1">
        <v>416</v>
      </c>
      <c r="AM882" s="2">
        <v>42323</v>
      </c>
      <c r="AN882" t="str">
        <f t="shared" si="27"/>
        <v>53843,489,0.00908196051483015,0,1,64,378,0,88,19,4,73,4,8,5,3,7,0,0,0,0,0,0,0,55,51-66,2526,0,1,0,0,0,0,0,1,0,416,42323</v>
      </c>
    </row>
    <row r="883" spans="1:40" ht="13" hidden="1" x14ac:dyDescent="0.15">
      <c r="A883">
        <v>382</v>
      </c>
      <c r="B883" s="1">
        <v>50437</v>
      </c>
      <c r="C883" s="1">
        <v>486</v>
      </c>
      <c r="D883" s="4">
        <f t="shared" si="26"/>
        <v>9.6357832543569211E-3</v>
      </c>
      <c r="E883" s="1">
        <v>0</v>
      </c>
      <c r="F883" s="1">
        <v>2</v>
      </c>
      <c r="G883" s="1">
        <v>28</v>
      </c>
      <c r="H883" s="1">
        <v>370</v>
      </c>
      <c r="I883" s="1">
        <v>9</v>
      </c>
      <c r="J883" s="1">
        <v>92</v>
      </c>
      <c r="K883" s="1">
        <v>6</v>
      </c>
      <c r="L883" s="1">
        <v>9</v>
      </c>
      <c r="M883" s="1">
        <v>4</v>
      </c>
      <c r="N883" s="1">
        <v>3</v>
      </c>
      <c r="O883" s="1">
        <v>7</v>
      </c>
      <c r="P883" s="1">
        <v>1</v>
      </c>
      <c r="Q883" s="1">
        <v>8</v>
      </c>
      <c r="R883" s="1">
        <v>7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57</v>
      </c>
      <c r="AA883" s="1" t="str" cm="1">
        <f t="array" ref="AA883">_xlfn.IFS(AND(Z883&lt;36, Z883&gt;23), "24-35", AND(Z883&lt;51, Z883&gt;35),"36-50", AND(Z883&lt;66, Z883&gt;50), "51-66", Z883&gt;65, "66+", TRUE, "?")</f>
        <v>51-66</v>
      </c>
      <c r="AB883" s="1">
        <v>2779</v>
      </c>
      <c r="AC883" s="1">
        <v>0</v>
      </c>
      <c r="AD883" s="1">
        <v>1</v>
      </c>
      <c r="AE883" s="1">
        <v>0</v>
      </c>
      <c r="AF883" s="1">
        <v>0</v>
      </c>
      <c r="AG883" s="1">
        <v>0</v>
      </c>
      <c r="AH883" s="1">
        <v>0</v>
      </c>
      <c r="AI883" s="1">
        <v>1</v>
      </c>
      <c r="AJ883" s="1">
        <v>0</v>
      </c>
      <c r="AK883" s="1">
        <v>0</v>
      </c>
      <c r="AL883" s="1">
        <v>482</v>
      </c>
      <c r="AM883" s="2">
        <v>42070</v>
      </c>
      <c r="AN883" t="str">
        <f t="shared" si="27"/>
        <v>50437,486,0.00963578325435692,0,2,28,370,9,92,6,9,4,3,7,1,8,7,0,0,0,0,0,0,0,57,51-66,2779,0,1,0,0,0,0,1,0,0,482,42070</v>
      </c>
    </row>
    <row r="884" spans="1:40" ht="13" hidden="1" x14ac:dyDescent="0.15">
      <c r="A884">
        <v>977</v>
      </c>
      <c r="B884" s="1">
        <v>61180</v>
      </c>
      <c r="C884" s="1">
        <v>486</v>
      </c>
      <c r="D884" s="4">
        <f t="shared" si="26"/>
        <v>7.9437724746649237E-3</v>
      </c>
      <c r="E884" s="1">
        <v>0</v>
      </c>
      <c r="F884" s="1">
        <v>1</v>
      </c>
      <c r="G884" s="1">
        <v>70</v>
      </c>
      <c r="H884" s="1">
        <v>403</v>
      </c>
      <c r="I884" s="1">
        <v>24</v>
      </c>
      <c r="J884" s="1">
        <v>29</v>
      </c>
      <c r="K884" s="1">
        <v>6</v>
      </c>
      <c r="L884" s="1">
        <v>24</v>
      </c>
      <c r="M884" s="1">
        <v>218</v>
      </c>
      <c r="N884" s="1">
        <v>2</v>
      </c>
      <c r="O884" s="1">
        <v>5</v>
      </c>
      <c r="P884" s="1">
        <v>5</v>
      </c>
      <c r="Q884" s="1">
        <v>6</v>
      </c>
      <c r="R884" s="1">
        <v>3</v>
      </c>
      <c r="S884" s="1">
        <v>0</v>
      </c>
      <c r="T884" s="1">
        <v>0</v>
      </c>
      <c r="U884" s="1">
        <v>1</v>
      </c>
      <c r="V884" s="1">
        <v>0</v>
      </c>
      <c r="W884" s="1">
        <v>0</v>
      </c>
      <c r="X884" s="1">
        <v>0</v>
      </c>
      <c r="Y884" s="1">
        <v>0</v>
      </c>
      <c r="Z884" s="1">
        <v>61</v>
      </c>
      <c r="AA884" s="1" t="str" cm="1">
        <f t="array" ref="AA884">_xlfn.IFS(AND(Z884&lt;36, Z884&gt;23), "24-35", AND(Z884&lt;51, Z884&gt;35),"36-50", AND(Z884&lt;66, Z884&gt;50), "51-66", Z884&gt;65, "66+", TRUE, "?")</f>
        <v>51-66</v>
      </c>
      <c r="AB884" s="1">
        <v>2226</v>
      </c>
      <c r="AC884" s="1">
        <v>0</v>
      </c>
      <c r="AD884" s="1">
        <v>1</v>
      </c>
      <c r="AE884" s="1">
        <v>0</v>
      </c>
      <c r="AF884" s="1">
        <v>0</v>
      </c>
      <c r="AG884" s="1">
        <v>0</v>
      </c>
      <c r="AH884" s="1">
        <v>0</v>
      </c>
      <c r="AI884" s="1">
        <v>1</v>
      </c>
      <c r="AJ884" s="1">
        <v>0</v>
      </c>
      <c r="AK884" s="1">
        <v>0</v>
      </c>
      <c r="AL884" s="1">
        <v>268</v>
      </c>
      <c r="AM884" s="2">
        <v>42623</v>
      </c>
      <c r="AN884" t="str">
        <f t="shared" si="27"/>
        <v>61180,486,0.00794377247466492,0,1,70,403,24,29,6,24,218,2,5,5,6,3,0,0,1,0,0,0,0,61,51-66,2226,0,1,0,0,0,0,1,0,0,268,42623</v>
      </c>
    </row>
    <row r="885" spans="1:40" ht="13" hidden="1" x14ac:dyDescent="0.15">
      <c r="A885">
        <v>634</v>
      </c>
      <c r="B885" s="1">
        <v>70337</v>
      </c>
      <c r="C885" s="1">
        <v>485</v>
      </c>
      <c r="D885" s="4">
        <f t="shared" si="26"/>
        <v>6.8953751226239392E-3</v>
      </c>
      <c r="E885" s="1">
        <v>0</v>
      </c>
      <c r="F885" s="1">
        <v>0</v>
      </c>
      <c r="G885" s="1">
        <v>75</v>
      </c>
      <c r="H885" s="1">
        <v>187</v>
      </c>
      <c r="I885" s="1">
        <v>81</v>
      </c>
      <c r="J885" s="1">
        <v>149</v>
      </c>
      <c r="K885" s="1">
        <v>25</v>
      </c>
      <c r="L885" s="1">
        <v>43</v>
      </c>
      <c r="M885" s="1">
        <v>91</v>
      </c>
      <c r="N885" s="1">
        <v>1</v>
      </c>
      <c r="O885" s="1">
        <v>2</v>
      </c>
      <c r="P885" s="1">
        <v>2</v>
      </c>
      <c r="Q885" s="1">
        <v>12</v>
      </c>
      <c r="R885" s="1">
        <v>1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41</v>
      </c>
      <c r="AA885" s="1" t="str" cm="1">
        <f t="array" ref="AA885">_xlfn.IFS(AND(Z885&lt;36, Z885&gt;23), "24-35", AND(Z885&lt;51, Z885&gt;35),"36-50", AND(Z885&lt;66, Z885&gt;50), "51-66", Z885&gt;65, "66+", TRUE, "?")</f>
        <v>36-50</v>
      </c>
      <c r="AB885" s="1">
        <v>2337</v>
      </c>
      <c r="AC885" s="1">
        <v>0</v>
      </c>
      <c r="AD885" s="1">
        <v>0</v>
      </c>
      <c r="AE885" s="1">
        <v>1</v>
      </c>
      <c r="AF885" s="1">
        <v>0</v>
      </c>
      <c r="AG885" s="1">
        <v>0</v>
      </c>
      <c r="AH885" s="1">
        <v>0</v>
      </c>
      <c r="AI885" s="1">
        <v>1</v>
      </c>
      <c r="AJ885" s="1">
        <v>0</v>
      </c>
      <c r="AK885" s="1">
        <v>0</v>
      </c>
      <c r="AL885" s="1">
        <v>394</v>
      </c>
      <c r="AM885" s="2">
        <v>42512</v>
      </c>
      <c r="AN885" t="str">
        <f t="shared" si="27"/>
        <v>70337,485,0.00689537512262394,0,0,75,187,81,149,25,43,91,1,2,2,12,1,0,0,0,0,0,0,0,41,36-50,2337,0,0,1,0,0,0,1,0,0,394,42512</v>
      </c>
    </row>
    <row r="886" spans="1:40" ht="13" hidden="1" x14ac:dyDescent="0.15">
      <c r="A886">
        <v>1108</v>
      </c>
      <c r="B886" s="1">
        <v>48070</v>
      </c>
      <c r="C886" s="1">
        <v>485</v>
      </c>
      <c r="D886" s="4">
        <f t="shared" si="26"/>
        <v>1.0089452881214895E-2</v>
      </c>
      <c r="E886" s="1">
        <v>0</v>
      </c>
      <c r="F886" s="1">
        <v>1</v>
      </c>
      <c r="G886" s="1">
        <v>33</v>
      </c>
      <c r="H886" s="1">
        <v>373</v>
      </c>
      <c r="I886" s="1">
        <v>14</v>
      </c>
      <c r="J886" s="1">
        <v>83</v>
      </c>
      <c r="K886" s="1">
        <v>6</v>
      </c>
      <c r="L886" s="1">
        <v>9</v>
      </c>
      <c r="M886" s="1">
        <v>19</v>
      </c>
      <c r="N886" s="1">
        <v>3</v>
      </c>
      <c r="O886" s="1">
        <v>8</v>
      </c>
      <c r="P886" s="1">
        <v>2</v>
      </c>
      <c r="Q886" s="1">
        <v>6</v>
      </c>
      <c r="R886" s="1">
        <v>7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1</v>
      </c>
      <c r="Y886" s="1">
        <v>0</v>
      </c>
      <c r="Z886" s="1">
        <v>70</v>
      </c>
      <c r="AA886" s="1" t="str" cm="1">
        <f t="array" ref="AA886">_xlfn.IFS(AND(Z886&lt;36, Z886&gt;23), "24-35", AND(Z886&lt;51, Z886&gt;35),"36-50", AND(Z886&lt;66, Z886&gt;50), "51-66", Z886&gt;65, "66+", TRUE, "?")</f>
        <v>66+</v>
      </c>
      <c r="AB886" s="1">
        <v>2691</v>
      </c>
      <c r="AC886" s="1">
        <v>0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1</v>
      </c>
      <c r="AJ886" s="1">
        <v>0</v>
      </c>
      <c r="AK886" s="1">
        <v>0</v>
      </c>
      <c r="AL886" s="1">
        <v>466</v>
      </c>
      <c r="AM886" s="2">
        <v>42158</v>
      </c>
      <c r="AN886" t="str">
        <f t="shared" si="27"/>
        <v>48070,485,0.0100894528812149,0,1,33,373,14,83,6,9,19,3,8,2,6,7,0,0,0,0,0,1,0,70,66+,2691,0,0,0,1,0,0,1,0,0,466,42158</v>
      </c>
    </row>
    <row r="887" spans="1:40" ht="13" hidden="1" x14ac:dyDescent="0.15">
      <c r="A887">
        <v>501</v>
      </c>
      <c r="B887" s="1">
        <v>57954</v>
      </c>
      <c r="C887" s="1">
        <v>484</v>
      </c>
      <c r="D887" s="4">
        <f t="shared" si="26"/>
        <v>8.3514511509127937E-3</v>
      </c>
      <c r="E887" s="1">
        <v>1</v>
      </c>
      <c r="F887" s="1">
        <v>1</v>
      </c>
      <c r="G887" s="1">
        <v>52</v>
      </c>
      <c r="H887" s="1">
        <v>456</v>
      </c>
      <c r="I887" s="1">
        <v>4</v>
      </c>
      <c r="J887" s="1">
        <v>24</v>
      </c>
      <c r="K887" s="1">
        <v>0</v>
      </c>
      <c r="L887" s="1">
        <v>0</v>
      </c>
      <c r="M887" s="1">
        <v>9</v>
      </c>
      <c r="N887" s="1">
        <v>7</v>
      </c>
      <c r="O887" s="1">
        <v>8</v>
      </c>
      <c r="P887" s="1">
        <v>2</v>
      </c>
      <c r="Q887" s="1">
        <v>6</v>
      </c>
      <c r="R887" s="1">
        <v>7</v>
      </c>
      <c r="S887" s="1">
        <v>0</v>
      </c>
      <c r="T887" s="1">
        <v>0</v>
      </c>
      <c r="U887" s="1">
        <v>0</v>
      </c>
      <c r="V887" s="1">
        <v>1</v>
      </c>
      <c r="W887" s="1">
        <v>0</v>
      </c>
      <c r="X887" s="1">
        <v>0</v>
      </c>
      <c r="Y887" s="1">
        <v>0</v>
      </c>
      <c r="Z887" s="1">
        <v>43</v>
      </c>
      <c r="AA887" s="1" t="str" cm="1">
        <f t="array" ref="AA887">_xlfn.IFS(AND(Z887&lt;36, Z887&gt;23), "24-35", AND(Z887&lt;51, Z887&gt;35),"36-50", AND(Z887&lt;66, Z887&gt;50), "51-66", Z887&gt;65, "66+", TRUE, "?")</f>
        <v>36-50</v>
      </c>
      <c r="AB887" s="1">
        <v>2170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0</v>
      </c>
      <c r="AJ887" s="1">
        <v>1</v>
      </c>
      <c r="AK887" s="1">
        <v>0</v>
      </c>
      <c r="AL887" s="1">
        <v>475</v>
      </c>
      <c r="AM887" s="2">
        <v>42679</v>
      </c>
      <c r="AN887" t="str">
        <f t="shared" si="27"/>
        <v>57954,484,0.00835145115091279,1,1,52,456,4,24,0,0,9,7,8,2,6,7,0,0,0,1,0,0,0,43,36-50,2170,0,0,0,1,0,0,0,1,0,475,42679</v>
      </c>
    </row>
    <row r="888" spans="1:40" ht="13" hidden="1" x14ac:dyDescent="0.15">
      <c r="A888">
        <v>1696</v>
      </c>
      <c r="B888" s="1">
        <v>54006</v>
      </c>
      <c r="C888" s="1">
        <v>484</v>
      </c>
      <c r="D888" s="4">
        <f t="shared" si="26"/>
        <v>8.9619671888308706E-3</v>
      </c>
      <c r="E888" s="1">
        <v>1</v>
      </c>
      <c r="F888" s="1">
        <v>0</v>
      </c>
      <c r="G888" s="1">
        <v>42</v>
      </c>
      <c r="H888" s="1">
        <v>174</v>
      </c>
      <c r="I888" s="1">
        <v>77</v>
      </c>
      <c r="J888" s="1">
        <v>203</v>
      </c>
      <c r="K888" s="1">
        <v>6</v>
      </c>
      <c r="L888" s="1">
        <v>24</v>
      </c>
      <c r="M888" s="1">
        <v>97</v>
      </c>
      <c r="N888" s="1">
        <v>2</v>
      </c>
      <c r="O888" s="1">
        <v>8</v>
      </c>
      <c r="P888" s="1">
        <v>1</v>
      </c>
      <c r="Q888" s="1">
        <v>7</v>
      </c>
      <c r="R888" s="1">
        <v>7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35</v>
      </c>
      <c r="AA888" s="1" t="str" cm="1">
        <f t="array" ref="AA888">_xlfn.IFS(AND(Z888&lt;36, Z888&gt;23), "24-35", AND(Z888&lt;51, Z888&gt;35),"36-50", AND(Z888&lt;66, Z888&gt;50), "51-66", Z888&gt;65, "66+", TRUE, "?")</f>
        <v>24-35</v>
      </c>
      <c r="AB888" s="1">
        <v>2808</v>
      </c>
      <c r="AC888" s="1">
        <v>0</v>
      </c>
      <c r="AD888" s="1">
        <v>0</v>
      </c>
      <c r="AE888" s="1">
        <v>0</v>
      </c>
      <c r="AF888" s="1">
        <v>1</v>
      </c>
      <c r="AG888" s="1">
        <v>0</v>
      </c>
      <c r="AH888" s="1">
        <v>0</v>
      </c>
      <c r="AI888" s="1">
        <v>1</v>
      </c>
      <c r="AJ888" s="1">
        <v>0</v>
      </c>
      <c r="AK888" s="1">
        <v>0</v>
      </c>
      <c r="AL888" s="1">
        <v>387</v>
      </c>
      <c r="AM888" s="2">
        <v>42041</v>
      </c>
      <c r="AN888" t="str">
        <f t="shared" si="27"/>
        <v>54006,484,0.00896196718883087,1,0,42,174,77,203,6,24,97,2,8,1,7,7,0,0,0,0,0,0,0,35,24-35,2808,0,0,0,1,0,0,1,0,0,387,42041</v>
      </c>
    </row>
    <row r="889" spans="1:40" ht="13" hidden="1" x14ac:dyDescent="0.15">
      <c r="A889">
        <v>1454</v>
      </c>
      <c r="B889" s="1">
        <v>60482</v>
      </c>
      <c r="C889" s="1">
        <v>483</v>
      </c>
      <c r="D889" s="4">
        <f t="shared" si="26"/>
        <v>7.9858470288680927E-3</v>
      </c>
      <c r="E889" s="1">
        <v>0</v>
      </c>
      <c r="F889" s="1">
        <v>1</v>
      </c>
      <c r="G889" s="1">
        <v>81</v>
      </c>
      <c r="H889" s="1">
        <v>255</v>
      </c>
      <c r="I889" s="1">
        <v>43</v>
      </c>
      <c r="J889" s="1">
        <v>134</v>
      </c>
      <c r="K889" s="1">
        <v>37</v>
      </c>
      <c r="L889" s="1">
        <v>14</v>
      </c>
      <c r="M889" s="1">
        <v>24</v>
      </c>
      <c r="N889" s="1">
        <v>1</v>
      </c>
      <c r="O889" s="1">
        <v>7</v>
      </c>
      <c r="P889" s="1">
        <v>2</v>
      </c>
      <c r="Q889" s="1">
        <v>7</v>
      </c>
      <c r="R889" s="1">
        <v>7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44</v>
      </c>
      <c r="AA889" s="1" t="str" cm="1">
        <f t="array" ref="AA889">_xlfn.IFS(AND(Z889&lt;36, Z889&gt;23), "24-35", AND(Z889&lt;51, Z889&gt;35),"36-50", AND(Z889&lt;66, Z889&gt;50), "51-66", Z889&gt;65, "66+", TRUE, "?")</f>
        <v>36-50</v>
      </c>
      <c r="AB889" s="1">
        <v>2681</v>
      </c>
      <c r="AC889" s="1">
        <v>0</v>
      </c>
      <c r="AD889" s="1">
        <v>0</v>
      </c>
      <c r="AE889" s="1">
        <v>1</v>
      </c>
      <c r="AF889" s="1">
        <v>0</v>
      </c>
      <c r="AG889" s="1">
        <v>0</v>
      </c>
      <c r="AH889" s="1">
        <v>0</v>
      </c>
      <c r="AI889" s="1">
        <v>0</v>
      </c>
      <c r="AJ889" s="1">
        <v>1</v>
      </c>
      <c r="AK889" s="1">
        <v>0</v>
      </c>
      <c r="AL889" s="1">
        <v>459</v>
      </c>
      <c r="AM889" s="2">
        <v>42168</v>
      </c>
      <c r="AN889" t="str">
        <f t="shared" si="27"/>
        <v>60482,483,0.00798584702886809,0,1,81,255,43,134,37,14,24,1,7,2,7,7,0,0,0,0,0,0,0,44,36-50,2681,0,0,1,0,0,0,0,1,0,459,42168</v>
      </c>
    </row>
    <row r="890" spans="1:40" ht="13" hidden="1" x14ac:dyDescent="0.15">
      <c r="A890">
        <v>103</v>
      </c>
      <c r="B890" s="1">
        <v>43974</v>
      </c>
      <c r="C890" s="1">
        <v>479</v>
      </c>
      <c r="D890" s="4">
        <f t="shared" si="26"/>
        <v>1.0892800291081093E-2</v>
      </c>
      <c r="E890" s="1">
        <v>1</v>
      </c>
      <c r="F890" s="1">
        <v>0</v>
      </c>
      <c r="G890" s="1">
        <v>19</v>
      </c>
      <c r="H890" s="1">
        <v>378</v>
      </c>
      <c r="I890" s="1">
        <v>0</v>
      </c>
      <c r="J890" s="1">
        <v>101</v>
      </c>
      <c r="K890" s="1">
        <v>0</v>
      </c>
      <c r="L890" s="1">
        <v>0</v>
      </c>
      <c r="M890" s="1">
        <v>72</v>
      </c>
      <c r="N890" s="1">
        <v>5</v>
      </c>
      <c r="O890" s="1">
        <v>6</v>
      </c>
      <c r="P890" s="1">
        <v>4</v>
      </c>
      <c r="Q890" s="1">
        <v>6</v>
      </c>
      <c r="R890" s="1">
        <v>7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40</v>
      </c>
      <c r="AA890" s="1" t="str" cm="1">
        <f t="array" ref="AA890">_xlfn.IFS(AND(Z890&lt;36, Z890&gt;23), "24-35", AND(Z890&lt;51, Z890&gt;35),"36-50", AND(Z890&lt;66, Z890&gt;50), "51-66", Z890&gt;65, "66+", TRUE, "?")</f>
        <v>36-50</v>
      </c>
      <c r="AB890" s="1">
        <v>2723</v>
      </c>
      <c r="AC890" s="1">
        <v>0</v>
      </c>
      <c r="AD890" s="1">
        <v>1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1</v>
      </c>
      <c r="AL890" s="1">
        <v>407</v>
      </c>
      <c r="AM890" s="2">
        <v>42126</v>
      </c>
      <c r="AN890" t="str">
        <f t="shared" si="27"/>
        <v>43974,479,0.0108928002910811,1,0,19,378,0,101,0,0,72,5,6,4,6,7,0,0,0,0,0,0,0,40,36-50,2723,0,1,0,0,0,0,0,0,1,407,42126</v>
      </c>
    </row>
    <row r="891" spans="1:40" ht="13" hidden="1" x14ac:dyDescent="0.15">
      <c r="A891">
        <v>54</v>
      </c>
      <c r="B891" s="1">
        <v>55954</v>
      </c>
      <c r="C891" s="1">
        <v>475</v>
      </c>
      <c r="D891" s="4">
        <f t="shared" si="26"/>
        <v>8.489116059620402E-3</v>
      </c>
      <c r="E891" s="1">
        <v>0</v>
      </c>
      <c r="F891" s="1">
        <v>1</v>
      </c>
      <c r="G891" s="1">
        <v>63</v>
      </c>
      <c r="H891" s="1">
        <v>447</v>
      </c>
      <c r="I891" s="1">
        <v>0</v>
      </c>
      <c r="J891" s="1">
        <v>28</v>
      </c>
      <c r="K891" s="1">
        <v>0</v>
      </c>
      <c r="L891" s="1">
        <v>0</v>
      </c>
      <c r="M891" s="1">
        <v>43</v>
      </c>
      <c r="N891" s="1">
        <v>3</v>
      </c>
      <c r="O891" s="1">
        <v>8</v>
      </c>
      <c r="P891" s="1">
        <v>2</v>
      </c>
      <c r="Q891" s="1">
        <v>6</v>
      </c>
      <c r="R891" s="1">
        <v>7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52</v>
      </c>
      <c r="AA891" s="1" t="str" cm="1">
        <f t="array" ref="AA891">_xlfn.IFS(AND(Z891&lt;36, Z891&gt;23), "24-35", AND(Z891&lt;51, Z891&gt;35),"36-50", AND(Z891&lt;66, Z891&gt;50), "51-66", Z891&gt;65, "66+", TRUE, "?")</f>
        <v>51-66</v>
      </c>
      <c r="AB891" s="1">
        <v>2277</v>
      </c>
      <c r="AC891" s="1">
        <v>0</v>
      </c>
      <c r="AD891" s="1">
        <v>1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1</v>
      </c>
      <c r="AL891" s="1">
        <v>432</v>
      </c>
      <c r="AM891" s="2">
        <v>42572</v>
      </c>
      <c r="AN891" t="str">
        <f t="shared" si="27"/>
        <v>55954,475,0.0084891160596204,0,1,63,447,0,28,0,0,43,3,8,2,6,7,0,0,0,0,0,0,0,52,51-66,2277,0,1,0,0,0,0,0,0,1,432,42572</v>
      </c>
    </row>
    <row r="892" spans="1:40" ht="13" hidden="1" x14ac:dyDescent="0.15">
      <c r="A892">
        <v>499</v>
      </c>
      <c r="B892" s="1">
        <v>47682</v>
      </c>
      <c r="C892" s="1">
        <v>460</v>
      </c>
      <c r="D892" s="4">
        <f t="shared" si="26"/>
        <v>9.6472463403380736E-3</v>
      </c>
      <c r="E892" s="1">
        <v>0</v>
      </c>
      <c r="F892" s="1">
        <v>1</v>
      </c>
      <c r="G892" s="1">
        <v>80</v>
      </c>
      <c r="H892" s="1">
        <v>162</v>
      </c>
      <c r="I892" s="1">
        <v>61</v>
      </c>
      <c r="J892" s="1">
        <v>83</v>
      </c>
      <c r="K892" s="1">
        <v>97</v>
      </c>
      <c r="L892" s="1">
        <v>57</v>
      </c>
      <c r="M892" s="1">
        <v>61</v>
      </c>
      <c r="N892" s="1">
        <v>4</v>
      </c>
      <c r="O892" s="1">
        <v>4</v>
      </c>
      <c r="P892" s="1">
        <v>3</v>
      </c>
      <c r="Q892" s="1">
        <v>8</v>
      </c>
      <c r="R892" s="1">
        <v>5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45</v>
      </c>
      <c r="AA892" s="1" t="str" cm="1">
        <f t="array" ref="AA892">_xlfn.IFS(AND(Z892&lt;36, Z892&gt;23), "24-35", AND(Z892&lt;51, Z892&gt;35),"36-50", AND(Z892&lt;66, Z892&gt;50), "51-66", Z892&gt;65, "66+", TRUE, "?")</f>
        <v>36-50</v>
      </c>
      <c r="AB892" s="1">
        <v>2658</v>
      </c>
      <c r="AC892" s="1">
        <v>0</v>
      </c>
      <c r="AD892" s="1">
        <v>0</v>
      </c>
      <c r="AE892" s="1">
        <v>0</v>
      </c>
      <c r="AF892" s="1">
        <v>0</v>
      </c>
      <c r="AG892" s="1">
        <v>1</v>
      </c>
      <c r="AH892" s="1">
        <v>1</v>
      </c>
      <c r="AI892" s="1">
        <v>0</v>
      </c>
      <c r="AJ892" s="1">
        <v>0</v>
      </c>
      <c r="AK892" s="1">
        <v>0</v>
      </c>
      <c r="AL892" s="1">
        <v>399</v>
      </c>
      <c r="AM892" s="2">
        <v>42191</v>
      </c>
      <c r="AN892" t="str">
        <f t="shared" si="27"/>
        <v>47682,460,0.00964724634033807,0,1,80,162,61,83,97,57,61,4,4,3,8,5,0,0,0,0,0,0,0,45,36-50,2658,0,0,0,0,1,1,0,0,0,399,42191</v>
      </c>
    </row>
    <row r="893" spans="1:40" ht="13" hidden="1" x14ac:dyDescent="0.15">
      <c r="A893">
        <v>916</v>
      </c>
      <c r="B893" s="1">
        <v>59052</v>
      </c>
      <c r="C893" s="1">
        <v>460</v>
      </c>
      <c r="D893" s="4">
        <f t="shared" si="26"/>
        <v>7.7897446318498948E-3</v>
      </c>
      <c r="E893" s="1">
        <v>0</v>
      </c>
      <c r="F893" s="1">
        <v>1</v>
      </c>
      <c r="G893" s="1">
        <v>29</v>
      </c>
      <c r="H893" s="1">
        <v>230</v>
      </c>
      <c r="I893" s="1">
        <v>35</v>
      </c>
      <c r="J893" s="1">
        <v>75</v>
      </c>
      <c r="K893" s="1">
        <v>63</v>
      </c>
      <c r="L893" s="1">
        <v>57</v>
      </c>
      <c r="M893" s="1">
        <v>31</v>
      </c>
      <c r="N893" s="1">
        <v>3</v>
      </c>
      <c r="O893" s="1">
        <v>7</v>
      </c>
      <c r="P893" s="1">
        <v>1</v>
      </c>
      <c r="Q893" s="1">
        <v>7</v>
      </c>
      <c r="R893" s="1">
        <v>5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61</v>
      </c>
      <c r="AA893" s="1" t="str" cm="1">
        <f t="array" ref="AA893">_xlfn.IFS(AND(Z893&lt;36, Z893&gt;23), "24-35", AND(Z893&lt;51, Z893&gt;35),"36-50", AND(Z893&lt;66, Z893&gt;50), "51-66", Z893&gt;65, "66+", TRUE, "?")</f>
        <v>51-66</v>
      </c>
      <c r="AB893" s="1">
        <v>2383</v>
      </c>
      <c r="AC893" s="1">
        <v>1</v>
      </c>
      <c r="AD893" s="1">
        <v>0</v>
      </c>
      <c r="AE893" s="1">
        <v>0</v>
      </c>
      <c r="AF893" s="1">
        <v>0</v>
      </c>
      <c r="AG893" s="1">
        <v>0</v>
      </c>
      <c r="AH893" s="1">
        <v>1</v>
      </c>
      <c r="AI893" s="1">
        <v>0</v>
      </c>
      <c r="AJ893" s="1">
        <v>0</v>
      </c>
      <c r="AK893" s="1">
        <v>0</v>
      </c>
      <c r="AL893" s="1">
        <v>429</v>
      </c>
      <c r="AM893" s="2">
        <v>42466</v>
      </c>
      <c r="AN893" t="str">
        <f t="shared" si="27"/>
        <v>59052,460,0.00778974463184989,0,1,29,230,35,75,63,57,31,3,7,1,7,5,0,0,0,0,0,0,0,61,51-66,2383,1,0,0,0,0,1,0,0,0,429,42466</v>
      </c>
    </row>
    <row r="894" spans="1:40" ht="13" hidden="1" x14ac:dyDescent="0.15">
      <c r="A894">
        <v>1350</v>
      </c>
      <c r="B894" s="1">
        <v>32727</v>
      </c>
      <c r="C894" s="1">
        <v>459</v>
      </c>
      <c r="D894" s="4">
        <f t="shared" si="26"/>
        <v>1.4025116875973966E-2</v>
      </c>
      <c r="E894" s="1">
        <v>0</v>
      </c>
      <c r="F894" s="1">
        <v>0</v>
      </c>
      <c r="G894" s="1">
        <v>38</v>
      </c>
      <c r="H894" s="1">
        <v>167</v>
      </c>
      <c r="I894" s="1">
        <v>13</v>
      </c>
      <c r="J894" s="1">
        <v>180</v>
      </c>
      <c r="K894" s="1">
        <v>86</v>
      </c>
      <c r="L894" s="1">
        <v>13</v>
      </c>
      <c r="M894" s="1">
        <v>70</v>
      </c>
      <c r="N894" s="1">
        <v>2</v>
      </c>
      <c r="O894" s="1">
        <v>7</v>
      </c>
      <c r="P894" s="1">
        <v>3</v>
      </c>
      <c r="Q894" s="1">
        <v>5</v>
      </c>
      <c r="R894" s="1">
        <v>8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55</v>
      </c>
      <c r="AA894" s="1" t="str" cm="1">
        <f t="array" ref="AA894">_xlfn.IFS(AND(Z894&lt;36, Z894&gt;23), "24-35", AND(Z894&lt;51, Z894&gt;35),"36-50", AND(Z894&lt;66, Z894&gt;50), "51-66", Z894&gt;65, "66+", TRUE, "?")</f>
        <v>51-66</v>
      </c>
      <c r="AB894" s="1">
        <v>2829</v>
      </c>
      <c r="AC894" s="1">
        <v>0</v>
      </c>
      <c r="AD894" s="1">
        <v>0</v>
      </c>
      <c r="AE894" s="1">
        <v>0</v>
      </c>
      <c r="AF894" s="1">
        <v>1</v>
      </c>
      <c r="AG894" s="1">
        <v>0</v>
      </c>
      <c r="AH894" s="1">
        <v>0</v>
      </c>
      <c r="AI894" s="1">
        <v>0</v>
      </c>
      <c r="AJ894" s="1">
        <v>0</v>
      </c>
      <c r="AK894" s="1">
        <v>1</v>
      </c>
      <c r="AL894" s="1">
        <v>389</v>
      </c>
      <c r="AM894" s="2">
        <v>42020</v>
      </c>
      <c r="AN894" t="str">
        <f t="shared" si="27"/>
        <v>32727,459,0.014025116875974,0,0,38,167,13,180,86,13,70,2,7,3,5,8,0,0,0,0,0,0,0,55,51-66,2829,0,0,0,1,0,0,0,0,1,389,42020</v>
      </c>
    </row>
    <row r="895" spans="1:40" ht="13" hidden="1" x14ac:dyDescent="0.15">
      <c r="A895">
        <v>106</v>
      </c>
      <c r="B895" s="1">
        <v>36550</v>
      </c>
      <c r="C895" s="1">
        <v>457</v>
      </c>
      <c r="D895" s="4">
        <f t="shared" si="26"/>
        <v>1.2503419972640218E-2</v>
      </c>
      <c r="E895" s="1">
        <v>1</v>
      </c>
      <c r="F895" s="1">
        <v>0</v>
      </c>
      <c r="G895" s="1">
        <v>74</v>
      </c>
      <c r="H895" s="1">
        <v>47</v>
      </c>
      <c r="I895" s="1">
        <v>90</v>
      </c>
      <c r="J895" s="1">
        <v>94</v>
      </c>
      <c r="K895" s="1">
        <v>123</v>
      </c>
      <c r="L895" s="1">
        <v>103</v>
      </c>
      <c r="M895" s="1">
        <v>120</v>
      </c>
      <c r="N895" s="1">
        <v>5</v>
      </c>
      <c r="O895" s="1">
        <v>9</v>
      </c>
      <c r="P895" s="1">
        <v>1</v>
      </c>
      <c r="Q895" s="1">
        <v>5</v>
      </c>
      <c r="R895" s="1">
        <v>9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42</v>
      </c>
      <c r="AA895" s="1" t="str" cm="1">
        <f t="array" ref="AA895">_xlfn.IFS(AND(Z895&lt;36, Z895&gt;23), "24-35", AND(Z895&lt;51, Z895&gt;35),"36-50", AND(Z895&lt;66, Z895&gt;50), "51-66", Z895&gt;65, "66+", TRUE, "?")</f>
        <v>36-50</v>
      </c>
      <c r="AB895" s="1">
        <v>2654</v>
      </c>
      <c r="AC895" s="1">
        <v>0</v>
      </c>
      <c r="AD895" s="1">
        <v>1</v>
      </c>
      <c r="AE895" s="1">
        <v>0</v>
      </c>
      <c r="AF895" s="1">
        <v>0</v>
      </c>
      <c r="AG895" s="1">
        <v>0</v>
      </c>
      <c r="AH895" s="1">
        <v>1</v>
      </c>
      <c r="AI895" s="1">
        <v>0</v>
      </c>
      <c r="AJ895" s="1">
        <v>0</v>
      </c>
      <c r="AK895" s="1">
        <v>0</v>
      </c>
      <c r="AL895" s="1">
        <v>337</v>
      </c>
      <c r="AM895" s="2">
        <v>42195</v>
      </c>
      <c r="AN895" t="str">
        <f t="shared" si="27"/>
        <v>36550,457,0.0125034199726402,1,0,74,47,90,94,123,103,120,5,9,1,5,9,0,0,0,0,0,0,0,42,36-50,2654,0,1,0,0,0,1,0,0,0,337,42195</v>
      </c>
    </row>
    <row r="896" spans="1:40" ht="13" hidden="1" x14ac:dyDescent="0.15">
      <c r="A896">
        <v>610</v>
      </c>
      <c r="B896" s="1">
        <v>66886</v>
      </c>
      <c r="C896" s="1">
        <v>453</v>
      </c>
      <c r="D896" s="4">
        <f t="shared" si="26"/>
        <v>6.7727177585742903E-3</v>
      </c>
      <c r="E896" s="1">
        <v>0</v>
      </c>
      <c r="F896" s="1">
        <v>1</v>
      </c>
      <c r="G896" s="1">
        <v>28</v>
      </c>
      <c r="H896" s="1">
        <v>315</v>
      </c>
      <c r="I896" s="1">
        <v>4</v>
      </c>
      <c r="J896" s="1">
        <v>62</v>
      </c>
      <c r="K896" s="1">
        <v>41</v>
      </c>
      <c r="L896" s="1">
        <v>31</v>
      </c>
      <c r="M896" s="1">
        <v>146</v>
      </c>
      <c r="N896" s="1">
        <v>2</v>
      </c>
      <c r="O896" s="1">
        <v>7</v>
      </c>
      <c r="P896" s="1">
        <v>1</v>
      </c>
      <c r="Q896" s="1">
        <v>7</v>
      </c>
      <c r="R896" s="1">
        <v>5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62</v>
      </c>
      <c r="AA896" s="1" t="str" cm="1">
        <f t="array" ref="AA896">_xlfn.IFS(AND(Z896&lt;36, Z896&gt;23), "24-35", AND(Z896&lt;51, Z896&gt;35),"36-50", AND(Z896&lt;66, Z896&gt;50), "51-66", Z896&gt;65, "66+", TRUE, "?")</f>
        <v>51-66</v>
      </c>
      <c r="AB896" s="1">
        <v>2445</v>
      </c>
      <c r="AC896" s="1">
        <v>0</v>
      </c>
      <c r="AD896" s="1">
        <v>0</v>
      </c>
      <c r="AE896" s="1">
        <v>0</v>
      </c>
      <c r="AF896" s="1">
        <v>1</v>
      </c>
      <c r="AG896" s="1">
        <v>0</v>
      </c>
      <c r="AH896" s="1">
        <v>0</v>
      </c>
      <c r="AI896" s="1">
        <v>1</v>
      </c>
      <c r="AJ896" s="1">
        <v>0</v>
      </c>
      <c r="AK896" s="1">
        <v>0</v>
      </c>
      <c r="AL896" s="1">
        <v>307</v>
      </c>
      <c r="AM896" s="2">
        <v>42404</v>
      </c>
      <c r="AN896" t="str">
        <f t="shared" si="27"/>
        <v>66886,453,0.00677271775857429,0,1,28,315,4,62,41,31,146,2,7,1,7,5,0,0,0,0,0,0,0,62,51-66,2445,0,0,0,1,0,0,1,0,0,307,42404</v>
      </c>
    </row>
    <row r="897" spans="1:40" ht="13" hidden="1" x14ac:dyDescent="0.15">
      <c r="A897">
        <v>1819</v>
      </c>
      <c r="B897" s="1">
        <v>56559</v>
      </c>
      <c r="C897" s="1">
        <v>453</v>
      </c>
      <c r="D897" s="4">
        <f t="shared" si="26"/>
        <v>8.0093353842889733E-3</v>
      </c>
      <c r="E897" s="1">
        <v>0</v>
      </c>
      <c r="F897" s="1">
        <v>1</v>
      </c>
      <c r="G897" s="1">
        <v>46</v>
      </c>
      <c r="H897" s="1">
        <v>226</v>
      </c>
      <c r="I897" s="1">
        <v>22</v>
      </c>
      <c r="J897" s="1">
        <v>133</v>
      </c>
      <c r="K897" s="1">
        <v>41</v>
      </c>
      <c r="L897" s="1">
        <v>31</v>
      </c>
      <c r="M897" s="1">
        <v>31</v>
      </c>
      <c r="N897" s="1">
        <v>3</v>
      </c>
      <c r="O897" s="1">
        <v>4</v>
      </c>
      <c r="P897" s="1">
        <v>3</v>
      </c>
      <c r="Q897" s="1">
        <v>8</v>
      </c>
      <c r="R897" s="1">
        <v>4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45</v>
      </c>
      <c r="AA897" s="1" t="str" cm="1">
        <f t="array" ref="AA897">_xlfn.IFS(AND(Z897&lt;36, Z897&gt;23), "24-35", AND(Z897&lt;51, Z897&gt;35),"36-50", AND(Z897&lt;66, Z897&gt;50), "51-66", Z897&gt;65, "66+", TRUE, "?")</f>
        <v>36-50</v>
      </c>
      <c r="AB897" s="1">
        <v>2710</v>
      </c>
      <c r="AC897" s="1">
        <v>0</v>
      </c>
      <c r="AD897" s="1">
        <v>0</v>
      </c>
      <c r="AE897" s="1">
        <v>0</v>
      </c>
      <c r="AF897" s="1">
        <v>1</v>
      </c>
      <c r="AG897" s="1">
        <v>0</v>
      </c>
      <c r="AH897" s="1">
        <v>0</v>
      </c>
      <c r="AI897" s="1">
        <v>0</v>
      </c>
      <c r="AJ897" s="1">
        <v>0</v>
      </c>
      <c r="AK897" s="1">
        <v>1</v>
      </c>
      <c r="AL897" s="1">
        <v>422</v>
      </c>
      <c r="AM897" s="2">
        <v>42139</v>
      </c>
      <c r="AN897" t="str">
        <f t="shared" si="27"/>
        <v>56559,453,0.00800933538428897,0,1,46,226,22,133,41,31,31,3,4,3,8,4,0,0,0,0,0,0,0,45,36-50,2710,0,0,0,1,0,0,0,0,1,422,42139</v>
      </c>
    </row>
    <row r="898" spans="1:40" ht="13" x14ac:dyDescent="0.15">
      <c r="A898">
        <v>1382</v>
      </c>
      <c r="B898" s="1">
        <v>36130</v>
      </c>
      <c r="C898" s="1">
        <v>451</v>
      </c>
      <c r="D898" s="4">
        <f t="shared" ref="D898:D961" si="28">C898/B898</f>
        <v>1.2482701356213674E-2</v>
      </c>
      <c r="E898" s="1">
        <v>0</v>
      </c>
      <c r="F898" s="1">
        <v>1</v>
      </c>
      <c r="G898" s="1">
        <v>46</v>
      </c>
      <c r="H898" s="1">
        <v>157</v>
      </c>
      <c r="I898" s="1">
        <v>43</v>
      </c>
      <c r="J898" s="1">
        <v>127</v>
      </c>
      <c r="K898" s="1">
        <v>68</v>
      </c>
      <c r="L898" s="1">
        <v>56</v>
      </c>
      <c r="M898" s="1">
        <v>37</v>
      </c>
      <c r="N898" s="1">
        <v>6</v>
      </c>
      <c r="O898" s="1">
        <v>3</v>
      </c>
      <c r="P898" s="1">
        <v>8</v>
      </c>
      <c r="Q898" s="1">
        <v>4</v>
      </c>
      <c r="R898" s="1">
        <v>4</v>
      </c>
      <c r="S898" s="1">
        <v>0</v>
      </c>
      <c r="T898" s="1">
        <v>0</v>
      </c>
      <c r="U898" s="1">
        <v>1</v>
      </c>
      <c r="V898" s="1">
        <v>0</v>
      </c>
      <c r="W898" s="1">
        <v>0</v>
      </c>
      <c r="X898" s="1">
        <v>0</v>
      </c>
      <c r="Y898" s="1">
        <v>1</v>
      </c>
      <c r="Z898" s="1">
        <v>66</v>
      </c>
      <c r="AA898" s="1" t="str" cm="1">
        <f t="array" ref="AA898">_xlfn.IFS(AND(Z898&lt;36, Z898&gt;23), "24-35", AND(Z898&lt;51, Z898&gt;35),"36-50", AND(Z898&lt;66, Z898&gt;50), "51-66", Z898&gt;65, "66+", TRUE, "?")</f>
        <v>66+</v>
      </c>
      <c r="AB898" s="1">
        <v>2671</v>
      </c>
      <c r="AC898" s="1">
        <v>0</v>
      </c>
      <c r="AD898" s="1">
        <v>0</v>
      </c>
      <c r="AE898" s="1">
        <v>1</v>
      </c>
      <c r="AF898" s="1">
        <v>0</v>
      </c>
      <c r="AG898" s="1">
        <v>0</v>
      </c>
      <c r="AH898" s="1">
        <v>0</v>
      </c>
      <c r="AI898" s="1">
        <v>1</v>
      </c>
      <c r="AJ898" s="1">
        <v>0</v>
      </c>
      <c r="AK898" s="1">
        <v>0</v>
      </c>
      <c r="AL898" s="1">
        <v>414</v>
      </c>
      <c r="AM898" s="2">
        <v>42178</v>
      </c>
      <c r="AN898" t="str">
        <f t="shared" ref="AN898:AN961" si="29">_xlfn.TEXTJOIN(",",TRUE,B898:AM898)</f>
        <v>36130,451,0.0124827013562137,0,1,46,157,43,127,68,56,37,6,3,8,4,4,0,0,1,0,0,0,1,66,66+,2671,0,0,1,0,0,0,1,0,0,414,42178</v>
      </c>
    </row>
    <row r="899" spans="1:40" ht="13" hidden="1" x14ac:dyDescent="0.15">
      <c r="A899">
        <v>1779</v>
      </c>
      <c r="B899" s="1">
        <v>61798</v>
      </c>
      <c r="C899" s="1">
        <v>450</v>
      </c>
      <c r="D899" s="4">
        <f t="shared" si="28"/>
        <v>7.2817890546619628E-3</v>
      </c>
      <c r="E899" s="1">
        <v>0</v>
      </c>
      <c r="F899" s="1">
        <v>0</v>
      </c>
      <c r="G899" s="1">
        <v>13</v>
      </c>
      <c r="H899" s="1">
        <v>338</v>
      </c>
      <c r="I899" s="1">
        <v>4</v>
      </c>
      <c r="J899" s="1">
        <v>89</v>
      </c>
      <c r="K899" s="1">
        <v>11</v>
      </c>
      <c r="L899" s="1">
        <v>8</v>
      </c>
      <c r="M899" s="1">
        <v>13</v>
      </c>
      <c r="N899" s="1">
        <v>1</v>
      </c>
      <c r="O899" s="1">
        <v>4</v>
      </c>
      <c r="P899" s="1">
        <v>2</v>
      </c>
      <c r="Q899" s="1">
        <v>9</v>
      </c>
      <c r="R899" s="1">
        <v>4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56</v>
      </c>
      <c r="AA899" s="1" t="str" cm="1">
        <f t="array" ref="AA899">_xlfn.IFS(AND(Z899&lt;36, Z899&gt;23), "24-35", AND(Z899&lt;51, Z899&gt;35),"36-50", AND(Z899&lt;66, Z899&gt;50), "51-66", Z899&gt;65, "66+", TRUE, "?")</f>
        <v>51-66</v>
      </c>
      <c r="AB899" s="1">
        <v>2377</v>
      </c>
      <c r="AC899" s="1">
        <v>0</v>
      </c>
      <c r="AD899" s="1">
        <v>0</v>
      </c>
      <c r="AE899" s="1">
        <v>1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1</v>
      </c>
      <c r="AL899" s="1">
        <v>437</v>
      </c>
      <c r="AM899" s="2">
        <v>42472</v>
      </c>
      <c r="AN899" t="str">
        <f t="shared" si="29"/>
        <v>61798,450,0.00728178905466196,0,0,13,338,4,89,11,8,13,1,4,2,9,4,0,0,0,0,0,0,0,56,51-66,2377,0,0,1,0,0,0,0,0,1,437,42472</v>
      </c>
    </row>
    <row r="900" spans="1:40" ht="13" hidden="1" x14ac:dyDescent="0.15">
      <c r="A900">
        <v>2007</v>
      </c>
      <c r="B900" s="1">
        <v>58025</v>
      </c>
      <c r="C900" s="1">
        <v>448</v>
      </c>
      <c r="D900" s="4">
        <f t="shared" si="28"/>
        <v>7.7208099956915122E-3</v>
      </c>
      <c r="E900" s="1">
        <v>0</v>
      </c>
      <c r="F900" s="1">
        <v>1</v>
      </c>
      <c r="G900" s="1">
        <v>81</v>
      </c>
      <c r="H900" s="1">
        <v>270</v>
      </c>
      <c r="I900" s="1">
        <v>31</v>
      </c>
      <c r="J900" s="1">
        <v>88</v>
      </c>
      <c r="K900" s="1">
        <v>11</v>
      </c>
      <c r="L900" s="1">
        <v>48</v>
      </c>
      <c r="M900" s="1">
        <v>22</v>
      </c>
      <c r="N900" s="1">
        <v>3</v>
      </c>
      <c r="O900" s="1">
        <v>3</v>
      </c>
      <c r="P900" s="1">
        <v>2</v>
      </c>
      <c r="Q900" s="1">
        <v>10</v>
      </c>
      <c r="R900" s="1">
        <v>4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41</v>
      </c>
      <c r="AA900" s="1" t="str" cm="1">
        <f t="array" ref="AA900">_xlfn.IFS(AND(Z900&lt;36, Z900&gt;23), "24-35", AND(Z900&lt;51, Z900&gt;35),"36-50", AND(Z900&lt;66, Z900&gt;50), "51-66", Z900&gt;65, "66+", TRUE, "?")</f>
        <v>36-50</v>
      </c>
      <c r="AB900" s="1">
        <v>2374</v>
      </c>
      <c r="AC900" s="1">
        <v>0</v>
      </c>
      <c r="AD900" s="1">
        <v>1</v>
      </c>
      <c r="AE900" s="1">
        <v>0</v>
      </c>
      <c r="AF900" s="1">
        <v>0</v>
      </c>
      <c r="AG900" s="1">
        <v>0</v>
      </c>
      <c r="AH900" s="1">
        <v>0</v>
      </c>
      <c r="AI900" s="1">
        <v>1</v>
      </c>
      <c r="AJ900" s="1">
        <v>0</v>
      </c>
      <c r="AK900" s="1">
        <v>0</v>
      </c>
      <c r="AL900" s="1">
        <v>426</v>
      </c>
      <c r="AM900" s="2">
        <v>42475</v>
      </c>
      <c r="AN900" t="str">
        <f t="shared" si="29"/>
        <v>58025,448,0.00772080999569151,0,1,81,270,31,88,11,48,22,3,3,2,10,4,0,0,0,0,0,0,0,41,36-50,2374,0,1,0,0,0,0,1,0,0,426,42475</v>
      </c>
    </row>
    <row r="901" spans="1:40" ht="13" hidden="1" x14ac:dyDescent="0.15">
      <c r="A901">
        <v>138</v>
      </c>
      <c r="B901" s="1">
        <v>65747</v>
      </c>
      <c r="C901" s="1">
        <v>447</v>
      </c>
      <c r="D901" s="4">
        <f t="shared" si="28"/>
        <v>6.7987892983710279E-3</v>
      </c>
      <c r="E901" s="1">
        <v>0</v>
      </c>
      <c r="F901" s="1">
        <v>1</v>
      </c>
      <c r="G901" s="1">
        <v>96</v>
      </c>
      <c r="H901" s="1">
        <v>346</v>
      </c>
      <c r="I901" s="1">
        <v>17</v>
      </c>
      <c r="J901" s="1">
        <v>48</v>
      </c>
      <c r="K901" s="1">
        <v>23</v>
      </c>
      <c r="L901" s="1">
        <v>13</v>
      </c>
      <c r="M901" s="1">
        <v>13</v>
      </c>
      <c r="N901" s="1">
        <v>4</v>
      </c>
      <c r="O901" s="1">
        <v>8</v>
      </c>
      <c r="P901" s="1">
        <v>1</v>
      </c>
      <c r="Q901" s="1">
        <v>6</v>
      </c>
      <c r="R901" s="1">
        <v>6</v>
      </c>
      <c r="S901" s="1">
        <v>0</v>
      </c>
      <c r="T901" s="1">
        <v>0</v>
      </c>
      <c r="U901" s="1">
        <v>0</v>
      </c>
      <c r="V901" s="1">
        <v>1</v>
      </c>
      <c r="W901" s="1">
        <v>0</v>
      </c>
      <c r="X901" s="1">
        <v>0</v>
      </c>
      <c r="Y901" s="1">
        <v>0</v>
      </c>
      <c r="Z901" s="1">
        <v>51</v>
      </c>
      <c r="AA901" s="1" t="str" cm="1">
        <f t="array" ref="AA901">_xlfn.IFS(AND(Z901&lt;36, Z901&gt;23), "24-35", AND(Z901&lt;51, Z901&gt;35),"36-50", AND(Z901&lt;66, Z901&gt;50), "51-66", Z901&gt;65, "66+", TRUE, "?")</f>
        <v>51-66</v>
      </c>
      <c r="AB901" s="1">
        <v>2273</v>
      </c>
      <c r="AC901" s="1">
        <v>0</v>
      </c>
      <c r="AD901" s="1">
        <v>1</v>
      </c>
      <c r="AE901" s="1">
        <v>0</v>
      </c>
      <c r="AF901" s="1">
        <v>0</v>
      </c>
      <c r="AG901" s="1">
        <v>0</v>
      </c>
      <c r="AH901" s="1">
        <v>0</v>
      </c>
      <c r="AI901" s="1">
        <v>1</v>
      </c>
      <c r="AJ901" s="1">
        <v>0</v>
      </c>
      <c r="AK901" s="1">
        <v>0</v>
      </c>
      <c r="AL901" s="1">
        <v>434</v>
      </c>
      <c r="AM901" s="2">
        <v>42576</v>
      </c>
      <c r="AN901" t="str">
        <f t="shared" si="29"/>
        <v>65747,447,0.00679878929837103,0,1,96,346,17,48,23,13,13,4,8,1,6,6,0,0,0,1,0,0,0,51,51-66,2273,0,1,0,0,0,0,1,0,0,434,42576</v>
      </c>
    </row>
    <row r="902" spans="1:40" ht="13" x14ac:dyDescent="0.15">
      <c r="A902">
        <v>1387</v>
      </c>
      <c r="B902" s="1">
        <v>54998</v>
      </c>
      <c r="C902" s="1">
        <v>447</v>
      </c>
      <c r="D902" s="4">
        <f t="shared" si="28"/>
        <v>8.1275682752100075E-3</v>
      </c>
      <c r="E902" s="1">
        <v>0</v>
      </c>
      <c r="F902" s="1">
        <v>1</v>
      </c>
      <c r="G902" s="1">
        <v>3</v>
      </c>
      <c r="H902" s="1">
        <v>154</v>
      </c>
      <c r="I902" s="1">
        <v>22</v>
      </c>
      <c r="J902" s="1">
        <v>202</v>
      </c>
      <c r="K902" s="1">
        <v>39</v>
      </c>
      <c r="L902" s="1">
        <v>30</v>
      </c>
      <c r="M902" s="1">
        <v>8</v>
      </c>
      <c r="N902" s="1">
        <v>5</v>
      </c>
      <c r="O902" s="1">
        <v>4</v>
      </c>
      <c r="P902" s="1">
        <v>2</v>
      </c>
      <c r="Q902" s="1">
        <v>9</v>
      </c>
      <c r="R902" s="1">
        <v>4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</v>
      </c>
      <c r="Z902" s="1">
        <v>64</v>
      </c>
      <c r="AA902" s="1" t="str" cm="1">
        <f t="array" ref="AA902">_xlfn.IFS(AND(Z902&lt;36, Z902&gt;23), "24-35", AND(Z902&lt;51, Z902&gt;35),"36-50", AND(Z902&lt;66, Z902&gt;50), "51-66", Z902&gt;65, "66+", TRUE, "?")</f>
        <v>51-66</v>
      </c>
      <c r="AB902" s="1">
        <v>2635</v>
      </c>
      <c r="AC902" s="1">
        <v>0</v>
      </c>
      <c r="AD902" s="1">
        <v>0</v>
      </c>
      <c r="AE902" s="1">
        <v>1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1</v>
      </c>
      <c r="AL902" s="1">
        <v>439</v>
      </c>
      <c r="AM902" s="2">
        <v>42214</v>
      </c>
      <c r="AN902" t="str">
        <f t="shared" si="29"/>
        <v>54998,447,0.00812756827521001,0,1,3,154,22,202,39,30,8,5,4,2,9,4,0,0,0,0,0,0,1,64,51-66,2635,0,0,1,0,0,0,0,0,1,439,42214</v>
      </c>
    </row>
    <row r="903" spans="1:40" ht="13" hidden="1" x14ac:dyDescent="0.15">
      <c r="A903">
        <v>137</v>
      </c>
      <c r="B903" s="1">
        <v>59354</v>
      </c>
      <c r="C903" s="1">
        <v>446</v>
      </c>
      <c r="D903" s="4">
        <f t="shared" si="28"/>
        <v>7.5142366142130273E-3</v>
      </c>
      <c r="E903" s="1">
        <v>0</v>
      </c>
      <c r="F903" s="1">
        <v>2</v>
      </c>
      <c r="G903" s="1">
        <v>59</v>
      </c>
      <c r="H903" s="1">
        <v>295</v>
      </c>
      <c r="I903" s="1">
        <v>21</v>
      </c>
      <c r="J903" s="1">
        <v>78</v>
      </c>
      <c r="K903" s="1">
        <v>39</v>
      </c>
      <c r="L903" s="1">
        <v>13</v>
      </c>
      <c r="M903" s="1">
        <v>13</v>
      </c>
      <c r="N903" s="1">
        <v>1</v>
      </c>
      <c r="O903" s="1">
        <v>4</v>
      </c>
      <c r="P903" s="1">
        <v>4</v>
      </c>
      <c r="Q903" s="1">
        <v>7</v>
      </c>
      <c r="R903" s="1">
        <v>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67</v>
      </c>
      <c r="AA903" s="1" t="str" cm="1">
        <f t="array" ref="AA903">_xlfn.IFS(AND(Z903&lt;36, Z903&gt;23), "24-35", AND(Z903&lt;51, Z903&gt;35),"36-50", AND(Z903&lt;66, Z903&gt;50), "51-66", Z903&gt;65, "66+", TRUE, "?")</f>
        <v>66+</v>
      </c>
      <c r="AB903" s="1">
        <v>2225</v>
      </c>
      <c r="AC903" s="1">
        <v>0</v>
      </c>
      <c r="AD903" s="1">
        <v>1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1</v>
      </c>
      <c r="AK903" s="1">
        <v>0</v>
      </c>
      <c r="AL903" s="1">
        <v>433</v>
      </c>
      <c r="AM903" s="2">
        <v>42624</v>
      </c>
      <c r="AN903" t="str">
        <f t="shared" si="29"/>
        <v>59354,446,0.00751423661421303,0,2,59,295,21,78,39,13,13,1,4,4,7,3,0,0,0,0,0,0,0,67,66+,2225,0,1,0,0,0,0,0,1,0,433,42624</v>
      </c>
    </row>
    <row r="904" spans="1:40" ht="13" hidden="1" x14ac:dyDescent="0.15">
      <c r="A904">
        <v>1685</v>
      </c>
      <c r="B904" s="1">
        <v>57705</v>
      </c>
      <c r="C904" s="1">
        <v>446</v>
      </c>
      <c r="D904" s="4">
        <f t="shared" si="28"/>
        <v>7.7289662940819683E-3</v>
      </c>
      <c r="E904" s="1">
        <v>0</v>
      </c>
      <c r="F904" s="1">
        <v>1</v>
      </c>
      <c r="G904" s="1">
        <v>14</v>
      </c>
      <c r="H904" s="1">
        <v>383</v>
      </c>
      <c r="I904" s="1">
        <v>0</v>
      </c>
      <c r="J904" s="1">
        <v>53</v>
      </c>
      <c r="K904" s="1">
        <v>6</v>
      </c>
      <c r="L904" s="1">
        <v>4</v>
      </c>
      <c r="M904" s="1">
        <v>40</v>
      </c>
      <c r="N904" s="1">
        <v>3</v>
      </c>
      <c r="O904" s="1">
        <v>8</v>
      </c>
      <c r="P904" s="1">
        <v>1</v>
      </c>
      <c r="Q904" s="1">
        <v>6</v>
      </c>
      <c r="R904" s="1">
        <v>6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54</v>
      </c>
      <c r="AA904" s="1" t="str" cm="1">
        <f t="array" ref="AA904">_xlfn.IFS(AND(Z904&lt;36, Z904&gt;23), "24-35", AND(Z904&lt;51, Z904&gt;35),"36-50", AND(Z904&lt;66, Z904&gt;50), "51-66", Z904&gt;65, "66+", TRUE, "?")</f>
        <v>51-66</v>
      </c>
      <c r="AB904" s="1">
        <v>2328</v>
      </c>
      <c r="AC904" s="1">
        <v>0</v>
      </c>
      <c r="AD904" s="1">
        <v>1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1</v>
      </c>
      <c r="AL904" s="1">
        <v>406</v>
      </c>
      <c r="AM904" s="2">
        <v>42521</v>
      </c>
      <c r="AN904" t="str">
        <f t="shared" si="29"/>
        <v>57705,446,0.00772896629408197,0,1,14,383,0,53,6,4,40,3,8,1,6,6,0,0,0,0,0,0,0,54,51-66,2328,0,1,0,0,0,0,0,0,1,406,42521</v>
      </c>
    </row>
    <row r="905" spans="1:40" ht="13" hidden="1" x14ac:dyDescent="0.15">
      <c r="A905">
        <v>409</v>
      </c>
      <c r="B905" s="1">
        <v>51529</v>
      </c>
      <c r="C905" s="1">
        <v>445</v>
      </c>
      <c r="D905" s="4">
        <f t="shared" si="28"/>
        <v>8.6359137573017129E-3</v>
      </c>
      <c r="E905" s="1">
        <v>0</v>
      </c>
      <c r="F905" s="1">
        <v>1</v>
      </c>
      <c r="G905" s="1">
        <v>14</v>
      </c>
      <c r="H905" s="1">
        <v>400</v>
      </c>
      <c r="I905" s="1">
        <v>4</v>
      </c>
      <c r="J905" s="1">
        <v>35</v>
      </c>
      <c r="K905" s="1">
        <v>6</v>
      </c>
      <c r="L905" s="1">
        <v>0</v>
      </c>
      <c r="M905" s="1">
        <v>22</v>
      </c>
      <c r="N905" s="1">
        <v>2</v>
      </c>
      <c r="O905" s="1">
        <v>9</v>
      </c>
      <c r="P905" s="1">
        <v>1</v>
      </c>
      <c r="Q905" s="1">
        <v>5</v>
      </c>
      <c r="R905" s="1">
        <v>8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71</v>
      </c>
      <c r="AA905" s="1" t="str" cm="1">
        <f t="array" ref="AA905">_xlfn.IFS(AND(Z905&lt;36, Z905&gt;23), "24-35", AND(Z905&lt;51, Z905&gt;35),"36-50", AND(Z905&lt;66, Z905&gt;50), "51-66", Z905&gt;65, "66+", TRUE, "?")</f>
        <v>66+</v>
      </c>
      <c r="AB905" s="1">
        <v>2454</v>
      </c>
      <c r="AC905" s="1">
        <v>0</v>
      </c>
      <c r="AD905" s="1">
        <v>0</v>
      </c>
      <c r="AE905" s="1">
        <v>0</v>
      </c>
      <c r="AF905" s="1">
        <v>0</v>
      </c>
      <c r="AG905" s="1">
        <v>1</v>
      </c>
      <c r="AH905" s="1">
        <v>0</v>
      </c>
      <c r="AI905" s="1">
        <v>0</v>
      </c>
      <c r="AJ905" s="1">
        <v>1</v>
      </c>
      <c r="AK905" s="1">
        <v>0</v>
      </c>
      <c r="AL905" s="1">
        <v>423</v>
      </c>
      <c r="AM905" s="2">
        <v>42395</v>
      </c>
      <c r="AN905" t="str">
        <f t="shared" si="29"/>
        <v>51529,445,0.00863591375730171,0,1,14,400,4,35,6,0,22,2,9,1,5,8,0,0,0,0,0,0,0,71,66+,2454,0,0,0,0,1,0,0,1,0,423,42395</v>
      </c>
    </row>
    <row r="906" spans="1:40" ht="13" hidden="1" x14ac:dyDescent="0.15">
      <c r="A906">
        <v>703</v>
      </c>
      <c r="B906" s="1">
        <v>51518</v>
      </c>
      <c r="C906" s="1">
        <v>445</v>
      </c>
      <c r="D906" s="4">
        <f t="shared" si="28"/>
        <v>8.6377576769284519E-3</v>
      </c>
      <c r="E906" s="1">
        <v>0</v>
      </c>
      <c r="F906" s="1">
        <v>1</v>
      </c>
      <c r="G906" s="1">
        <v>92</v>
      </c>
      <c r="H906" s="1">
        <v>350</v>
      </c>
      <c r="I906" s="1">
        <v>8</v>
      </c>
      <c r="J906" s="1">
        <v>66</v>
      </c>
      <c r="K906" s="1">
        <v>17</v>
      </c>
      <c r="L906" s="1">
        <v>4</v>
      </c>
      <c r="M906" s="1">
        <v>4</v>
      </c>
      <c r="N906" s="1">
        <v>2</v>
      </c>
      <c r="O906" s="1">
        <v>3</v>
      </c>
      <c r="P906" s="1">
        <v>2</v>
      </c>
      <c r="Q906" s="1">
        <v>10</v>
      </c>
      <c r="R906" s="1">
        <v>3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62</v>
      </c>
      <c r="AA906" s="1" t="str" cm="1">
        <f t="array" ref="AA906">_xlfn.IFS(AND(Z906&lt;36, Z906&gt;23), "24-35", AND(Z906&lt;51, Z906&gt;35),"36-50", AND(Z906&lt;66, Z906&gt;50), "51-66", Z906&gt;65, "66+", TRUE, "?")</f>
        <v>51-66</v>
      </c>
      <c r="AB906" s="1">
        <v>2428</v>
      </c>
      <c r="AC906" s="1">
        <v>0</v>
      </c>
      <c r="AD906" s="1">
        <v>0</v>
      </c>
      <c r="AE906" s="1">
        <v>0</v>
      </c>
      <c r="AF906" s="1">
        <v>1</v>
      </c>
      <c r="AG906" s="1">
        <v>0</v>
      </c>
      <c r="AH906" s="1">
        <v>0</v>
      </c>
      <c r="AI906" s="1">
        <v>0</v>
      </c>
      <c r="AJ906" s="1">
        <v>0</v>
      </c>
      <c r="AK906" s="1">
        <v>1</v>
      </c>
      <c r="AL906" s="1">
        <v>441</v>
      </c>
      <c r="AM906" s="2">
        <v>42421</v>
      </c>
      <c r="AN906" t="str">
        <f t="shared" si="29"/>
        <v>51518,445,0.00863775767692845,0,1,92,350,8,66,17,4,4,2,3,2,10,3,0,0,0,0,0,0,0,62,51-66,2428,0,0,0,1,0,0,0,0,1,441,42421</v>
      </c>
    </row>
    <row r="907" spans="1:40" ht="13" hidden="1" x14ac:dyDescent="0.15">
      <c r="A907">
        <v>1105</v>
      </c>
      <c r="B907" s="1">
        <v>54386</v>
      </c>
      <c r="C907" s="1">
        <v>445</v>
      </c>
      <c r="D907" s="4">
        <f t="shared" si="28"/>
        <v>8.1822527856433638E-3</v>
      </c>
      <c r="E907" s="1">
        <v>0</v>
      </c>
      <c r="F907" s="1">
        <v>1</v>
      </c>
      <c r="G907" s="1">
        <v>8</v>
      </c>
      <c r="H907" s="1">
        <v>277</v>
      </c>
      <c r="I907" s="1">
        <v>21</v>
      </c>
      <c r="J907" s="1">
        <v>64</v>
      </c>
      <c r="K907" s="1">
        <v>62</v>
      </c>
      <c r="L907" s="1">
        <v>21</v>
      </c>
      <c r="M907" s="1">
        <v>25</v>
      </c>
      <c r="N907" s="1">
        <v>2</v>
      </c>
      <c r="O907" s="1">
        <v>3</v>
      </c>
      <c r="P907" s="1">
        <v>2</v>
      </c>
      <c r="Q907" s="1">
        <v>10</v>
      </c>
      <c r="R907" s="1">
        <v>3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39</v>
      </c>
      <c r="AA907" s="1" t="str" cm="1">
        <f t="array" ref="AA907">_xlfn.IFS(AND(Z907&lt;36, Z907&gt;23), "24-35", AND(Z907&lt;51, Z907&gt;35),"36-50", AND(Z907&lt;66, Z907&gt;50), "51-66", Z907&gt;65, "66+", TRUE, "?")</f>
        <v>36-50</v>
      </c>
      <c r="AB907" s="1">
        <v>2567</v>
      </c>
      <c r="AC907" s="1">
        <v>0</v>
      </c>
      <c r="AD907" s="1">
        <v>1</v>
      </c>
      <c r="AE907" s="1">
        <v>0</v>
      </c>
      <c r="AF907" s="1">
        <v>0</v>
      </c>
      <c r="AG907" s="1">
        <v>0</v>
      </c>
      <c r="AH907" s="1">
        <v>0</v>
      </c>
      <c r="AI907" s="1">
        <v>1</v>
      </c>
      <c r="AJ907" s="1">
        <v>0</v>
      </c>
      <c r="AK907" s="1">
        <v>0</v>
      </c>
      <c r="AL907" s="1">
        <v>420</v>
      </c>
      <c r="AM907" s="2">
        <v>42282</v>
      </c>
      <c r="AN907" t="str">
        <f t="shared" si="29"/>
        <v>54386,445,0.00818225278564336,0,1,8,277,21,64,62,21,25,2,3,2,10,3,0,0,0,0,0,0,0,39,36-50,2567,0,1,0,0,0,0,1,0,0,420,42282</v>
      </c>
    </row>
    <row r="908" spans="1:40" ht="13" hidden="1" x14ac:dyDescent="0.15">
      <c r="A908">
        <v>1317</v>
      </c>
      <c r="B908" s="1">
        <v>57537</v>
      </c>
      <c r="C908" s="1">
        <v>445</v>
      </c>
      <c r="D908" s="4">
        <f t="shared" si="28"/>
        <v>7.7341536750265049E-3</v>
      </c>
      <c r="E908" s="1">
        <v>1</v>
      </c>
      <c r="F908" s="1">
        <v>0</v>
      </c>
      <c r="G908" s="1">
        <v>83</v>
      </c>
      <c r="H908" s="1">
        <v>191</v>
      </c>
      <c r="I908" s="1">
        <v>56</v>
      </c>
      <c r="J908" s="1">
        <v>139</v>
      </c>
      <c r="K908" s="1">
        <v>51</v>
      </c>
      <c r="L908" s="1">
        <v>8</v>
      </c>
      <c r="M908" s="1">
        <v>100</v>
      </c>
      <c r="N908" s="1">
        <v>4</v>
      </c>
      <c r="O908" s="1">
        <v>4</v>
      </c>
      <c r="P908" s="1">
        <v>3</v>
      </c>
      <c r="Q908" s="1">
        <v>8</v>
      </c>
      <c r="R908" s="1">
        <v>4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41</v>
      </c>
      <c r="AA908" s="1" t="str" cm="1">
        <f t="array" ref="AA908">_xlfn.IFS(AND(Z908&lt;36, Z908&gt;23), "24-35", AND(Z908&lt;51, Z908&gt;35),"36-50", AND(Z908&lt;66, Z908&gt;50), "51-66", Z908&gt;65, "66+", TRUE, "?")</f>
        <v>36-50</v>
      </c>
      <c r="AB908" s="1">
        <v>2543</v>
      </c>
      <c r="AC908" s="1">
        <v>0</v>
      </c>
      <c r="AD908" s="1">
        <v>0</v>
      </c>
      <c r="AE908" s="1">
        <v>1</v>
      </c>
      <c r="AF908" s="1">
        <v>0</v>
      </c>
      <c r="AG908" s="1">
        <v>0</v>
      </c>
      <c r="AH908" s="1">
        <v>0</v>
      </c>
      <c r="AI908" s="1">
        <v>1</v>
      </c>
      <c r="AJ908" s="1">
        <v>0</v>
      </c>
      <c r="AK908" s="1">
        <v>0</v>
      </c>
      <c r="AL908" s="1">
        <v>345</v>
      </c>
      <c r="AM908" s="2">
        <v>42306</v>
      </c>
      <c r="AN908" t="str">
        <f t="shared" si="29"/>
        <v>57537,445,0.0077341536750265,1,0,83,191,56,139,51,8,100,4,4,3,8,4,0,0,0,0,0,0,0,41,36-50,2543,0,0,1,0,0,0,1,0,0,345,42306</v>
      </c>
    </row>
    <row r="909" spans="1:40" ht="13" hidden="1" x14ac:dyDescent="0.15">
      <c r="A909">
        <v>1523</v>
      </c>
      <c r="B909" s="1">
        <v>50729</v>
      </c>
      <c r="C909" s="1">
        <v>444</v>
      </c>
      <c r="D909" s="4">
        <f t="shared" si="28"/>
        <v>8.7523901515898211E-3</v>
      </c>
      <c r="E909" s="1">
        <v>1</v>
      </c>
      <c r="F909" s="1">
        <v>1</v>
      </c>
      <c r="G909" s="1">
        <v>62</v>
      </c>
      <c r="H909" s="1">
        <v>239</v>
      </c>
      <c r="I909" s="1">
        <v>13</v>
      </c>
      <c r="J909" s="1">
        <v>143</v>
      </c>
      <c r="K909" s="1">
        <v>45</v>
      </c>
      <c r="L909" s="1">
        <v>4</v>
      </c>
      <c r="M909" s="1">
        <v>52</v>
      </c>
      <c r="N909" s="1">
        <v>9</v>
      </c>
      <c r="O909" s="1">
        <v>6</v>
      </c>
      <c r="P909" s="1">
        <v>2</v>
      </c>
      <c r="Q909" s="1">
        <v>7</v>
      </c>
      <c r="R909" s="1">
        <v>6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62</v>
      </c>
      <c r="AA909" s="1" t="str" cm="1">
        <f t="array" ref="AA909">_xlfn.IFS(AND(Z909&lt;36, Z909&gt;23), "24-35", AND(Z909&lt;51, Z909&gt;35),"36-50", AND(Z909&lt;66, Z909&gt;50), "51-66", Z909&gt;65, "66+", TRUE, "?")</f>
        <v>51-66</v>
      </c>
      <c r="AB909" s="1">
        <v>2582</v>
      </c>
      <c r="AC909" s="1">
        <v>0</v>
      </c>
      <c r="AD909" s="1">
        <v>0</v>
      </c>
      <c r="AE909" s="1">
        <v>1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1</v>
      </c>
      <c r="AL909" s="1">
        <v>392</v>
      </c>
      <c r="AM909" s="2">
        <v>42267</v>
      </c>
      <c r="AN909" t="str">
        <f t="shared" si="29"/>
        <v>50729,444,0.00875239015158982,1,1,62,239,13,143,45,4,52,9,6,2,7,6,0,0,0,0,0,0,0,62,51-66,2582,0,0,1,0,0,0,0,0,1,392,42267</v>
      </c>
    </row>
    <row r="910" spans="1:40" ht="13" hidden="1" x14ac:dyDescent="0.15">
      <c r="A910">
        <v>555</v>
      </c>
      <c r="B910" s="1">
        <v>53863</v>
      </c>
      <c r="C910" s="1">
        <v>443</v>
      </c>
      <c r="D910" s="4">
        <f t="shared" si="28"/>
        <v>8.2245697417522232E-3</v>
      </c>
      <c r="E910" s="1">
        <v>0</v>
      </c>
      <c r="F910" s="1">
        <v>1</v>
      </c>
      <c r="G910" s="1">
        <v>4</v>
      </c>
      <c r="H910" s="1">
        <v>399</v>
      </c>
      <c r="I910" s="1">
        <v>4</v>
      </c>
      <c r="J910" s="1">
        <v>30</v>
      </c>
      <c r="K910" s="1">
        <v>6</v>
      </c>
      <c r="L910" s="1">
        <v>4</v>
      </c>
      <c r="M910" s="1">
        <v>30</v>
      </c>
      <c r="N910" s="1">
        <v>3</v>
      </c>
      <c r="O910" s="1">
        <v>7</v>
      </c>
      <c r="P910" s="1">
        <v>1</v>
      </c>
      <c r="Q910" s="1">
        <v>7</v>
      </c>
      <c r="R910" s="1">
        <v>7</v>
      </c>
      <c r="S910" s="1">
        <v>0</v>
      </c>
      <c r="T910" s="1">
        <v>0</v>
      </c>
      <c r="U910" s="1">
        <v>0</v>
      </c>
      <c r="V910" s="1">
        <v>1</v>
      </c>
      <c r="W910" s="1">
        <v>0</v>
      </c>
      <c r="X910" s="1">
        <v>0</v>
      </c>
      <c r="Y910" s="1">
        <v>0</v>
      </c>
      <c r="Z910" s="1">
        <v>65</v>
      </c>
      <c r="AA910" s="1" t="str" cm="1">
        <f t="array" ref="AA910">_xlfn.IFS(AND(Z910&lt;36, Z910&gt;23), "24-35", AND(Z910&lt;51, Z910&gt;35),"36-50", AND(Z910&lt;66, Z910&gt;50), "51-66", Z910&gt;65, "66+", TRUE, "?")</f>
        <v>51-66</v>
      </c>
      <c r="AB910" s="1">
        <v>2202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1</v>
      </c>
      <c r="AJ910" s="1">
        <v>0</v>
      </c>
      <c r="AK910" s="1">
        <v>0</v>
      </c>
      <c r="AL910" s="1">
        <v>413</v>
      </c>
      <c r="AM910" s="2">
        <v>42647</v>
      </c>
      <c r="AN910" t="str">
        <f t="shared" si="29"/>
        <v>53863,443,0.00822456974175222,0,1,4,399,4,30,6,4,30,3,7,1,7,7,0,0,0,1,0,0,0,65,51-66,2202,0,0,0,1,0,0,1,0,0,413,42647</v>
      </c>
    </row>
    <row r="911" spans="1:40" ht="13" x14ac:dyDescent="0.15">
      <c r="A911">
        <v>1393</v>
      </c>
      <c r="B911" s="1">
        <v>84460</v>
      </c>
      <c r="C911" s="1">
        <v>442</v>
      </c>
      <c r="D911" s="4">
        <f t="shared" si="28"/>
        <v>5.233246507222354E-3</v>
      </c>
      <c r="E911" s="1">
        <v>0</v>
      </c>
      <c r="F911" s="1">
        <v>0</v>
      </c>
      <c r="G911" s="1">
        <v>80</v>
      </c>
      <c r="H911" s="1">
        <v>152</v>
      </c>
      <c r="I911" s="1">
        <v>27</v>
      </c>
      <c r="J911" s="1">
        <v>103</v>
      </c>
      <c r="K911" s="1">
        <v>106</v>
      </c>
      <c r="L911" s="1">
        <v>54</v>
      </c>
      <c r="M911" s="1">
        <v>81</v>
      </c>
      <c r="N911" s="1">
        <v>0</v>
      </c>
      <c r="O911" s="1">
        <v>9</v>
      </c>
      <c r="P911" s="1">
        <v>9</v>
      </c>
      <c r="Q911" s="1">
        <v>4</v>
      </c>
      <c r="R911" s="1">
        <v>5</v>
      </c>
      <c r="S911" s="1">
        <v>1</v>
      </c>
      <c r="T911" s="1">
        <v>1</v>
      </c>
      <c r="U911" s="1">
        <v>0</v>
      </c>
      <c r="V911" s="1">
        <v>1</v>
      </c>
      <c r="W911" s="1">
        <v>1</v>
      </c>
      <c r="X911" s="1">
        <v>0</v>
      </c>
      <c r="Y911" s="1">
        <v>1</v>
      </c>
      <c r="Z911" s="1">
        <v>62</v>
      </c>
      <c r="AA911" s="1" t="str" cm="1">
        <f t="array" ref="AA911">_xlfn.IFS(AND(Z911&lt;36, Z911&gt;23), "24-35", AND(Z911&lt;51, Z911&gt;35),"36-50", AND(Z911&lt;66, Z911&gt;50), "51-66", Z911&gt;65, "66+", TRUE, "?")</f>
        <v>51-66</v>
      </c>
      <c r="AB911" s="1">
        <v>2700</v>
      </c>
      <c r="AC911" s="1">
        <v>0</v>
      </c>
      <c r="AD911" s="1">
        <v>0</v>
      </c>
      <c r="AE911" s="1">
        <v>0</v>
      </c>
      <c r="AF911" s="1">
        <v>1</v>
      </c>
      <c r="AG911" s="1">
        <v>0</v>
      </c>
      <c r="AH911" s="1">
        <v>0</v>
      </c>
      <c r="AI911" s="1">
        <v>0</v>
      </c>
      <c r="AJ911" s="1">
        <v>0</v>
      </c>
      <c r="AK911" s="1">
        <v>1</v>
      </c>
      <c r="AL911" s="1">
        <v>361</v>
      </c>
      <c r="AM911" s="2">
        <v>42149</v>
      </c>
      <c r="AN911" t="str">
        <f t="shared" si="29"/>
        <v>84460,442,0.00523324650722235,0,0,80,152,27,103,106,54,81,0,9,9,4,5,1,1,0,1,1,0,1,62,51-66,2700,0,0,0,1,0,0,0,0,1,361,42149</v>
      </c>
    </row>
    <row r="912" spans="1:40" ht="13" x14ac:dyDescent="0.15">
      <c r="A912">
        <v>1391</v>
      </c>
      <c r="B912" s="1">
        <v>55521</v>
      </c>
      <c r="C912" s="1">
        <v>442</v>
      </c>
      <c r="D912" s="4">
        <f t="shared" si="28"/>
        <v>7.9609517119648421E-3</v>
      </c>
      <c r="E912" s="1">
        <v>1</v>
      </c>
      <c r="F912" s="1">
        <v>2</v>
      </c>
      <c r="G912" s="1">
        <v>11</v>
      </c>
      <c r="H912" s="1">
        <v>416</v>
      </c>
      <c r="I912" s="1">
        <v>0</v>
      </c>
      <c r="J912" s="1">
        <v>26</v>
      </c>
      <c r="K912" s="1">
        <v>0</v>
      </c>
      <c r="L912" s="1">
        <v>0</v>
      </c>
      <c r="M912" s="1">
        <v>4</v>
      </c>
      <c r="N912" s="1">
        <v>9</v>
      </c>
      <c r="O912" s="1">
        <v>6</v>
      </c>
      <c r="P912" s="1">
        <v>3</v>
      </c>
      <c r="Q912" s="1">
        <v>6</v>
      </c>
      <c r="R912" s="1">
        <v>7</v>
      </c>
      <c r="S912" s="1">
        <v>0</v>
      </c>
      <c r="T912" s="1">
        <v>0</v>
      </c>
      <c r="U912" s="1">
        <v>0</v>
      </c>
      <c r="V912" s="1">
        <v>1</v>
      </c>
      <c r="W912" s="1">
        <v>0</v>
      </c>
      <c r="X912" s="1">
        <v>0</v>
      </c>
      <c r="Y912" s="1">
        <v>1</v>
      </c>
      <c r="Z912" s="1">
        <v>65</v>
      </c>
      <c r="AA912" s="1" t="str" cm="1">
        <f t="array" ref="AA912">_xlfn.IFS(AND(Z912&lt;36, Z912&gt;23), "24-35", AND(Z912&lt;51, Z912&gt;35),"36-50", AND(Z912&lt;66, Z912&gt;50), "51-66", Z912&gt;65, "66+", TRUE, "?")</f>
        <v>51-66</v>
      </c>
      <c r="AB912" s="1">
        <v>2409</v>
      </c>
      <c r="AC912" s="1">
        <v>0</v>
      </c>
      <c r="AD912" s="1">
        <v>0</v>
      </c>
      <c r="AE912" s="1">
        <v>1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1</v>
      </c>
      <c r="AL912" s="1">
        <v>438</v>
      </c>
      <c r="AM912" s="2">
        <v>42440</v>
      </c>
      <c r="AN912" t="str">
        <f t="shared" si="29"/>
        <v>55521,442,0.00796095171196484,1,2,11,416,0,26,0,0,4,9,6,3,6,7,0,0,0,1,0,0,1,65,51-66,2409,0,0,1,0,0,0,0,0,1,438,42440</v>
      </c>
    </row>
    <row r="913" spans="1:40" ht="13" hidden="1" x14ac:dyDescent="0.15">
      <c r="A913">
        <v>1988</v>
      </c>
      <c r="B913" s="1">
        <v>55593</v>
      </c>
      <c r="C913" s="1">
        <v>440</v>
      </c>
      <c r="D913" s="4">
        <f t="shared" si="28"/>
        <v>7.9146655154425909E-3</v>
      </c>
      <c r="E913" s="1">
        <v>0</v>
      </c>
      <c r="F913" s="1">
        <v>1</v>
      </c>
      <c r="G913" s="1">
        <v>63</v>
      </c>
      <c r="H913" s="1">
        <v>293</v>
      </c>
      <c r="I913" s="1">
        <v>8</v>
      </c>
      <c r="J913" s="1">
        <v>124</v>
      </c>
      <c r="K913" s="1">
        <v>11</v>
      </c>
      <c r="L913" s="1">
        <v>4</v>
      </c>
      <c r="M913" s="1">
        <v>106</v>
      </c>
      <c r="N913" s="1">
        <v>2</v>
      </c>
      <c r="O913" s="1">
        <v>6</v>
      </c>
      <c r="P913" s="1">
        <v>6</v>
      </c>
      <c r="Q913" s="1">
        <v>3</v>
      </c>
      <c r="R913" s="1">
        <v>6</v>
      </c>
      <c r="S913" s="1">
        <v>0</v>
      </c>
      <c r="T913" s="1">
        <v>0</v>
      </c>
      <c r="U913" s="1">
        <v>1</v>
      </c>
      <c r="V913" s="1">
        <v>0</v>
      </c>
      <c r="W913" s="1">
        <v>0</v>
      </c>
      <c r="X913" s="1">
        <v>0</v>
      </c>
      <c r="Y913" s="1">
        <v>0</v>
      </c>
      <c r="Z913" s="1">
        <v>47</v>
      </c>
      <c r="AA913" s="1" t="str" cm="1">
        <f t="array" ref="AA913">_xlfn.IFS(AND(Z913&lt;36, Z913&gt;23), "24-35", AND(Z913&lt;51, Z913&gt;35),"36-50", AND(Z913&lt;66, Z913&gt;50), "51-66", Z913&gt;65, "66+", TRUE, "?")</f>
        <v>36-50</v>
      </c>
      <c r="AB913" s="1">
        <v>2471</v>
      </c>
      <c r="AC913" s="1">
        <v>0</v>
      </c>
      <c r="AD913" s="1">
        <v>0</v>
      </c>
      <c r="AE913" s="1">
        <v>0</v>
      </c>
      <c r="AF913" s="1">
        <v>1</v>
      </c>
      <c r="AG913" s="1">
        <v>0</v>
      </c>
      <c r="AH913" s="1">
        <v>0</v>
      </c>
      <c r="AI913" s="1">
        <v>1</v>
      </c>
      <c r="AJ913" s="1">
        <v>0</v>
      </c>
      <c r="AK913" s="1">
        <v>0</v>
      </c>
      <c r="AL913" s="1">
        <v>334</v>
      </c>
      <c r="AM913" s="2">
        <v>42378</v>
      </c>
      <c r="AN913" t="str">
        <f t="shared" si="29"/>
        <v>55593,440,0.00791466551544259,0,1,63,293,8,124,11,4,106,2,6,6,3,6,0,0,1,0,0,0,0,47,36-50,2471,0,0,0,1,0,0,1,0,0,334,42378</v>
      </c>
    </row>
    <row r="914" spans="1:40" ht="13" hidden="1" x14ac:dyDescent="0.15">
      <c r="A914">
        <v>448</v>
      </c>
      <c r="B914" s="1">
        <v>62010</v>
      </c>
      <c r="C914" s="1">
        <v>438</v>
      </c>
      <c r="D914" s="4">
        <f t="shared" si="28"/>
        <v>7.0633768746976291E-3</v>
      </c>
      <c r="E914" s="1">
        <v>0</v>
      </c>
      <c r="F914" s="1">
        <v>1</v>
      </c>
      <c r="G914" s="1">
        <v>93</v>
      </c>
      <c r="H914" s="1">
        <v>371</v>
      </c>
      <c r="I914" s="1">
        <v>22</v>
      </c>
      <c r="J914" s="1">
        <v>39</v>
      </c>
      <c r="K914" s="1">
        <v>6</v>
      </c>
      <c r="L914" s="1">
        <v>0</v>
      </c>
      <c r="M914" s="1">
        <v>92</v>
      </c>
      <c r="N914" s="1">
        <v>4</v>
      </c>
      <c r="O914" s="1">
        <v>6</v>
      </c>
      <c r="P914" s="1">
        <v>2</v>
      </c>
      <c r="Q914" s="1">
        <v>7</v>
      </c>
      <c r="R914" s="1">
        <v>5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48</v>
      </c>
      <c r="AA914" s="1" t="str" cm="1">
        <f t="array" ref="AA914">_xlfn.IFS(AND(Z914&lt;36, Z914&gt;23), "24-35", AND(Z914&lt;51, Z914&gt;35),"36-50", AND(Z914&lt;66, Z914&gt;50), "51-66", Z914&gt;65, "66+", TRUE, "?")</f>
        <v>36-50</v>
      </c>
      <c r="AB914" s="1">
        <v>2773</v>
      </c>
      <c r="AC914" s="1">
        <v>0</v>
      </c>
      <c r="AD914" s="1">
        <v>1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1</v>
      </c>
      <c r="AL914" s="1">
        <v>346</v>
      </c>
      <c r="AM914" s="2">
        <v>42076</v>
      </c>
      <c r="AN914" t="str">
        <f t="shared" si="29"/>
        <v>62010,438,0.00706337687469763,0,1,93,371,22,39,6,0,92,4,6,2,7,5,0,0,0,0,0,0,0,48,36-50,2773,0,1,0,0,0,0,0,0,1,346,42076</v>
      </c>
    </row>
    <row r="915" spans="1:40" ht="13" hidden="1" x14ac:dyDescent="0.15">
      <c r="A915">
        <v>1202</v>
      </c>
      <c r="B915" s="1">
        <v>39767</v>
      </c>
      <c r="C915" s="1">
        <v>438</v>
      </c>
      <c r="D915" s="4">
        <f t="shared" si="28"/>
        <v>1.1014157467246712E-2</v>
      </c>
      <c r="E915" s="1">
        <v>0</v>
      </c>
      <c r="F915" s="1">
        <v>0</v>
      </c>
      <c r="G915" s="1">
        <v>18</v>
      </c>
      <c r="H915" s="1">
        <v>113</v>
      </c>
      <c r="I915" s="1">
        <v>61</v>
      </c>
      <c r="J915" s="1">
        <v>204</v>
      </c>
      <c r="K915" s="1">
        <v>34</v>
      </c>
      <c r="L915" s="1">
        <v>26</v>
      </c>
      <c r="M915" s="1">
        <v>47</v>
      </c>
      <c r="N915" s="1">
        <v>2</v>
      </c>
      <c r="O915" s="1">
        <v>7</v>
      </c>
      <c r="P915" s="1">
        <v>1</v>
      </c>
      <c r="Q915" s="1">
        <v>7</v>
      </c>
      <c r="R915" s="1">
        <v>8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69</v>
      </c>
      <c r="AA915" s="1" t="str" cm="1">
        <f t="array" ref="AA915">_xlfn.IFS(AND(Z915&lt;36, Z915&gt;23), "24-35", AND(Z915&lt;51, Z915&gt;35),"36-50", AND(Z915&lt;66, Z915&gt;50), "51-66", Z915&gt;65, "66+", TRUE, "?")</f>
        <v>66+</v>
      </c>
      <c r="AB915" s="1">
        <v>2502</v>
      </c>
      <c r="AC915" s="1">
        <v>0</v>
      </c>
      <c r="AD915" s="1">
        <v>0</v>
      </c>
      <c r="AE915" s="1">
        <v>0</v>
      </c>
      <c r="AF915" s="1">
        <v>1</v>
      </c>
      <c r="AG915" s="1">
        <v>0</v>
      </c>
      <c r="AH915" s="1">
        <v>0</v>
      </c>
      <c r="AI915" s="1">
        <v>0</v>
      </c>
      <c r="AJ915" s="1">
        <v>1</v>
      </c>
      <c r="AK915" s="1">
        <v>0</v>
      </c>
      <c r="AL915" s="1">
        <v>391</v>
      </c>
      <c r="AM915" s="2">
        <v>42347</v>
      </c>
      <c r="AN915" t="str">
        <f t="shared" si="29"/>
        <v>39767,438,0.0110141574672467,0,0,18,113,61,204,34,26,47,2,7,1,7,8,0,0,0,0,0,0,0,69,66+,2502,0,0,0,1,0,0,0,1,0,391,42347</v>
      </c>
    </row>
    <row r="916" spans="1:40" ht="13" hidden="1" x14ac:dyDescent="0.15">
      <c r="A916">
        <v>1720</v>
      </c>
      <c r="B916" s="1">
        <v>52413</v>
      </c>
      <c r="C916" s="1">
        <v>438</v>
      </c>
      <c r="D916" s="4">
        <f t="shared" si="28"/>
        <v>8.3567053975158838E-3</v>
      </c>
      <c r="E916" s="1">
        <v>1</v>
      </c>
      <c r="F916" s="1">
        <v>0</v>
      </c>
      <c r="G916" s="1">
        <v>67</v>
      </c>
      <c r="H916" s="1">
        <v>185</v>
      </c>
      <c r="I916" s="1">
        <v>8</v>
      </c>
      <c r="J916" s="1">
        <v>133</v>
      </c>
      <c r="K916" s="1">
        <v>56</v>
      </c>
      <c r="L916" s="1">
        <v>56</v>
      </c>
      <c r="M916" s="1">
        <v>12</v>
      </c>
      <c r="N916" s="1">
        <v>2</v>
      </c>
      <c r="O916" s="1">
        <v>7</v>
      </c>
      <c r="P916" s="1">
        <v>1</v>
      </c>
      <c r="Q916" s="1">
        <v>7</v>
      </c>
      <c r="R916" s="1">
        <v>7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36</v>
      </c>
      <c r="AA916" s="1" t="str" cm="1">
        <f t="array" ref="AA916">_xlfn.IFS(AND(Z916&lt;36, Z916&gt;23), "24-35", AND(Z916&lt;51, Z916&gt;35),"36-50", AND(Z916&lt;66, Z916&gt;50), "51-66", Z916&gt;65, "66+", TRUE, "?")</f>
        <v>36-50</v>
      </c>
      <c r="AB916" s="1">
        <v>2762</v>
      </c>
      <c r="AC916" s="1">
        <v>0</v>
      </c>
      <c r="AD916" s="1">
        <v>0</v>
      </c>
      <c r="AE916" s="1">
        <v>1</v>
      </c>
      <c r="AF916" s="1">
        <v>0</v>
      </c>
      <c r="AG916" s="1">
        <v>0</v>
      </c>
      <c r="AH916" s="1">
        <v>0</v>
      </c>
      <c r="AI916" s="1">
        <v>1</v>
      </c>
      <c r="AJ916" s="1">
        <v>0</v>
      </c>
      <c r="AK916" s="1">
        <v>0</v>
      </c>
      <c r="AL916" s="1">
        <v>426</v>
      </c>
      <c r="AM916" s="2">
        <v>42087</v>
      </c>
      <c r="AN916" t="str">
        <f t="shared" si="29"/>
        <v>52413,438,0.00835670539751588,1,0,67,185,8,133,56,56,12,2,7,1,7,7,0,0,0,0,0,0,0,36,36-50,2762,0,0,1,0,0,0,1,0,0,426,42087</v>
      </c>
    </row>
    <row r="917" spans="1:40" ht="13" hidden="1" x14ac:dyDescent="0.15">
      <c r="A917">
        <v>684</v>
      </c>
      <c r="B917" s="1">
        <v>53593</v>
      </c>
      <c r="C917" s="1">
        <v>437</v>
      </c>
      <c r="D917" s="4">
        <f t="shared" si="28"/>
        <v>8.1540499692123979E-3</v>
      </c>
      <c r="E917" s="1">
        <v>1</v>
      </c>
      <c r="F917" s="1">
        <v>1</v>
      </c>
      <c r="G917" s="1">
        <v>60</v>
      </c>
      <c r="H917" s="1">
        <v>349</v>
      </c>
      <c r="I917" s="1">
        <v>4</v>
      </c>
      <c r="J917" s="1">
        <v>78</v>
      </c>
      <c r="K917" s="1">
        <v>6</v>
      </c>
      <c r="L917" s="1">
        <v>0</v>
      </c>
      <c r="M917" s="1">
        <v>43</v>
      </c>
      <c r="N917" s="1">
        <v>8</v>
      </c>
      <c r="O917" s="1">
        <v>7</v>
      </c>
      <c r="P917" s="1">
        <v>2</v>
      </c>
      <c r="Q917" s="1">
        <v>6</v>
      </c>
      <c r="R917" s="1">
        <v>8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67</v>
      </c>
      <c r="AA917" s="1" t="str" cm="1">
        <f t="array" ref="AA917">_xlfn.IFS(AND(Z917&lt;36, Z917&gt;23), "24-35", AND(Z917&lt;51, Z917&gt;35),"36-50", AND(Z917&lt;66, Z917&gt;50), "51-66", Z917&gt;65, "66+", TRUE, "?")</f>
        <v>66+</v>
      </c>
      <c r="AB917" s="1">
        <v>2850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0</v>
      </c>
      <c r="AJ917" s="1">
        <v>0</v>
      </c>
      <c r="AK917" s="1">
        <v>1</v>
      </c>
      <c r="AL917" s="1">
        <v>394</v>
      </c>
      <c r="AM917" s="2">
        <v>41999</v>
      </c>
      <c r="AN917" t="str">
        <f t="shared" si="29"/>
        <v>53593,437,0.0081540499692124,1,1,60,349,4,78,6,0,43,8,7,2,6,8,0,0,0,0,0,0,0,67,66+,2850,0,0,0,1,0,0,0,0,1,394,41999</v>
      </c>
    </row>
    <row r="918" spans="1:40" ht="13" hidden="1" x14ac:dyDescent="0.15">
      <c r="A918">
        <v>756</v>
      </c>
      <c r="B918" s="1">
        <v>49681</v>
      </c>
      <c r="C918" s="1">
        <v>437</v>
      </c>
      <c r="D918" s="4">
        <f t="shared" si="28"/>
        <v>8.7961192407560226E-3</v>
      </c>
      <c r="E918" s="1">
        <v>0</v>
      </c>
      <c r="F918" s="1">
        <v>2</v>
      </c>
      <c r="G918" s="1">
        <v>66</v>
      </c>
      <c r="H918" s="1">
        <v>411</v>
      </c>
      <c r="I918" s="1">
        <v>0</v>
      </c>
      <c r="J918" s="1">
        <v>26</v>
      </c>
      <c r="K918" s="1">
        <v>0</v>
      </c>
      <c r="L918" s="1">
        <v>0</v>
      </c>
      <c r="M918" s="1">
        <v>21</v>
      </c>
      <c r="N918" s="1">
        <v>6</v>
      </c>
      <c r="O918" s="1">
        <v>7</v>
      </c>
      <c r="P918" s="1">
        <v>1</v>
      </c>
      <c r="Q918" s="1">
        <v>7</v>
      </c>
      <c r="R918" s="1">
        <v>7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44</v>
      </c>
      <c r="AA918" s="1" t="str" cm="1">
        <f t="array" ref="AA918">_xlfn.IFS(AND(Z918&lt;36, Z918&gt;23), "24-35", AND(Z918&lt;51, Z918&gt;35),"36-50", AND(Z918&lt;66, Z918&gt;50), "51-66", Z918&gt;65, "66+", TRUE, "?")</f>
        <v>36-50</v>
      </c>
      <c r="AB918" s="1">
        <v>2396</v>
      </c>
      <c r="AC918" s="1">
        <v>0</v>
      </c>
      <c r="AD918" s="1">
        <v>1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1</v>
      </c>
      <c r="AK918" s="1">
        <v>0</v>
      </c>
      <c r="AL918" s="1">
        <v>416</v>
      </c>
      <c r="AM918" s="2">
        <v>42453</v>
      </c>
      <c r="AN918" t="str">
        <f t="shared" si="29"/>
        <v>49681,437,0.00879611924075602,0,2,66,411,0,26,0,0,21,6,7,1,7,7,0,0,0,0,0,0,0,44,36-50,2396,0,1,0,0,0,0,0,1,0,416,42453</v>
      </c>
    </row>
    <row r="919" spans="1:40" ht="13" hidden="1" x14ac:dyDescent="0.15">
      <c r="A919">
        <v>1310</v>
      </c>
      <c r="B919" s="1">
        <v>57045</v>
      </c>
      <c r="C919" s="1">
        <v>437</v>
      </c>
      <c r="D919" s="4">
        <f t="shared" si="28"/>
        <v>7.6606188097116312E-3</v>
      </c>
      <c r="E919" s="1">
        <v>0</v>
      </c>
      <c r="F919" s="1">
        <v>1</v>
      </c>
      <c r="G919" s="1">
        <v>40</v>
      </c>
      <c r="H919" s="1">
        <v>296</v>
      </c>
      <c r="I919" s="1">
        <v>13</v>
      </c>
      <c r="J919" s="1">
        <v>104</v>
      </c>
      <c r="K919" s="1">
        <v>11</v>
      </c>
      <c r="L919" s="1">
        <v>13</v>
      </c>
      <c r="M919" s="1">
        <v>17</v>
      </c>
      <c r="N919" s="1">
        <v>3</v>
      </c>
      <c r="O919" s="1">
        <v>4</v>
      </c>
      <c r="P919" s="1">
        <v>2</v>
      </c>
      <c r="Q919" s="1">
        <v>9</v>
      </c>
      <c r="R919" s="1">
        <v>3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70</v>
      </c>
      <c r="AA919" s="1" t="str" cm="1">
        <f t="array" ref="AA919">_xlfn.IFS(AND(Z919&lt;36, Z919&gt;23), "24-35", AND(Z919&lt;51, Z919&gt;35),"36-50", AND(Z919&lt;66, Z919&gt;50), "51-66", Z919&gt;65, "66+", TRUE, "?")</f>
        <v>66+</v>
      </c>
      <c r="AB919" s="1">
        <v>2818</v>
      </c>
      <c r="AC919" s="1">
        <v>0</v>
      </c>
      <c r="AD919" s="1">
        <v>1</v>
      </c>
      <c r="AE919" s="1">
        <v>0</v>
      </c>
      <c r="AF919" s="1">
        <v>0</v>
      </c>
      <c r="AG919" s="1">
        <v>0</v>
      </c>
      <c r="AH919" s="1">
        <v>0</v>
      </c>
      <c r="AI919" s="1">
        <v>1</v>
      </c>
      <c r="AJ919" s="1">
        <v>0</v>
      </c>
      <c r="AK919" s="1">
        <v>0</v>
      </c>
      <c r="AL919" s="1">
        <v>420</v>
      </c>
      <c r="AM919" s="2">
        <v>42031</v>
      </c>
      <c r="AN919" t="str">
        <f t="shared" si="29"/>
        <v>57045,437,0.00766061880971163,0,1,40,296,13,104,11,13,17,3,4,2,9,3,0,0,0,0,0,0,0,70,66+,2818,0,1,0,0,0,0,1,0,0,420,42031</v>
      </c>
    </row>
    <row r="920" spans="1:40" ht="13" hidden="1" x14ac:dyDescent="0.15">
      <c r="A920">
        <v>1377</v>
      </c>
      <c r="B920" s="1">
        <v>64014</v>
      </c>
      <c r="C920" s="1">
        <v>436</v>
      </c>
      <c r="D920" s="4">
        <f t="shared" si="28"/>
        <v>6.8110100915424751E-3</v>
      </c>
      <c r="E920" s="1">
        <v>2</v>
      </c>
      <c r="F920" s="1">
        <v>1</v>
      </c>
      <c r="G920" s="1">
        <v>56</v>
      </c>
      <c r="H920" s="1">
        <v>406</v>
      </c>
      <c r="I920" s="1">
        <v>0</v>
      </c>
      <c r="J920" s="1">
        <v>30</v>
      </c>
      <c r="K920" s="1">
        <v>0</v>
      </c>
      <c r="L920" s="1">
        <v>0</v>
      </c>
      <c r="M920" s="1">
        <v>8</v>
      </c>
      <c r="N920" s="1">
        <v>7</v>
      </c>
      <c r="O920" s="1">
        <v>8</v>
      </c>
      <c r="P920" s="1">
        <v>2</v>
      </c>
      <c r="Q920" s="1">
        <v>5</v>
      </c>
      <c r="R920" s="1">
        <v>7</v>
      </c>
      <c r="S920" s="1">
        <v>1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74</v>
      </c>
      <c r="AA920" s="1" t="str" cm="1">
        <f t="array" ref="AA920">_xlfn.IFS(AND(Z920&lt;36, Z920&gt;23), "24-35", AND(Z920&lt;51, Z920&gt;35),"36-50", AND(Z920&lt;66, Z920&gt;50), "51-66", Z920&gt;65, "66+", TRUE, "?")</f>
        <v>66+</v>
      </c>
      <c r="AB920" s="1">
        <v>2178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0</v>
      </c>
      <c r="AJ920" s="1">
        <v>0</v>
      </c>
      <c r="AK920" s="1">
        <v>1</v>
      </c>
      <c r="AL920" s="1">
        <v>428</v>
      </c>
      <c r="AM920" s="2">
        <v>42671</v>
      </c>
      <c r="AN920" t="str">
        <f t="shared" si="29"/>
        <v>64014,436,0.00681101009154248,2,1,56,406,0,30,0,0,8,7,8,2,5,7,1,0,0,0,0,0,0,74,66+,2178,0,0,0,1,0,0,0,0,1,428,42671</v>
      </c>
    </row>
    <row r="921" spans="1:40" ht="13" hidden="1" x14ac:dyDescent="0.15">
      <c r="A921">
        <v>1491</v>
      </c>
      <c r="B921" s="1">
        <v>50664</v>
      </c>
      <c r="C921" s="1">
        <v>435</v>
      </c>
      <c r="D921" s="4">
        <f t="shared" si="28"/>
        <v>8.5859782093794402E-3</v>
      </c>
      <c r="E921" s="1">
        <v>1</v>
      </c>
      <c r="F921" s="1">
        <v>1</v>
      </c>
      <c r="G921" s="1">
        <v>64</v>
      </c>
      <c r="H921" s="1">
        <v>313</v>
      </c>
      <c r="I921" s="1">
        <v>8</v>
      </c>
      <c r="J921" s="1">
        <v>104</v>
      </c>
      <c r="K921" s="1">
        <v>6</v>
      </c>
      <c r="L921" s="1">
        <v>4</v>
      </c>
      <c r="M921" s="1">
        <v>126</v>
      </c>
      <c r="N921" s="1">
        <v>9</v>
      </c>
      <c r="O921" s="1">
        <v>8</v>
      </c>
      <c r="P921" s="1">
        <v>1</v>
      </c>
      <c r="Q921" s="1">
        <v>6</v>
      </c>
      <c r="R921" s="1">
        <v>9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61</v>
      </c>
      <c r="AA921" s="1" t="str" cm="1">
        <f t="array" ref="AA921">_xlfn.IFS(AND(Z921&lt;36, Z921&gt;23), "24-35", AND(Z921&lt;51, Z921&gt;35),"36-50", AND(Z921&lt;66, Z921&gt;50), "51-66", Z921&gt;65, "66+", TRUE, "?")</f>
        <v>51-66</v>
      </c>
      <c r="AB921" s="1">
        <v>2688</v>
      </c>
      <c r="AC921" s="1">
        <v>0</v>
      </c>
      <c r="AD921" s="1">
        <v>0</v>
      </c>
      <c r="AE921" s="1">
        <v>1</v>
      </c>
      <c r="AF921" s="1">
        <v>0</v>
      </c>
      <c r="AG921" s="1">
        <v>0</v>
      </c>
      <c r="AH921" s="1">
        <v>0</v>
      </c>
      <c r="AI921" s="1">
        <v>1</v>
      </c>
      <c r="AJ921" s="1">
        <v>0</v>
      </c>
      <c r="AK921" s="1">
        <v>0</v>
      </c>
      <c r="AL921" s="1">
        <v>309</v>
      </c>
      <c r="AM921" s="2">
        <v>42161</v>
      </c>
      <c r="AN921" t="str">
        <f t="shared" si="29"/>
        <v>50664,435,0.00858597820937944,1,1,64,313,8,104,6,4,126,9,8,1,6,9,0,0,0,0,0,0,0,61,51-66,2688,0,0,1,0,0,0,1,0,0,309,42161</v>
      </c>
    </row>
    <row r="922" spans="1:40" ht="13" x14ac:dyDescent="0.15">
      <c r="A922">
        <v>1401</v>
      </c>
      <c r="B922" s="1">
        <v>51569</v>
      </c>
      <c r="C922" s="1">
        <v>433</v>
      </c>
      <c r="D922" s="4">
        <f t="shared" si="28"/>
        <v>8.3965172875176946E-3</v>
      </c>
      <c r="E922" s="1">
        <v>0</v>
      </c>
      <c r="F922" s="1">
        <v>1</v>
      </c>
      <c r="G922" s="1">
        <v>39</v>
      </c>
      <c r="H922" s="1">
        <v>380</v>
      </c>
      <c r="I922" s="1">
        <v>0</v>
      </c>
      <c r="J922" s="1">
        <v>47</v>
      </c>
      <c r="K922" s="1">
        <v>6</v>
      </c>
      <c r="L922" s="1">
        <v>0</v>
      </c>
      <c r="M922" s="1">
        <v>34</v>
      </c>
      <c r="N922" s="1">
        <v>4</v>
      </c>
      <c r="O922" s="1">
        <v>7</v>
      </c>
      <c r="P922" s="1">
        <v>1</v>
      </c>
      <c r="Q922" s="1">
        <v>7</v>
      </c>
      <c r="R922" s="1">
        <v>8</v>
      </c>
      <c r="S922" s="1">
        <v>0</v>
      </c>
      <c r="T922" s="1">
        <v>0</v>
      </c>
      <c r="U922" s="1">
        <v>0</v>
      </c>
      <c r="V922" s="1">
        <v>1</v>
      </c>
      <c r="W922" s="1">
        <v>0</v>
      </c>
      <c r="X922" s="1">
        <v>0</v>
      </c>
      <c r="Y922" s="1">
        <v>1</v>
      </c>
      <c r="Z922" s="1">
        <v>71</v>
      </c>
      <c r="AA922" s="1" t="str" cm="1">
        <f t="array" ref="AA922">_xlfn.IFS(AND(Z922&lt;36, Z922&gt;23), "24-35", AND(Z922&lt;51, Z922&gt;35),"36-50", AND(Z922&lt;66, Z922&gt;50), "51-66", Z922&gt;65, "66+", TRUE, "?")</f>
        <v>66+</v>
      </c>
      <c r="AB922" s="1">
        <v>2661</v>
      </c>
      <c r="AC922" s="1">
        <v>0</v>
      </c>
      <c r="AD922" s="1">
        <v>0</v>
      </c>
      <c r="AE922" s="1">
        <v>0</v>
      </c>
      <c r="AF922" s="1">
        <v>0</v>
      </c>
      <c r="AG922" s="1">
        <v>1</v>
      </c>
      <c r="AH922" s="1">
        <v>0</v>
      </c>
      <c r="AI922" s="1">
        <v>0</v>
      </c>
      <c r="AJ922" s="1">
        <v>0</v>
      </c>
      <c r="AK922" s="1">
        <v>1</v>
      </c>
      <c r="AL922" s="1">
        <v>399</v>
      </c>
      <c r="AM922" s="2">
        <v>42188</v>
      </c>
      <c r="AN922" t="str">
        <f t="shared" si="29"/>
        <v>51569,433,0.00839651728751769,0,1,39,380,0,47,6,0,34,4,7,1,7,8,0,0,0,1,0,0,1,71,66+,2661,0,0,0,0,1,0,0,0,1,399,42188</v>
      </c>
    </row>
    <row r="923" spans="1:40" ht="13" hidden="1" x14ac:dyDescent="0.15">
      <c r="A923">
        <v>1632</v>
      </c>
      <c r="B923" s="1">
        <v>49094</v>
      </c>
      <c r="C923" s="1">
        <v>433</v>
      </c>
      <c r="D923" s="4">
        <f t="shared" si="28"/>
        <v>8.8198150486821208E-3</v>
      </c>
      <c r="E923" s="1">
        <v>0</v>
      </c>
      <c r="F923" s="1">
        <v>1</v>
      </c>
      <c r="G923" s="1">
        <v>6</v>
      </c>
      <c r="H923" s="1">
        <v>376</v>
      </c>
      <c r="I923" s="1">
        <v>0</v>
      </c>
      <c r="J923" s="1">
        <v>38</v>
      </c>
      <c r="K923" s="1">
        <v>11</v>
      </c>
      <c r="L923" s="1">
        <v>8</v>
      </c>
      <c r="M923" s="1">
        <v>69</v>
      </c>
      <c r="N923" s="1">
        <v>5</v>
      </c>
      <c r="O923" s="1">
        <v>6</v>
      </c>
      <c r="P923" s="1">
        <v>3</v>
      </c>
      <c r="Q923" s="1">
        <v>6</v>
      </c>
      <c r="R923" s="1">
        <v>6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47</v>
      </c>
      <c r="AA923" s="1" t="str" cm="1">
        <f t="array" ref="AA923">_xlfn.IFS(AND(Z923&lt;36, Z923&gt;23), "24-35", AND(Z923&lt;51, Z923&gt;35),"36-50", AND(Z923&lt;66, Z923&gt;50), "51-66", Z923&gt;65, "66+", TRUE, "?")</f>
        <v>36-50</v>
      </c>
      <c r="AB923" s="1">
        <v>2805</v>
      </c>
      <c r="AC923" s="1">
        <v>0</v>
      </c>
      <c r="AD923" s="1">
        <v>1</v>
      </c>
      <c r="AE923" s="1">
        <v>0</v>
      </c>
      <c r="AF923" s="1">
        <v>0</v>
      </c>
      <c r="AG923" s="1">
        <v>0</v>
      </c>
      <c r="AH923" s="1">
        <v>0</v>
      </c>
      <c r="AI923" s="1">
        <v>1</v>
      </c>
      <c r="AJ923" s="1">
        <v>0</v>
      </c>
      <c r="AK923" s="1">
        <v>0</v>
      </c>
      <c r="AL923" s="1">
        <v>364</v>
      </c>
      <c r="AM923" s="2">
        <v>42044</v>
      </c>
      <c r="AN923" t="str">
        <f t="shared" si="29"/>
        <v>49094,433,0.00881981504868212,0,1,6,376,0,38,11,8,69,5,6,3,6,6,0,0,0,0,0,0,0,47,36-50,2805,0,1,0,0,0,0,1,0,0,364,42044</v>
      </c>
    </row>
    <row r="924" spans="1:40" ht="13" hidden="1" x14ac:dyDescent="0.15">
      <c r="A924">
        <v>1625</v>
      </c>
      <c r="B924" s="1">
        <v>65370</v>
      </c>
      <c r="C924" s="1">
        <v>432</v>
      </c>
      <c r="D924" s="4">
        <f t="shared" si="28"/>
        <v>6.6085360256998623E-3</v>
      </c>
      <c r="E924" s="1">
        <v>0</v>
      </c>
      <c r="F924" s="1">
        <v>0</v>
      </c>
      <c r="G924" s="1">
        <v>1</v>
      </c>
      <c r="H924" s="1">
        <v>71</v>
      </c>
      <c r="I924" s="1">
        <v>22</v>
      </c>
      <c r="J924" s="1">
        <v>112</v>
      </c>
      <c r="K924" s="1">
        <v>138</v>
      </c>
      <c r="L924" s="1">
        <v>89</v>
      </c>
      <c r="M924" s="1">
        <v>29</v>
      </c>
      <c r="N924" s="1">
        <v>1</v>
      </c>
      <c r="O924" s="1">
        <v>2</v>
      </c>
      <c r="P924" s="1">
        <v>3</v>
      </c>
      <c r="Q924" s="1">
        <v>13</v>
      </c>
      <c r="R924" s="1">
        <v>1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36</v>
      </c>
      <c r="AA924" s="1" t="str" cm="1">
        <f t="array" ref="AA924">_xlfn.IFS(AND(Z924&lt;36, Z924&gt;23), "24-35", AND(Z924&lt;51, Z924&gt;35),"36-50", AND(Z924&lt;66, Z924&gt;50), "51-66", Z924&gt;65, "66+", TRUE, "?")</f>
        <v>36-50</v>
      </c>
      <c r="AB924" s="1">
        <v>2491</v>
      </c>
      <c r="AC924" s="1">
        <v>0</v>
      </c>
      <c r="AD924" s="1">
        <v>1</v>
      </c>
      <c r="AE924" s="1">
        <v>0</v>
      </c>
      <c r="AF924" s="1">
        <v>0</v>
      </c>
      <c r="AG924" s="1">
        <v>0</v>
      </c>
      <c r="AH924" s="1">
        <v>1</v>
      </c>
      <c r="AI924" s="1">
        <v>0</v>
      </c>
      <c r="AJ924" s="1">
        <v>0</v>
      </c>
      <c r="AK924" s="1">
        <v>0</v>
      </c>
      <c r="AL924" s="1">
        <v>403</v>
      </c>
      <c r="AM924" s="2">
        <v>42358</v>
      </c>
      <c r="AN924" t="str">
        <f t="shared" si="29"/>
        <v>65370,432,0.00660853602569986,0,0,1,71,22,112,138,89,29,1,2,3,13,1,0,0,0,0,0,0,0,36,36-50,2491,0,1,0,0,0,1,0,0,0,403,42358</v>
      </c>
    </row>
    <row r="925" spans="1:40" ht="13" hidden="1" x14ac:dyDescent="0.15">
      <c r="A925">
        <v>1870</v>
      </c>
      <c r="B925" s="1">
        <v>55801</v>
      </c>
      <c r="C925" s="1">
        <v>432</v>
      </c>
      <c r="D925" s="4">
        <f t="shared" si="28"/>
        <v>7.7417967419938713E-3</v>
      </c>
      <c r="E925" s="1">
        <v>1</v>
      </c>
      <c r="F925" s="1">
        <v>1</v>
      </c>
      <c r="G925" s="1">
        <v>35</v>
      </c>
      <c r="H925" s="1">
        <v>367</v>
      </c>
      <c r="I925" s="1">
        <v>4</v>
      </c>
      <c r="J925" s="1">
        <v>51</v>
      </c>
      <c r="K925" s="1">
        <v>6</v>
      </c>
      <c r="L925" s="1">
        <v>4</v>
      </c>
      <c r="M925" s="1">
        <v>95</v>
      </c>
      <c r="N925" s="1">
        <v>6</v>
      </c>
      <c r="O925" s="1">
        <v>7</v>
      </c>
      <c r="P925" s="1">
        <v>2</v>
      </c>
      <c r="Q925" s="1">
        <v>6</v>
      </c>
      <c r="R925" s="1">
        <v>7</v>
      </c>
      <c r="S925" s="1">
        <v>1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45</v>
      </c>
      <c r="AA925" s="1" t="str" cm="1">
        <f t="array" ref="AA925">_xlfn.IFS(AND(Z925&lt;36, Z925&gt;23), "24-35", AND(Z925&lt;51, Z925&gt;35),"36-50", AND(Z925&lt;66, Z925&gt;50), "51-66", Z925&gt;65, "66+", TRUE, "?")</f>
        <v>36-50</v>
      </c>
      <c r="AB925" s="1">
        <v>2439</v>
      </c>
      <c r="AC925" s="1">
        <v>0</v>
      </c>
      <c r="AD925" s="1">
        <v>0</v>
      </c>
      <c r="AE925" s="1">
        <v>1</v>
      </c>
      <c r="AF925" s="1">
        <v>0</v>
      </c>
      <c r="AG925" s="1">
        <v>0</v>
      </c>
      <c r="AH925" s="1">
        <v>0</v>
      </c>
      <c r="AI925" s="1">
        <v>1</v>
      </c>
      <c r="AJ925" s="1">
        <v>0</v>
      </c>
      <c r="AK925" s="1">
        <v>0</v>
      </c>
      <c r="AL925" s="1">
        <v>337</v>
      </c>
      <c r="AM925" s="2">
        <v>42410</v>
      </c>
      <c r="AN925" t="str">
        <f t="shared" si="29"/>
        <v>55801,432,0.00774179674199387,1,1,35,367,4,51,6,4,95,6,7,2,6,7,1,0,0,0,0,0,0,45,36-50,2439,0,0,1,0,0,0,1,0,0,337,42410</v>
      </c>
    </row>
    <row r="926" spans="1:40" ht="13" hidden="1" x14ac:dyDescent="0.15">
      <c r="A926">
        <v>338</v>
      </c>
      <c r="B926" s="1">
        <v>51479</v>
      </c>
      <c r="C926" s="1">
        <v>429</v>
      </c>
      <c r="D926" s="4">
        <f t="shared" si="28"/>
        <v>8.3334952116396969E-3</v>
      </c>
      <c r="E926" s="1">
        <v>1</v>
      </c>
      <c r="F926" s="1">
        <v>1</v>
      </c>
      <c r="G926" s="1">
        <v>67</v>
      </c>
      <c r="H926" s="1">
        <v>247</v>
      </c>
      <c r="I926" s="1">
        <v>8</v>
      </c>
      <c r="J926" s="1">
        <v>160</v>
      </c>
      <c r="K926" s="1">
        <v>6</v>
      </c>
      <c r="L926" s="1">
        <v>8</v>
      </c>
      <c r="M926" s="1">
        <v>65</v>
      </c>
      <c r="N926" s="1">
        <v>7</v>
      </c>
      <c r="O926" s="1">
        <v>6</v>
      </c>
      <c r="P926" s="1">
        <v>3</v>
      </c>
      <c r="Q926" s="1">
        <v>6</v>
      </c>
      <c r="R926" s="1">
        <v>7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53</v>
      </c>
      <c r="AA926" s="1" t="str" cm="1">
        <f t="array" ref="AA926">_xlfn.IFS(AND(Z926&lt;36, Z926&gt;23), "24-35", AND(Z926&lt;51, Z926&gt;35),"36-50", AND(Z926&lt;66, Z926&gt;50), "51-66", Z926&gt;65, "66+", TRUE, "?")</f>
        <v>51-66</v>
      </c>
      <c r="AB926" s="1">
        <v>2707</v>
      </c>
      <c r="AC926" s="1">
        <v>0</v>
      </c>
      <c r="AD926" s="1">
        <v>1</v>
      </c>
      <c r="AE926" s="1">
        <v>0</v>
      </c>
      <c r="AF926" s="1">
        <v>0</v>
      </c>
      <c r="AG926" s="1">
        <v>0</v>
      </c>
      <c r="AH926" s="1">
        <v>0</v>
      </c>
      <c r="AI926" s="1">
        <v>1</v>
      </c>
      <c r="AJ926" s="1">
        <v>0</v>
      </c>
      <c r="AK926" s="1">
        <v>0</v>
      </c>
      <c r="AL926" s="1">
        <v>364</v>
      </c>
      <c r="AM926" s="2">
        <v>42142</v>
      </c>
      <c r="AN926" t="str">
        <f t="shared" si="29"/>
        <v>51479,429,0.0083334952116397,1,1,67,247,8,160,6,8,65,7,6,3,6,7,0,0,0,0,0,0,0,53,51-66,2707,0,1,0,0,0,0,1,0,0,364,42142</v>
      </c>
    </row>
    <row r="927" spans="1:40" ht="13" x14ac:dyDescent="0.15">
      <c r="A927">
        <v>1405</v>
      </c>
      <c r="B927" s="1">
        <v>46374</v>
      </c>
      <c r="C927" s="1">
        <v>429</v>
      </c>
      <c r="D927" s="4">
        <f t="shared" si="28"/>
        <v>9.250873334195886E-3</v>
      </c>
      <c r="E927" s="1">
        <v>0</v>
      </c>
      <c r="F927" s="1">
        <v>1</v>
      </c>
      <c r="G927" s="1">
        <v>1</v>
      </c>
      <c r="H927" s="1">
        <v>408</v>
      </c>
      <c r="I927" s="1">
        <v>0</v>
      </c>
      <c r="J927" s="1">
        <v>21</v>
      </c>
      <c r="K927" s="1">
        <v>0</v>
      </c>
      <c r="L927" s="1">
        <v>0</v>
      </c>
      <c r="M927" s="1">
        <v>17</v>
      </c>
      <c r="N927" s="1">
        <v>3</v>
      </c>
      <c r="O927" s="1">
        <v>7</v>
      </c>
      <c r="P927" s="1">
        <v>1</v>
      </c>
      <c r="Q927" s="1">
        <v>7</v>
      </c>
      <c r="R927" s="1">
        <v>8</v>
      </c>
      <c r="S927" s="1">
        <v>1</v>
      </c>
      <c r="T927" s="1">
        <v>0</v>
      </c>
      <c r="U927" s="1">
        <v>0</v>
      </c>
      <c r="V927" s="1">
        <v>1</v>
      </c>
      <c r="W927" s="1">
        <v>0</v>
      </c>
      <c r="X927" s="1">
        <v>0</v>
      </c>
      <c r="Y927" s="1">
        <v>1</v>
      </c>
      <c r="Z927" s="1">
        <v>46</v>
      </c>
      <c r="AA927" s="1" t="str" cm="1">
        <f t="array" ref="AA927">_xlfn.IFS(AND(Z927&lt;36, Z927&gt;23), "24-35", AND(Z927&lt;51, Z927&gt;35),"36-50", AND(Z927&lt;66, Z927&gt;50), "51-66", Z927&gt;65, "66+", TRUE, "?")</f>
        <v>36-50</v>
      </c>
      <c r="AB927" s="1">
        <v>2263</v>
      </c>
      <c r="AC927" s="1">
        <v>0</v>
      </c>
      <c r="AD927" s="1">
        <v>1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1</v>
      </c>
      <c r="AL927" s="1">
        <v>412</v>
      </c>
      <c r="AM927" s="2">
        <v>42586</v>
      </c>
      <c r="AN927" t="str">
        <f t="shared" si="29"/>
        <v>46374,429,0.00925087333419589,0,1,1,408,0,21,0,0,17,3,7,1,7,8,1,0,0,1,0,0,1,46,36-50,2263,0,1,0,0,0,0,0,0,1,412,42586</v>
      </c>
    </row>
    <row r="928" spans="1:40" ht="13" hidden="1" x14ac:dyDescent="0.15">
      <c r="A928">
        <v>639</v>
      </c>
      <c r="B928" s="1">
        <v>41039</v>
      </c>
      <c r="C928" s="1">
        <v>422</v>
      </c>
      <c r="D928" s="4">
        <f t="shared" si="28"/>
        <v>1.0282901630156681E-2</v>
      </c>
      <c r="E928" s="1">
        <v>0</v>
      </c>
      <c r="F928" s="1">
        <v>0</v>
      </c>
      <c r="G928" s="1">
        <v>32</v>
      </c>
      <c r="H928" s="1">
        <v>34</v>
      </c>
      <c r="I928" s="1">
        <v>11</v>
      </c>
      <c r="J928" s="1">
        <v>137</v>
      </c>
      <c r="K928" s="1">
        <v>179</v>
      </c>
      <c r="L928" s="1">
        <v>61</v>
      </c>
      <c r="M928" s="1">
        <v>45</v>
      </c>
      <c r="N928" s="1">
        <v>1</v>
      </c>
      <c r="O928" s="1">
        <v>8</v>
      </c>
      <c r="P928" s="1">
        <v>1</v>
      </c>
      <c r="Q928" s="1">
        <v>5</v>
      </c>
      <c r="R928" s="1">
        <v>8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38</v>
      </c>
      <c r="AA928" s="1" t="str" cm="1">
        <f t="array" ref="AA928">_xlfn.IFS(AND(Z928&lt;36, Z928&gt;23), "24-35", AND(Z928&lt;51, Z928&gt;35),"36-50", AND(Z928&lt;66, Z928&gt;50), "51-66", Z928&gt;65, "66+", TRUE, "?")</f>
        <v>36-50</v>
      </c>
      <c r="AB928" s="1">
        <v>2498</v>
      </c>
      <c r="AC928" s="1">
        <v>0</v>
      </c>
      <c r="AD928" s="1">
        <v>0</v>
      </c>
      <c r="AE928" s="1">
        <v>0</v>
      </c>
      <c r="AF928" s="1">
        <v>1</v>
      </c>
      <c r="AG928" s="1">
        <v>0</v>
      </c>
      <c r="AH928" s="1">
        <v>1</v>
      </c>
      <c r="AI928" s="1">
        <v>0</v>
      </c>
      <c r="AJ928" s="1">
        <v>0</v>
      </c>
      <c r="AK928" s="1">
        <v>0</v>
      </c>
      <c r="AL928" s="1">
        <v>377</v>
      </c>
      <c r="AM928" s="2">
        <v>42351</v>
      </c>
      <c r="AN928" t="str">
        <f t="shared" si="29"/>
        <v>41039,422,0.0102829016301567,0,0,32,34,11,137,179,61,45,1,8,1,5,8,0,0,0,0,0,0,0,38,36-50,2498,0,0,0,1,0,1,0,0,0,377,42351</v>
      </c>
    </row>
    <row r="929" spans="1:40" ht="13" hidden="1" x14ac:dyDescent="0.15">
      <c r="A929">
        <v>424</v>
      </c>
      <c r="B929" s="1">
        <v>70829</v>
      </c>
      <c r="C929" s="1">
        <v>408</v>
      </c>
      <c r="D929" s="4">
        <f t="shared" si="28"/>
        <v>5.7603523980290557E-3</v>
      </c>
      <c r="E929" s="1">
        <v>1</v>
      </c>
      <c r="F929" s="1">
        <v>1</v>
      </c>
      <c r="G929" s="1">
        <v>87</v>
      </c>
      <c r="H929" s="1">
        <v>141</v>
      </c>
      <c r="I929" s="1">
        <v>70</v>
      </c>
      <c r="J929" s="1">
        <v>106</v>
      </c>
      <c r="K929" s="1">
        <v>72</v>
      </c>
      <c r="L929" s="1">
        <v>19</v>
      </c>
      <c r="M929" s="1">
        <v>23</v>
      </c>
      <c r="N929" s="1">
        <v>2</v>
      </c>
      <c r="O929" s="1">
        <v>4</v>
      </c>
      <c r="P929" s="1">
        <v>2</v>
      </c>
      <c r="Q929" s="1">
        <v>8</v>
      </c>
      <c r="R929" s="1">
        <v>3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40</v>
      </c>
      <c r="AA929" s="1" t="str" cm="1">
        <f t="array" ref="AA929">_xlfn.IFS(AND(Z929&lt;36, Z929&gt;23), "24-35", AND(Z929&lt;51, Z929&gt;35),"36-50", AND(Z929&lt;66, Z929&gt;50), "51-66", Z929&gt;65, "66+", TRUE, "?")</f>
        <v>36-50</v>
      </c>
      <c r="AB929" s="1">
        <v>2369</v>
      </c>
      <c r="AC929" s="1">
        <v>0</v>
      </c>
      <c r="AD929" s="1">
        <v>1</v>
      </c>
      <c r="AE929" s="1">
        <v>0</v>
      </c>
      <c r="AF929" s="1">
        <v>0</v>
      </c>
      <c r="AG929" s="1">
        <v>0</v>
      </c>
      <c r="AH929" s="1">
        <v>1</v>
      </c>
      <c r="AI929" s="1">
        <v>0</v>
      </c>
      <c r="AJ929" s="1">
        <v>0</v>
      </c>
      <c r="AK929" s="1">
        <v>0</v>
      </c>
      <c r="AL929" s="1">
        <v>385</v>
      </c>
      <c r="AM929" s="2">
        <v>42480</v>
      </c>
      <c r="AN929" t="str">
        <f t="shared" si="29"/>
        <v>70829,408,0.00576035239802906,1,1,87,141,70,106,72,19,23,2,4,2,8,3,0,0,0,0,0,0,0,40,36-50,2369,0,1,0,0,0,1,0,0,0,385,42480</v>
      </c>
    </row>
    <row r="930" spans="1:40" ht="13" hidden="1" x14ac:dyDescent="0.15">
      <c r="A930">
        <v>5</v>
      </c>
      <c r="B930" s="1">
        <v>58293</v>
      </c>
      <c r="C930" s="1">
        <v>407</v>
      </c>
      <c r="D930" s="4">
        <f t="shared" si="28"/>
        <v>6.9819703909560328E-3</v>
      </c>
      <c r="E930" s="1">
        <v>1</v>
      </c>
      <c r="F930" s="1">
        <v>0</v>
      </c>
      <c r="G930" s="1">
        <v>94</v>
      </c>
      <c r="H930" s="1">
        <v>173</v>
      </c>
      <c r="I930" s="1">
        <v>43</v>
      </c>
      <c r="J930" s="1">
        <v>118</v>
      </c>
      <c r="K930" s="1">
        <v>46</v>
      </c>
      <c r="L930" s="1">
        <v>27</v>
      </c>
      <c r="M930" s="1">
        <v>15</v>
      </c>
      <c r="N930" s="1">
        <v>5</v>
      </c>
      <c r="O930" s="1">
        <v>5</v>
      </c>
      <c r="P930" s="1">
        <v>3</v>
      </c>
      <c r="Q930" s="1">
        <v>6</v>
      </c>
      <c r="R930" s="1">
        <v>5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39</v>
      </c>
      <c r="AA930" s="1" t="str" cm="1">
        <f t="array" ref="AA930">_xlfn.IFS(AND(Z930&lt;36, Z930&gt;23), "24-35", AND(Z930&lt;51, Z930&gt;35),"36-50", AND(Z930&lt;66, Z930&gt;50), "51-66", Z930&gt;65, "66+", TRUE, "?")</f>
        <v>36-50</v>
      </c>
      <c r="AB930" s="1">
        <v>2320</v>
      </c>
      <c r="AC930" s="1">
        <v>0</v>
      </c>
      <c r="AD930" s="1">
        <v>1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1</v>
      </c>
      <c r="AL930" s="1">
        <v>392</v>
      </c>
      <c r="AM930" s="2">
        <v>42529</v>
      </c>
      <c r="AN930" t="str">
        <f t="shared" si="29"/>
        <v>58293,407,0.00698197039095603,1,0,94,173,43,118,46,27,15,5,5,3,6,5,0,0,0,0,0,0,0,39,36-50,2320,0,1,0,0,0,0,0,0,1,392,42529</v>
      </c>
    </row>
    <row r="931" spans="1:40" ht="13" hidden="1" x14ac:dyDescent="0.15">
      <c r="A931">
        <v>496</v>
      </c>
      <c r="B931" s="1">
        <v>50353</v>
      </c>
      <c r="C931" s="1">
        <v>407</v>
      </c>
      <c r="D931" s="4">
        <f t="shared" si="28"/>
        <v>8.0829344825531745E-3</v>
      </c>
      <c r="E931" s="1">
        <v>0</v>
      </c>
      <c r="F931" s="1">
        <v>0</v>
      </c>
      <c r="G931" s="1">
        <v>72</v>
      </c>
      <c r="H931" s="1">
        <v>141</v>
      </c>
      <c r="I931" s="1">
        <v>15</v>
      </c>
      <c r="J931" s="1">
        <v>153</v>
      </c>
      <c r="K931" s="1">
        <v>67</v>
      </c>
      <c r="L931" s="1">
        <v>31</v>
      </c>
      <c r="M931" s="1">
        <v>35</v>
      </c>
      <c r="N931" s="1">
        <v>1</v>
      </c>
      <c r="O931" s="1">
        <v>4</v>
      </c>
      <c r="P931" s="1">
        <v>4</v>
      </c>
      <c r="Q931" s="1">
        <v>6</v>
      </c>
      <c r="R931" s="1">
        <v>3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43</v>
      </c>
      <c r="AA931" s="1" t="str" cm="1">
        <f t="array" ref="AA931">_xlfn.IFS(AND(Z931&lt;36, Z931&gt;23), "24-35", AND(Z931&lt;51, Z931&gt;35),"36-50", AND(Z931&lt;66, Z931&gt;50), "51-66", Z931&gt;65, "66+", TRUE, "?")</f>
        <v>36-50</v>
      </c>
      <c r="AB931" s="1">
        <v>2180</v>
      </c>
      <c r="AC931" s="1">
        <v>0</v>
      </c>
      <c r="AD931" s="1">
        <v>1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1</v>
      </c>
      <c r="AK931" s="1">
        <v>0</v>
      </c>
      <c r="AL931" s="1">
        <v>372</v>
      </c>
      <c r="AM931" s="2">
        <v>42669</v>
      </c>
      <c r="AN931" t="str">
        <f t="shared" si="29"/>
        <v>50353,407,0.00808293448255317,0,0,72,141,15,153,67,31,35,1,4,4,6,3,0,0,0,0,0,0,0,43,36-50,2180,0,1,0,0,0,0,0,1,0,372,42669</v>
      </c>
    </row>
    <row r="932" spans="1:40" ht="13" hidden="1" x14ac:dyDescent="0.15">
      <c r="A932">
        <v>118</v>
      </c>
      <c r="B932" s="1">
        <v>62998</v>
      </c>
      <c r="C932" s="1">
        <v>405</v>
      </c>
      <c r="D932" s="4">
        <f t="shared" si="28"/>
        <v>6.428775516683069E-3</v>
      </c>
      <c r="E932" s="1">
        <v>0</v>
      </c>
      <c r="F932" s="1">
        <v>1</v>
      </c>
      <c r="G932" s="1">
        <v>10</v>
      </c>
      <c r="H932" s="1">
        <v>120</v>
      </c>
      <c r="I932" s="1">
        <v>58</v>
      </c>
      <c r="J932" s="1">
        <v>73</v>
      </c>
      <c r="K932" s="1">
        <v>65</v>
      </c>
      <c r="L932" s="1">
        <v>89</v>
      </c>
      <c r="M932" s="1">
        <v>58</v>
      </c>
      <c r="N932" s="1">
        <v>5</v>
      </c>
      <c r="O932" s="1">
        <v>5</v>
      </c>
      <c r="P932" s="1">
        <v>4</v>
      </c>
      <c r="Q932" s="1">
        <v>5</v>
      </c>
      <c r="R932" s="1">
        <v>5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68</v>
      </c>
      <c r="AA932" s="1" t="str" cm="1">
        <f t="array" ref="AA932">_xlfn.IFS(AND(Z932&lt;36, Z932&gt;23), "24-35", AND(Z932&lt;51, Z932&gt;35),"36-50", AND(Z932&lt;66, Z932&gt;50), "51-66", Z932&gt;65, "66+", TRUE, "?")</f>
        <v>66+</v>
      </c>
      <c r="AB932" s="1">
        <v>2431</v>
      </c>
      <c r="AC932" s="1">
        <v>0</v>
      </c>
      <c r="AD932" s="1">
        <v>1</v>
      </c>
      <c r="AE932" s="1">
        <v>0</v>
      </c>
      <c r="AF932" s="1">
        <v>0</v>
      </c>
      <c r="AG932" s="1">
        <v>0</v>
      </c>
      <c r="AH932" s="1">
        <v>0</v>
      </c>
      <c r="AI932" s="1">
        <v>1</v>
      </c>
      <c r="AJ932" s="1">
        <v>0</v>
      </c>
      <c r="AK932" s="1">
        <v>0</v>
      </c>
      <c r="AL932" s="1">
        <v>347</v>
      </c>
      <c r="AM932" s="2">
        <v>42418</v>
      </c>
      <c r="AN932" t="str">
        <f t="shared" si="29"/>
        <v>62998,405,0.00642877551668307,0,1,10,120,58,73,65,89,58,5,5,4,5,5,0,0,0,0,0,0,0,68,66+,2431,0,1,0,0,0,0,1,0,0,347,42418</v>
      </c>
    </row>
    <row r="933" spans="1:40" ht="13" hidden="1" x14ac:dyDescent="0.15">
      <c r="A933">
        <v>1613</v>
      </c>
      <c r="B933" s="1">
        <v>59481</v>
      </c>
      <c r="C933" s="1">
        <v>403</v>
      </c>
      <c r="D933" s="4">
        <f t="shared" si="28"/>
        <v>6.775272776180629E-3</v>
      </c>
      <c r="E933" s="1">
        <v>0</v>
      </c>
      <c r="F933" s="1">
        <v>1</v>
      </c>
      <c r="G933" s="1">
        <v>47</v>
      </c>
      <c r="H933" s="1">
        <v>178</v>
      </c>
      <c r="I933" s="1">
        <v>3</v>
      </c>
      <c r="J933" s="1">
        <v>85</v>
      </c>
      <c r="K933" s="1">
        <v>71</v>
      </c>
      <c r="L933" s="1">
        <v>66</v>
      </c>
      <c r="M933" s="1">
        <v>58</v>
      </c>
      <c r="N933" s="1">
        <v>2</v>
      </c>
      <c r="O933" s="1">
        <v>3</v>
      </c>
      <c r="P933" s="1">
        <v>3</v>
      </c>
      <c r="Q933" s="1">
        <v>8</v>
      </c>
      <c r="R933" s="1">
        <v>2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45</v>
      </c>
      <c r="AA933" s="1" t="str" cm="1">
        <f t="array" ref="AA933">_xlfn.IFS(AND(Z933&lt;36, Z933&gt;23), "24-35", AND(Z933&lt;51, Z933&gt;35),"36-50", AND(Z933&lt;66, Z933&gt;50), "51-66", Z933&gt;65, "66+", TRUE, "?")</f>
        <v>36-50</v>
      </c>
      <c r="AB933" s="1">
        <v>2408</v>
      </c>
      <c r="AC933" s="1">
        <v>0</v>
      </c>
      <c r="AD933" s="1">
        <v>0</v>
      </c>
      <c r="AE933" s="1">
        <v>0</v>
      </c>
      <c r="AF933" s="1">
        <v>1</v>
      </c>
      <c r="AG933" s="1">
        <v>0</v>
      </c>
      <c r="AH933" s="1">
        <v>0</v>
      </c>
      <c r="AI933" s="1">
        <v>1</v>
      </c>
      <c r="AJ933" s="1">
        <v>0</v>
      </c>
      <c r="AK933" s="1">
        <v>0</v>
      </c>
      <c r="AL933" s="1">
        <v>345</v>
      </c>
      <c r="AM933" s="2">
        <v>42441</v>
      </c>
      <c r="AN933" t="str">
        <f t="shared" si="29"/>
        <v>59481,403,0.00677527277618063,0,1,47,178,3,85,71,66,58,2,3,3,8,2,0,0,0,0,0,0,0,45,36-50,2408,0,0,0,1,0,0,1,0,0,345,42441</v>
      </c>
    </row>
    <row r="934" spans="1:40" ht="13" hidden="1" x14ac:dyDescent="0.15">
      <c r="A934">
        <v>88</v>
      </c>
      <c r="B934" s="1">
        <v>50150</v>
      </c>
      <c r="C934" s="1">
        <v>399</v>
      </c>
      <c r="D934" s="4">
        <f t="shared" si="28"/>
        <v>7.9561316051844459E-3</v>
      </c>
      <c r="E934" s="1">
        <v>0</v>
      </c>
      <c r="F934" s="1">
        <v>0</v>
      </c>
      <c r="G934" s="1">
        <v>32</v>
      </c>
      <c r="H934" s="1">
        <v>135</v>
      </c>
      <c r="I934" s="1">
        <v>46</v>
      </c>
      <c r="J934" s="1">
        <v>92</v>
      </c>
      <c r="K934" s="1">
        <v>65</v>
      </c>
      <c r="L934" s="1">
        <v>61</v>
      </c>
      <c r="M934" s="1">
        <v>11</v>
      </c>
      <c r="N934" s="1">
        <v>2</v>
      </c>
      <c r="O934" s="1">
        <v>5</v>
      </c>
      <c r="P934" s="1">
        <v>2</v>
      </c>
      <c r="Q934" s="1">
        <v>7</v>
      </c>
      <c r="R934" s="1">
        <v>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37</v>
      </c>
      <c r="AA934" s="1" t="str" cm="1">
        <f t="array" ref="AA934">_xlfn.IFS(AND(Z934&lt;36, Z934&gt;23), "24-35", AND(Z934&lt;51, Z934&gt;35),"36-50", AND(Z934&lt;66, Z934&gt;50), "51-66", Z934&gt;65, "66+", TRUE, "?")</f>
        <v>36-50</v>
      </c>
      <c r="AB934" s="1">
        <v>2533</v>
      </c>
      <c r="AC934" s="1">
        <v>0</v>
      </c>
      <c r="AD934" s="1">
        <v>1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1</v>
      </c>
      <c r="AL934" s="1">
        <v>388</v>
      </c>
      <c r="AM934" s="2">
        <v>42316</v>
      </c>
      <c r="AN934" t="str">
        <f t="shared" si="29"/>
        <v>50150,399,0.00795613160518445,0,0,32,135,46,92,65,61,11,2,5,2,7,5,0,0,0,0,0,0,0,37,36-50,2533,0,1,0,0,0,0,0,0,1,388,42316</v>
      </c>
    </row>
    <row r="935" spans="1:40" ht="13" hidden="1" x14ac:dyDescent="0.15">
      <c r="A935">
        <v>844</v>
      </c>
      <c r="B935" s="1">
        <v>37087</v>
      </c>
      <c r="C935" s="1">
        <v>398</v>
      </c>
      <c r="D935" s="4">
        <f t="shared" si="28"/>
        <v>1.0731523175236606E-2</v>
      </c>
      <c r="E935" s="1">
        <v>1</v>
      </c>
      <c r="F935" s="1">
        <v>0</v>
      </c>
      <c r="G935" s="1">
        <v>50</v>
      </c>
      <c r="H935" s="1">
        <v>194</v>
      </c>
      <c r="I935" s="1">
        <v>55</v>
      </c>
      <c r="J935" s="1">
        <v>134</v>
      </c>
      <c r="K935" s="1">
        <v>15</v>
      </c>
      <c r="L935" s="1">
        <v>0</v>
      </c>
      <c r="M935" s="1">
        <v>3</v>
      </c>
      <c r="N935" s="1">
        <v>3</v>
      </c>
      <c r="O935" s="1">
        <v>4</v>
      </c>
      <c r="P935" s="1">
        <v>2</v>
      </c>
      <c r="Q935" s="1">
        <v>8</v>
      </c>
      <c r="R935" s="1">
        <v>6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46</v>
      </c>
      <c r="AA935" s="1" t="str" cm="1">
        <f t="array" ref="AA935">_xlfn.IFS(AND(Z935&lt;36, Z935&gt;23), "24-35", AND(Z935&lt;51, Z935&gt;35),"36-50", AND(Z935&lt;66, Z935&gt;50), "51-66", Z935&gt;65, "66+", TRUE, "?")</f>
        <v>36-50</v>
      </c>
      <c r="AB935" s="1">
        <v>2481</v>
      </c>
      <c r="AC935" s="1">
        <v>0</v>
      </c>
      <c r="AD935" s="1">
        <v>1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1</v>
      </c>
      <c r="AL935" s="1">
        <v>395</v>
      </c>
      <c r="AM935" s="2">
        <v>42368</v>
      </c>
      <c r="AN935" t="str">
        <f t="shared" si="29"/>
        <v>37087,398,0.0107315231752366,1,0,50,194,55,134,15,0,3,3,4,2,8,6,0,0,0,0,0,0,0,46,36-50,2481,0,1,0,0,0,0,0,0,1,395,42368</v>
      </c>
    </row>
    <row r="936" spans="1:40" ht="13" hidden="1" x14ac:dyDescent="0.15">
      <c r="A936">
        <v>1029</v>
      </c>
      <c r="B936" s="1">
        <v>61825</v>
      </c>
      <c r="C936" s="1">
        <v>397</v>
      </c>
      <c r="D936" s="4">
        <f t="shared" si="28"/>
        <v>6.4213505863323899E-3</v>
      </c>
      <c r="E936" s="1">
        <v>0</v>
      </c>
      <c r="F936" s="1">
        <v>1</v>
      </c>
      <c r="G936" s="1">
        <v>56</v>
      </c>
      <c r="H936" s="1">
        <v>162</v>
      </c>
      <c r="I936" s="1">
        <v>50</v>
      </c>
      <c r="J936" s="1">
        <v>100</v>
      </c>
      <c r="K936" s="1">
        <v>55</v>
      </c>
      <c r="L936" s="1">
        <v>30</v>
      </c>
      <c r="M936" s="1">
        <v>27</v>
      </c>
      <c r="N936" s="1">
        <v>1</v>
      </c>
      <c r="O936" s="1">
        <v>4</v>
      </c>
      <c r="P936" s="1">
        <v>2</v>
      </c>
      <c r="Q936" s="1">
        <v>8</v>
      </c>
      <c r="R936" s="1">
        <v>4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41</v>
      </c>
      <c r="AA936" s="1" t="str" cm="1">
        <f t="array" ref="AA936">_xlfn.IFS(AND(Z936&lt;36, Z936&gt;23), "24-35", AND(Z936&lt;51, Z936&gt;35),"36-50", AND(Z936&lt;66, Z936&gt;50), "51-66", Z936&gt;65, "66+", TRUE, "?")</f>
        <v>36-50</v>
      </c>
      <c r="AB936" s="1">
        <v>2485</v>
      </c>
      <c r="AC936" s="1">
        <v>0</v>
      </c>
      <c r="AD936" s="1">
        <v>0</v>
      </c>
      <c r="AE936" s="1">
        <v>1</v>
      </c>
      <c r="AF936" s="1">
        <v>0</v>
      </c>
      <c r="AG936" s="1">
        <v>0</v>
      </c>
      <c r="AH936" s="1">
        <v>0</v>
      </c>
      <c r="AI936" s="1">
        <v>1</v>
      </c>
      <c r="AJ936" s="1">
        <v>0</v>
      </c>
      <c r="AK936" s="1">
        <v>0</v>
      </c>
      <c r="AL936" s="1">
        <v>370</v>
      </c>
      <c r="AM936" s="2">
        <v>42364</v>
      </c>
      <c r="AN936" t="str">
        <f t="shared" si="29"/>
        <v>61825,397,0.00642135058633239,0,1,56,162,50,100,55,30,27,1,4,2,8,4,0,0,0,0,0,0,0,41,36-50,2485,0,0,1,0,0,0,1,0,0,370,42364</v>
      </c>
    </row>
    <row r="937" spans="1:40" ht="13" hidden="1" x14ac:dyDescent="0.15">
      <c r="A937">
        <v>1275</v>
      </c>
      <c r="B937" s="1">
        <v>53034</v>
      </c>
      <c r="C937" s="1">
        <v>397</v>
      </c>
      <c r="D937" s="4">
        <f t="shared" si="28"/>
        <v>7.4857638496059128E-3</v>
      </c>
      <c r="E937" s="1">
        <v>1</v>
      </c>
      <c r="F937" s="1">
        <v>1</v>
      </c>
      <c r="G937" s="1">
        <v>30</v>
      </c>
      <c r="H937" s="1">
        <v>160</v>
      </c>
      <c r="I937" s="1">
        <v>15</v>
      </c>
      <c r="J937" s="1">
        <v>196</v>
      </c>
      <c r="K937" s="1">
        <v>15</v>
      </c>
      <c r="L937" s="1">
        <v>11</v>
      </c>
      <c r="M937" s="1">
        <v>50</v>
      </c>
      <c r="N937" s="1">
        <v>8</v>
      </c>
      <c r="O937" s="1">
        <v>6</v>
      </c>
      <c r="P937" s="1">
        <v>1</v>
      </c>
      <c r="Q937" s="1">
        <v>7</v>
      </c>
      <c r="R937" s="1">
        <v>8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46</v>
      </c>
      <c r="AA937" s="1" t="str" cm="1">
        <f t="array" ref="AA937">_xlfn.IFS(AND(Z937&lt;36, Z937&gt;23), "24-35", AND(Z937&lt;51, Z937&gt;35),"36-50", AND(Z937&lt;66, Z937&gt;50), "51-66", Z937&gt;65, "66+", TRUE, "?")</f>
        <v>36-50</v>
      </c>
      <c r="AB937" s="1">
        <v>2554</v>
      </c>
      <c r="AC937" s="1">
        <v>1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1</v>
      </c>
      <c r="AJ937" s="1">
        <v>0</v>
      </c>
      <c r="AK937" s="1">
        <v>0</v>
      </c>
      <c r="AL937" s="1">
        <v>347</v>
      </c>
      <c r="AM937" s="2">
        <v>42295</v>
      </c>
      <c r="AN937" t="str">
        <f t="shared" si="29"/>
        <v>53034,397,0.00748576384960591,1,1,30,160,15,196,15,11,50,8,6,1,7,8,0,0,0,0,0,0,0,46,36-50,2554,1,0,0,0,0,0,1,0,0,347,42295</v>
      </c>
    </row>
    <row r="938" spans="1:40" ht="13" hidden="1" x14ac:dyDescent="0.15">
      <c r="A938">
        <v>261</v>
      </c>
      <c r="B938" s="1">
        <v>65640</v>
      </c>
      <c r="C938" s="1">
        <v>395</v>
      </c>
      <c r="D938" s="4">
        <f t="shared" si="28"/>
        <v>6.0176721511273614E-3</v>
      </c>
      <c r="E938" s="1">
        <v>0</v>
      </c>
      <c r="F938" s="1">
        <v>1</v>
      </c>
      <c r="G938" s="1">
        <v>74</v>
      </c>
      <c r="H938" s="1">
        <v>204</v>
      </c>
      <c r="I938" s="1">
        <v>7</v>
      </c>
      <c r="J938" s="1">
        <v>149</v>
      </c>
      <c r="K938" s="1">
        <v>20</v>
      </c>
      <c r="L938" s="1">
        <v>15</v>
      </c>
      <c r="M938" s="1">
        <v>66</v>
      </c>
      <c r="N938" s="1">
        <v>1</v>
      </c>
      <c r="O938" s="1">
        <v>5</v>
      </c>
      <c r="P938" s="1">
        <v>1</v>
      </c>
      <c r="Q938" s="1">
        <v>8</v>
      </c>
      <c r="R938" s="1">
        <v>2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46</v>
      </c>
      <c r="AA938" s="1" t="str" cm="1">
        <f t="array" ref="AA938">_xlfn.IFS(AND(Z938&lt;36, Z938&gt;23), "24-35", AND(Z938&lt;51, Z938&gt;35),"36-50", AND(Z938&lt;66, Z938&gt;50), "51-66", Z938&gt;65, "66+", TRUE, "?")</f>
        <v>36-50</v>
      </c>
      <c r="AB938" s="1">
        <v>2279</v>
      </c>
      <c r="AC938" s="1">
        <v>0</v>
      </c>
      <c r="AD938" s="1">
        <v>0</v>
      </c>
      <c r="AE938" s="1">
        <v>0</v>
      </c>
      <c r="AF938" s="1">
        <v>1</v>
      </c>
      <c r="AG938" s="1">
        <v>0</v>
      </c>
      <c r="AH938" s="1">
        <v>0</v>
      </c>
      <c r="AI938" s="1">
        <v>0</v>
      </c>
      <c r="AJ938" s="1">
        <v>0</v>
      </c>
      <c r="AK938" s="1">
        <v>1</v>
      </c>
      <c r="AL938" s="1">
        <v>329</v>
      </c>
      <c r="AM938" s="2">
        <v>42570</v>
      </c>
      <c r="AN938" t="str">
        <f t="shared" si="29"/>
        <v>65640,395,0.00601767215112736,0,1,74,204,7,149,20,15,66,1,5,1,8,2,0,0,0,0,0,0,0,46,36-50,2279,0,0,0,1,0,0,0,0,1,329,42570</v>
      </c>
    </row>
    <row r="939" spans="1:40" ht="13" hidden="1" x14ac:dyDescent="0.15">
      <c r="A939">
        <v>953</v>
      </c>
      <c r="B939" s="1">
        <v>59412</v>
      </c>
      <c r="C939" s="1">
        <v>395</v>
      </c>
      <c r="D939" s="4">
        <f t="shared" si="28"/>
        <v>6.6484885208375416E-3</v>
      </c>
      <c r="E939" s="1">
        <v>0</v>
      </c>
      <c r="F939" s="1">
        <v>0</v>
      </c>
      <c r="G939" s="1">
        <v>56</v>
      </c>
      <c r="H939" s="1">
        <v>90</v>
      </c>
      <c r="I939" s="1">
        <v>67</v>
      </c>
      <c r="J939" s="1">
        <v>165</v>
      </c>
      <c r="K939" s="1">
        <v>30</v>
      </c>
      <c r="L939" s="1">
        <v>43</v>
      </c>
      <c r="M939" s="1">
        <v>11</v>
      </c>
      <c r="N939" s="1">
        <v>1</v>
      </c>
      <c r="O939" s="1">
        <v>4</v>
      </c>
      <c r="P939" s="1">
        <v>2</v>
      </c>
      <c r="Q939" s="1">
        <v>8</v>
      </c>
      <c r="R939" s="1">
        <v>3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69</v>
      </c>
      <c r="AA939" s="1" t="str" cm="1">
        <f t="array" ref="AA939">_xlfn.IFS(AND(Z939&lt;36, Z939&gt;23), "24-35", AND(Z939&lt;51, Z939&gt;35),"36-50", AND(Z939&lt;66, Z939&gt;50), "51-66", Z939&gt;65, "66+", TRUE, "?")</f>
        <v>66+</v>
      </c>
      <c r="AB939" s="1">
        <v>2230</v>
      </c>
      <c r="AC939" s="1">
        <v>0</v>
      </c>
      <c r="AD939" s="1">
        <v>1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1</v>
      </c>
      <c r="AK939" s="1">
        <v>0</v>
      </c>
      <c r="AL939" s="1">
        <v>384</v>
      </c>
      <c r="AM939" s="2">
        <v>42619</v>
      </c>
      <c r="AN939" t="str">
        <f t="shared" si="29"/>
        <v>59412,395,0.00664848852083754,0,0,56,90,67,165,30,43,11,1,4,2,8,3,0,0,0,0,0,0,0,69,66+,2230,0,1,0,0,0,0,0,1,0,384,42619</v>
      </c>
    </row>
    <row r="940" spans="1:40" ht="13" x14ac:dyDescent="0.15">
      <c r="A940">
        <v>1413</v>
      </c>
      <c r="B940" s="1">
        <v>62972</v>
      </c>
      <c r="C940" s="1">
        <v>395</v>
      </c>
      <c r="D940" s="4">
        <f t="shared" si="28"/>
        <v>6.2726291049990468E-3</v>
      </c>
      <c r="E940" s="1">
        <v>0</v>
      </c>
      <c r="F940" s="1">
        <v>1</v>
      </c>
      <c r="G940" s="1">
        <v>39</v>
      </c>
      <c r="H940" s="1">
        <v>313</v>
      </c>
      <c r="I940" s="1">
        <v>15</v>
      </c>
      <c r="J940" s="1">
        <v>47</v>
      </c>
      <c r="K940" s="1">
        <v>20</v>
      </c>
      <c r="L940" s="1">
        <v>0</v>
      </c>
      <c r="M940" s="1">
        <v>192</v>
      </c>
      <c r="N940" s="1">
        <v>2</v>
      </c>
      <c r="O940" s="1">
        <v>7</v>
      </c>
      <c r="P940" s="1">
        <v>4</v>
      </c>
      <c r="Q940" s="1">
        <v>3</v>
      </c>
      <c r="R940" s="1">
        <v>6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1</v>
      </c>
      <c r="Z940" s="1">
        <v>65</v>
      </c>
      <c r="AA940" s="1" t="str" cm="1">
        <f t="array" ref="AA940">_xlfn.IFS(AND(Z940&lt;36, Z940&gt;23), "24-35", AND(Z940&lt;51, Z940&gt;35),"36-50", AND(Z940&lt;66, Z940&gt;50), "51-66", Z940&gt;65, "66+", TRUE, "?")</f>
        <v>51-66</v>
      </c>
      <c r="AB940" s="1">
        <v>2854</v>
      </c>
      <c r="AC940" s="1">
        <v>0</v>
      </c>
      <c r="AD940" s="1">
        <v>1</v>
      </c>
      <c r="AE940" s="1">
        <v>0</v>
      </c>
      <c r="AF940" s="1">
        <v>0</v>
      </c>
      <c r="AG940" s="1">
        <v>0</v>
      </c>
      <c r="AH940" s="1">
        <v>1</v>
      </c>
      <c r="AI940" s="1">
        <v>0</v>
      </c>
      <c r="AJ940" s="1">
        <v>0</v>
      </c>
      <c r="AK940" s="1">
        <v>0</v>
      </c>
      <c r="AL940" s="1">
        <v>203</v>
      </c>
      <c r="AM940" s="2">
        <v>41995</v>
      </c>
      <c r="AN940" t="str">
        <f t="shared" si="29"/>
        <v>62972,395,0.00627262910499905,0,1,39,313,15,47,20,0,192,2,7,4,3,6,0,0,0,0,0,0,1,65,51-66,2854,0,1,0,0,0,1,0,0,0,203,41995</v>
      </c>
    </row>
    <row r="941" spans="1:40" ht="13" x14ac:dyDescent="0.15">
      <c r="A941">
        <v>1406</v>
      </c>
      <c r="B941" s="1">
        <v>55158</v>
      </c>
      <c r="C941" s="1">
        <v>395</v>
      </c>
      <c r="D941" s="4">
        <f t="shared" si="28"/>
        <v>7.1612458754849702E-3</v>
      </c>
      <c r="E941" s="1">
        <v>1</v>
      </c>
      <c r="F941" s="1">
        <v>1</v>
      </c>
      <c r="G941" s="1">
        <v>72</v>
      </c>
      <c r="H941" s="1">
        <v>293</v>
      </c>
      <c r="I941" s="1">
        <v>0</v>
      </c>
      <c r="J941" s="1">
        <v>87</v>
      </c>
      <c r="K941" s="1">
        <v>4</v>
      </c>
      <c r="L941" s="1">
        <v>11</v>
      </c>
      <c r="M941" s="1">
        <v>23</v>
      </c>
      <c r="N941" s="1">
        <v>4</v>
      </c>
      <c r="O941" s="1">
        <v>7</v>
      </c>
      <c r="P941" s="1">
        <v>2</v>
      </c>
      <c r="Q941" s="1">
        <v>5</v>
      </c>
      <c r="R941" s="1">
        <v>7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1</v>
      </c>
      <c r="Z941" s="1">
        <v>50</v>
      </c>
      <c r="AA941" s="1" t="str" cm="1">
        <f t="array" ref="AA941">_xlfn.IFS(AND(Z941&lt;36, Z941&gt;23), "24-35", AND(Z941&lt;51, Z941&gt;35),"36-50", AND(Z941&lt;66, Z941&gt;50), "51-66", Z941&gt;65, "66+", TRUE, "?")</f>
        <v>36-50</v>
      </c>
      <c r="AB941" s="1">
        <v>2858</v>
      </c>
      <c r="AC941" s="1">
        <v>0</v>
      </c>
      <c r="AD941" s="1">
        <v>1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1</v>
      </c>
      <c r="AL941" s="1">
        <v>372</v>
      </c>
      <c r="AM941" s="2">
        <v>41991</v>
      </c>
      <c r="AN941" t="str">
        <f t="shared" si="29"/>
        <v>55158,395,0.00716124587548497,1,1,72,293,0,87,4,11,23,4,7,2,5,7,0,0,0,0,0,0,1,50,36-50,2858,0,1,0,0,0,0,0,0,1,372,41991</v>
      </c>
    </row>
    <row r="942" spans="1:40" ht="13" hidden="1" x14ac:dyDescent="0.15">
      <c r="A942">
        <v>1675</v>
      </c>
      <c r="B942" s="1">
        <v>62972</v>
      </c>
      <c r="C942" s="1">
        <v>395</v>
      </c>
      <c r="D942" s="4">
        <f t="shared" si="28"/>
        <v>6.2726291049990468E-3</v>
      </c>
      <c r="E942" s="1">
        <v>0</v>
      </c>
      <c r="F942" s="1">
        <v>1</v>
      </c>
      <c r="G942" s="1">
        <v>39</v>
      </c>
      <c r="H942" s="1">
        <v>313</v>
      </c>
      <c r="I942" s="1">
        <v>15</v>
      </c>
      <c r="J942" s="1">
        <v>47</v>
      </c>
      <c r="K942" s="1">
        <v>20</v>
      </c>
      <c r="L942" s="1">
        <v>0</v>
      </c>
      <c r="M942" s="1">
        <v>192</v>
      </c>
      <c r="N942" s="1">
        <v>2</v>
      </c>
      <c r="O942" s="1">
        <v>7</v>
      </c>
      <c r="P942" s="1">
        <v>4</v>
      </c>
      <c r="Q942" s="1">
        <v>3</v>
      </c>
      <c r="R942" s="1">
        <v>6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65</v>
      </c>
      <c r="AA942" s="1" t="str" cm="1">
        <f t="array" ref="AA942">_xlfn.IFS(AND(Z942&lt;36, Z942&gt;23), "24-35", AND(Z942&lt;51, Z942&gt;35),"36-50", AND(Z942&lt;66, Z942&gt;50), "51-66", Z942&gt;65, "66+", TRUE, "?")</f>
        <v>51-66</v>
      </c>
      <c r="AB942" s="1">
        <v>2854</v>
      </c>
      <c r="AC942" s="1">
        <v>0</v>
      </c>
      <c r="AD942" s="1">
        <v>1</v>
      </c>
      <c r="AE942" s="1">
        <v>0</v>
      </c>
      <c r="AF942" s="1">
        <v>0</v>
      </c>
      <c r="AG942" s="1">
        <v>0</v>
      </c>
      <c r="AH942" s="1">
        <v>1</v>
      </c>
      <c r="AI942" s="1">
        <v>0</v>
      </c>
      <c r="AJ942" s="1">
        <v>0</v>
      </c>
      <c r="AK942" s="1">
        <v>0</v>
      </c>
      <c r="AL942" s="1">
        <v>203</v>
      </c>
      <c r="AM942" s="2">
        <v>41995</v>
      </c>
      <c r="AN942" t="str">
        <f t="shared" si="29"/>
        <v>62972,395,0.00627262910499905,0,1,39,313,15,47,20,0,192,2,7,4,3,6,0,0,0,0,0,0,0,65,51-66,2854,0,1,0,0,0,1,0,0,0,203,41995</v>
      </c>
    </row>
    <row r="943" spans="1:40" ht="13" hidden="1" x14ac:dyDescent="0.15">
      <c r="A943">
        <v>1957</v>
      </c>
      <c r="B943" s="1">
        <v>47320</v>
      </c>
      <c r="C943" s="1">
        <v>395</v>
      </c>
      <c r="D943" s="4">
        <f t="shared" si="28"/>
        <v>8.347421808960271E-3</v>
      </c>
      <c r="E943" s="1">
        <v>0</v>
      </c>
      <c r="F943" s="1">
        <v>1</v>
      </c>
      <c r="G943" s="1">
        <v>10</v>
      </c>
      <c r="H943" s="1">
        <v>200</v>
      </c>
      <c r="I943" s="1">
        <v>19</v>
      </c>
      <c r="J943" s="1">
        <v>111</v>
      </c>
      <c r="K943" s="1">
        <v>50</v>
      </c>
      <c r="L943" s="1">
        <v>15</v>
      </c>
      <c r="M943" s="1">
        <v>19</v>
      </c>
      <c r="N943" s="1">
        <v>6</v>
      </c>
      <c r="O943" s="1">
        <v>5</v>
      </c>
      <c r="P943" s="1">
        <v>1</v>
      </c>
      <c r="Q943" s="1">
        <v>8</v>
      </c>
      <c r="R943" s="1">
        <v>6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63</v>
      </c>
      <c r="AA943" s="1" t="str" cm="1">
        <f t="array" ref="AA943">_xlfn.IFS(AND(Z943&lt;36, Z943&gt;23), "24-35", AND(Z943&lt;51, Z943&gt;35),"36-50", AND(Z943&lt;66, Z943&gt;50), "51-66", Z943&gt;65, "66+", TRUE, "?")</f>
        <v>51-66</v>
      </c>
      <c r="AB943" s="1">
        <v>2491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1</v>
      </c>
      <c r="AJ943" s="1">
        <v>0</v>
      </c>
      <c r="AK943" s="1">
        <v>0</v>
      </c>
      <c r="AL943" s="1">
        <v>376</v>
      </c>
      <c r="AM943" s="2">
        <v>42358</v>
      </c>
      <c r="AN943" t="str">
        <f t="shared" si="29"/>
        <v>47320,395,0.00834742180896027,0,1,10,200,19,111,50,15,19,6,5,1,8,6,0,0,0,0,0,0,0,63,51-66,2491,0,0,0,1,0,0,1,0,0,376,42358</v>
      </c>
    </row>
    <row r="944" spans="1:40" ht="13" hidden="1" x14ac:dyDescent="0.15">
      <c r="A944">
        <v>152</v>
      </c>
      <c r="B944" s="1">
        <v>62551</v>
      </c>
      <c r="C944" s="1">
        <v>394</v>
      </c>
      <c r="D944" s="4">
        <f t="shared" si="28"/>
        <v>6.2988601301338107E-3</v>
      </c>
      <c r="E944" s="1">
        <v>0</v>
      </c>
      <c r="F944" s="1">
        <v>0</v>
      </c>
      <c r="G944" s="1">
        <v>27</v>
      </c>
      <c r="H944" s="1">
        <v>125</v>
      </c>
      <c r="I944" s="1">
        <v>16</v>
      </c>
      <c r="J944" s="1">
        <v>98</v>
      </c>
      <c r="K944" s="1">
        <v>134</v>
      </c>
      <c r="L944" s="1">
        <v>21</v>
      </c>
      <c r="M944" s="1">
        <v>27</v>
      </c>
      <c r="N944" s="1">
        <v>1</v>
      </c>
      <c r="O944" s="1">
        <v>6</v>
      </c>
      <c r="P944" s="1">
        <v>7</v>
      </c>
      <c r="Q944" s="1">
        <v>4</v>
      </c>
      <c r="R944" s="1">
        <v>3</v>
      </c>
      <c r="S944" s="1">
        <v>0</v>
      </c>
      <c r="T944" s="1">
        <v>0</v>
      </c>
      <c r="U944" s="1">
        <v>1</v>
      </c>
      <c r="V944" s="1">
        <v>0</v>
      </c>
      <c r="W944" s="1">
        <v>0</v>
      </c>
      <c r="X944" s="1">
        <v>0</v>
      </c>
      <c r="Y944" s="1">
        <v>0</v>
      </c>
      <c r="Z944" s="1">
        <v>67</v>
      </c>
      <c r="AA944" s="1" t="str" cm="1">
        <f t="array" ref="AA944">_xlfn.IFS(AND(Z944&lt;36, Z944&gt;23), "24-35", AND(Z944&lt;51, Z944&gt;35),"36-50", AND(Z944&lt;66, Z944&gt;50), "51-66", Z944&gt;65, "66+", TRUE, "?")</f>
        <v>66+</v>
      </c>
      <c r="AB944" s="1">
        <v>2382</v>
      </c>
      <c r="AC944" s="1">
        <v>1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1</v>
      </c>
      <c r="AJ944" s="1">
        <v>0</v>
      </c>
      <c r="AK944" s="1">
        <v>0</v>
      </c>
      <c r="AL944" s="1">
        <v>367</v>
      </c>
      <c r="AM944" s="2">
        <v>42467</v>
      </c>
      <c r="AN944" t="str">
        <f t="shared" si="29"/>
        <v>62551,394,0.00629886013013381,0,0,27,125,16,98,134,21,27,1,6,7,4,3,0,0,1,0,0,0,0,67,66+,2382,1,0,0,0,0,0,1,0,0,367,42467</v>
      </c>
    </row>
    <row r="945" spans="1:40" ht="13" hidden="1" x14ac:dyDescent="0.15">
      <c r="A945">
        <v>208</v>
      </c>
      <c r="B945" s="1">
        <v>51369</v>
      </c>
      <c r="C945" s="1">
        <v>394</v>
      </c>
      <c r="D945" s="4">
        <f t="shared" si="28"/>
        <v>7.6699955225914464E-3</v>
      </c>
      <c r="E945" s="1">
        <v>0</v>
      </c>
      <c r="F945" s="1">
        <v>1</v>
      </c>
      <c r="G945" s="1">
        <v>84</v>
      </c>
      <c r="H945" s="1">
        <v>297</v>
      </c>
      <c r="I945" s="1">
        <v>7</v>
      </c>
      <c r="J945" s="1">
        <v>79</v>
      </c>
      <c r="K945" s="1">
        <v>0</v>
      </c>
      <c r="L945" s="1">
        <v>11</v>
      </c>
      <c r="M945" s="1">
        <v>182</v>
      </c>
      <c r="N945" s="1">
        <v>2</v>
      </c>
      <c r="O945" s="1">
        <v>8</v>
      </c>
      <c r="P945" s="1">
        <v>2</v>
      </c>
      <c r="Q945" s="1">
        <v>4</v>
      </c>
      <c r="R945" s="1">
        <v>8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44</v>
      </c>
      <c r="AA945" s="1" t="str" cm="1">
        <f t="array" ref="AA945">_xlfn.IFS(AND(Z945&lt;36, Z945&gt;23), "24-35", AND(Z945&lt;51, Z945&gt;35),"36-50", AND(Z945&lt;66, Z945&gt;50), "51-66", Z945&gt;65, "66+", TRUE, "?")</f>
        <v>36-50</v>
      </c>
      <c r="AB945" s="1">
        <v>2771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0</v>
      </c>
      <c r="AI945" s="1">
        <v>1</v>
      </c>
      <c r="AJ945" s="1">
        <v>0</v>
      </c>
      <c r="AK945" s="1">
        <v>0</v>
      </c>
      <c r="AL945" s="1">
        <v>212</v>
      </c>
      <c r="AM945" s="2">
        <v>42078</v>
      </c>
      <c r="AN945" t="str">
        <f t="shared" si="29"/>
        <v>51369,394,0.00766999552259145,0,1,84,297,7,79,0,11,182,2,8,2,4,8,0,0,0,0,0,0,0,44,36-50,2771,0,0,0,1,0,0,1,0,0,212,42078</v>
      </c>
    </row>
    <row r="946" spans="1:40" ht="13" x14ac:dyDescent="0.15">
      <c r="A946">
        <v>1418</v>
      </c>
      <c r="B946" s="1">
        <v>37070</v>
      </c>
      <c r="C946" s="1">
        <v>394</v>
      </c>
      <c r="D946" s="4">
        <f t="shared" si="28"/>
        <v>1.0628540598867009E-2</v>
      </c>
      <c r="E946" s="1">
        <v>1</v>
      </c>
      <c r="F946" s="1">
        <v>1</v>
      </c>
      <c r="G946" s="1">
        <v>30</v>
      </c>
      <c r="H946" s="1">
        <v>231</v>
      </c>
      <c r="I946" s="1">
        <v>7</v>
      </c>
      <c r="J946" s="1">
        <v>137</v>
      </c>
      <c r="K946" s="1">
        <v>4</v>
      </c>
      <c r="L946" s="1">
        <v>15</v>
      </c>
      <c r="M946" s="1">
        <v>39</v>
      </c>
      <c r="N946" s="1">
        <v>9</v>
      </c>
      <c r="O946" s="1">
        <v>5</v>
      </c>
      <c r="P946" s="1">
        <v>1</v>
      </c>
      <c r="Q946" s="1">
        <v>8</v>
      </c>
      <c r="R946" s="1">
        <v>7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1</v>
      </c>
      <c r="Z946" s="1">
        <v>54</v>
      </c>
      <c r="AA946" s="1" t="str" cm="1">
        <f t="array" ref="AA946">_xlfn.IFS(AND(Z946&lt;36, Z946&gt;23), "24-35", AND(Z946&lt;51, Z946&gt;35),"36-50", AND(Z946&lt;66, Z946&gt;50), "51-66", Z946&gt;65, "66+", TRUE, "?")</f>
        <v>51-66</v>
      </c>
      <c r="AB946" s="1">
        <v>2625</v>
      </c>
      <c r="AC946" s="1">
        <v>0</v>
      </c>
      <c r="AD946" s="1">
        <v>0</v>
      </c>
      <c r="AE946" s="1">
        <v>1</v>
      </c>
      <c r="AF946" s="1">
        <v>0</v>
      </c>
      <c r="AG946" s="1">
        <v>0</v>
      </c>
      <c r="AH946" s="1">
        <v>0</v>
      </c>
      <c r="AI946" s="1">
        <v>1</v>
      </c>
      <c r="AJ946" s="1">
        <v>0</v>
      </c>
      <c r="AK946" s="1">
        <v>0</v>
      </c>
      <c r="AL946" s="1">
        <v>355</v>
      </c>
      <c r="AM946" s="2">
        <v>42224</v>
      </c>
      <c r="AN946" t="str">
        <f t="shared" si="29"/>
        <v>37070,394,0.010628540598867,1,1,30,231,7,137,4,15,39,9,5,1,8,7,0,0,0,0,0,0,1,54,51-66,2625,0,0,1,0,0,0,1,0,0,355,42224</v>
      </c>
    </row>
    <row r="947" spans="1:40" ht="13" hidden="1" x14ac:dyDescent="0.15">
      <c r="A947">
        <v>1595</v>
      </c>
      <c r="B947" s="1">
        <v>37292</v>
      </c>
      <c r="C947" s="1">
        <v>394</v>
      </c>
      <c r="D947" s="4">
        <f t="shared" si="28"/>
        <v>1.0565268690335729E-2</v>
      </c>
      <c r="E947" s="1">
        <v>1</v>
      </c>
      <c r="F947" s="1">
        <v>0</v>
      </c>
      <c r="G947" s="1">
        <v>32</v>
      </c>
      <c r="H947" s="1">
        <v>275</v>
      </c>
      <c r="I947" s="1">
        <v>0</v>
      </c>
      <c r="J947" s="1">
        <v>86</v>
      </c>
      <c r="K947" s="1">
        <v>10</v>
      </c>
      <c r="L947" s="1">
        <v>23</v>
      </c>
      <c r="M947" s="1">
        <v>66</v>
      </c>
      <c r="N947" s="1">
        <v>5</v>
      </c>
      <c r="O947" s="1">
        <v>6</v>
      </c>
      <c r="P947" s="1">
        <v>3</v>
      </c>
      <c r="Q947" s="1">
        <v>5</v>
      </c>
      <c r="R947" s="1">
        <v>8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37</v>
      </c>
      <c r="AA947" s="1" t="str" cm="1">
        <f t="array" ref="AA947">_xlfn.IFS(AND(Z947&lt;36, Z947&gt;23), "24-35", AND(Z947&lt;51, Z947&gt;35),"36-50", AND(Z947&lt;66, Z947&gt;50), "51-66", Z947&gt;65, "66+", TRUE, "?")</f>
        <v>36-50</v>
      </c>
      <c r="AB947" s="1">
        <v>2596</v>
      </c>
      <c r="AC947" s="1">
        <v>0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1</v>
      </c>
      <c r="AJ947" s="1">
        <v>0</v>
      </c>
      <c r="AK947" s="1">
        <v>0</v>
      </c>
      <c r="AL947" s="1">
        <v>328</v>
      </c>
      <c r="AM947" s="2">
        <v>42253</v>
      </c>
      <c r="AN947" t="str">
        <f t="shared" si="29"/>
        <v>37292,394,0.0105652686903357,1,0,32,275,0,86,10,23,66,5,6,3,5,8,0,0,0,0,0,0,0,37,36-50,2596,0,0,0,1,0,0,1,0,0,328,42253</v>
      </c>
    </row>
    <row r="948" spans="1:40" ht="13" hidden="1" x14ac:dyDescent="0.15">
      <c r="A948">
        <v>1916</v>
      </c>
      <c r="B948" s="1">
        <v>45736</v>
      </c>
      <c r="C948" s="1">
        <v>394</v>
      </c>
      <c r="D948" s="4">
        <f t="shared" si="28"/>
        <v>8.6146580374322195E-3</v>
      </c>
      <c r="E948" s="1">
        <v>0</v>
      </c>
      <c r="F948" s="1">
        <v>1</v>
      </c>
      <c r="G948" s="1">
        <v>92</v>
      </c>
      <c r="H948" s="1">
        <v>188</v>
      </c>
      <c r="I948" s="1">
        <v>3</v>
      </c>
      <c r="J948" s="1">
        <v>180</v>
      </c>
      <c r="K948" s="1">
        <v>20</v>
      </c>
      <c r="L948" s="1">
        <v>3</v>
      </c>
      <c r="M948" s="1">
        <v>43</v>
      </c>
      <c r="N948" s="1">
        <v>5</v>
      </c>
      <c r="O948" s="1">
        <v>7</v>
      </c>
      <c r="P948" s="1">
        <v>1</v>
      </c>
      <c r="Q948" s="1">
        <v>6</v>
      </c>
      <c r="R948" s="1">
        <v>7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66</v>
      </c>
      <c r="AA948" s="1" t="str" cm="1">
        <f t="array" ref="AA948">_xlfn.IFS(AND(Z948&lt;36, Z948&gt;23), "24-35", AND(Z948&lt;51, Z948&gt;35),"36-50", AND(Z948&lt;66, Z948&gt;50), "51-66", Z948&gt;65, "66+", TRUE, "?")</f>
        <v>66+</v>
      </c>
      <c r="AB948" s="1">
        <v>2499</v>
      </c>
      <c r="AC948" s="1">
        <v>0</v>
      </c>
      <c r="AD948" s="1">
        <v>1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1</v>
      </c>
      <c r="AK948" s="1">
        <v>0</v>
      </c>
      <c r="AL948" s="1">
        <v>351</v>
      </c>
      <c r="AM948" s="2">
        <v>42350</v>
      </c>
      <c r="AN948" t="str">
        <f t="shared" si="29"/>
        <v>45736,394,0.00861465803743222,0,1,92,188,3,180,20,3,43,5,7,1,6,7,0,0,0,0,0,0,0,66,66+,2499,0,1,0,0,0,0,0,1,0,351,42350</v>
      </c>
    </row>
    <row r="949" spans="1:40" ht="13" hidden="1" x14ac:dyDescent="0.15">
      <c r="A949">
        <v>197</v>
      </c>
      <c r="B949" s="1">
        <v>41443</v>
      </c>
      <c r="C949" s="1">
        <v>393</v>
      </c>
      <c r="D949" s="4">
        <f t="shared" si="28"/>
        <v>9.4829042299061361E-3</v>
      </c>
      <c r="E949" s="1">
        <v>1</v>
      </c>
      <c r="F949" s="1">
        <v>0</v>
      </c>
      <c r="G949" s="1">
        <v>79</v>
      </c>
      <c r="H949" s="1">
        <v>171</v>
      </c>
      <c r="I949" s="1">
        <v>7</v>
      </c>
      <c r="J949" s="1">
        <v>171</v>
      </c>
      <c r="K949" s="1">
        <v>25</v>
      </c>
      <c r="L949" s="1">
        <v>19</v>
      </c>
      <c r="M949" s="1">
        <v>89</v>
      </c>
      <c r="N949" s="1">
        <v>6</v>
      </c>
      <c r="O949" s="1">
        <v>8</v>
      </c>
      <c r="P949" s="1">
        <v>1</v>
      </c>
      <c r="Q949" s="1">
        <v>5</v>
      </c>
      <c r="R949" s="1">
        <v>8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43</v>
      </c>
      <c r="AA949" s="1" t="str" cm="1">
        <f t="array" ref="AA949">_xlfn.IFS(AND(Z949&lt;36, Z949&gt;23), "24-35", AND(Z949&lt;51, Z949&gt;35),"36-50", AND(Z949&lt;66, Z949&gt;50), "51-66", Z949&gt;65, "66+", TRUE, "?")</f>
        <v>36-50</v>
      </c>
      <c r="AB949" s="1">
        <v>2248</v>
      </c>
      <c r="AC949" s="1">
        <v>0</v>
      </c>
      <c r="AD949" s="1">
        <v>1</v>
      </c>
      <c r="AE949" s="1">
        <v>0</v>
      </c>
      <c r="AF949" s="1">
        <v>0</v>
      </c>
      <c r="AG949" s="1">
        <v>0</v>
      </c>
      <c r="AH949" s="1">
        <v>0</v>
      </c>
      <c r="AI949" s="1">
        <v>1</v>
      </c>
      <c r="AJ949" s="1">
        <v>0</v>
      </c>
      <c r="AK949" s="1">
        <v>0</v>
      </c>
      <c r="AL949" s="1">
        <v>304</v>
      </c>
      <c r="AM949" s="2">
        <v>42601</v>
      </c>
      <c r="AN949" t="str">
        <f t="shared" si="29"/>
        <v>41443,393,0.00948290422990614,1,0,79,171,7,171,25,19,89,6,8,1,5,8,0,0,0,0,0,0,0,43,36-50,2248,0,1,0,0,0,0,1,0,0,304,42601</v>
      </c>
    </row>
    <row r="950" spans="1:40" ht="13" hidden="1" x14ac:dyDescent="0.15">
      <c r="A950">
        <v>420</v>
      </c>
      <c r="B950" s="1">
        <v>55707</v>
      </c>
      <c r="C950" s="1">
        <v>393</v>
      </c>
      <c r="D950" s="4">
        <f t="shared" si="28"/>
        <v>7.0547687005223757E-3</v>
      </c>
      <c r="E950" s="1">
        <v>0</v>
      </c>
      <c r="F950" s="1">
        <v>1</v>
      </c>
      <c r="G950" s="1">
        <v>91</v>
      </c>
      <c r="H950" s="1">
        <v>208</v>
      </c>
      <c r="I950" s="1">
        <v>7</v>
      </c>
      <c r="J950" s="1">
        <v>82</v>
      </c>
      <c r="K950" s="1">
        <v>30</v>
      </c>
      <c r="L950" s="1">
        <v>66</v>
      </c>
      <c r="M950" s="1">
        <v>35</v>
      </c>
      <c r="N950" s="1">
        <v>2</v>
      </c>
      <c r="O950" s="1">
        <v>3</v>
      </c>
      <c r="P950" s="1">
        <v>2</v>
      </c>
      <c r="Q950" s="1">
        <v>9</v>
      </c>
      <c r="R950" s="1">
        <v>3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67</v>
      </c>
      <c r="AA950" s="1" t="str" cm="1">
        <f t="array" ref="AA950">_xlfn.IFS(AND(Z950&lt;36, Z950&gt;23), "24-35", AND(Z950&lt;51, Z950&gt;35),"36-50", AND(Z950&lt;66, Z950&gt;50), "51-66", Z950&gt;65, "66+", TRUE, "?")</f>
        <v>66+</v>
      </c>
      <c r="AB950" s="1">
        <v>2348</v>
      </c>
      <c r="AC950" s="1">
        <v>0</v>
      </c>
      <c r="AD950" s="1">
        <v>1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1</v>
      </c>
      <c r="AL950" s="1">
        <v>358</v>
      </c>
      <c r="AM950" s="2">
        <v>42501</v>
      </c>
      <c r="AN950" t="str">
        <f t="shared" si="29"/>
        <v>55707,393,0.00705476870052238,0,1,91,208,7,82,30,66,35,2,3,2,9,3,0,0,0,0,0,0,0,67,66+,2348,0,1,0,0,0,0,0,0,1,358,42501</v>
      </c>
    </row>
    <row r="951" spans="1:40" ht="13" hidden="1" x14ac:dyDescent="0.15">
      <c r="A951">
        <v>720</v>
      </c>
      <c r="B951" s="1">
        <v>62058</v>
      </c>
      <c r="C951" s="1">
        <v>392</v>
      </c>
      <c r="D951" s="4">
        <f t="shared" si="28"/>
        <v>6.3166715008540399E-3</v>
      </c>
      <c r="E951" s="1">
        <v>0</v>
      </c>
      <c r="F951" s="1">
        <v>1</v>
      </c>
      <c r="G951" s="1">
        <v>52</v>
      </c>
      <c r="H951" s="1">
        <v>301</v>
      </c>
      <c r="I951" s="1">
        <v>7</v>
      </c>
      <c r="J951" s="1">
        <v>74</v>
      </c>
      <c r="K951" s="1">
        <v>10</v>
      </c>
      <c r="L951" s="1">
        <v>0</v>
      </c>
      <c r="M951" s="1">
        <v>58</v>
      </c>
      <c r="N951" s="1">
        <v>4</v>
      </c>
      <c r="O951" s="1">
        <v>6</v>
      </c>
      <c r="P951" s="1">
        <v>1</v>
      </c>
      <c r="Q951" s="1">
        <v>7</v>
      </c>
      <c r="R951" s="1">
        <v>6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64</v>
      </c>
      <c r="AA951" s="1" t="str" cm="1">
        <f t="array" ref="AA951">_xlfn.IFS(AND(Z951&lt;36, Z951&gt;23), "24-35", AND(Z951&lt;51, Z951&gt;35),"36-50", AND(Z951&lt;66, Z951&gt;50), "51-66", Z951&gt;65, "66+", TRUE, "?")</f>
        <v>51-66</v>
      </c>
      <c r="AB951" s="1">
        <v>2558</v>
      </c>
      <c r="AC951" s="1">
        <v>0</v>
      </c>
      <c r="AD951" s="1">
        <v>1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1</v>
      </c>
      <c r="AK951" s="1">
        <v>0</v>
      </c>
      <c r="AL951" s="1">
        <v>334</v>
      </c>
      <c r="AM951" s="2">
        <v>42291</v>
      </c>
      <c r="AN951" t="str">
        <f t="shared" si="29"/>
        <v>62058,392,0.00631667150085404,0,1,52,301,7,74,10,0,58,4,6,1,7,6,0,0,0,0,0,0,0,64,51-66,2558,0,1,0,0,0,0,0,1,0,334,42291</v>
      </c>
    </row>
    <row r="952" spans="1:40" ht="13" hidden="1" x14ac:dyDescent="0.15">
      <c r="A952">
        <v>1078</v>
      </c>
      <c r="B952" s="1">
        <v>57744</v>
      </c>
      <c r="C952" s="1">
        <v>392</v>
      </c>
      <c r="D952" s="4">
        <f t="shared" si="28"/>
        <v>6.7885840953172622E-3</v>
      </c>
      <c r="E952" s="1">
        <v>0</v>
      </c>
      <c r="F952" s="1">
        <v>1</v>
      </c>
      <c r="G952" s="1">
        <v>91</v>
      </c>
      <c r="H952" s="1">
        <v>350</v>
      </c>
      <c r="I952" s="1">
        <v>3</v>
      </c>
      <c r="J952" s="1">
        <v>39</v>
      </c>
      <c r="K952" s="1">
        <v>0</v>
      </c>
      <c r="L952" s="1">
        <v>0</v>
      </c>
      <c r="M952" s="1">
        <v>19</v>
      </c>
      <c r="N952" s="1">
        <v>2</v>
      </c>
      <c r="O952" s="1">
        <v>9</v>
      </c>
      <c r="P952" s="1">
        <v>1</v>
      </c>
      <c r="Q952" s="1">
        <v>4</v>
      </c>
      <c r="R952" s="1">
        <v>8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66</v>
      </c>
      <c r="AA952" s="1" t="str" cm="1">
        <f t="array" ref="AA952">_xlfn.IFS(AND(Z952&lt;36, Z952&gt;23), "24-35", AND(Z952&lt;51, Z952&gt;35),"36-50", AND(Z952&lt;66, Z952&gt;50), "51-66", Z952&gt;65, "66+", TRUE, "?")</f>
        <v>66+</v>
      </c>
      <c r="AB952" s="1">
        <v>2388</v>
      </c>
      <c r="AC952" s="1">
        <v>0</v>
      </c>
      <c r="AD952" s="1">
        <v>1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1</v>
      </c>
      <c r="AL952" s="1">
        <v>373</v>
      </c>
      <c r="AM952" s="2">
        <v>42461</v>
      </c>
      <c r="AN952" t="str">
        <f t="shared" si="29"/>
        <v>57744,392,0.00678858409531726,0,1,91,350,3,39,0,0,19,2,9,1,4,8,0,0,0,0,0,0,0,66,66+,2388,0,1,0,0,0,0,0,0,1,373,42461</v>
      </c>
    </row>
    <row r="953" spans="1:40" ht="13" hidden="1" x14ac:dyDescent="0.15">
      <c r="A953">
        <v>1811</v>
      </c>
      <c r="B953" s="1">
        <v>58116</v>
      </c>
      <c r="C953" s="1">
        <v>392</v>
      </c>
      <c r="D953" s="4">
        <f t="shared" si="28"/>
        <v>6.7451304287975775E-3</v>
      </c>
      <c r="E953" s="1">
        <v>0</v>
      </c>
      <c r="F953" s="1">
        <v>1</v>
      </c>
      <c r="G953" s="1">
        <v>38</v>
      </c>
      <c r="H953" s="1">
        <v>228</v>
      </c>
      <c r="I953" s="1">
        <v>19</v>
      </c>
      <c r="J953" s="1">
        <v>130</v>
      </c>
      <c r="K953" s="1">
        <v>4</v>
      </c>
      <c r="L953" s="1">
        <v>11</v>
      </c>
      <c r="M953" s="1">
        <v>51</v>
      </c>
      <c r="N953" s="1">
        <v>2</v>
      </c>
      <c r="O953" s="1">
        <v>3</v>
      </c>
      <c r="P953" s="1">
        <v>3</v>
      </c>
      <c r="Q953" s="1">
        <v>8</v>
      </c>
      <c r="R953" s="1">
        <v>2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64</v>
      </c>
      <c r="AA953" s="1" t="str" cm="1">
        <f t="array" ref="AA953">_xlfn.IFS(AND(Z953&lt;36, Z953&gt;23), "24-35", AND(Z953&lt;51, Z953&gt;35),"36-50", AND(Z953&lt;66, Z953&gt;50), "51-66", Z953&gt;65, "66+", TRUE, "?")</f>
        <v>51-66</v>
      </c>
      <c r="AB953" s="1">
        <v>2236</v>
      </c>
      <c r="AC953" s="1">
        <v>0</v>
      </c>
      <c r="AD953" s="1">
        <v>1</v>
      </c>
      <c r="AE953" s="1">
        <v>0</v>
      </c>
      <c r="AF953" s="1">
        <v>0</v>
      </c>
      <c r="AG953" s="1">
        <v>0</v>
      </c>
      <c r="AH953" s="1">
        <v>0</v>
      </c>
      <c r="AI953" s="1">
        <v>1</v>
      </c>
      <c r="AJ953" s="1">
        <v>0</v>
      </c>
      <c r="AK953" s="1">
        <v>0</v>
      </c>
      <c r="AL953" s="1">
        <v>341</v>
      </c>
      <c r="AM953" s="2">
        <v>42613</v>
      </c>
      <c r="AN953" t="str">
        <f t="shared" si="29"/>
        <v>58116,392,0.00674513042879758,0,1,38,228,19,130,4,11,51,2,3,3,8,2,0,0,0,0,0,0,0,64,51-66,2236,0,1,0,0,0,0,1,0,0,341,42613</v>
      </c>
    </row>
    <row r="954" spans="1:40" ht="13" hidden="1" x14ac:dyDescent="0.15">
      <c r="A954">
        <v>1101</v>
      </c>
      <c r="B954" s="1">
        <v>66726</v>
      </c>
      <c r="C954" s="1">
        <v>391</v>
      </c>
      <c r="D954" s="4">
        <f t="shared" si="28"/>
        <v>5.8597847915355331E-3</v>
      </c>
      <c r="E954" s="1">
        <v>1</v>
      </c>
      <c r="F954" s="1">
        <v>1</v>
      </c>
      <c r="G954" s="1">
        <v>61</v>
      </c>
      <c r="H954" s="1">
        <v>349</v>
      </c>
      <c r="I954" s="1">
        <v>7</v>
      </c>
      <c r="J954" s="1">
        <v>35</v>
      </c>
      <c r="K954" s="1">
        <v>0</v>
      </c>
      <c r="L954" s="1">
        <v>0</v>
      </c>
      <c r="M954" s="1">
        <v>47</v>
      </c>
      <c r="N954" s="1">
        <v>3</v>
      </c>
      <c r="O954" s="1">
        <v>8</v>
      </c>
      <c r="P954" s="1">
        <v>2</v>
      </c>
      <c r="Q954" s="1">
        <v>4</v>
      </c>
      <c r="R954" s="1">
        <v>7</v>
      </c>
      <c r="S954" s="1">
        <v>0</v>
      </c>
      <c r="T954" s="1">
        <v>0</v>
      </c>
      <c r="U954" s="1">
        <v>0</v>
      </c>
      <c r="V954" s="1">
        <v>1</v>
      </c>
      <c r="W954" s="1">
        <v>0</v>
      </c>
      <c r="X954" s="1">
        <v>0</v>
      </c>
      <c r="Y954" s="1">
        <v>0</v>
      </c>
      <c r="Z954" s="1">
        <v>63</v>
      </c>
      <c r="AA954" s="1" t="str" cm="1">
        <f t="array" ref="AA954">_xlfn.IFS(AND(Z954&lt;36, Z954&gt;23), "24-35", AND(Z954&lt;51, Z954&gt;35),"36-50", AND(Z954&lt;66, Z954&gt;50), "51-66", Z954&gt;65, "66+", TRUE, "?")</f>
        <v>51-66</v>
      </c>
      <c r="AB954" s="1">
        <v>2327</v>
      </c>
      <c r="AC954" s="1">
        <v>0</v>
      </c>
      <c r="AD954" s="1">
        <v>1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1</v>
      </c>
      <c r="AK954" s="1">
        <v>0</v>
      </c>
      <c r="AL954" s="1">
        <v>344</v>
      </c>
      <c r="AM954" s="2">
        <v>42522</v>
      </c>
      <c r="AN954" t="str">
        <f t="shared" si="29"/>
        <v>66726,391,0.00585978479153553,1,1,61,349,7,35,0,0,47,3,8,2,4,7,0,0,0,1,0,0,0,63,51-66,2327,0,1,0,0,0,0,0,1,0,344,42522</v>
      </c>
    </row>
    <row r="955" spans="1:40" ht="13" hidden="1" x14ac:dyDescent="0.15">
      <c r="A955">
        <v>1480</v>
      </c>
      <c r="B955" s="1">
        <v>60432</v>
      </c>
      <c r="C955" s="1">
        <v>390</v>
      </c>
      <c r="D955" s="4">
        <f t="shared" si="28"/>
        <v>6.4535345512311357E-3</v>
      </c>
      <c r="E955" s="1">
        <v>0</v>
      </c>
      <c r="F955" s="1">
        <v>1</v>
      </c>
      <c r="G955" s="1">
        <v>61</v>
      </c>
      <c r="H955" s="1">
        <v>365</v>
      </c>
      <c r="I955" s="1">
        <v>3</v>
      </c>
      <c r="J955" s="1">
        <v>15</v>
      </c>
      <c r="K955" s="1">
        <v>4</v>
      </c>
      <c r="L955" s="1">
        <v>3</v>
      </c>
      <c r="M955" s="1">
        <v>11</v>
      </c>
      <c r="N955" s="1">
        <v>5</v>
      </c>
      <c r="O955" s="1">
        <v>7</v>
      </c>
      <c r="P955" s="1">
        <v>2</v>
      </c>
      <c r="Q955" s="1">
        <v>5</v>
      </c>
      <c r="R955" s="1">
        <v>6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47</v>
      </c>
      <c r="AA955" s="1" t="str" cm="1">
        <f t="array" ref="AA955">_xlfn.IFS(AND(Z955&lt;36, Z955&gt;23), "24-35", AND(Z955&lt;51, Z955&gt;35),"36-50", AND(Z955&lt;66, Z955&gt;50), "51-66", Z955&gt;65, "66+", TRUE, "?")</f>
        <v>36-50</v>
      </c>
      <c r="AB955" s="1">
        <v>2271</v>
      </c>
      <c r="AC955" s="1">
        <v>0</v>
      </c>
      <c r="AD955" s="1">
        <v>1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1</v>
      </c>
      <c r="AK955" s="1">
        <v>0</v>
      </c>
      <c r="AL955" s="1">
        <v>379</v>
      </c>
      <c r="AM955" s="2">
        <v>42578</v>
      </c>
      <c r="AN955" t="str">
        <f t="shared" si="29"/>
        <v>60432,390,0.00645353455123114,0,1,61,365,3,15,4,3,11,5,7,2,5,6,0,0,0,0,0,0,0,47,36-50,2271,0,1,0,0,0,0,0,1,0,379,42578</v>
      </c>
    </row>
    <row r="956" spans="1:40" ht="13" hidden="1" x14ac:dyDescent="0.15">
      <c r="A956">
        <v>1820</v>
      </c>
      <c r="B956" s="1">
        <v>32644</v>
      </c>
      <c r="C956" s="1">
        <v>390</v>
      </c>
      <c r="D956" s="4">
        <f t="shared" si="28"/>
        <v>1.1947065310623698E-2</v>
      </c>
      <c r="E956" s="1">
        <v>1</v>
      </c>
      <c r="F956" s="1">
        <v>0</v>
      </c>
      <c r="G956" s="1">
        <v>38</v>
      </c>
      <c r="H956" s="1">
        <v>239</v>
      </c>
      <c r="I956" s="1">
        <v>3</v>
      </c>
      <c r="J956" s="1">
        <v>141</v>
      </c>
      <c r="K956" s="1">
        <v>0</v>
      </c>
      <c r="L956" s="1">
        <v>7</v>
      </c>
      <c r="M956" s="1">
        <v>23</v>
      </c>
      <c r="N956" s="1">
        <v>4</v>
      </c>
      <c r="O956" s="1">
        <v>7</v>
      </c>
      <c r="P956" s="1">
        <v>1</v>
      </c>
      <c r="Q956" s="1">
        <v>6</v>
      </c>
      <c r="R956" s="1">
        <v>8</v>
      </c>
      <c r="S956" s="1">
        <v>0</v>
      </c>
      <c r="T956" s="1">
        <v>0</v>
      </c>
      <c r="U956" s="1">
        <v>1</v>
      </c>
      <c r="V956" s="1">
        <v>0</v>
      </c>
      <c r="W956" s="1">
        <v>0</v>
      </c>
      <c r="X956" s="1">
        <v>0</v>
      </c>
      <c r="Y956" s="1">
        <v>0</v>
      </c>
      <c r="Z956" s="1">
        <v>47</v>
      </c>
      <c r="AA956" s="1" t="str" cm="1">
        <f t="array" ref="AA956">_xlfn.IFS(AND(Z956&lt;36, Z956&gt;23), "24-35", AND(Z956&lt;51, Z956&gt;35),"36-50", AND(Z956&lt;66, Z956&gt;50), "51-66", Z956&gt;65, "66+", TRUE, "?")</f>
        <v>36-50</v>
      </c>
      <c r="AB956" s="1">
        <v>2688</v>
      </c>
      <c r="AC956" s="1">
        <v>0</v>
      </c>
      <c r="AD956" s="1">
        <v>1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1</v>
      </c>
      <c r="AL956" s="1">
        <v>367</v>
      </c>
      <c r="AM956" s="2">
        <v>42161</v>
      </c>
      <c r="AN956" t="str">
        <f t="shared" si="29"/>
        <v>32644,390,0.0119470653106237,1,0,38,239,3,141,0,7,23,4,7,1,6,8,0,0,1,0,0,0,0,47,36-50,2688,0,1,0,0,0,0,0,0,1,367,42161</v>
      </c>
    </row>
    <row r="957" spans="1:40" ht="13" hidden="1" x14ac:dyDescent="0.15">
      <c r="A957">
        <v>584</v>
      </c>
      <c r="B957" s="1">
        <v>54456</v>
      </c>
      <c r="C957" s="1">
        <v>389</v>
      </c>
      <c r="D957" s="4">
        <f t="shared" si="28"/>
        <v>7.1433818128397242E-3</v>
      </c>
      <c r="E957" s="1">
        <v>0</v>
      </c>
      <c r="F957" s="1">
        <v>1</v>
      </c>
      <c r="G957" s="1">
        <v>23</v>
      </c>
      <c r="H957" s="1">
        <v>352</v>
      </c>
      <c r="I957" s="1">
        <v>0</v>
      </c>
      <c r="J957" s="1">
        <v>27</v>
      </c>
      <c r="K957" s="1">
        <v>10</v>
      </c>
      <c r="L957" s="1">
        <v>0</v>
      </c>
      <c r="M957" s="1">
        <v>15</v>
      </c>
      <c r="N957" s="1">
        <v>3</v>
      </c>
      <c r="O957" s="1">
        <v>6</v>
      </c>
      <c r="P957" s="1">
        <v>1</v>
      </c>
      <c r="Q957" s="1">
        <v>7</v>
      </c>
      <c r="R957" s="1">
        <v>6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59</v>
      </c>
      <c r="AA957" s="1" t="str" cm="1">
        <f t="array" ref="AA957">_xlfn.IFS(AND(Z957&lt;36, Z957&gt;23), "24-35", AND(Z957&lt;51, Z957&gt;35),"36-50", AND(Z957&lt;66, Z957&gt;50), "51-66", Z957&gt;65, "66+", TRUE, "?")</f>
        <v>51-66</v>
      </c>
      <c r="AB957" s="1">
        <v>2512</v>
      </c>
      <c r="AC957" s="1">
        <v>0</v>
      </c>
      <c r="AD957" s="1">
        <v>1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1</v>
      </c>
      <c r="AL957" s="1">
        <v>374</v>
      </c>
      <c r="AM957" s="2">
        <v>42337</v>
      </c>
      <c r="AN957" t="str">
        <f t="shared" si="29"/>
        <v>54456,389,0.00714338181283972,0,1,23,352,0,27,10,0,15,3,6,1,7,6,0,0,0,0,0,0,0,59,51-66,2512,0,1,0,0,0,0,0,0,1,374,42337</v>
      </c>
    </row>
    <row r="958" spans="1:40" ht="13" hidden="1" x14ac:dyDescent="0.15">
      <c r="A958">
        <v>1036</v>
      </c>
      <c r="B958" s="1">
        <v>38508</v>
      </c>
      <c r="C958" s="1">
        <v>389</v>
      </c>
      <c r="D958" s="4">
        <f t="shared" si="28"/>
        <v>1.0101797029188741E-2</v>
      </c>
      <c r="E958" s="1">
        <v>1</v>
      </c>
      <c r="F958" s="1">
        <v>0</v>
      </c>
      <c r="G958" s="1">
        <v>95</v>
      </c>
      <c r="H958" s="1">
        <v>120</v>
      </c>
      <c r="I958" s="1">
        <v>19</v>
      </c>
      <c r="J958" s="1">
        <v>206</v>
      </c>
      <c r="K958" s="1">
        <v>25</v>
      </c>
      <c r="L958" s="1">
        <v>19</v>
      </c>
      <c r="M958" s="1">
        <v>54</v>
      </c>
      <c r="N958" s="1">
        <v>6</v>
      </c>
      <c r="O958" s="1">
        <v>7</v>
      </c>
      <c r="P958" s="1">
        <v>2</v>
      </c>
      <c r="Q958" s="1">
        <v>5</v>
      </c>
      <c r="R958" s="1">
        <v>8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34</v>
      </c>
      <c r="AA958" s="1" t="str" cm="1">
        <f t="array" ref="AA958">_xlfn.IFS(AND(Z958&lt;36, Z958&gt;23), "24-35", AND(Z958&lt;51, Z958&gt;35),"36-50", AND(Z958&lt;66, Z958&gt;50), "51-66", Z958&gt;65, "66+", TRUE, "?")</f>
        <v>24-35</v>
      </c>
      <c r="AB958" s="1">
        <v>2490</v>
      </c>
      <c r="AC958" s="1">
        <v>0</v>
      </c>
      <c r="AD958" s="1">
        <v>1</v>
      </c>
      <c r="AE958" s="1">
        <v>0</v>
      </c>
      <c r="AF958" s="1">
        <v>0</v>
      </c>
      <c r="AG958" s="1">
        <v>0</v>
      </c>
      <c r="AH958" s="1">
        <v>0</v>
      </c>
      <c r="AI958" s="1">
        <v>1</v>
      </c>
      <c r="AJ958" s="1">
        <v>0</v>
      </c>
      <c r="AK958" s="1">
        <v>0</v>
      </c>
      <c r="AL958" s="1">
        <v>335</v>
      </c>
      <c r="AM958" s="2">
        <v>42359</v>
      </c>
      <c r="AN958" t="str">
        <f t="shared" si="29"/>
        <v>38508,389,0.0101017970291887,1,0,95,120,19,206,25,19,54,6,7,2,5,8,0,0,0,0,0,0,0,34,24-35,2490,0,1,0,0,0,0,1,0,0,335,42359</v>
      </c>
    </row>
    <row r="959" spans="1:40" ht="13" hidden="1" x14ac:dyDescent="0.15">
      <c r="A959">
        <v>1279</v>
      </c>
      <c r="B959" s="1">
        <v>47025</v>
      </c>
      <c r="C959" s="1">
        <v>389</v>
      </c>
      <c r="D959" s="4">
        <f t="shared" si="28"/>
        <v>8.2721956406166929E-3</v>
      </c>
      <c r="E959" s="1">
        <v>0</v>
      </c>
      <c r="F959" s="1">
        <v>1</v>
      </c>
      <c r="G959" s="1">
        <v>52</v>
      </c>
      <c r="H959" s="1">
        <v>254</v>
      </c>
      <c r="I959" s="1">
        <v>7</v>
      </c>
      <c r="J959" s="1">
        <v>108</v>
      </c>
      <c r="K959" s="1">
        <v>20</v>
      </c>
      <c r="L959" s="1">
        <v>0</v>
      </c>
      <c r="M959" s="1">
        <v>26</v>
      </c>
      <c r="N959" s="1">
        <v>3</v>
      </c>
      <c r="O959" s="1">
        <v>6</v>
      </c>
      <c r="P959" s="1">
        <v>3</v>
      </c>
      <c r="Q959" s="1">
        <v>5</v>
      </c>
      <c r="R959" s="1">
        <v>6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44</v>
      </c>
      <c r="AA959" s="1" t="str" cm="1">
        <f t="array" ref="AA959">_xlfn.IFS(AND(Z959&lt;36, Z959&gt;23), "24-35", AND(Z959&lt;51, Z959&gt;35),"36-50", AND(Z959&lt;66, Z959&gt;50), "51-66", Z959&gt;65, "66+", TRUE, "?")</f>
        <v>36-50</v>
      </c>
      <c r="AB959" s="1">
        <v>2393</v>
      </c>
      <c r="AC959" s="1">
        <v>0</v>
      </c>
      <c r="AD959" s="1">
        <v>0</v>
      </c>
      <c r="AE959" s="1">
        <v>1</v>
      </c>
      <c r="AF959" s="1">
        <v>0</v>
      </c>
      <c r="AG959" s="1">
        <v>0</v>
      </c>
      <c r="AH959" s="1">
        <v>0</v>
      </c>
      <c r="AI959" s="1">
        <v>1</v>
      </c>
      <c r="AJ959" s="1">
        <v>0</v>
      </c>
      <c r="AK959" s="1">
        <v>0</v>
      </c>
      <c r="AL959" s="1">
        <v>363</v>
      </c>
      <c r="AM959" s="2">
        <v>42456</v>
      </c>
      <c r="AN959" t="str">
        <f t="shared" si="29"/>
        <v>47025,389,0.00827219564061669,0,1,52,254,7,108,20,0,26,3,6,3,5,6,0,0,0,0,0,0,0,44,36-50,2393,0,0,1,0,0,0,1,0,0,363,42456</v>
      </c>
    </row>
    <row r="960" spans="1:40" ht="13" hidden="1" x14ac:dyDescent="0.15">
      <c r="A960">
        <v>1287</v>
      </c>
      <c r="B960" s="1">
        <v>56243</v>
      </c>
      <c r="C960" s="1">
        <v>389</v>
      </c>
      <c r="D960" s="4">
        <f t="shared" si="28"/>
        <v>6.9164162651352166E-3</v>
      </c>
      <c r="E960" s="1">
        <v>1</v>
      </c>
      <c r="F960" s="1">
        <v>2</v>
      </c>
      <c r="G960" s="1">
        <v>26</v>
      </c>
      <c r="H960" s="1">
        <v>347</v>
      </c>
      <c r="I960" s="1">
        <v>0</v>
      </c>
      <c r="J960" s="1">
        <v>35</v>
      </c>
      <c r="K960" s="1">
        <v>4</v>
      </c>
      <c r="L960" s="1">
        <v>3</v>
      </c>
      <c r="M960" s="1">
        <v>7</v>
      </c>
      <c r="N960" s="1">
        <v>6</v>
      </c>
      <c r="O960" s="1">
        <v>4</v>
      </c>
      <c r="P960" s="1">
        <v>2</v>
      </c>
      <c r="Q960" s="1">
        <v>8</v>
      </c>
      <c r="R960" s="1">
        <v>5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45</v>
      </c>
      <c r="AA960" s="1" t="str" cm="1">
        <f t="array" ref="AA960">_xlfn.IFS(AND(Z960&lt;36, Z960&gt;23), "24-35", AND(Z960&lt;51, Z960&gt;35),"36-50", AND(Z960&lt;66, Z960&gt;50), "51-66", Z960&gt;65, "66+", TRUE, "?")</f>
        <v>36-50</v>
      </c>
      <c r="AB960" s="1">
        <v>2340</v>
      </c>
      <c r="AC960" s="1">
        <v>0</v>
      </c>
      <c r="AD960" s="1">
        <v>0</v>
      </c>
      <c r="AE960" s="1">
        <v>1</v>
      </c>
      <c r="AF960" s="1">
        <v>0</v>
      </c>
      <c r="AG960" s="1">
        <v>0</v>
      </c>
      <c r="AH960" s="1">
        <v>0</v>
      </c>
      <c r="AI960" s="1">
        <v>1</v>
      </c>
      <c r="AJ960" s="1">
        <v>0</v>
      </c>
      <c r="AK960" s="1">
        <v>0</v>
      </c>
      <c r="AL960" s="1">
        <v>382</v>
      </c>
      <c r="AM960" s="2">
        <v>42509</v>
      </c>
      <c r="AN960" t="str">
        <f t="shared" si="29"/>
        <v>56243,389,0.00691641626513522,1,2,26,347,0,35,4,3,7,6,4,2,8,5,0,0,0,0,0,0,0,45,36-50,2340,0,0,1,0,0,0,1,0,0,382,42509</v>
      </c>
    </row>
    <row r="961" spans="1:40" ht="13" x14ac:dyDescent="0.15">
      <c r="A961">
        <v>1430</v>
      </c>
      <c r="B961" s="1">
        <v>53367</v>
      </c>
      <c r="C961" s="1">
        <v>389</v>
      </c>
      <c r="D961" s="4">
        <f t="shared" si="28"/>
        <v>7.2891487248674279E-3</v>
      </c>
      <c r="E961" s="1">
        <v>1</v>
      </c>
      <c r="F961" s="1">
        <v>1</v>
      </c>
      <c r="G961" s="1">
        <v>2</v>
      </c>
      <c r="H961" s="1">
        <v>229</v>
      </c>
      <c r="I961" s="1">
        <v>7</v>
      </c>
      <c r="J961" s="1">
        <v>140</v>
      </c>
      <c r="K961" s="1">
        <v>10</v>
      </c>
      <c r="L961" s="1">
        <v>3</v>
      </c>
      <c r="M961" s="1">
        <v>11</v>
      </c>
      <c r="N961" s="1">
        <v>7</v>
      </c>
      <c r="O961" s="1">
        <v>5</v>
      </c>
      <c r="P961" s="1">
        <v>1</v>
      </c>
      <c r="Q961" s="1">
        <v>8</v>
      </c>
      <c r="R961" s="1">
        <v>7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1</v>
      </c>
      <c r="Z961" s="1">
        <v>46</v>
      </c>
      <c r="AA961" s="1" t="str" cm="1">
        <f t="array" ref="AA961">_xlfn.IFS(AND(Z961&lt;36, Z961&gt;23), "24-35", AND(Z961&lt;51, Z961&gt;35),"36-50", AND(Z961&lt;66, Z961&gt;50), "51-66", Z961&gt;65, "66+", TRUE, "?")</f>
        <v>36-50</v>
      </c>
      <c r="AB961" s="1">
        <v>2461</v>
      </c>
      <c r="AC961" s="1">
        <v>1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1</v>
      </c>
      <c r="AK961" s="1">
        <v>0</v>
      </c>
      <c r="AL961" s="1">
        <v>378</v>
      </c>
      <c r="AM961" s="2">
        <v>42388</v>
      </c>
      <c r="AN961" t="str">
        <f t="shared" si="29"/>
        <v>53367,389,0.00728914872486743,1,1,2,229,7,140,10,3,11,7,5,1,8,7,0,0,0,0,0,0,1,46,36-50,2461,1,0,0,0,0,0,0,1,0,378,42388</v>
      </c>
    </row>
    <row r="962" spans="1:40" ht="13" hidden="1" x14ac:dyDescent="0.15">
      <c r="A962">
        <v>1807</v>
      </c>
      <c r="B962" s="1">
        <v>53201</v>
      </c>
      <c r="C962" s="1">
        <v>388</v>
      </c>
      <c r="D962" s="4">
        <f t="shared" ref="D962:D1025" si="30">C962/B962</f>
        <v>7.2930959944361952E-3</v>
      </c>
      <c r="E962" s="1">
        <v>1</v>
      </c>
      <c r="F962" s="1">
        <v>1</v>
      </c>
      <c r="G962" s="1">
        <v>49</v>
      </c>
      <c r="H962" s="1">
        <v>280</v>
      </c>
      <c r="I962" s="1">
        <v>7</v>
      </c>
      <c r="J962" s="1">
        <v>81</v>
      </c>
      <c r="K962" s="1">
        <v>20</v>
      </c>
      <c r="L962" s="1">
        <v>0</v>
      </c>
      <c r="M962" s="1">
        <v>27</v>
      </c>
      <c r="N962" s="1">
        <v>8</v>
      </c>
      <c r="O962" s="1">
        <v>6</v>
      </c>
      <c r="P962" s="1">
        <v>3</v>
      </c>
      <c r="Q962" s="1">
        <v>5</v>
      </c>
      <c r="R962" s="1">
        <v>7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45</v>
      </c>
      <c r="AA962" s="1" t="str" cm="1">
        <f t="array" ref="AA962">_xlfn.IFS(AND(Z962&lt;36, Z962&gt;23), "24-35", AND(Z962&lt;51, Z962&gt;35),"36-50", AND(Z962&lt;66, Z962&gt;50), "51-66", Z962&gt;65, "66+", TRUE, "?")</f>
        <v>36-50</v>
      </c>
      <c r="AB962" s="1">
        <v>2661</v>
      </c>
      <c r="AC962" s="1">
        <v>0</v>
      </c>
      <c r="AD962" s="1">
        <v>0</v>
      </c>
      <c r="AE962" s="1">
        <v>1</v>
      </c>
      <c r="AF962" s="1">
        <v>0</v>
      </c>
      <c r="AG962" s="1">
        <v>0</v>
      </c>
      <c r="AH962" s="1">
        <v>0</v>
      </c>
      <c r="AI962" s="1">
        <v>1</v>
      </c>
      <c r="AJ962" s="1">
        <v>0</v>
      </c>
      <c r="AK962" s="1">
        <v>0</v>
      </c>
      <c r="AL962" s="1">
        <v>361</v>
      </c>
      <c r="AM962" s="2">
        <v>42188</v>
      </c>
      <c r="AN962" t="str">
        <f t="shared" ref="AN962:AN1025" si="31">_xlfn.TEXTJOIN(",",TRUE,B962:AM962)</f>
        <v>53201,388,0.0072930959944362,1,1,49,280,7,81,20,0,27,8,6,3,5,7,0,0,0,0,0,0,0,45,36-50,2661,0,0,1,0,0,0,1,0,0,361,42188</v>
      </c>
    </row>
    <row r="963" spans="1:40" ht="13" hidden="1" x14ac:dyDescent="0.15">
      <c r="A963">
        <v>114</v>
      </c>
      <c r="B963" s="1">
        <v>71488</v>
      </c>
      <c r="C963" s="1">
        <v>387</v>
      </c>
      <c r="D963" s="4">
        <f t="shared" si="30"/>
        <v>5.4134959713518348E-3</v>
      </c>
      <c r="E963" s="1">
        <v>0</v>
      </c>
      <c r="F963" s="1">
        <v>0</v>
      </c>
      <c r="G963" s="1">
        <v>87</v>
      </c>
      <c r="H963" s="1">
        <v>162</v>
      </c>
      <c r="I963" s="1">
        <v>33</v>
      </c>
      <c r="J963" s="1">
        <v>124</v>
      </c>
      <c r="K963" s="1">
        <v>40</v>
      </c>
      <c r="L963" s="1">
        <v>28</v>
      </c>
      <c r="M963" s="1">
        <v>172</v>
      </c>
      <c r="N963" s="1">
        <v>2</v>
      </c>
      <c r="O963" s="1">
        <v>3</v>
      </c>
      <c r="P963" s="1">
        <v>4</v>
      </c>
      <c r="Q963" s="1">
        <v>7</v>
      </c>
      <c r="R963" s="1">
        <v>1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55</v>
      </c>
      <c r="AA963" s="1" t="str" cm="1">
        <f t="array" ref="AA963">_xlfn.IFS(AND(Z963&lt;36, Z963&gt;23), "24-35", AND(Z963&lt;51, Z963&gt;35),"36-50", AND(Z963&lt;66, Z963&gt;50), "51-66", Z963&gt;65, "66+", TRUE, "?")</f>
        <v>51-66</v>
      </c>
      <c r="AB963" s="1">
        <v>2655</v>
      </c>
      <c r="AC963" s="1">
        <v>0</v>
      </c>
      <c r="AD963" s="1">
        <v>0</v>
      </c>
      <c r="AE963" s="1">
        <v>0</v>
      </c>
      <c r="AF963" s="1">
        <v>1</v>
      </c>
      <c r="AG963" s="1">
        <v>0</v>
      </c>
      <c r="AH963" s="1">
        <v>1</v>
      </c>
      <c r="AI963" s="1">
        <v>0</v>
      </c>
      <c r="AJ963" s="1">
        <v>0</v>
      </c>
      <c r="AK963" s="1">
        <v>0</v>
      </c>
      <c r="AL963" s="1">
        <v>215</v>
      </c>
      <c r="AM963" s="2">
        <v>42194</v>
      </c>
      <c r="AN963" t="str">
        <f t="shared" si="31"/>
        <v>71488,387,0.00541349597135183,0,0,87,162,33,124,40,28,172,2,3,4,7,1,0,0,0,0,0,0,0,55,51-66,2655,0,0,0,1,0,1,0,0,0,215,42194</v>
      </c>
    </row>
    <row r="964" spans="1:40" ht="13" hidden="1" x14ac:dyDescent="0.15">
      <c r="A964">
        <v>334</v>
      </c>
      <c r="B964" s="1">
        <v>46681</v>
      </c>
      <c r="C964" s="1">
        <v>387</v>
      </c>
      <c r="D964" s="4">
        <f t="shared" si="30"/>
        <v>8.290310833101262E-3</v>
      </c>
      <c r="E964" s="1">
        <v>0</v>
      </c>
      <c r="F964" s="1">
        <v>2</v>
      </c>
      <c r="G964" s="1">
        <v>52</v>
      </c>
      <c r="H964" s="1">
        <v>269</v>
      </c>
      <c r="I964" s="1">
        <v>15</v>
      </c>
      <c r="J964" s="1">
        <v>69</v>
      </c>
      <c r="K964" s="1">
        <v>15</v>
      </c>
      <c r="L964" s="1">
        <v>19</v>
      </c>
      <c r="M964" s="1">
        <v>38</v>
      </c>
      <c r="N964" s="1">
        <v>2</v>
      </c>
      <c r="O964" s="1">
        <v>4</v>
      </c>
      <c r="P964" s="1">
        <v>6</v>
      </c>
      <c r="Q964" s="1">
        <v>4</v>
      </c>
      <c r="R964" s="1">
        <v>5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72</v>
      </c>
      <c r="AA964" s="1" t="str" cm="1">
        <f t="array" ref="AA964">_xlfn.IFS(AND(Z964&lt;36, Z964&gt;23), "24-35", AND(Z964&lt;51, Z964&gt;35),"36-50", AND(Z964&lt;66, Z964&gt;50), "51-66", Z964&gt;65, "66+", TRUE, "?")</f>
        <v>66+</v>
      </c>
      <c r="AB964" s="1">
        <v>2423</v>
      </c>
      <c r="AC964" s="1">
        <v>0</v>
      </c>
      <c r="AD964" s="1">
        <v>0</v>
      </c>
      <c r="AE964" s="1">
        <v>0</v>
      </c>
      <c r="AF964" s="1">
        <v>1</v>
      </c>
      <c r="AG964" s="1">
        <v>0</v>
      </c>
      <c r="AH964" s="1">
        <v>0</v>
      </c>
      <c r="AI964" s="1">
        <v>0</v>
      </c>
      <c r="AJ964" s="1">
        <v>0</v>
      </c>
      <c r="AK964" s="1">
        <v>1</v>
      </c>
      <c r="AL964" s="1">
        <v>349</v>
      </c>
      <c r="AM964" s="2">
        <v>42426</v>
      </c>
      <c r="AN964" t="str">
        <f t="shared" si="31"/>
        <v>46681,387,0.00829031083310126,0,2,52,269,15,69,15,19,38,2,4,6,4,5,0,0,0,0,0,0,0,72,66+,2423,0,0,0,1,0,0,0,0,1,349,42426</v>
      </c>
    </row>
    <row r="965" spans="1:40" ht="13" hidden="1" x14ac:dyDescent="0.15">
      <c r="A965">
        <v>449</v>
      </c>
      <c r="B965" s="1">
        <v>41124</v>
      </c>
      <c r="C965" s="1">
        <v>387</v>
      </c>
      <c r="D965" s="4">
        <f t="shared" si="30"/>
        <v>9.4105631747884444E-3</v>
      </c>
      <c r="E965" s="1">
        <v>1</v>
      </c>
      <c r="F965" s="1">
        <v>0</v>
      </c>
      <c r="G965" s="1">
        <v>41</v>
      </c>
      <c r="H965" s="1">
        <v>281</v>
      </c>
      <c r="I965" s="1">
        <v>7</v>
      </c>
      <c r="J965" s="1">
        <v>84</v>
      </c>
      <c r="K965" s="1">
        <v>15</v>
      </c>
      <c r="L965" s="1">
        <v>0</v>
      </c>
      <c r="M965" s="1">
        <v>119</v>
      </c>
      <c r="N965" s="1">
        <v>7</v>
      </c>
      <c r="O965" s="1">
        <v>7</v>
      </c>
      <c r="P965" s="1">
        <v>3</v>
      </c>
      <c r="Q965" s="1">
        <v>4</v>
      </c>
      <c r="R965" s="1">
        <v>8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43</v>
      </c>
      <c r="AA965" s="1" t="str" cm="1">
        <f t="array" ref="AA965">_xlfn.IFS(AND(Z965&lt;36, Z965&gt;23), "24-35", AND(Z965&lt;51, Z965&gt;35),"36-50", AND(Z965&lt;66, Z965&gt;50), "51-66", Z965&gt;65, "66+", TRUE, "?")</f>
        <v>36-50</v>
      </c>
      <c r="AB965" s="1">
        <v>2765</v>
      </c>
      <c r="AC965" s="1">
        <v>0</v>
      </c>
      <c r="AD965" s="1">
        <v>1</v>
      </c>
      <c r="AE965" s="1">
        <v>0</v>
      </c>
      <c r="AF965" s="1">
        <v>0</v>
      </c>
      <c r="AG965" s="1">
        <v>0</v>
      </c>
      <c r="AH965" s="1">
        <v>0</v>
      </c>
      <c r="AI965" s="1">
        <v>1</v>
      </c>
      <c r="AJ965" s="1">
        <v>0</v>
      </c>
      <c r="AK965" s="1">
        <v>0</v>
      </c>
      <c r="AL965" s="1">
        <v>268</v>
      </c>
      <c r="AM965" s="2">
        <v>42084</v>
      </c>
      <c r="AN965" t="str">
        <f t="shared" si="31"/>
        <v>41124,387,0.00941056317478844,1,0,41,281,7,84,15,0,119,7,7,3,4,8,0,0,0,0,0,0,0,43,36-50,2765,0,1,0,0,0,0,1,0,0,268,42084</v>
      </c>
    </row>
    <row r="966" spans="1:40" ht="13" hidden="1" x14ac:dyDescent="0.15">
      <c r="A966">
        <v>812</v>
      </c>
      <c r="B966" s="1">
        <v>57906</v>
      </c>
      <c r="C966" s="1">
        <v>386</v>
      </c>
      <c r="D966" s="4">
        <f t="shared" si="30"/>
        <v>6.6659758919628363E-3</v>
      </c>
      <c r="E966" s="1">
        <v>0</v>
      </c>
      <c r="F966" s="1">
        <v>1</v>
      </c>
      <c r="G966" s="1">
        <v>29</v>
      </c>
      <c r="H966" s="1">
        <v>243</v>
      </c>
      <c r="I966" s="1">
        <v>11</v>
      </c>
      <c r="J966" s="1">
        <v>119</v>
      </c>
      <c r="K966" s="1">
        <v>10</v>
      </c>
      <c r="L966" s="1">
        <v>3</v>
      </c>
      <c r="M966" s="1">
        <v>15</v>
      </c>
      <c r="N966" s="1">
        <v>3</v>
      </c>
      <c r="O966" s="1">
        <v>4</v>
      </c>
      <c r="P966" s="1">
        <v>2</v>
      </c>
      <c r="Q966" s="1">
        <v>8</v>
      </c>
      <c r="R966" s="1">
        <v>4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47</v>
      </c>
      <c r="AA966" s="1" t="str" cm="1">
        <f t="array" ref="AA966">_xlfn.IFS(AND(Z966&lt;36, Z966&gt;23), "24-35", AND(Z966&lt;51, Z966&gt;35),"36-50", AND(Z966&lt;66, Z966&gt;50), "51-66", Z966&gt;65, "66+", TRUE, "?")</f>
        <v>36-50</v>
      </c>
      <c r="AB966" s="1">
        <v>2542</v>
      </c>
      <c r="AC966" s="1">
        <v>0</v>
      </c>
      <c r="AD966" s="1">
        <v>0</v>
      </c>
      <c r="AE966" s="1">
        <v>0</v>
      </c>
      <c r="AF966" s="1">
        <v>1</v>
      </c>
      <c r="AG966" s="1">
        <v>0</v>
      </c>
      <c r="AH966" s="1">
        <v>0</v>
      </c>
      <c r="AI966" s="1">
        <v>0</v>
      </c>
      <c r="AJ966" s="1">
        <v>0</v>
      </c>
      <c r="AK966" s="1">
        <v>1</v>
      </c>
      <c r="AL966" s="1">
        <v>371</v>
      </c>
      <c r="AM966" s="2">
        <v>42307</v>
      </c>
      <c r="AN966" t="str">
        <f t="shared" si="31"/>
        <v>57906,386,0.00666597589196284,0,1,29,243,11,119,10,3,15,3,4,2,8,4,0,0,0,0,0,0,0,47,36-50,2542,0,0,0,1,0,0,0,0,1,371,42307</v>
      </c>
    </row>
    <row r="967" spans="1:40" ht="13" hidden="1" x14ac:dyDescent="0.15">
      <c r="A967">
        <v>813</v>
      </c>
      <c r="B967" s="1">
        <v>43456</v>
      </c>
      <c r="C967" s="1">
        <v>386</v>
      </c>
      <c r="D967" s="4">
        <f t="shared" si="30"/>
        <v>8.8825478645066271E-3</v>
      </c>
      <c r="E967" s="1">
        <v>0</v>
      </c>
      <c r="F967" s="1">
        <v>1</v>
      </c>
      <c r="G967" s="1">
        <v>0</v>
      </c>
      <c r="H967" s="1">
        <v>275</v>
      </c>
      <c r="I967" s="1">
        <v>11</v>
      </c>
      <c r="J967" s="1">
        <v>68</v>
      </c>
      <c r="K967" s="1">
        <v>25</v>
      </c>
      <c r="L967" s="1">
        <v>7</v>
      </c>
      <c r="M967" s="1">
        <v>7</v>
      </c>
      <c r="N967" s="1">
        <v>3</v>
      </c>
      <c r="O967" s="1">
        <v>5</v>
      </c>
      <c r="P967" s="1">
        <v>1</v>
      </c>
      <c r="Q967" s="1">
        <v>8</v>
      </c>
      <c r="R967" s="1">
        <v>5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54</v>
      </c>
      <c r="AA967" s="1" t="str" cm="1">
        <f t="array" ref="AA967">_xlfn.IFS(AND(Z967&lt;36, Z967&gt;23), "24-35", AND(Z967&lt;51, Z967&gt;35),"36-50", AND(Z967&lt;66, Z967&gt;50), "51-66", Z967&gt;65, "66+", TRUE, "?")</f>
        <v>51-66</v>
      </c>
      <c r="AB967" s="1">
        <v>2619</v>
      </c>
      <c r="AC967" s="1">
        <v>0</v>
      </c>
      <c r="AD967" s="1">
        <v>0</v>
      </c>
      <c r="AE967" s="1">
        <v>1</v>
      </c>
      <c r="AF967" s="1">
        <v>0</v>
      </c>
      <c r="AG967" s="1">
        <v>0</v>
      </c>
      <c r="AH967" s="1">
        <v>0</v>
      </c>
      <c r="AI967" s="1">
        <v>0</v>
      </c>
      <c r="AJ967" s="1">
        <v>1</v>
      </c>
      <c r="AK967" s="1">
        <v>0</v>
      </c>
      <c r="AL967" s="1">
        <v>379</v>
      </c>
      <c r="AM967" s="2">
        <v>42230</v>
      </c>
      <c r="AN967" t="str">
        <f t="shared" si="31"/>
        <v>43456,386,0.00888254786450663,0,1,0,275,11,68,25,7,7,3,5,1,8,5,0,0,0,0,0,0,0,54,51-66,2619,0,0,1,0,0,0,0,1,0,379,42230</v>
      </c>
    </row>
    <row r="968" spans="1:40" ht="13" x14ac:dyDescent="0.15">
      <c r="A968">
        <v>1437</v>
      </c>
      <c r="B968" s="1">
        <v>42014</v>
      </c>
      <c r="C968" s="1">
        <v>386</v>
      </c>
      <c r="D968" s="4">
        <f t="shared" si="30"/>
        <v>9.1874137192364449E-3</v>
      </c>
      <c r="E968" s="1">
        <v>1</v>
      </c>
      <c r="F968" s="1">
        <v>0</v>
      </c>
      <c r="G968" s="1">
        <v>56</v>
      </c>
      <c r="H968" s="1">
        <v>244</v>
      </c>
      <c r="I968" s="1">
        <v>15</v>
      </c>
      <c r="J968" s="1">
        <v>108</v>
      </c>
      <c r="K968" s="1">
        <v>4</v>
      </c>
      <c r="L968" s="1">
        <v>15</v>
      </c>
      <c r="M968" s="1">
        <v>50</v>
      </c>
      <c r="N968" s="1">
        <v>6</v>
      </c>
      <c r="O968" s="1">
        <v>7</v>
      </c>
      <c r="P968" s="1">
        <v>1</v>
      </c>
      <c r="Q968" s="1">
        <v>6</v>
      </c>
      <c r="R968" s="1">
        <v>8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1</v>
      </c>
      <c r="Z968" s="1">
        <v>43</v>
      </c>
      <c r="AA968" s="1" t="str" cm="1">
        <f t="array" ref="AA968">_xlfn.IFS(AND(Z968&lt;36, Z968&gt;23), "24-35", AND(Z968&lt;51, Z968&gt;35),"36-50", AND(Z968&lt;66, Z968&gt;50), "51-66", Z968&gt;65, "66+", TRUE, "?")</f>
        <v>36-50</v>
      </c>
      <c r="AB968" s="1">
        <v>2840</v>
      </c>
      <c r="AC968" s="1">
        <v>0</v>
      </c>
      <c r="AD968" s="1">
        <v>1</v>
      </c>
      <c r="AE968" s="1">
        <v>0</v>
      </c>
      <c r="AF968" s="1">
        <v>0</v>
      </c>
      <c r="AG968" s="1">
        <v>0</v>
      </c>
      <c r="AH968" s="1">
        <v>0</v>
      </c>
      <c r="AI968" s="1">
        <v>1</v>
      </c>
      <c r="AJ968" s="1">
        <v>0</v>
      </c>
      <c r="AK968" s="1">
        <v>0</v>
      </c>
      <c r="AL968" s="1">
        <v>336</v>
      </c>
      <c r="AM968" s="2">
        <v>42009</v>
      </c>
      <c r="AN968" t="str">
        <f t="shared" si="31"/>
        <v>42014,386,0.00918741371923644,1,0,56,244,15,108,4,15,50,6,7,1,6,8,0,0,0,0,0,0,1,43,36-50,2840,0,1,0,0,0,0,1,0,0,336,42009</v>
      </c>
    </row>
    <row r="969" spans="1:40" ht="13" hidden="1" x14ac:dyDescent="0.15">
      <c r="A969">
        <v>1733</v>
      </c>
      <c r="B969" s="1">
        <v>73395</v>
      </c>
      <c r="C969" s="1">
        <v>386</v>
      </c>
      <c r="D969" s="4">
        <f t="shared" si="30"/>
        <v>5.2592138429048297E-3</v>
      </c>
      <c r="E969" s="1">
        <v>0</v>
      </c>
      <c r="F969" s="1">
        <v>0</v>
      </c>
      <c r="G969" s="1">
        <v>94</v>
      </c>
      <c r="H969" s="1">
        <v>272</v>
      </c>
      <c r="I969" s="1">
        <v>7</v>
      </c>
      <c r="J969" s="1">
        <v>80</v>
      </c>
      <c r="K969" s="1">
        <v>20</v>
      </c>
      <c r="L969" s="1">
        <v>7</v>
      </c>
      <c r="M969" s="1">
        <v>11</v>
      </c>
      <c r="N969" s="1">
        <v>1</v>
      </c>
      <c r="O969" s="1">
        <v>4</v>
      </c>
      <c r="P969" s="1">
        <v>4</v>
      </c>
      <c r="Q969" s="1">
        <v>6</v>
      </c>
      <c r="R969" s="1">
        <v>2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33</v>
      </c>
      <c r="AA969" s="1" t="str" cm="1">
        <f t="array" ref="AA969">_xlfn.IFS(AND(Z969&lt;36, Z969&gt;23), "24-35", AND(Z969&lt;51, Z969&gt;35),"36-50", AND(Z969&lt;66, Z969&gt;50), "51-66", Z969&gt;65, "66+", TRUE, "?")</f>
        <v>24-35</v>
      </c>
      <c r="AB969" s="1">
        <v>2262</v>
      </c>
      <c r="AC969" s="1">
        <v>0</v>
      </c>
      <c r="AD969" s="1">
        <v>1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1</v>
      </c>
      <c r="AK969" s="1">
        <v>0</v>
      </c>
      <c r="AL969" s="1">
        <v>375</v>
      </c>
      <c r="AM969" s="2">
        <v>42587</v>
      </c>
      <c r="AN969" t="str">
        <f t="shared" si="31"/>
        <v>73395,386,0.00525921384290483,0,0,94,272,7,80,20,7,11,1,4,4,6,2,0,0,0,0,0,0,0,33,24-35,2262,0,1,0,0,0,0,0,1,0,375,42587</v>
      </c>
    </row>
    <row r="970" spans="1:40" ht="13" hidden="1" x14ac:dyDescent="0.15">
      <c r="A970">
        <v>681</v>
      </c>
      <c r="B970" s="1">
        <v>56962</v>
      </c>
      <c r="C970" s="1">
        <v>385</v>
      </c>
      <c r="D970" s="4">
        <f t="shared" si="30"/>
        <v>6.7588918928408416E-3</v>
      </c>
      <c r="E970" s="1">
        <v>2</v>
      </c>
      <c r="F970" s="1">
        <v>1</v>
      </c>
      <c r="G970" s="1">
        <v>60</v>
      </c>
      <c r="H970" s="1">
        <v>292</v>
      </c>
      <c r="I970" s="1">
        <v>3</v>
      </c>
      <c r="J970" s="1">
        <v>77</v>
      </c>
      <c r="K970" s="1">
        <v>10</v>
      </c>
      <c r="L970" s="1">
        <v>3</v>
      </c>
      <c r="M970" s="1">
        <v>26</v>
      </c>
      <c r="N970" s="1">
        <v>7</v>
      </c>
      <c r="O970" s="1">
        <v>6</v>
      </c>
      <c r="P970" s="1">
        <v>3</v>
      </c>
      <c r="Q970" s="1">
        <v>5</v>
      </c>
      <c r="R970" s="1">
        <v>7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55</v>
      </c>
      <c r="AA970" s="1" t="str" cm="1">
        <f t="array" ref="AA970">_xlfn.IFS(AND(Z970&lt;36, Z970&gt;23), "24-35", AND(Z970&lt;51, Z970&gt;35),"36-50", AND(Z970&lt;66, Z970&gt;50), "51-66", Z970&gt;65, "66+", TRUE, "?")</f>
        <v>51-66</v>
      </c>
      <c r="AB970" s="1">
        <v>2420</v>
      </c>
      <c r="AC970" s="1">
        <v>0</v>
      </c>
      <c r="AD970" s="1">
        <v>1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1</v>
      </c>
      <c r="AK970" s="1">
        <v>0</v>
      </c>
      <c r="AL970" s="1">
        <v>359</v>
      </c>
      <c r="AM970" s="2">
        <v>42429</v>
      </c>
      <c r="AN970" t="str">
        <f t="shared" si="31"/>
        <v>56962,385,0.00675889189284084,2,1,60,292,3,77,10,3,26,7,6,3,5,7,0,0,0,0,0,0,0,55,51-66,2420,0,1,0,0,0,0,0,1,0,359,42429</v>
      </c>
    </row>
    <row r="971" spans="1:40" ht="13" hidden="1" x14ac:dyDescent="0.15">
      <c r="A971">
        <v>1444</v>
      </c>
      <c r="B971" s="1">
        <v>47958</v>
      </c>
      <c r="C971" s="1">
        <v>385</v>
      </c>
      <c r="D971" s="4">
        <f t="shared" si="30"/>
        <v>8.0278577088285577E-3</v>
      </c>
      <c r="E971" s="1">
        <v>0</v>
      </c>
      <c r="F971" s="1">
        <v>1</v>
      </c>
      <c r="G971" s="1">
        <v>8</v>
      </c>
      <c r="H971" s="1">
        <v>268</v>
      </c>
      <c r="I971" s="1">
        <v>11</v>
      </c>
      <c r="J971" s="1">
        <v>88</v>
      </c>
      <c r="K971" s="1">
        <v>15</v>
      </c>
      <c r="L971" s="1">
        <v>3</v>
      </c>
      <c r="M971" s="1">
        <v>22</v>
      </c>
      <c r="N971" s="1">
        <v>2</v>
      </c>
      <c r="O971" s="1">
        <v>6</v>
      </c>
      <c r="P971" s="1">
        <v>3</v>
      </c>
      <c r="Q971" s="1">
        <v>5</v>
      </c>
      <c r="R971" s="1">
        <v>5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68</v>
      </c>
      <c r="AA971" s="1" t="str" cm="1">
        <f t="array" ref="AA971">_xlfn.IFS(AND(Z971&lt;36, Z971&gt;23), "24-35", AND(Z971&lt;51, Z971&gt;35),"36-50", AND(Z971&lt;66, Z971&gt;50), "51-66", Z971&gt;65, "66+", TRUE, "?")</f>
        <v>66+</v>
      </c>
      <c r="AB971" s="1">
        <v>2685</v>
      </c>
      <c r="AC971" s="1">
        <v>0</v>
      </c>
      <c r="AD971" s="1">
        <v>0</v>
      </c>
      <c r="AE971" s="1">
        <v>1</v>
      </c>
      <c r="AF971" s="1">
        <v>0</v>
      </c>
      <c r="AG971" s="1">
        <v>0</v>
      </c>
      <c r="AH971" s="1">
        <v>0</v>
      </c>
      <c r="AI971" s="1">
        <v>1</v>
      </c>
      <c r="AJ971" s="1">
        <v>0</v>
      </c>
      <c r="AK971" s="1">
        <v>0</v>
      </c>
      <c r="AL971" s="1">
        <v>363</v>
      </c>
      <c r="AM971" s="2">
        <v>42164</v>
      </c>
      <c r="AN971" t="str">
        <f t="shared" si="31"/>
        <v>47958,385,0.00802785770882856,0,1,8,268,11,88,15,3,22,2,6,3,5,5,0,0,0,0,0,0,0,68,66+,2685,0,0,1,0,0,0,1,0,0,363,42164</v>
      </c>
    </row>
    <row r="972" spans="1:40" ht="13" x14ac:dyDescent="0.15">
      <c r="A972">
        <v>1448</v>
      </c>
      <c r="B972" s="1">
        <v>43795</v>
      </c>
      <c r="C972" s="1">
        <v>385</v>
      </c>
      <c r="D972" s="4">
        <f t="shared" si="30"/>
        <v>8.7909578719031854E-3</v>
      </c>
      <c r="E972" s="1">
        <v>0</v>
      </c>
      <c r="F972" s="1">
        <v>1</v>
      </c>
      <c r="G972" s="1">
        <v>11</v>
      </c>
      <c r="H972" s="1">
        <v>314</v>
      </c>
      <c r="I972" s="1">
        <v>11</v>
      </c>
      <c r="J972" s="1">
        <v>53</v>
      </c>
      <c r="K972" s="1">
        <v>4</v>
      </c>
      <c r="L972" s="1">
        <v>3</v>
      </c>
      <c r="M972" s="1">
        <v>107</v>
      </c>
      <c r="N972" s="1">
        <v>3</v>
      </c>
      <c r="O972" s="1">
        <v>7</v>
      </c>
      <c r="P972" s="1">
        <v>3</v>
      </c>
      <c r="Q972" s="1">
        <v>4</v>
      </c>
      <c r="R972" s="1">
        <v>7</v>
      </c>
      <c r="S972" s="1">
        <v>0</v>
      </c>
      <c r="T972" s="1">
        <v>0</v>
      </c>
      <c r="U972" s="1">
        <v>0</v>
      </c>
      <c r="V972" s="1">
        <v>1</v>
      </c>
      <c r="W972" s="1">
        <v>0</v>
      </c>
      <c r="X972" s="1">
        <v>0</v>
      </c>
      <c r="Y972" s="1">
        <v>1</v>
      </c>
      <c r="Z972" s="1">
        <v>52</v>
      </c>
      <c r="AA972" s="1" t="str" cm="1">
        <f t="array" ref="AA972">_xlfn.IFS(AND(Z972&lt;36, Z972&gt;23), "24-35", AND(Z972&lt;51, Z972&gt;35),"36-50", AND(Z972&lt;66, Z972&gt;50), "51-66", Z972&gt;65, "66+", TRUE, "?")</f>
        <v>51-66</v>
      </c>
      <c r="AB972" s="1">
        <v>2415</v>
      </c>
      <c r="AC972" s="1">
        <v>0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0</v>
      </c>
      <c r="AJ972" s="1">
        <v>1</v>
      </c>
      <c r="AK972" s="1">
        <v>0</v>
      </c>
      <c r="AL972" s="1">
        <v>278</v>
      </c>
      <c r="AM972" s="2">
        <v>42434</v>
      </c>
      <c r="AN972" t="str">
        <f t="shared" si="31"/>
        <v>43795,385,0.00879095787190319,0,1,11,314,11,53,4,3,107,3,7,3,4,7,0,0,0,1,0,0,1,52,51-66,2415,0,0,0,1,0,0,0,1,0,278,42434</v>
      </c>
    </row>
    <row r="973" spans="1:40" ht="13" hidden="1" x14ac:dyDescent="0.15">
      <c r="A973">
        <v>1681</v>
      </c>
      <c r="B973" s="1">
        <v>65735</v>
      </c>
      <c r="C973" s="1">
        <v>384</v>
      </c>
      <c r="D973" s="4">
        <f t="shared" si="30"/>
        <v>5.8416368753327758E-3</v>
      </c>
      <c r="E973" s="1">
        <v>1</v>
      </c>
      <c r="F973" s="1">
        <v>1</v>
      </c>
      <c r="G973" s="1">
        <v>37</v>
      </c>
      <c r="H973" s="1">
        <v>239</v>
      </c>
      <c r="I973" s="1">
        <v>7</v>
      </c>
      <c r="J973" s="1">
        <v>119</v>
      </c>
      <c r="K973" s="1">
        <v>4</v>
      </c>
      <c r="L973" s="1">
        <v>15</v>
      </c>
      <c r="M973" s="1">
        <v>11</v>
      </c>
      <c r="N973" s="1">
        <v>5</v>
      </c>
      <c r="O973" s="1">
        <v>6</v>
      </c>
      <c r="P973" s="1">
        <v>2</v>
      </c>
      <c r="Q973" s="1">
        <v>6</v>
      </c>
      <c r="R973" s="1">
        <v>7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55</v>
      </c>
      <c r="AA973" s="1" t="str" cm="1">
        <f t="array" ref="AA973">_xlfn.IFS(AND(Z973&lt;36, Z973&gt;23), "24-35", AND(Z973&lt;51, Z973&gt;35),"36-50", AND(Z973&lt;66, Z973&gt;50), "51-66", Z973&gt;65, "66+", TRUE, "?")</f>
        <v>51-66</v>
      </c>
      <c r="AB973" s="1">
        <v>2363</v>
      </c>
      <c r="AC973" s="1">
        <v>0</v>
      </c>
      <c r="AD973" s="1">
        <v>0</v>
      </c>
      <c r="AE973" s="1">
        <v>0</v>
      </c>
      <c r="AF973" s="1">
        <v>1</v>
      </c>
      <c r="AG973" s="1">
        <v>0</v>
      </c>
      <c r="AH973" s="1">
        <v>0</v>
      </c>
      <c r="AI973" s="1">
        <v>0</v>
      </c>
      <c r="AJ973" s="1">
        <v>1</v>
      </c>
      <c r="AK973" s="1">
        <v>0</v>
      </c>
      <c r="AL973" s="1">
        <v>373</v>
      </c>
      <c r="AM973" s="2">
        <v>42486</v>
      </c>
      <c r="AN973" t="str">
        <f t="shared" si="31"/>
        <v>65735,384,0.00584163687533278,1,1,37,239,7,119,4,15,11,5,6,2,6,7,0,0,0,0,0,0,0,55,51-66,2363,0,0,0,1,0,0,0,1,0,373,42486</v>
      </c>
    </row>
    <row r="974" spans="1:40" ht="13" hidden="1" x14ac:dyDescent="0.15">
      <c r="A974">
        <v>1797</v>
      </c>
      <c r="B974" s="1">
        <v>40794</v>
      </c>
      <c r="C974" s="1">
        <v>384</v>
      </c>
      <c r="D974" s="4">
        <f t="shared" si="30"/>
        <v>9.413148992498897E-3</v>
      </c>
      <c r="E974" s="1">
        <v>0</v>
      </c>
      <c r="F974" s="1">
        <v>1</v>
      </c>
      <c r="G974" s="1">
        <v>18</v>
      </c>
      <c r="H974" s="1">
        <v>261</v>
      </c>
      <c r="I974" s="1">
        <v>23</v>
      </c>
      <c r="J974" s="1">
        <v>73</v>
      </c>
      <c r="K974" s="1">
        <v>4</v>
      </c>
      <c r="L974" s="1">
        <v>23</v>
      </c>
      <c r="M974" s="1">
        <v>50</v>
      </c>
      <c r="N974" s="1">
        <v>2</v>
      </c>
      <c r="O974" s="1">
        <v>6</v>
      </c>
      <c r="P974" s="1">
        <v>3</v>
      </c>
      <c r="Q974" s="1">
        <v>5</v>
      </c>
      <c r="R974" s="1">
        <v>7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45</v>
      </c>
      <c r="AA974" s="1" t="str" cm="1">
        <f t="array" ref="AA974">_xlfn.IFS(AND(Z974&lt;36, Z974&gt;23), "24-35", AND(Z974&lt;51, Z974&gt;35),"36-50", AND(Z974&lt;66, Z974&gt;50), "51-66", Z974&gt;65, "66+", TRUE, "?")</f>
        <v>36-50</v>
      </c>
      <c r="AB974" s="1">
        <v>2607</v>
      </c>
      <c r="AC974" s="1">
        <v>0</v>
      </c>
      <c r="AD974" s="1">
        <v>1</v>
      </c>
      <c r="AE974" s="1">
        <v>0</v>
      </c>
      <c r="AF974" s="1">
        <v>0</v>
      </c>
      <c r="AG974" s="1">
        <v>0</v>
      </c>
      <c r="AH974" s="1">
        <v>0</v>
      </c>
      <c r="AI974" s="1">
        <v>1</v>
      </c>
      <c r="AJ974" s="1">
        <v>0</v>
      </c>
      <c r="AK974" s="1">
        <v>0</v>
      </c>
      <c r="AL974" s="1">
        <v>334</v>
      </c>
      <c r="AM974" s="2">
        <v>42242</v>
      </c>
      <c r="AN974" t="str">
        <f t="shared" si="31"/>
        <v>40794,384,0.0094131489924989,0,1,18,261,23,73,4,23,50,2,6,3,5,7,0,0,0,0,0,0,0,45,36-50,2607,0,1,0,0,0,0,1,0,0,334,42242</v>
      </c>
    </row>
    <row r="975" spans="1:40" ht="13" hidden="1" x14ac:dyDescent="0.15">
      <c r="A975">
        <v>1933</v>
      </c>
      <c r="B975" s="1">
        <v>58692</v>
      </c>
      <c r="C975" s="1">
        <v>384</v>
      </c>
      <c r="D975" s="4">
        <f t="shared" si="30"/>
        <v>6.5426293191576364E-3</v>
      </c>
      <c r="E975" s="1">
        <v>0</v>
      </c>
      <c r="F975" s="1">
        <v>1</v>
      </c>
      <c r="G975" s="1">
        <v>21</v>
      </c>
      <c r="H975" s="1">
        <v>301</v>
      </c>
      <c r="I975" s="1">
        <v>11</v>
      </c>
      <c r="J975" s="1">
        <v>61</v>
      </c>
      <c r="K975" s="1">
        <v>4</v>
      </c>
      <c r="L975" s="1">
        <v>7</v>
      </c>
      <c r="M975" s="1">
        <v>11</v>
      </c>
      <c r="N975" s="1">
        <v>1</v>
      </c>
      <c r="O975" s="1">
        <v>8</v>
      </c>
      <c r="P975" s="1">
        <v>2</v>
      </c>
      <c r="Q975" s="1">
        <v>4</v>
      </c>
      <c r="R975" s="1">
        <v>7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55</v>
      </c>
      <c r="AA975" s="1" t="str" cm="1">
        <f t="array" ref="AA975">_xlfn.IFS(AND(Z975&lt;36, Z975&gt;23), "24-35", AND(Z975&lt;51, Z975&gt;35),"36-50", AND(Z975&lt;66, Z975&gt;50), "51-66", Z975&gt;65, "66+", TRUE, "?")</f>
        <v>51-66</v>
      </c>
      <c r="AB975" s="1">
        <v>2243</v>
      </c>
      <c r="AC975" s="1">
        <v>0</v>
      </c>
      <c r="AD975" s="1">
        <v>1</v>
      </c>
      <c r="AE975" s="1">
        <v>0</v>
      </c>
      <c r="AF975" s="1">
        <v>0</v>
      </c>
      <c r="AG975" s="1">
        <v>0</v>
      </c>
      <c r="AH975" s="1">
        <v>0</v>
      </c>
      <c r="AI975" s="1">
        <v>1</v>
      </c>
      <c r="AJ975" s="1">
        <v>0</v>
      </c>
      <c r="AK975" s="1">
        <v>0</v>
      </c>
      <c r="AL975" s="1">
        <v>373</v>
      </c>
      <c r="AM975" s="2">
        <v>42606</v>
      </c>
      <c r="AN975" t="str">
        <f t="shared" si="31"/>
        <v>58692,384,0.00654262931915764,0,1,21,301,11,61,4,7,11,1,8,2,4,7,0,0,0,0,0,0,0,55,51-66,2243,0,1,0,0,0,0,1,0,0,373,42606</v>
      </c>
    </row>
    <row r="976" spans="1:40" ht="13" hidden="1" x14ac:dyDescent="0.15">
      <c r="A976">
        <v>561</v>
      </c>
      <c r="B976" s="1">
        <v>59973</v>
      </c>
      <c r="C976" s="1">
        <v>382</v>
      </c>
      <c r="D976" s="4">
        <f t="shared" si="30"/>
        <v>6.3695329564970905E-3</v>
      </c>
      <c r="E976" s="1">
        <v>0</v>
      </c>
      <c r="F976" s="1">
        <v>0</v>
      </c>
      <c r="G976" s="1">
        <v>47</v>
      </c>
      <c r="H976" s="1">
        <v>130</v>
      </c>
      <c r="I976" s="1">
        <v>30</v>
      </c>
      <c r="J976" s="1">
        <v>168</v>
      </c>
      <c r="K976" s="1">
        <v>20</v>
      </c>
      <c r="L976" s="1">
        <v>34</v>
      </c>
      <c r="M976" s="1">
        <v>0</v>
      </c>
      <c r="N976" s="1">
        <v>1</v>
      </c>
      <c r="O976" s="1">
        <v>3</v>
      </c>
      <c r="P976" s="1">
        <v>4</v>
      </c>
      <c r="Q976" s="1">
        <v>7</v>
      </c>
      <c r="R976" s="1">
        <v>1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48</v>
      </c>
      <c r="AA976" s="1" t="str" cm="1">
        <f t="array" ref="AA976">_xlfn.IFS(AND(Z976&lt;36, Z976&gt;23), "24-35", AND(Z976&lt;51, Z976&gt;35),"36-50", AND(Z976&lt;66, Z976&gt;50), "51-66", Z976&gt;65, "66+", TRUE, "?")</f>
        <v>36-50</v>
      </c>
      <c r="AB976" s="1">
        <v>2450</v>
      </c>
      <c r="AC976" s="1">
        <v>0</v>
      </c>
      <c r="AD976" s="1">
        <v>1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1</v>
      </c>
      <c r="AL976" s="1">
        <v>382</v>
      </c>
      <c r="AM976" s="2">
        <v>42399</v>
      </c>
      <c r="AN976" t="str">
        <f t="shared" si="31"/>
        <v>59973,382,0.00636953295649709,0,0,47,130,30,168,20,34,0,1,3,4,7,1,0,0,0,0,0,0,0,48,36-50,2450,0,1,0,0,0,0,0,0,1,382,42399</v>
      </c>
    </row>
    <row r="977" spans="1:40" ht="13" hidden="1" x14ac:dyDescent="0.15">
      <c r="A977">
        <v>926</v>
      </c>
      <c r="B977" s="1">
        <v>65352</v>
      </c>
      <c r="C977" s="1">
        <v>382</v>
      </c>
      <c r="D977" s="4">
        <f t="shared" si="30"/>
        <v>5.8452686987391358E-3</v>
      </c>
      <c r="E977" s="1">
        <v>0</v>
      </c>
      <c r="F977" s="1">
        <v>1</v>
      </c>
      <c r="G977" s="1">
        <v>43</v>
      </c>
      <c r="H977" s="1">
        <v>284</v>
      </c>
      <c r="I977" s="1">
        <v>3</v>
      </c>
      <c r="J977" s="1">
        <v>84</v>
      </c>
      <c r="K977" s="1">
        <v>4</v>
      </c>
      <c r="L977" s="1">
        <v>7</v>
      </c>
      <c r="M977" s="1">
        <v>23</v>
      </c>
      <c r="N977" s="1">
        <v>2</v>
      </c>
      <c r="O977" s="1">
        <v>4</v>
      </c>
      <c r="P977" s="1">
        <v>2</v>
      </c>
      <c r="Q977" s="1">
        <v>8</v>
      </c>
      <c r="R977" s="1">
        <v>4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46</v>
      </c>
      <c r="AA977" s="1" t="str" cm="1">
        <f t="array" ref="AA977">_xlfn.IFS(AND(Z977&lt;36, Z977&gt;23), "24-35", AND(Z977&lt;51, Z977&gt;35),"36-50", AND(Z977&lt;66, Z977&gt;50), "51-66", Z977&gt;65, "66+", TRUE, "?")</f>
        <v>36-50</v>
      </c>
      <c r="AB977" s="1">
        <v>2471</v>
      </c>
      <c r="AC977" s="1">
        <v>0</v>
      </c>
      <c r="AD977" s="1">
        <v>1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1</v>
      </c>
      <c r="AL977" s="1">
        <v>359</v>
      </c>
      <c r="AM977" s="2">
        <v>42378</v>
      </c>
      <c r="AN977" t="str">
        <f t="shared" si="31"/>
        <v>65352,382,0.00584526869873914,0,1,43,284,3,84,4,7,23,2,4,2,8,4,0,0,0,0,0,0,0,46,36-50,2471,0,1,0,0,0,0,0,0,1,359,42378</v>
      </c>
    </row>
    <row r="978" spans="1:40" ht="13" x14ac:dyDescent="0.15">
      <c r="A978">
        <v>1449</v>
      </c>
      <c r="B978" s="1">
        <v>48432</v>
      </c>
      <c r="C978" s="1">
        <v>382</v>
      </c>
      <c r="D978" s="4">
        <f t="shared" si="30"/>
        <v>7.8873472084572179E-3</v>
      </c>
      <c r="E978" s="1">
        <v>0</v>
      </c>
      <c r="F978" s="1">
        <v>1</v>
      </c>
      <c r="G978" s="1">
        <v>3</v>
      </c>
      <c r="H978" s="1">
        <v>322</v>
      </c>
      <c r="I978" s="1">
        <v>3</v>
      </c>
      <c r="J978" s="1">
        <v>50</v>
      </c>
      <c r="K978" s="1">
        <v>4</v>
      </c>
      <c r="L978" s="1">
        <v>3</v>
      </c>
      <c r="M978" s="1">
        <v>42</v>
      </c>
      <c r="N978" s="1">
        <v>5</v>
      </c>
      <c r="O978" s="1">
        <v>7</v>
      </c>
      <c r="P978" s="1">
        <v>1</v>
      </c>
      <c r="Q978" s="1">
        <v>6</v>
      </c>
      <c r="R978" s="1">
        <v>8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1</v>
      </c>
      <c r="Z978" s="1">
        <v>47</v>
      </c>
      <c r="AA978" s="1" t="str" cm="1">
        <f t="array" ref="AA978">_xlfn.IFS(AND(Z978&lt;36, Z978&gt;23), "24-35", AND(Z978&lt;51, Z978&gt;35),"36-50", AND(Z978&lt;66, Z978&gt;50), "51-66", Z978&gt;65, "66+", TRUE, "?")</f>
        <v>36-50</v>
      </c>
      <c r="AB978" s="1">
        <v>2778</v>
      </c>
      <c r="AC978" s="1">
        <v>0</v>
      </c>
      <c r="AD978" s="1">
        <v>0</v>
      </c>
      <c r="AE978" s="1">
        <v>1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1</v>
      </c>
      <c r="AL978" s="1">
        <v>340</v>
      </c>
      <c r="AM978" s="2">
        <v>42071</v>
      </c>
      <c r="AN978" t="str">
        <f t="shared" si="31"/>
        <v>48432,382,0.00788734720845722,0,1,3,322,3,50,4,3,42,5,7,1,6,8,0,0,0,0,0,0,1,47,36-50,2778,0,0,1,0,0,0,0,0,1,340,42071</v>
      </c>
    </row>
    <row r="979" spans="1:40" ht="13" hidden="1" x14ac:dyDescent="0.15">
      <c r="A979">
        <v>1971</v>
      </c>
      <c r="B979" s="1">
        <v>48432</v>
      </c>
      <c r="C979" s="1">
        <v>382</v>
      </c>
      <c r="D979" s="4">
        <f t="shared" si="30"/>
        <v>7.8873472084572179E-3</v>
      </c>
      <c r="E979" s="1">
        <v>0</v>
      </c>
      <c r="F979" s="1">
        <v>1</v>
      </c>
      <c r="G979" s="1">
        <v>3</v>
      </c>
      <c r="H979" s="1">
        <v>322</v>
      </c>
      <c r="I979" s="1">
        <v>3</v>
      </c>
      <c r="J979" s="1">
        <v>50</v>
      </c>
      <c r="K979" s="1">
        <v>4</v>
      </c>
      <c r="L979" s="1">
        <v>3</v>
      </c>
      <c r="M979" s="1">
        <v>42</v>
      </c>
      <c r="N979" s="1">
        <v>5</v>
      </c>
      <c r="O979" s="1">
        <v>7</v>
      </c>
      <c r="P979" s="1">
        <v>1</v>
      </c>
      <c r="Q979" s="1">
        <v>6</v>
      </c>
      <c r="R979" s="1">
        <v>8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47</v>
      </c>
      <c r="AA979" s="1" t="str" cm="1">
        <f t="array" ref="AA979">_xlfn.IFS(AND(Z979&lt;36, Z979&gt;23), "24-35", AND(Z979&lt;51, Z979&gt;35),"36-50", AND(Z979&lt;66, Z979&gt;50), "51-66", Z979&gt;65, "66+", TRUE, "?")</f>
        <v>36-50</v>
      </c>
      <c r="AB979" s="1">
        <v>2778</v>
      </c>
      <c r="AC979" s="1">
        <v>0</v>
      </c>
      <c r="AD979" s="1">
        <v>0</v>
      </c>
      <c r="AE979" s="1">
        <v>1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1</v>
      </c>
      <c r="AL979" s="1">
        <v>340</v>
      </c>
      <c r="AM979" s="2">
        <v>42071</v>
      </c>
      <c r="AN979" t="str">
        <f t="shared" si="31"/>
        <v>48432,382,0.00788734720845722,0,1,3,322,3,50,4,3,42,5,7,1,6,8,0,0,0,0,0,0,0,47,36-50,2778,0,0,1,0,0,0,0,0,1,340,42071</v>
      </c>
    </row>
    <row r="980" spans="1:40" ht="13" hidden="1" x14ac:dyDescent="0.15">
      <c r="A980">
        <v>1538</v>
      </c>
      <c r="B980" s="1">
        <v>49544</v>
      </c>
      <c r="C980" s="1">
        <v>381</v>
      </c>
      <c r="D980" s="4">
        <f t="shared" si="30"/>
        <v>7.6901340222832234E-3</v>
      </c>
      <c r="E980" s="1">
        <v>1</v>
      </c>
      <c r="F980" s="1">
        <v>0</v>
      </c>
      <c r="G980" s="1">
        <v>0</v>
      </c>
      <c r="H980" s="1">
        <v>308</v>
      </c>
      <c r="I980" s="1">
        <v>0</v>
      </c>
      <c r="J980" s="1">
        <v>73</v>
      </c>
      <c r="K980" s="1">
        <v>0</v>
      </c>
      <c r="L980" s="1">
        <v>0</v>
      </c>
      <c r="M980" s="1">
        <v>23</v>
      </c>
      <c r="N980" s="1">
        <v>2</v>
      </c>
      <c r="O980" s="1">
        <v>5</v>
      </c>
      <c r="P980" s="1">
        <v>1</v>
      </c>
      <c r="Q980" s="1">
        <v>8</v>
      </c>
      <c r="R980" s="1">
        <v>7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44</v>
      </c>
      <c r="AA980" s="1" t="str" cm="1">
        <f t="array" ref="AA980">_xlfn.IFS(AND(Z980&lt;36, Z980&gt;23), "24-35", AND(Z980&lt;51, Z980&gt;35),"36-50", AND(Z980&lt;66, Z980&gt;50), "51-66", Z980&gt;65, "66+", TRUE, "?")</f>
        <v>36-50</v>
      </c>
      <c r="AB980" s="1">
        <v>2661</v>
      </c>
      <c r="AC980" s="1">
        <v>0</v>
      </c>
      <c r="AD980" s="1">
        <v>1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1</v>
      </c>
      <c r="AL980" s="1">
        <v>358</v>
      </c>
      <c r="AM980" s="2">
        <v>42188</v>
      </c>
      <c r="AN980" t="str">
        <f t="shared" si="31"/>
        <v>49544,381,0.00769013402228322,1,0,0,308,0,73,0,0,23,2,5,1,8,7,0,0,0,0,0,0,0,44,36-50,2661,0,1,0,0,0,0,0,0,1,358,42188</v>
      </c>
    </row>
    <row r="981" spans="1:40" ht="13" hidden="1" x14ac:dyDescent="0.15">
      <c r="A981">
        <v>1511</v>
      </c>
      <c r="B981" s="1">
        <v>58494</v>
      </c>
      <c r="C981" s="1">
        <v>377</v>
      </c>
      <c r="D981" s="4">
        <f t="shared" si="30"/>
        <v>6.4451054809040245E-3</v>
      </c>
      <c r="E981" s="1">
        <v>0</v>
      </c>
      <c r="F981" s="1">
        <v>1</v>
      </c>
      <c r="G981" s="1">
        <v>56</v>
      </c>
      <c r="H981" s="1">
        <v>298</v>
      </c>
      <c r="I981" s="1">
        <v>7</v>
      </c>
      <c r="J981" s="1">
        <v>68</v>
      </c>
      <c r="K981" s="1">
        <v>4</v>
      </c>
      <c r="L981" s="1">
        <v>0</v>
      </c>
      <c r="M981" s="1">
        <v>19</v>
      </c>
      <c r="N981" s="1">
        <v>2</v>
      </c>
      <c r="O981" s="1">
        <v>6</v>
      </c>
      <c r="P981" s="1">
        <v>2</v>
      </c>
      <c r="Q981" s="1">
        <v>6</v>
      </c>
      <c r="R981" s="1">
        <v>6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46</v>
      </c>
      <c r="AA981" s="1" t="str" cm="1">
        <f t="array" ref="AA981">_xlfn.IFS(AND(Z981&lt;36, Z981&gt;23), "24-35", AND(Z981&lt;51, Z981&gt;35),"36-50", AND(Z981&lt;66, Z981&gt;50), "51-66", Z981&gt;65, "66+", TRUE, "?")</f>
        <v>36-50</v>
      </c>
      <c r="AB981" s="1">
        <v>2358</v>
      </c>
      <c r="AC981" s="1">
        <v>0</v>
      </c>
      <c r="AD981" s="1">
        <v>1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1</v>
      </c>
      <c r="AK981" s="1">
        <v>0</v>
      </c>
      <c r="AL981" s="1">
        <v>358</v>
      </c>
      <c r="AM981" s="2">
        <v>42491</v>
      </c>
      <c r="AN981" t="str">
        <f t="shared" si="31"/>
        <v>58494,377,0.00644510548090402,0,1,56,298,7,68,4,0,19,2,6,2,6,6,0,0,0,0,0,0,0,46,36-50,2358,0,1,0,0,0,0,0,1,0,358,42491</v>
      </c>
    </row>
    <row r="982" spans="1:40" ht="13" hidden="1" x14ac:dyDescent="0.15">
      <c r="A982">
        <v>2013</v>
      </c>
      <c r="B982" s="1">
        <v>57967</v>
      </c>
      <c r="C982" s="1">
        <v>377</v>
      </c>
      <c r="D982" s="4">
        <f t="shared" si="30"/>
        <v>6.5037003812514014E-3</v>
      </c>
      <c r="E982" s="1">
        <v>0</v>
      </c>
      <c r="F982" s="1">
        <v>1</v>
      </c>
      <c r="G982" s="1">
        <v>39</v>
      </c>
      <c r="H982" s="1">
        <v>229</v>
      </c>
      <c r="I982" s="1">
        <v>7</v>
      </c>
      <c r="J982" s="1">
        <v>137</v>
      </c>
      <c r="K982" s="1">
        <v>4</v>
      </c>
      <c r="L982" s="1">
        <v>0</v>
      </c>
      <c r="M982" s="1">
        <v>91</v>
      </c>
      <c r="N982" s="1">
        <v>5</v>
      </c>
      <c r="O982" s="1">
        <v>4</v>
      </c>
      <c r="P982" s="1">
        <v>2</v>
      </c>
      <c r="Q982" s="1">
        <v>8</v>
      </c>
      <c r="R982" s="1">
        <v>5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58</v>
      </c>
      <c r="AA982" s="1" t="str" cm="1">
        <f t="array" ref="AA982">_xlfn.IFS(AND(Z982&lt;36, Z982&gt;23), "24-35", AND(Z982&lt;51, Z982&gt;35),"36-50", AND(Z982&lt;66, Z982&gt;50), "51-66", Z982&gt;65, "66+", TRUE, "?")</f>
        <v>51-66</v>
      </c>
      <c r="AB982" s="1">
        <v>2642</v>
      </c>
      <c r="AC982" s="1">
        <v>0</v>
      </c>
      <c r="AD982" s="1">
        <v>0</v>
      </c>
      <c r="AE982" s="1">
        <v>1</v>
      </c>
      <c r="AF982" s="1">
        <v>0</v>
      </c>
      <c r="AG982" s="1">
        <v>0</v>
      </c>
      <c r="AH982" s="1">
        <v>0</v>
      </c>
      <c r="AI982" s="1">
        <v>1</v>
      </c>
      <c r="AJ982" s="1">
        <v>0</v>
      </c>
      <c r="AK982" s="1">
        <v>0</v>
      </c>
      <c r="AL982" s="1">
        <v>286</v>
      </c>
      <c r="AM982" s="2">
        <v>42207</v>
      </c>
      <c r="AN982" t="str">
        <f t="shared" si="31"/>
        <v>57967,377,0.0065037003812514,0,1,39,229,7,137,4,0,91,5,4,2,8,5,0,0,0,0,0,0,0,58,51-66,2642,0,0,1,0,0,0,1,0,0,286,42207</v>
      </c>
    </row>
    <row r="983" spans="1:40" ht="13" hidden="1" x14ac:dyDescent="0.15">
      <c r="A983">
        <v>1328</v>
      </c>
      <c r="B983" s="1">
        <v>31907</v>
      </c>
      <c r="C983" s="1">
        <v>375</v>
      </c>
      <c r="D983" s="4">
        <f t="shared" si="30"/>
        <v>1.1752906885636381E-2</v>
      </c>
      <c r="E983" s="1">
        <v>0</v>
      </c>
      <c r="F983" s="1">
        <v>0</v>
      </c>
      <c r="G983" s="1">
        <v>75</v>
      </c>
      <c r="H983" s="1">
        <v>33</v>
      </c>
      <c r="I983" s="1">
        <v>87</v>
      </c>
      <c r="J983" s="1">
        <v>64</v>
      </c>
      <c r="K983" s="1">
        <v>175</v>
      </c>
      <c r="L983" s="1">
        <v>16</v>
      </c>
      <c r="M983" s="1">
        <v>74</v>
      </c>
      <c r="N983" s="1">
        <v>1</v>
      </c>
      <c r="O983" s="1">
        <v>6</v>
      </c>
      <c r="P983" s="1">
        <v>1</v>
      </c>
      <c r="Q983" s="1">
        <v>6</v>
      </c>
      <c r="R983" s="1">
        <v>7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48</v>
      </c>
      <c r="AA983" s="1" t="str" cm="1">
        <f t="array" ref="AA983">_xlfn.IFS(AND(Z983&lt;36, Z983&gt;23), "24-35", AND(Z983&lt;51, Z983&gt;35),"36-50", AND(Z983&lt;66, Z983&gt;50), "51-66", Z983&gt;65, "66+", TRUE, "?")</f>
        <v>36-50</v>
      </c>
      <c r="AB983" s="1">
        <v>2641</v>
      </c>
      <c r="AC983" s="1">
        <v>0</v>
      </c>
      <c r="AD983" s="1">
        <v>0</v>
      </c>
      <c r="AE983" s="1">
        <v>1</v>
      </c>
      <c r="AF983" s="1">
        <v>0</v>
      </c>
      <c r="AG983" s="1">
        <v>0</v>
      </c>
      <c r="AH983" s="1">
        <v>0</v>
      </c>
      <c r="AI983" s="1">
        <v>1</v>
      </c>
      <c r="AJ983" s="1">
        <v>0</v>
      </c>
      <c r="AK983" s="1">
        <v>0</v>
      </c>
      <c r="AL983" s="1">
        <v>301</v>
      </c>
      <c r="AM983" s="2">
        <v>42208</v>
      </c>
      <c r="AN983" t="str">
        <f t="shared" si="31"/>
        <v>31907,375,0.0117529068856364,0,0,75,33,87,64,175,16,74,1,6,1,6,7,0,0,0,0,0,0,0,48,36-50,2641,0,0,1,0,0,0,1,0,0,301,42208</v>
      </c>
    </row>
    <row r="984" spans="1:40" ht="13" x14ac:dyDescent="0.15">
      <c r="A984">
        <v>1452</v>
      </c>
      <c r="B984" s="1">
        <v>72967</v>
      </c>
      <c r="C984" s="1">
        <v>372</v>
      </c>
      <c r="D984" s="4">
        <f t="shared" si="30"/>
        <v>5.0981950744857264E-3</v>
      </c>
      <c r="E984" s="1">
        <v>0</v>
      </c>
      <c r="F984" s="1">
        <v>1</v>
      </c>
      <c r="G984" s="1">
        <v>1</v>
      </c>
      <c r="H984" s="1">
        <v>158</v>
      </c>
      <c r="I984" s="1">
        <v>35</v>
      </c>
      <c r="J984" s="1">
        <v>179</v>
      </c>
      <c r="K984" s="1">
        <v>0</v>
      </c>
      <c r="L984" s="1">
        <v>0</v>
      </c>
      <c r="M984" s="1">
        <v>125</v>
      </c>
      <c r="N984" s="1">
        <v>2</v>
      </c>
      <c r="O984" s="1">
        <v>7</v>
      </c>
      <c r="P984" s="1">
        <v>2</v>
      </c>
      <c r="Q984" s="1">
        <v>8</v>
      </c>
      <c r="R984" s="1">
        <v>5</v>
      </c>
      <c r="S984" s="1">
        <v>0</v>
      </c>
      <c r="T984" s="1">
        <v>0</v>
      </c>
      <c r="U984" s="1">
        <v>1</v>
      </c>
      <c r="V984" s="1">
        <v>0</v>
      </c>
      <c r="W984" s="1">
        <v>0</v>
      </c>
      <c r="X984" s="1">
        <v>0</v>
      </c>
      <c r="Y984" s="1">
        <v>1</v>
      </c>
      <c r="Z984" s="1">
        <v>50</v>
      </c>
      <c r="AA984" s="1" t="str" cm="1">
        <f t="array" ref="AA984">_xlfn.IFS(AND(Z984&lt;36, Z984&gt;23), "24-35", AND(Z984&lt;51, Z984&gt;35),"36-50", AND(Z984&lt;66, Z984&gt;50), "51-66", Z984&gt;65, "66+", TRUE, "?")</f>
        <v>36-50</v>
      </c>
      <c r="AB984" s="1">
        <v>2720</v>
      </c>
      <c r="AC984" s="1">
        <v>1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1</v>
      </c>
      <c r="AJ984" s="1">
        <v>0</v>
      </c>
      <c r="AK984" s="1">
        <v>0</v>
      </c>
      <c r="AL984" s="1">
        <v>247</v>
      </c>
      <c r="AM984" s="2">
        <v>42129</v>
      </c>
      <c r="AN984" t="str">
        <f t="shared" si="31"/>
        <v>72967,372,0.00509819507448573,0,1,1,158,35,179,0,0,125,2,7,2,8,5,0,0,1,0,0,0,1,50,36-50,2720,1,0,0,0,0,0,1,0,0,247,42129</v>
      </c>
    </row>
    <row r="985" spans="1:40" ht="13" hidden="1" x14ac:dyDescent="0.15">
      <c r="A985">
        <v>386</v>
      </c>
      <c r="B985" s="1">
        <v>46923</v>
      </c>
      <c r="C985" s="1">
        <v>363</v>
      </c>
      <c r="D985" s="4">
        <f t="shared" si="30"/>
        <v>7.7360782558659929E-3</v>
      </c>
      <c r="E985" s="1">
        <v>1</v>
      </c>
      <c r="F985" s="1">
        <v>0</v>
      </c>
      <c r="G985" s="1">
        <v>90</v>
      </c>
      <c r="H985" s="1">
        <v>85</v>
      </c>
      <c r="I985" s="1">
        <v>44</v>
      </c>
      <c r="J985" s="1">
        <v>54</v>
      </c>
      <c r="K985" s="1">
        <v>102</v>
      </c>
      <c r="L985" s="1">
        <v>78</v>
      </c>
      <c r="M985" s="1">
        <v>6</v>
      </c>
      <c r="N985" s="1">
        <v>3</v>
      </c>
      <c r="O985" s="1">
        <v>5</v>
      </c>
      <c r="P985" s="1">
        <v>1</v>
      </c>
      <c r="Q985" s="1">
        <v>7</v>
      </c>
      <c r="R985" s="1">
        <v>7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33</v>
      </c>
      <c r="AA985" s="1" t="str" cm="1">
        <f t="array" ref="AA985">_xlfn.IFS(AND(Z985&lt;36, Z985&gt;23), "24-35", AND(Z985&lt;51, Z985&gt;35),"36-50", AND(Z985&lt;66, Z985&gt;50), "51-66", Z985&gt;65, "66+", TRUE, "?")</f>
        <v>24-35</v>
      </c>
      <c r="AB985" s="1">
        <v>2835</v>
      </c>
      <c r="AC985" s="1">
        <v>0</v>
      </c>
      <c r="AD985" s="1">
        <v>0</v>
      </c>
      <c r="AE985" s="1">
        <v>1</v>
      </c>
      <c r="AF985" s="1">
        <v>0</v>
      </c>
      <c r="AG985" s="1">
        <v>0</v>
      </c>
      <c r="AH985" s="1">
        <v>0</v>
      </c>
      <c r="AI985" s="1">
        <v>1</v>
      </c>
      <c r="AJ985" s="1">
        <v>0</v>
      </c>
      <c r="AK985" s="1">
        <v>0</v>
      </c>
      <c r="AL985" s="1">
        <v>357</v>
      </c>
      <c r="AM985" s="2">
        <v>42014</v>
      </c>
      <c r="AN985" t="str">
        <f t="shared" si="31"/>
        <v>46923,363,0.00773607825586599,1,0,90,85,44,54,102,78,6,3,5,1,7,7,0,0,0,0,0,0,0,33,24-35,2835,0,0,1,0,0,0,1,0,0,357,42014</v>
      </c>
    </row>
    <row r="986" spans="1:40" ht="13" hidden="1" x14ac:dyDescent="0.15">
      <c r="A986">
        <v>815</v>
      </c>
      <c r="B986" s="1">
        <v>53172</v>
      </c>
      <c r="C986" s="1">
        <v>361</v>
      </c>
      <c r="D986" s="4">
        <f t="shared" si="30"/>
        <v>6.7892875949747983E-3</v>
      </c>
      <c r="E986" s="1">
        <v>0</v>
      </c>
      <c r="F986" s="1">
        <v>1</v>
      </c>
      <c r="G986" s="1">
        <v>54</v>
      </c>
      <c r="H986" s="1">
        <v>121</v>
      </c>
      <c r="I986" s="1">
        <v>62</v>
      </c>
      <c r="J986" s="1">
        <v>90</v>
      </c>
      <c r="K986" s="1">
        <v>68</v>
      </c>
      <c r="L986" s="1">
        <v>20</v>
      </c>
      <c r="M986" s="1">
        <v>125</v>
      </c>
      <c r="N986" s="1">
        <v>3</v>
      </c>
      <c r="O986" s="1">
        <v>2</v>
      </c>
      <c r="P986" s="1">
        <v>3</v>
      </c>
      <c r="Q986" s="1">
        <v>8</v>
      </c>
      <c r="R986" s="1">
        <v>3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42</v>
      </c>
      <c r="AA986" s="1" t="str" cm="1">
        <f t="array" ref="AA986">_xlfn.IFS(AND(Z986&lt;36, Z986&gt;23), "24-35", AND(Z986&lt;51, Z986&gt;35),"36-50", AND(Z986&lt;66, Z986&gt;50), "51-66", Z986&gt;65, "66+", TRUE, "?")</f>
        <v>36-50</v>
      </c>
      <c r="AB986" s="1">
        <v>2578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1</v>
      </c>
      <c r="AJ986" s="1">
        <v>0</v>
      </c>
      <c r="AK986" s="1">
        <v>0</v>
      </c>
      <c r="AL986" s="1">
        <v>236</v>
      </c>
      <c r="AM986" s="2">
        <v>42271</v>
      </c>
      <c r="AN986" t="str">
        <f t="shared" si="31"/>
        <v>53172,361,0.0067892875949748,0,1,54,121,62,90,68,20,125,3,2,3,8,3,0,0,0,0,0,0,0,42,36-50,2578,0,0,0,1,0,0,1,0,0,236,42271</v>
      </c>
    </row>
    <row r="987" spans="1:40" ht="13" hidden="1" x14ac:dyDescent="0.15">
      <c r="A987">
        <v>758</v>
      </c>
      <c r="B987" s="1">
        <v>55267</v>
      </c>
      <c r="C987" s="1">
        <v>360</v>
      </c>
      <c r="D987" s="4">
        <f t="shared" si="30"/>
        <v>6.5138328478115334E-3</v>
      </c>
      <c r="E987" s="1">
        <v>0</v>
      </c>
      <c r="F987" s="1">
        <v>1</v>
      </c>
      <c r="G987" s="1">
        <v>28</v>
      </c>
      <c r="H987" s="1">
        <v>161</v>
      </c>
      <c r="I987" s="1">
        <v>28</v>
      </c>
      <c r="J987" s="1">
        <v>136</v>
      </c>
      <c r="K987" s="1">
        <v>32</v>
      </c>
      <c r="L987" s="1">
        <v>3</v>
      </c>
      <c r="M987" s="1">
        <v>45</v>
      </c>
      <c r="N987" s="1">
        <v>4</v>
      </c>
      <c r="O987" s="1">
        <v>3</v>
      </c>
      <c r="P987" s="1">
        <v>4</v>
      </c>
      <c r="Q987" s="1">
        <v>6</v>
      </c>
      <c r="R987" s="1">
        <v>3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63</v>
      </c>
      <c r="AA987" s="1" t="str" cm="1">
        <f t="array" ref="AA987">_xlfn.IFS(AND(Z987&lt;36, Z987&gt;23), "24-35", AND(Z987&lt;51, Z987&gt;35),"36-50", AND(Z987&lt;66, Z987&gt;50), "51-66", Z987&gt;65, "66+", TRUE, "?")</f>
        <v>51-66</v>
      </c>
      <c r="AB987" s="1">
        <v>2410</v>
      </c>
      <c r="AC987" s="1">
        <v>0</v>
      </c>
      <c r="AD987" s="1">
        <v>1</v>
      </c>
      <c r="AE987" s="1">
        <v>0</v>
      </c>
      <c r="AF987" s="1">
        <v>0</v>
      </c>
      <c r="AG987" s="1">
        <v>0</v>
      </c>
      <c r="AH987" s="1">
        <v>0</v>
      </c>
      <c r="AI987" s="1">
        <v>1</v>
      </c>
      <c r="AJ987" s="1">
        <v>0</v>
      </c>
      <c r="AK987" s="1">
        <v>0</v>
      </c>
      <c r="AL987" s="1">
        <v>315</v>
      </c>
      <c r="AM987" s="2">
        <v>42439</v>
      </c>
      <c r="AN987" t="str">
        <f t="shared" si="31"/>
        <v>55267,360,0.00651383284781153,0,1,28,161,28,136,32,3,45,4,3,4,6,3,0,0,0,0,0,0,0,63,51-66,2410,0,1,0,0,0,0,1,0,0,315,42439</v>
      </c>
    </row>
    <row r="988" spans="1:40" ht="13" hidden="1" x14ac:dyDescent="0.15">
      <c r="A988">
        <v>1233</v>
      </c>
      <c r="B988" s="1">
        <v>47009</v>
      </c>
      <c r="C988" s="1">
        <v>358</v>
      </c>
      <c r="D988" s="4">
        <f t="shared" si="30"/>
        <v>7.6155629773022185E-3</v>
      </c>
      <c r="E988" s="1">
        <v>0</v>
      </c>
      <c r="F988" s="1">
        <v>1</v>
      </c>
      <c r="G988" s="1">
        <v>89</v>
      </c>
      <c r="H988" s="1">
        <v>171</v>
      </c>
      <c r="I988" s="1">
        <v>45</v>
      </c>
      <c r="J988" s="1">
        <v>73</v>
      </c>
      <c r="K988" s="1">
        <v>59</v>
      </c>
      <c r="L988" s="1">
        <v>10</v>
      </c>
      <c r="M988" s="1">
        <v>90</v>
      </c>
      <c r="N988" s="1">
        <v>4</v>
      </c>
      <c r="O988" s="1">
        <v>3</v>
      </c>
      <c r="P988" s="1">
        <v>2</v>
      </c>
      <c r="Q988" s="1">
        <v>8</v>
      </c>
      <c r="R988" s="1">
        <v>4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55</v>
      </c>
      <c r="AA988" s="1" t="str" cm="1">
        <f t="array" ref="AA988">_xlfn.IFS(AND(Z988&lt;36, Z988&gt;23), "24-35", AND(Z988&lt;51, Z988&gt;35),"36-50", AND(Z988&lt;66, Z988&gt;50), "51-66", Z988&gt;65, "66+", TRUE, "?")</f>
        <v>51-66</v>
      </c>
      <c r="AB988" s="1">
        <v>2430</v>
      </c>
      <c r="AC988" s="1">
        <v>0</v>
      </c>
      <c r="AD988" s="1">
        <v>0</v>
      </c>
      <c r="AE988" s="1">
        <v>0</v>
      </c>
      <c r="AF988" s="1">
        <v>1</v>
      </c>
      <c r="AG988" s="1">
        <v>0</v>
      </c>
      <c r="AH988" s="1">
        <v>0</v>
      </c>
      <c r="AI988" s="1">
        <v>1</v>
      </c>
      <c r="AJ988" s="1">
        <v>0</v>
      </c>
      <c r="AK988" s="1">
        <v>0</v>
      </c>
      <c r="AL988" s="1">
        <v>268</v>
      </c>
      <c r="AM988" s="2">
        <v>42419</v>
      </c>
      <c r="AN988" t="str">
        <f t="shared" si="31"/>
        <v>47009,358,0.00761556297730222,0,1,89,171,45,73,59,10,90,4,3,2,8,4,0,0,0,0,0,0,0,55,51-66,2430,0,0,0,1,0,0,1,0,0,268,42419</v>
      </c>
    </row>
    <row r="989" spans="1:40" ht="13" hidden="1" x14ac:dyDescent="0.15">
      <c r="A989">
        <v>1724</v>
      </c>
      <c r="B989" s="1">
        <v>42081</v>
      </c>
      <c r="C989" s="1">
        <v>355</v>
      </c>
      <c r="D989" s="4">
        <f t="shared" si="30"/>
        <v>8.4361113091418923E-3</v>
      </c>
      <c r="E989" s="1">
        <v>1</v>
      </c>
      <c r="F989" s="1">
        <v>0</v>
      </c>
      <c r="G989" s="1">
        <v>86</v>
      </c>
      <c r="H989" s="1">
        <v>175</v>
      </c>
      <c r="I989" s="1">
        <v>10</v>
      </c>
      <c r="J989" s="1">
        <v>110</v>
      </c>
      <c r="K989" s="1">
        <v>54</v>
      </c>
      <c r="L989" s="1">
        <v>6</v>
      </c>
      <c r="M989" s="1">
        <v>27</v>
      </c>
      <c r="N989" s="1">
        <v>2</v>
      </c>
      <c r="O989" s="1">
        <v>6</v>
      </c>
      <c r="P989" s="1">
        <v>3</v>
      </c>
      <c r="Q989" s="1">
        <v>4</v>
      </c>
      <c r="R989" s="1">
        <v>6</v>
      </c>
      <c r="S989" s="1">
        <v>0</v>
      </c>
      <c r="T989" s="1">
        <v>0</v>
      </c>
      <c r="U989" s="1">
        <v>1</v>
      </c>
      <c r="V989" s="1">
        <v>0</v>
      </c>
      <c r="W989" s="1">
        <v>0</v>
      </c>
      <c r="X989" s="1">
        <v>0</v>
      </c>
      <c r="Y989" s="1">
        <v>0</v>
      </c>
      <c r="Z989" s="1">
        <v>38</v>
      </c>
      <c r="AA989" s="1" t="str" cm="1">
        <f t="array" ref="AA989">_xlfn.IFS(AND(Z989&lt;36, Z989&gt;23), "24-35", AND(Z989&lt;51, Z989&gt;35),"36-50", AND(Z989&lt;66, Z989&gt;50), "51-66", Z989&gt;65, "66+", TRUE, "?")</f>
        <v>36-50</v>
      </c>
      <c r="AB989" s="1">
        <v>2647</v>
      </c>
      <c r="AC989" s="1">
        <v>0</v>
      </c>
      <c r="AD989" s="1">
        <v>1</v>
      </c>
      <c r="AE989" s="1">
        <v>0</v>
      </c>
      <c r="AF989" s="1">
        <v>0</v>
      </c>
      <c r="AG989" s="1">
        <v>0</v>
      </c>
      <c r="AH989" s="1">
        <v>0</v>
      </c>
      <c r="AI989" s="1">
        <v>1</v>
      </c>
      <c r="AJ989" s="1">
        <v>0</v>
      </c>
      <c r="AK989" s="1">
        <v>0</v>
      </c>
      <c r="AL989" s="1">
        <v>328</v>
      </c>
      <c r="AM989" s="2">
        <v>42202</v>
      </c>
      <c r="AN989" t="str">
        <f t="shared" si="31"/>
        <v>42081,355,0.00843611130914189,1,0,86,175,10,110,54,6,27,2,6,3,4,6,0,0,1,0,0,0,0,38,36-50,2647,0,1,0,0,0,0,1,0,0,328,42202</v>
      </c>
    </row>
    <row r="990" spans="1:40" ht="13" hidden="1" x14ac:dyDescent="0.15">
      <c r="A990">
        <v>1013</v>
      </c>
      <c r="B990" s="1">
        <v>50014</v>
      </c>
      <c r="C990" s="1">
        <v>354</v>
      </c>
      <c r="D990" s="4">
        <f t="shared" si="30"/>
        <v>7.0780181549166231E-3</v>
      </c>
      <c r="E990" s="1">
        <v>1</v>
      </c>
      <c r="F990" s="1">
        <v>0</v>
      </c>
      <c r="G990" s="1">
        <v>9</v>
      </c>
      <c r="H990" s="1">
        <v>234</v>
      </c>
      <c r="I990" s="1">
        <v>14</v>
      </c>
      <c r="J990" s="1">
        <v>77</v>
      </c>
      <c r="K990" s="1">
        <v>19</v>
      </c>
      <c r="L990" s="1">
        <v>10</v>
      </c>
      <c r="M990" s="1">
        <v>42</v>
      </c>
      <c r="N990" s="1">
        <v>2</v>
      </c>
      <c r="O990" s="1">
        <v>4</v>
      </c>
      <c r="P990" s="1">
        <v>1</v>
      </c>
      <c r="Q990" s="1">
        <v>8</v>
      </c>
      <c r="R990" s="1">
        <v>5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52</v>
      </c>
      <c r="AA990" s="1" t="str" cm="1">
        <f t="array" ref="AA990">_xlfn.IFS(AND(Z990&lt;36, Z990&gt;23), "24-35", AND(Z990&lt;51, Z990&gt;35),"36-50", AND(Z990&lt;66, Z990&gt;50), "51-66", Z990&gt;65, "66+", TRUE, "?")</f>
        <v>51-66</v>
      </c>
      <c r="AB990" s="1">
        <v>2317</v>
      </c>
      <c r="AC990" s="1">
        <v>0</v>
      </c>
      <c r="AD990" s="1">
        <v>0</v>
      </c>
      <c r="AE990" s="1">
        <v>1</v>
      </c>
      <c r="AF990" s="1">
        <v>0</v>
      </c>
      <c r="AG990" s="1">
        <v>0</v>
      </c>
      <c r="AH990" s="1">
        <v>0</v>
      </c>
      <c r="AI990" s="1">
        <v>0</v>
      </c>
      <c r="AJ990" s="1">
        <v>1</v>
      </c>
      <c r="AK990" s="1">
        <v>0</v>
      </c>
      <c r="AL990" s="1">
        <v>312</v>
      </c>
      <c r="AM990" s="2">
        <v>42532</v>
      </c>
      <c r="AN990" t="str">
        <f t="shared" si="31"/>
        <v>50014,354,0.00707801815491662,1,0,9,234,14,77,19,10,42,2,4,1,8,5,0,0,0,0,0,0,0,52,51-66,2317,0,0,1,0,0,0,0,1,0,312,42532</v>
      </c>
    </row>
    <row r="991" spans="1:40" ht="13" hidden="1" x14ac:dyDescent="0.15">
      <c r="A991">
        <v>1854</v>
      </c>
      <c r="B991" s="1">
        <v>60905</v>
      </c>
      <c r="C991" s="1">
        <v>354</v>
      </c>
      <c r="D991" s="4">
        <f t="shared" si="30"/>
        <v>5.8123306789261966E-3</v>
      </c>
      <c r="E991" s="1">
        <v>0</v>
      </c>
      <c r="F991" s="1">
        <v>1</v>
      </c>
      <c r="G991" s="1">
        <v>27</v>
      </c>
      <c r="H991" s="1">
        <v>208</v>
      </c>
      <c r="I991" s="1">
        <v>17</v>
      </c>
      <c r="J991" s="1">
        <v>76</v>
      </c>
      <c r="K991" s="1">
        <v>36</v>
      </c>
      <c r="L991" s="1">
        <v>17</v>
      </c>
      <c r="M991" s="1">
        <v>38</v>
      </c>
      <c r="N991" s="1">
        <v>2</v>
      </c>
      <c r="O991" s="1">
        <v>3</v>
      </c>
      <c r="P991" s="1">
        <v>3</v>
      </c>
      <c r="Q991" s="1">
        <v>7</v>
      </c>
      <c r="R991" s="1">
        <v>2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70</v>
      </c>
      <c r="AA991" s="1" t="str" cm="1">
        <f t="array" ref="AA991">_xlfn.IFS(AND(Z991&lt;36, Z991&gt;23), "24-35", AND(Z991&lt;51, Z991&gt;35),"36-50", AND(Z991&lt;66, Z991&gt;50), "51-66", Z991&gt;65, "66+", TRUE, "?")</f>
        <v>66+</v>
      </c>
      <c r="AB991" s="1">
        <v>2365</v>
      </c>
      <c r="AC991" s="1">
        <v>0</v>
      </c>
      <c r="AD991" s="1">
        <v>0</v>
      </c>
      <c r="AE991" s="1">
        <v>0</v>
      </c>
      <c r="AF991" s="1">
        <v>1</v>
      </c>
      <c r="AG991" s="1">
        <v>0</v>
      </c>
      <c r="AH991" s="1">
        <v>0</v>
      </c>
      <c r="AI991" s="1">
        <v>1</v>
      </c>
      <c r="AJ991" s="1">
        <v>0</v>
      </c>
      <c r="AK991" s="1">
        <v>0</v>
      </c>
      <c r="AL991" s="1">
        <v>316</v>
      </c>
      <c r="AM991" s="2">
        <v>42484</v>
      </c>
      <c r="AN991" t="str">
        <f t="shared" si="31"/>
        <v>60905,354,0.0058123306789262,0,1,27,208,17,76,36,17,38,2,3,3,7,2,0,0,0,0,0,0,0,70,66+,2365,0,0,0,1,0,0,1,0,0,316,42484</v>
      </c>
    </row>
    <row r="992" spans="1:40" ht="13" hidden="1" x14ac:dyDescent="0.15">
      <c r="A992">
        <v>2006</v>
      </c>
      <c r="B992" s="1">
        <v>40101</v>
      </c>
      <c r="C992" s="1">
        <v>353</v>
      </c>
      <c r="D992" s="4">
        <f t="shared" si="30"/>
        <v>8.8027729981795966E-3</v>
      </c>
      <c r="E992" s="1">
        <v>1</v>
      </c>
      <c r="F992" s="1">
        <v>0</v>
      </c>
      <c r="G992" s="1">
        <v>73</v>
      </c>
      <c r="H992" s="1">
        <v>171</v>
      </c>
      <c r="I992" s="1">
        <v>3</v>
      </c>
      <c r="J992" s="1">
        <v>129</v>
      </c>
      <c r="K992" s="1">
        <v>26</v>
      </c>
      <c r="L992" s="1">
        <v>24</v>
      </c>
      <c r="M992" s="1">
        <v>62</v>
      </c>
      <c r="N992" s="1">
        <v>4</v>
      </c>
      <c r="O992" s="1">
        <v>6</v>
      </c>
      <c r="P992" s="1">
        <v>1</v>
      </c>
      <c r="Q992" s="1">
        <v>6</v>
      </c>
      <c r="R992" s="1">
        <v>7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35</v>
      </c>
      <c r="AA992" s="1" t="str" cm="1">
        <f t="array" ref="AA992">_xlfn.IFS(AND(Z992&lt;36, Z992&gt;23), "24-35", AND(Z992&lt;51, Z992&gt;35),"36-50", AND(Z992&lt;66, Z992&gt;50), "51-66", Z992&gt;65, "66+", TRUE, "?")</f>
        <v>24-35</v>
      </c>
      <c r="AB992" s="1">
        <v>2782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0</v>
      </c>
      <c r="AJ992" s="1">
        <v>1</v>
      </c>
      <c r="AK992" s="1">
        <v>0</v>
      </c>
      <c r="AL992" s="1">
        <v>291</v>
      </c>
      <c r="AM992" s="2">
        <v>42067</v>
      </c>
      <c r="AN992" t="str">
        <f t="shared" si="31"/>
        <v>40101,353,0.0088027729981796,1,0,73,171,3,129,26,24,62,4,6,1,6,7,0,0,0,0,0,0,0,35,24-35,2782,0,0,0,1,0,0,0,1,0,291,42067</v>
      </c>
    </row>
    <row r="993" spans="1:40" ht="13" hidden="1" x14ac:dyDescent="0.15">
      <c r="A993">
        <v>870</v>
      </c>
      <c r="B993" s="1">
        <v>24401</v>
      </c>
      <c r="C993" s="1">
        <v>352</v>
      </c>
      <c r="D993" s="4">
        <f t="shared" si="30"/>
        <v>1.4425638293512561E-2</v>
      </c>
      <c r="E993" s="1">
        <v>0</v>
      </c>
      <c r="F993" s="1">
        <v>0</v>
      </c>
      <c r="G993" s="1">
        <v>98</v>
      </c>
      <c r="H993" s="1">
        <v>73</v>
      </c>
      <c r="I993" s="1">
        <v>28</v>
      </c>
      <c r="J993" s="1">
        <v>217</v>
      </c>
      <c r="K993" s="1">
        <v>10</v>
      </c>
      <c r="L993" s="1">
        <v>24</v>
      </c>
      <c r="M993" s="1">
        <v>115</v>
      </c>
      <c r="N993" s="1">
        <v>3</v>
      </c>
      <c r="O993" s="1">
        <v>6</v>
      </c>
      <c r="P993" s="1">
        <v>1</v>
      </c>
      <c r="Q993" s="1">
        <v>6</v>
      </c>
      <c r="R993" s="1">
        <v>8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41</v>
      </c>
      <c r="AA993" s="1" t="str" cm="1">
        <f t="array" ref="AA993">_xlfn.IFS(AND(Z993&lt;36, Z993&gt;23), "24-35", AND(Z993&lt;51, Z993&gt;35),"36-50", AND(Z993&lt;66, Z993&gt;50), "51-66", Z993&gt;65, "66+", TRUE, "?")</f>
        <v>36-50</v>
      </c>
      <c r="AB993" s="1">
        <v>2826</v>
      </c>
      <c r="AC993" s="1">
        <v>0</v>
      </c>
      <c r="AD993" s="1">
        <v>0</v>
      </c>
      <c r="AE993" s="1">
        <v>0</v>
      </c>
      <c r="AF993" s="1">
        <v>1</v>
      </c>
      <c r="AG993" s="1">
        <v>0</v>
      </c>
      <c r="AH993" s="1">
        <v>0</v>
      </c>
      <c r="AI993" s="1">
        <v>0</v>
      </c>
      <c r="AJ993" s="1">
        <v>1</v>
      </c>
      <c r="AK993" s="1">
        <v>0</v>
      </c>
      <c r="AL993" s="1">
        <v>237</v>
      </c>
      <c r="AM993" s="2">
        <v>42023</v>
      </c>
      <c r="AN993" t="str">
        <f t="shared" si="31"/>
        <v>24401,352,0.0144256382935126,0,0,98,73,28,217,10,24,115,3,6,1,6,8,0,0,0,0,0,0,0,41,36-50,2826,0,0,0,1,0,0,0,1,0,237,42023</v>
      </c>
    </row>
    <row r="994" spans="1:40" ht="13" hidden="1" x14ac:dyDescent="0.15">
      <c r="A994">
        <v>1592</v>
      </c>
      <c r="B994" s="1">
        <v>54984</v>
      </c>
      <c r="C994" s="1">
        <v>352</v>
      </c>
      <c r="D994" s="4">
        <f t="shared" si="30"/>
        <v>6.4018623599592607E-3</v>
      </c>
      <c r="E994" s="1">
        <v>0</v>
      </c>
      <c r="F994" s="1">
        <v>1</v>
      </c>
      <c r="G994" s="1">
        <v>51</v>
      </c>
      <c r="H994" s="1">
        <v>173</v>
      </c>
      <c r="I994" s="1">
        <v>13</v>
      </c>
      <c r="J994" s="1">
        <v>131</v>
      </c>
      <c r="K994" s="1">
        <v>32</v>
      </c>
      <c r="L994" s="1">
        <v>3</v>
      </c>
      <c r="M994" s="1">
        <v>6</v>
      </c>
      <c r="N994" s="1">
        <v>4</v>
      </c>
      <c r="O994" s="1">
        <v>6</v>
      </c>
      <c r="P994" s="1">
        <v>1</v>
      </c>
      <c r="Q994" s="1">
        <v>6</v>
      </c>
      <c r="R994" s="1">
        <v>7</v>
      </c>
      <c r="S994" s="1">
        <v>1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61</v>
      </c>
      <c r="AA994" s="1" t="str" cm="1">
        <f t="array" ref="AA994">_xlfn.IFS(AND(Z994&lt;36, Z994&gt;23), "24-35", AND(Z994&lt;51, Z994&gt;35),"36-50", AND(Z994&lt;66, Z994&gt;50), "51-66", Z994&gt;65, "66+", TRUE, "?")</f>
        <v>51-66</v>
      </c>
      <c r="AB994" s="1">
        <v>2195</v>
      </c>
      <c r="AC994" s="1">
        <v>0</v>
      </c>
      <c r="AD994" s="1">
        <v>1</v>
      </c>
      <c r="AE994" s="1">
        <v>0</v>
      </c>
      <c r="AF994" s="1">
        <v>0</v>
      </c>
      <c r="AG994" s="1">
        <v>0</v>
      </c>
      <c r="AH994" s="1">
        <v>0</v>
      </c>
      <c r="AI994" s="1">
        <v>1</v>
      </c>
      <c r="AJ994" s="1">
        <v>0</v>
      </c>
      <c r="AK994" s="1">
        <v>0</v>
      </c>
      <c r="AL994" s="1">
        <v>346</v>
      </c>
      <c r="AM994" s="2">
        <v>42654</v>
      </c>
      <c r="AN994" t="str">
        <f t="shared" si="31"/>
        <v>54984,352,0.00640186235995926,0,1,51,173,13,131,32,3,6,4,6,1,6,7,1,0,0,0,0,0,0,61,51-66,2195,0,1,0,0,0,0,1,0,0,346,42654</v>
      </c>
    </row>
    <row r="995" spans="1:40" ht="13" hidden="1" x14ac:dyDescent="0.15">
      <c r="A995">
        <v>294</v>
      </c>
      <c r="B995" s="1">
        <v>66503</v>
      </c>
      <c r="C995" s="1">
        <v>351</v>
      </c>
      <c r="D995" s="4">
        <f t="shared" si="30"/>
        <v>5.2779573853811105E-3</v>
      </c>
      <c r="E995" s="1">
        <v>1</v>
      </c>
      <c r="F995" s="1">
        <v>0</v>
      </c>
      <c r="G995" s="1">
        <v>30</v>
      </c>
      <c r="H995" s="1">
        <v>91</v>
      </c>
      <c r="I995" s="1">
        <v>64</v>
      </c>
      <c r="J995" s="1">
        <v>128</v>
      </c>
      <c r="K995" s="1">
        <v>65</v>
      </c>
      <c r="L995" s="1">
        <v>3</v>
      </c>
      <c r="M995" s="1">
        <v>50</v>
      </c>
      <c r="N995" s="1">
        <v>2</v>
      </c>
      <c r="O995" s="1">
        <v>4</v>
      </c>
      <c r="P995" s="1">
        <v>3</v>
      </c>
      <c r="Q995" s="1">
        <v>6</v>
      </c>
      <c r="R995" s="1">
        <v>3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35</v>
      </c>
      <c r="AA995" s="1" t="str" cm="1">
        <f t="array" ref="AA995">_xlfn.IFS(AND(Z995&lt;36, Z995&gt;23), "24-35", AND(Z995&lt;51, Z995&gt;35),"36-50", AND(Z995&lt;66, Z995&gt;50), "51-66", Z995&gt;65, "66+", TRUE, "?")</f>
        <v>24-35</v>
      </c>
      <c r="AB995" s="1">
        <v>2843</v>
      </c>
      <c r="AC995" s="1">
        <v>0</v>
      </c>
      <c r="AD995" s="1">
        <v>0</v>
      </c>
      <c r="AE995" s="1">
        <v>1</v>
      </c>
      <c r="AF995" s="1">
        <v>0</v>
      </c>
      <c r="AG995" s="1">
        <v>0</v>
      </c>
      <c r="AH995" s="1">
        <v>0</v>
      </c>
      <c r="AI995" s="1">
        <v>1</v>
      </c>
      <c r="AJ995" s="1">
        <v>0</v>
      </c>
      <c r="AK995" s="1">
        <v>0</v>
      </c>
      <c r="AL995" s="1">
        <v>301</v>
      </c>
      <c r="AM995" s="2">
        <v>42006</v>
      </c>
      <c r="AN995" t="str">
        <f t="shared" si="31"/>
        <v>66503,351,0.00527795738538111,1,0,30,91,64,128,65,3,50,2,4,3,6,3,0,0,0,0,0,0,0,35,24-35,2843,0,0,1,0,0,0,1,0,0,301,42006</v>
      </c>
    </row>
    <row r="996" spans="1:40" ht="13" hidden="1" x14ac:dyDescent="0.15">
      <c r="A996">
        <v>1863</v>
      </c>
      <c r="B996" s="1">
        <v>37150</v>
      </c>
      <c r="C996" s="1">
        <v>351</v>
      </c>
      <c r="D996" s="4">
        <f t="shared" si="30"/>
        <v>9.4481830417227457E-3</v>
      </c>
      <c r="E996" s="1">
        <v>1</v>
      </c>
      <c r="F996" s="1">
        <v>0</v>
      </c>
      <c r="G996" s="1">
        <v>80</v>
      </c>
      <c r="H996" s="1">
        <v>167</v>
      </c>
      <c r="I996" s="1">
        <v>37</v>
      </c>
      <c r="J996" s="1">
        <v>64</v>
      </c>
      <c r="K996" s="1">
        <v>49</v>
      </c>
      <c r="L996" s="1">
        <v>34</v>
      </c>
      <c r="M996" s="1">
        <v>116</v>
      </c>
      <c r="N996" s="1">
        <v>8</v>
      </c>
      <c r="O996" s="1">
        <v>4</v>
      </c>
      <c r="P996" s="1">
        <v>3</v>
      </c>
      <c r="Q996" s="1">
        <v>6</v>
      </c>
      <c r="R996" s="1">
        <v>7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49</v>
      </c>
      <c r="AA996" s="1" t="str" cm="1">
        <f t="array" ref="AA996">_xlfn.IFS(AND(Z996&lt;36, Z996&gt;23), "24-35", AND(Z996&lt;51, Z996&gt;35),"36-50", AND(Z996&lt;66, Z996&gt;50), "51-66", Z996&gt;65, "66+", TRUE, "?")</f>
        <v>36-50</v>
      </c>
      <c r="AB996" s="1">
        <v>2815</v>
      </c>
      <c r="AC996" s="1">
        <v>0</v>
      </c>
      <c r="AD996" s="1">
        <v>1</v>
      </c>
      <c r="AE996" s="1">
        <v>0</v>
      </c>
      <c r="AF996" s="1">
        <v>0</v>
      </c>
      <c r="AG996" s="1">
        <v>0</v>
      </c>
      <c r="AH996" s="1">
        <v>0</v>
      </c>
      <c r="AI996" s="1">
        <v>1</v>
      </c>
      <c r="AJ996" s="1">
        <v>0</v>
      </c>
      <c r="AK996" s="1">
        <v>0</v>
      </c>
      <c r="AL996" s="1">
        <v>235</v>
      </c>
      <c r="AM996" s="2">
        <v>42034</v>
      </c>
      <c r="AN996" t="str">
        <f t="shared" si="31"/>
        <v>37150,351,0.00944818304172275,1,0,80,167,37,64,49,34,116,8,4,3,6,7,0,0,0,0,0,0,0,49,36-50,2815,0,1,0,0,0,0,1,0,0,235,42034</v>
      </c>
    </row>
    <row r="997" spans="1:40" ht="13" hidden="1" x14ac:dyDescent="0.15">
      <c r="A997">
        <v>1379</v>
      </c>
      <c r="B997" s="1">
        <v>49854</v>
      </c>
      <c r="C997" s="1">
        <v>350</v>
      </c>
      <c r="D997" s="4">
        <f t="shared" si="30"/>
        <v>7.0204998595900028E-3</v>
      </c>
      <c r="E997" s="1">
        <v>1</v>
      </c>
      <c r="F997" s="1">
        <v>0</v>
      </c>
      <c r="G997" s="1">
        <v>63</v>
      </c>
      <c r="H997" s="1">
        <v>123</v>
      </c>
      <c r="I997" s="1">
        <v>17</v>
      </c>
      <c r="J997" s="1">
        <v>171</v>
      </c>
      <c r="K997" s="1">
        <v>39</v>
      </c>
      <c r="L997" s="1">
        <v>0</v>
      </c>
      <c r="M997" s="1">
        <v>30</v>
      </c>
      <c r="N997" s="1">
        <v>5</v>
      </c>
      <c r="O997" s="1">
        <v>6</v>
      </c>
      <c r="P997" s="1">
        <v>2</v>
      </c>
      <c r="Q997" s="1">
        <v>5</v>
      </c>
      <c r="R997" s="1">
        <v>6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48</v>
      </c>
      <c r="AA997" s="1" t="str" cm="1">
        <f t="array" ref="AA997">_xlfn.IFS(AND(Z997&lt;36, Z997&gt;23), "24-35", AND(Z997&lt;51, Z997&gt;35),"36-50", AND(Z997&lt;66, Z997&gt;50), "51-66", Z997&gt;65, "66+", TRUE, "?")</f>
        <v>36-50</v>
      </c>
      <c r="AB997" s="1">
        <v>2390</v>
      </c>
      <c r="AC997" s="1">
        <v>0</v>
      </c>
      <c r="AD997" s="1">
        <v>0</v>
      </c>
      <c r="AE997" s="1">
        <v>0</v>
      </c>
      <c r="AF997" s="1">
        <v>1</v>
      </c>
      <c r="AG997" s="1">
        <v>0</v>
      </c>
      <c r="AH997" s="1">
        <v>0</v>
      </c>
      <c r="AI997" s="1">
        <v>0</v>
      </c>
      <c r="AJ997" s="1">
        <v>1</v>
      </c>
      <c r="AK997" s="1">
        <v>0</v>
      </c>
      <c r="AL997" s="1">
        <v>320</v>
      </c>
      <c r="AM997" s="2">
        <v>42459</v>
      </c>
      <c r="AN997" t="str">
        <f t="shared" si="31"/>
        <v>49854,350,0.00702049985959,1,0,63,123,17,171,39,0,30,5,6,2,5,6,0,0,0,0,0,0,0,48,36-50,2390,0,0,0,1,0,0,0,1,0,320,42459</v>
      </c>
    </row>
    <row r="998" spans="1:40" ht="13" hidden="1" x14ac:dyDescent="0.15">
      <c r="A998">
        <v>1782</v>
      </c>
      <c r="B998" s="1">
        <v>46998</v>
      </c>
      <c r="C998" s="1">
        <v>350</v>
      </c>
      <c r="D998" s="4">
        <f t="shared" si="30"/>
        <v>7.4471254095918975E-3</v>
      </c>
      <c r="E998" s="1">
        <v>0</v>
      </c>
      <c r="F998" s="1">
        <v>1</v>
      </c>
      <c r="G998" s="1">
        <v>55</v>
      </c>
      <c r="H998" s="1">
        <v>172</v>
      </c>
      <c r="I998" s="1">
        <v>41</v>
      </c>
      <c r="J998" s="1">
        <v>86</v>
      </c>
      <c r="K998" s="1">
        <v>45</v>
      </c>
      <c r="L998" s="1">
        <v>6</v>
      </c>
      <c r="M998" s="1">
        <v>27</v>
      </c>
      <c r="N998" s="1">
        <v>5</v>
      </c>
      <c r="O998" s="1">
        <v>5</v>
      </c>
      <c r="P998" s="1">
        <v>3</v>
      </c>
      <c r="Q998" s="1">
        <v>5</v>
      </c>
      <c r="R998" s="1">
        <v>7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0</v>
      </c>
      <c r="Y998" s="1">
        <v>0</v>
      </c>
      <c r="Z998" s="1">
        <v>64</v>
      </c>
      <c r="AA998" s="1" t="str" cm="1">
        <f t="array" ref="AA998">_xlfn.IFS(AND(Z998&lt;36, Z998&gt;23), "24-35", AND(Z998&lt;51, Z998&gt;35),"36-50", AND(Z998&lt;66, Z998&gt;50), "51-66", Z998&gt;65, "66+", TRUE, "?")</f>
        <v>51-66</v>
      </c>
      <c r="AB998" s="1">
        <v>2774</v>
      </c>
      <c r="AC998" s="1">
        <v>0</v>
      </c>
      <c r="AD998" s="1">
        <v>0</v>
      </c>
      <c r="AE998" s="1">
        <v>1</v>
      </c>
      <c r="AF998" s="1">
        <v>0</v>
      </c>
      <c r="AG998" s="1">
        <v>0</v>
      </c>
      <c r="AH998" s="1">
        <v>0</v>
      </c>
      <c r="AI998" s="1">
        <v>1</v>
      </c>
      <c r="AJ998" s="1">
        <v>0</v>
      </c>
      <c r="AK998" s="1">
        <v>0</v>
      </c>
      <c r="AL998" s="1">
        <v>323</v>
      </c>
      <c r="AM998" s="2">
        <v>42075</v>
      </c>
      <c r="AN998" t="str">
        <f t="shared" si="31"/>
        <v>46998,350,0.0074471254095919,0,1,55,172,41,86,45,6,27,5,5,3,5,7,0,0,1,0,0,0,0,64,51-66,2774,0,0,1,0,0,0,1,0,0,323,42075</v>
      </c>
    </row>
    <row r="999" spans="1:40" ht="13" hidden="1" x14ac:dyDescent="0.15">
      <c r="A999">
        <v>1828</v>
      </c>
      <c r="B999" s="1">
        <v>41638</v>
      </c>
      <c r="C999" s="1">
        <v>350</v>
      </c>
      <c r="D999" s="4">
        <f t="shared" si="30"/>
        <v>8.405783178827033E-3</v>
      </c>
      <c r="E999" s="1">
        <v>0</v>
      </c>
      <c r="F999" s="1">
        <v>1</v>
      </c>
      <c r="G999" s="1">
        <v>68</v>
      </c>
      <c r="H999" s="1">
        <v>315</v>
      </c>
      <c r="I999" s="1">
        <v>0</v>
      </c>
      <c r="J999" s="1">
        <v>31</v>
      </c>
      <c r="K999" s="1">
        <v>4</v>
      </c>
      <c r="L999" s="1">
        <v>0</v>
      </c>
      <c r="M999" s="1">
        <v>91</v>
      </c>
      <c r="N999" s="1">
        <v>4</v>
      </c>
      <c r="O999" s="1">
        <v>5</v>
      </c>
      <c r="P999" s="1">
        <v>5</v>
      </c>
      <c r="Q999" s="1">
        <v>3</v>
      </c>
      <c r="R999" s="1">
        <v>8</v>
      </c>
      <c r="S999" s="1">
        <v>0</v>
      </c>
      <c r="T999" s="1">
        <v>0</v>
      </c>
      <c r="U999" s="1">
        <v>1</v>
      </c>
      <c r="V999" s="1">
        <v>0</v>
      </c>
      <c r="W999" s="1">
        <v>0</v>
      </c>
      <c r="X999" s="1">
        <v>0</v>
      </c>
      <c r="Y999" s="1">
        <v>0</v>
      </c>
      <c r="Z999" s="1">
        <v>56</v>
      </c>
      <c r="AA999" s="1" t="str" cm="1">
        <f t="array" ref="AA999">_xlfn.IFS(AND(Z999&lt;36, Z999&gt;23), "24-35", AND(Z999&lt;51, Z999&gt;35),"36-50", AND(Z999&lt;66, Z999&gt;50), "51-66", Z999&gt;65, "66+", TRUE, "?")</f>
        <v>51-66</v>
      </c>
      <c r="AB999" s="1">
        <v>2660</v>
      </c>
      <c r="AC999" s="1">
        <v>1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1</v>
      </c>
      <c r="AJ999" s="1">
        <v>0</v>
      </c>
      <c r="AK999" s="1">
        <v>0</v>
      </c>
      <c r="AL999" s="1">
        <v>259</v>
      </c>
      <c r="AM999" s="2">
        <v>42189</v>
      </c>
      <c r="AN999" t="str">
        <f t="shared" si="31"/>
        <v>41638,350,0.00840578317882703,0,1,68,315,0,31,4,0,91,4,5,5,3,8,0,0,1,0,0,0,0,56,51-66,2660,1,0,0,0,0,0,1,0,0,259,42189</v>
      </c>
    </row>
    <row r="1000" spans="1:40" ht="13" hidden="1" x14ac:dyDescent="0.15">
      <c r="A1000">
        <v>580</v>
      </c>
      <c r="B1000" s="1">
        <v>45837</v>
      </c>
      <c r="C1000" s="1">
        <v>349</v>
      </c>
      <c r="D1000" s="4">
        <f t="shared" si="30"/>
        <v>7.6139363396382836E-3</v>
      </c>
      <c r="E1000" s="1">
        <v>1</v>
      </c>
      <c r="F1000" s="1">
        <v>1</v>
      </c>
      <c r="G1000" s="1">
        <v>88</v>
      </c>
      <c r="H1000" s="1">
        <v>215</v>
      </c>
      <c r="I1000" s="1">
        <v>13</v>
      </c>
      <c r="J1000" s="1">
        <v>87</v>
      </c>
      <c r="K1000" s="1">
        <v>17</v>
      </c>
      <c r="L1000" s="1">
        <v>17</v>
      </c>
      <c r="M1000" s="1">
        <v>24</v>
      </c>
      <c r="N1000" s="1">
        <v>5</v>
      </c>
      <c r="O1000" s="1">
        <v>6</v>
      </c>
      <c r="P1000" s="1">
        <v>2</v>
      </c>
      <c r="Q1000" s="1">
        <v>5</v>
      </c>
      <c r="R1000" s="1">
        <v>7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46</v>
      </c>
      <c r="AA1000" s="1" t="str" cm="1">
        <f t="array" ref="AA1000">_xlfn.IFS(AND(Z1000&lt;36, Z1000&gt;23), "24-35", AND(Z1000&lt;51, Z1000&gt;35),"36-50", AND(Z1000&lt;66, Z1000&gt;50), "51-66", Z1000&gt;65, "66+", TRUE, "?")</f>
        <v>36-50</v>
      </c>
      <c r="AB1000" s="1">
        <v>2497</v>
      </c>
      <c r="AC1000" s="1">
        <v>0</v>
      </c>
      <c r="AD1000" s="1">
        <v>1</v>
      </c>
      <c r="AE1000" s="1">
        <v>0</v>
      </c>
      <c r="AF1000" s="1">
        <v>0</v>
      </c>
      <c r="AG1000" s="1">
        <v>0</v>
      </c>
      <c r="AH1000" s="1">
        <v>0</v>
      </c>
      <c r="AI1000" s="1">
        <v>1</v>
      </c>
      <c r="AJ1000" s="1">
        <v>0</v>
      </c>
      <c r="AK1000" s="1">
        <v>0</v>
      </c>
      <c r="AL1000" s="1">
        <v>325</v>
      </c>
      <c r="AM1000" s="2">
        <v>42352</v>
      </c>
      <c r="AN1000" t="str">
        <f t="shared" si="31"/>
        <v>45837,349,0.00761393633963828,1,1,88,215,13,87,17,17,24,5,6,2,5,7,0,0,0,0,0,0,0,46,36-50,2497,0,1,0,0,0,0,1,0,0,325,42352</v>
      </c>
    </row>
    <row r="1001" spans="1:40" ht="13" hidden="1" x14ac:dyDescent="0.15">
      <c r="A1001">
        <v>1152</v>
      </c>
      <c r="B1001" s="1">
        <v>54730</v>
      </c>
      <c r="C1001" s="1">
        <v>349</v>
      </c>
      <c r="D1001" s="4">
        <f t="shared" si="30"/>
        <v>6.3767586332907E-3</v>
      </c>
      <c r="E1001" s="1">
        <v>0</v>
      </c>
      <c r="F1001" s="1">
        <v>1</v>
      </c>
      <c r="G1001" s="1">
        <v>64</v>
      </c>
      <c r="H1001" s="1">
        <v>318</v>
      </c>
      <c r="I1001" s="1">
        <v>3</v>
      </c>
      <c r="J1001" s="1">
        <v>17</v>
      </c>
      <c r="K1001" s="1">
        <v>4</v>
      </c>
      <c r="L1001" s="1">
        <v>7</v>
      </c>
      <c r="M1001" s="1">
        <v>56</v>
      </c>
      <c r="N1001" s="1">
        <v>5</v>
      </c>
      <c r="O1001" s="1">
        <v>4</v>
      </c>
      <c r="P1001" s="1">
        <v>1</v>
      </c>
      <c r="Q1001" s="1">
        <v>8</v>
      </c>
      <c r="R1001" s="1">
        <v>4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45</v>
      </c>
      <c r="AA1001" s="1" t="str" cm="1">
        <f t="array" ref="AA1001">_xlfn.IFS(AND(Z1001&lt;36, Z1001&gt;23), "24-35", AND(Z1001&lt;51, Z1001&gt;35),"36-50", AND(Z1001&lt;66, Z1001&gt;50), "51-66", Z1001&gt;65, "66+", TRUE, "?")</f>
        <v>36-50</v>
      </c>
      <c r="AB1001" s="1">
        <v>2477</v>
      </c>
      <c r="AC1001" s="1">
        <v>0</v>
      </c>
      <c r="AD1001" s="1">
        <v>1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1</v>
      </c>
      <c r="AK1001" s="1">
        <v>0</v>
      </c>
      <c r="AL1001" s="1">
        <v>293</v>
      </c>
      <c r="AM1001" s="2">
        <v>42372</v>
      </c>
      <c r="AN1001" t="str">
        <f t="shared" si="31"/>
        <v>54730,349,0.0063767586332907,0,1,64,318,3,17,4,7,56,5,4,1,8,4,0,0,0,0,0,0,0,45,36-50,2477,0,1,0,0,0,0,0,1,0,293,42372</v>
      </c>
    </row>
    <row r="1002" spans="1:40" ht="13" hidden="1" x14ac:dyDescent="0.15">
      <c r="A1002">
        <v>615</v>
      </c>
      <c r="B1002" s="1">
        <v>49431</v>
      </c>
      <c r="C1002" s="1">
        <v>348</v>
      </c>
      <c r="D1002" s="4">
        <f t="shared" si="30"/>
        <v>7.0401165260666381E-3</v>
      </c>
      <c r="E1002" s="1">
        <v>0</v>
      </c>
      <c r="F1002" s="1">
        <v>1</v>
      </c>
      <c r="G1002" s="1">
        <v>9</v>
      </c>
      <c r="H1002" s="1">
        <v>219</v>
      </c>
      <c r="I1002" s="1">
        <v>3</v>
      </c>
      <c r="J1002" s="1">
        <v>100</v>
      </c>
      <c r="K1002" s="1">
        <v>26</v>
      </c>
      <c r="L1002" s="1">
        <v>0</v>
      </c>
      <c r="M1002" s="1">
        <v>17</v>
      </c>
      <c r="N1002" s="1">
        <v>2</v>
      </c>
      <c r="O1002" s="1">
        <v>7</v>
      </c>
      <c r="P1002" s="1">
        <v>1</v>
      </c>
      <c r="Q1002" s="1">
        <v>5</v>
      </c>
      <c r="R1002" s="1">
        <v>8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65</v>
      </c>
      <c r="AA1002" s="1" t="str" cm="1">
        <f t="array" ref="AA1002">_xlfn.IFS(AND(Z1002&lt;36, Z1002&gt;23), "24-35", AND(Z1002&lt;51, Z1002&gt;35),"36-50", AND(Z1002&lt;66, Z1002&gt;50), "51-66", Z1002&gt;65, "66+", TRUE, "?")</f>
        <v>51-66</v>
      </c>
      <c r="AB1002" s="1">
        <v>2854</v>
      </c>
      <c r="AC1002" s="1">
        <v>1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1</v>
      </c>
      <c r="AJ1002" s="1">
        <v>0</v>
      </c>
      <c r="AK1002" s="1">
        <v>0</v>
      </c>
      <c r="AL1002" s="1">
        <v>331</v>
      </c>
      <c r="AM1002" s="2">
        <v>41995</v>
      </c>
      <c r="AN1002" t="str">
        <f t="shared" si="31"/>
        <v>49431,348,0.00704011652606664,0,1,9,219,3,100,26,0,17,2,7,1,5,8,0,0,0,0,0,0,0,65,51-66,2854,1,0,0,0,0,0,1,0,0,331,41995</v>
      </c>
    </row>
    <row r="1003" spans="1:40" ht="13" x14ac:dyDescent="0.15">
      <c r="A1003">
        <v>1459</v>
      </c>
      <c r="B1003" s="1">
        <v>50501</v>
      </c>
      <c r="C1003" s="1">
        <v>348</v>
      </c>
      <c r="D1003" s="4">
        <f t="shared" si="30"/>
        <v>6.8909526544028831E-3</v>
      </c>
      <c r="E1003" s="1">
        <v>1</v>
      </c>
      <c r="F1003" s="1">
        <v>1</v>
      </c>
      <c r="G1003" s="1">
        <v>10</v>
      </c>
      <c r="H1003" s="1">
        <v>297</v>
      </c>
      <c r="I1003" s="1">
        <v>0</v>
      </c>
      <c r="J1003" s="1">
        <v>38</v>
      </c>
      <c r="K1003" s="1">
        <v>13</v>
      </c>
      <c r="L1003" s="1">
        <v>0</v>
      </c>
      <c r="M1003" s="1">
        <v>152</v>
      </c>
      <c r="N1003" s="1">
        <v>7</v>
      </c>
      <c r="O1003" s="1">
        <v>5</v>
      </c>
      <c r="P1003" s="1">
        <v>4</v>
      </c>
      <c r="Q1003" s="1">
        <v>4</v>
      </c>
      <c r="R1003" s="1">
        <v>6</v>
      </c>
      <c r="S1003" s="1">
        <v>0</v>
      </c>
      <c r="T1003" s="1">
        <v>0</v>
      </c>
      <c r="U1003" s="1">
        <v>1</v>
      </c>
      <c r="V1003" s="1">
        <v>0</v>
      </c>
      <c r="W1003" s="1">
        <v>0</v>
      </c>
      <c r="X1003" s="1">
        <v>0</v>
      </c>
      <c r="Y1003" s="1">
        <v>1</v>
      </c>
      <c r="Z1003" s="1">
        <v>66</v>
      </c>
      <c r="AA1003" s="1" t="str" cm="1">
        <f t="array" ref="AA1003">_xlfn.IFS(AND(Z1003&lt;36, Z1003&gt;23), "24-35", AND(Z1003&lt;51, Z1003&gt;35),"36-50", AND(Z1003&lt;66, Z1003&gt;50), "51-66", Z1003&gt;65, "66+", TRUE, "?")</f>
        <v>66+</v>
      </c>
      <c r="AB1003" s="1">
        <v>2535</v>
      </c>
      <c r="AC1003" s="1">
        <v>0</v>
      </c>
      <c r="AD1003" s="1">
        <v>1</v>
      </c>
      <c r="AE1003" s="1">
        <v>0</v>
      </c>
      <c r="AF1003" s="1">
        <v>0</v>
      </c>
      <c r="AG1003" s="1">
        <v>0</v>
      </c>
      <c r="AH1003" s="1">
        <v>0</v>
      </c>
      <c r="AI1003" s="1">
        <v>1</v>
      </c>
      <c r="AJ1003" s="1">
        <v>0</v>
      </c>
      <c r="AK1003" s="1">
        <v>0</v>
      </c>
      <c r="AL1003" s="1">
        <v>196</v>
      </c>
      <c r="AM1003" s="2">
        <v>42314</v>
      </c>
      <c r="AN1003" t="str">
        <f t="shared" si="31"/>
        <v>50501,348,0.00689095265440288,1,1,10,297,0,38,13,0,152,7,5,4,4,6,0,0,1,0,0,0,1,66,66+,2535,0,1,0,0,0,0,1,0,0,196,42314</v>
      </c>
    </row>
    <row r="1004" spans="1:40" ht="13" hidden="1" x14ac:dyDescent="0.15">
      <c r="A1004">
        <v>1972</v>
      </c>
      <c r="B1004" s="1">
        <v>52914</v>
      </c>
      <c r="C1004" s="1">
        <v>348</v>
      </c>
      <c r="D1004" s="4">
        <f t="shared" si="30"/>
        <v>6.5767093774804402E-3</v>
      </c>
      <c r="E1004" s="1">
        <v>0</v>
      </c>
      <c r="F1004" s="1">
        <v>1</v>
      </c>
      <c r="G1004" s="1">
        <v>32</v>
      </c>
      <c r="H1004" s="1">
        <v>254</v>
      </c>
      <c r="I1004" s="1">
        <v>10</v>
      </c>
      <c r="J1004" s="1">
        <v>44</v>
      </c>
      <c r="K1004" s="1">
        <v>30</v>
      </c>
      <c r="L1004" s="1">
        <v>10</v>
      </c>
      <c r="M1004" s="1">
        <v>227</v>
      </c>
      <c r="N1004" s="1">
        <v>2</v>
      </c>
      <c r="O1004" s="1">
        <v>7</v>
      </c>
      <c r="P1004" s="1">
        <v>3</v>
      </c>
      <c r="Q1004" s="1">
        <v>3</v>
      </c>
      <c r="R1004" s="1">
        <v>7</v>
      </c>
      <c r="S1004" s="1">
        <v>0</v>
      </c>
      <c r="T1004" s="1">
        <v>0</v>
      </c>
      <c r="U1004" s="1">
        <v>1</v>
      </c>
      <c r="V1004" s="1">
        <v>0</v>
      </c>
      <c r="W1004" s="1">
        <v>0</v>
      </c>
      <c r="X1004" s="1">
        <v>0</v>
      </c>
      <c r="Y1004" s="1">
        <v>0</v>
      </c>
      <c r="Z1004" s="1">
        <v>49</v>
      </c>
      <c r="AA1004" s="1" t="str" cm="1">
        <f t="array" ref="AA1004">_xlfn.IFS(AND(Z1004&lt;36, Z1004&gt;23), "24-35", AND(Z1004&lt;51, Z1004&gt;35),"36-50", AND(Z1004&lt;66, Z1004&gt;50), "51-66", Z1004&gt;65, "66+", TRUE, "?")</f>
        <v>36-50</v>
      </c>
      <c r="AB1004" s="1">
        <v>2697</v>
      </c>
      <c r="AC1004" s="1">
        <v>0</v>
      </c>
      <c r="AD1004" s="1">
        <v>1</v>
      </c>
      <c r="AE1004" s="1">
        <v>0</v>
      </c>
      <c r="AF1004" s="1">
        <v>0</v>
      </c>
      <c r="AG1004" s="1">
        <v>0</v>
      </c>
      <c r="AH1004" s="1">
        <v>0</v>
      </c>
      <c r="AI1004" s="1">
        <v>1</v>
      </c>
      <c r="AJ1004" s="1">
        <v>0</v>
      </c>
      <c r="AK1004" s="1">
        <v>0</v>
      </c>
      <c r="AL1004" s="1">
        <v>121</v>
      </c>
      <c r="AM1004" s="2">
        <v>42152</v>
      </c>
      <c r="AN1004" t="str">
        <f t="shared" si="31"/>
        <v>52914,348,0.00657670937748044,0,1,32,254,10,44,30,10,227,2,7,3,3,7,0,0,1,0,0,0,0,49,36-50,2697,0,1,0,0,0,0,1,0,0,121,42152</v>
      </c>
    </row>
    <row r="1005" spans="1:40" ht="13" hidden="1" x14ac:dyDescent="0.15">
      <c r="A1005">
        <v>1704</v>
      </c>
      <c r="B1005" s="1">
        <v>30538</v>
      </c>
      <c r="C1005" s="1">
        <v>347</v>
      </c>
      <c r="D1005" s="4">
        <f t="shared" si="30"/>
        <v>1.136289213438994E-2</v>
      </c>
      <c r="E1005" s="1">
        <v>1</v>
      </c>
      <c r="F1005" s="1">
        <v>0</v>
      </c>
      <c r="G1005" s="1">
        <v>27</v>
      </c>
      <c r="H1005" s="1">
        <v>284</v>
      </c>
      <c r="I1005" s="1">
        <v>0</v>
      </c>
      <c r="J1005" s="1">
        <v>52</v>
      </c>
      <c r="K1005" s="1">
        <v>8</v>
      </c>
      <c r="L1005" s="1">
        <v>3</v>
      </c>
      <c r="M1005" s="1">
        <v>20</v>
      </c>
      <c r="N1005" s="1">
        <v>4</v>
      </c>
      <c r="O1005" s="1">
        <v>9</v>
      </c>
      <c r="P1005" s="1">
        <v>0</v>
      </c>
      <c r="Q1005" s="1">
        <v>4</v>
      </c>
      <c r="R1005" s="1">
        <v>10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49</v>
      </c>
      <c r="AA1005" s="1" t="str" cm="1">
        <f t="array" ref="AA1005">_xlfn.IFS(AND(Z1005&lt;36, Z1005&gt;23), "24-35", AND(Z1005&lt;51, Z1005&gt;35),"36-50", AND(Z1005&lt;66, Z1005&gt;50), "51-66", Z1005&gt;65, "66+", TRUE, "?")</f>
        <v>36-50</v>
      </c>
      <c r="AB1005" s="1">
        <v>2795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0</v>
      </c>
      <c r="AI1005" s="1">
        <v>0</v>
      </c>
      <c r="AJ1005" s="1">
        <v>1</v>
      </c>
      <c r="AK1005" s="1">
        <v>0</v>
      </c>
      <c r="AL1005" s="1">
        <v>327</v>
      </c>
      <c r="AM1005" s="2">
        <v>42054</v>
      </c>
      <c r="AN1005" t="str">
        <f t="shared" si="31"/>
        <v>30538,347,0.0113628921343899,1,0,27,284,0,52,8,3,20,4,9,0,4,10,0,0,0,0,0,0,0,49,36-50,2795,0,0,0,1,0,0,0,1,0,327,42054</v>
      </c>
    </row>
    <row r="1006" spans="1:40" ht="13" hidden="1" x14ac:dyDescent="0.15">
      <c r="A1006">
        <v>1638</v>
      </c>
      <c r="B1006" s="1">
        <v>62535</v>
      </c>
      <c r="C1006" s="1">
        <v>346</v>
      </c>
      <c r="D1006" s="4">
        <f t="shared" si="30"/>
        <v>5.532901575117934E-3</v>
      </c>
      <c r="E1006" s="1">
        <v>0</v>
      </c>
      <c r="F1006" s="1">
        <v>1</v>
      </c>
      <c r="G1006" s="1">
        <v>13</v>
      </c>
      <c r="H1006" s="1">
        <v>163</v>
      </c>
      <c r="I1006" s="1">
        <v>48</v>
      </c>
      <c r="J1006" s="1">
        <v>90</v>
      </c>
      <c r="K1006" s="1">
        <v>0</v>
      </c>
      <c r="L1006" s="1">
        <v>45</v>
      </c>
      <c r="M1006" s="1">
        <v>52</v>
      </c>
      <c r="N1006" s="1">
        <v>1</v>
      </c>
      <c r="O1006" s="1">
        <v>3</v>
      </c>
      <c r="P1006" s="1">
        <v>2</v>
      </c>
      <c r="Q1006" s="1">
        <v>8</v>
      </c>
      <c r="R1006" s="1">
        <v>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65</v>
      </c>
      <c r="AA1006" s="1" t="str" cm="1">
        <f t="array" ref="AA1006">_xlfn.IFS(AND(Z1006&lt;36, Z1006&gt;23), "24-35", AND(Z1006&lt;51, Z1006&gt;35),"36-50", AND(Z1006&lt;66, Z1006&gt;50), "51-66", Z1006&gt;65, "66+", TRUE, "?")</f>
        <v>51-66</v>
      </c>
      <c r="AB1006" s="1">
        <v>2428</v>
      </c>
      <c r="AC1006" s="1">
        <v>0</v>
      </c>
      <c r="AD1006" s="1">
        <v>0</v>
      </c>
      <c r="AE1006" s="1">
        <v>1</v>
      </c>
      <c r="AF1006" s="1">
        <v>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294</v>
      </c>
      <c r="AM1006" s="2">
        <v>42421</v>
      </c>
      <c r="AN1006" t="str">
        <f t="shared" si="31"/>
        <v>62535,346,0.00553290157511793,0,1,13,163,48,90,0,45,52,1,3,2,8,3,0,0,0,0,0,0,0,65,51-66,2428,0,0,1,0,0,0,1,0,0,294,42421</v>
      </c>
    </row>
    <row r="1007" spans="1:40" ht="13" hidden="1" x14ac:dyDescent="0.15">
      <c r="A1007">
        <v>24</v>
      </c>
      <c r="B1007" s="1">
        <v>40689</v>
      </c>
      <c r="C1007" s="1">
        <v>345</v>
      </c>
      <c r="D1007" s="4">
        <f t="shared" si="30"/>
        <v>8.4789500847895008E-3</v>
      </c>
      <c r="E1007" s="1">
        <v>0</v>
      </c>
      <c r="F1007" s="1">
        <v>1</v>
      </c>
      <c r="G1007" s="1">
        <v>69</v>
      </c>
      <c r="H1007" s="1">
        <v>270</v>
      </c>
      <c r="I1007" s="1">
        <v>3</v>
      </c>
      <c r="J1007" s="1">
        <v>27</v>
      </c>
      <c r="K1007" s="1">
        <v>39</v>
      </c>
      <c r="L1007" s="1">
        <v>6</v>
      </c>
      <c r="M1007" s="1">
        <v>99</v>
      </c>
      <c r="N1007" s="1">
        <v>7</v>
      </c>
      <c r="O1007" s="1">
        <v>7</v>
      </c>
      <c r="P1007" s="1">
        <v>1</v>
      </c>
      <c r="Q1007" s="1">
        <v>5</v>
      </c>
      <c r="R1007" s="1">
        <v>8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69</v>
      </c>
      <c r="AA1007" s="1" t="str" cm="1">
        <f t="array" ref="AA1007">_xlfn.IFS(AND(Z1007&lt;36, Z1007&gt;23), "24-35", AND(Z1007&lt;51, Z1007&gt;35),"36-50", AND(Z1007&lt;66, Z1007&gt;50), "51-66", Z1007&gt;65, "66+", TRUE, "?")</f>
        <v>66+</v>
      </c>
      <c r="AB1007" s="1">
        <v>2627</v>
      </c>
      <c r="AC1007" s="1">
        <v>0</v>
      </c>
      <c r="AD1007" s="1">
        <v>0</v>
      </c>
      <c r="AE1007" s="1">
        <v>0</v>
      </c>
      <c r="AF1007" s="1">
        <v>1</v>
      </c>
      <c r="AG1007" s="1">
        <v>0</v>
      </c>
      <c r="AH1007" s="1">
        <v>0</v>
      </c>
      <c r="AI1007" s="1">
        <v>1</v>
      </c>
      <c r="AJ1007" s="1">
        <v>0</v>
      </c>
      <c r="AK1007" s="1">
        <v>0</v>
      </c>
      <c r="AL1007" s="1">
        <v>246</v>
      </c>
      <c r="AM1007" s="2">
        <v>42222</v>
      </c>
      <c r="AN1007" t="str">
        <f t="shared" si="31"/>
        <v>40689,345,0.0084789500847895,0,1,69,270,3,27,39,6,99,7,7,1,5,8,0,0,0,0,0,0,0,69,66+,2627,0,0,0,1,0,0,1,0,0,246,42222</v>
      </c>
    </row>
    <row r="1008" spans="1:40" ht="13" hidden="1" x14ac:dyDescent="0.15">
      <c r="A1008">
        <v>483</v>
      </c>
      <c r="B1008" s="1">
        <v>44124</v>
      </c>
      <c r="C1008" s="1">
        <v>345</v>
      </c>
      <c r="D1008" s="4">
        <f t="shared" si="30"/>
        <v>7.8188740821321726E-3</v>
      </c>
      <c r="E1008" s="1">
        <v>0</v>
      </c>
      <c r="F1008" s="1">
        <v>1</v>
      </c>
      <c r="G1008" s="1">
        <v>62</v>
      </c>
      <c r="H1008" s="1">
        <v>284</v>
      </c>
      <c r="I1008" s="1">
        <v>0</v>
      </c>
      <c r="J1008" s="1">
        <v>55</v>
      </c>
      <c r="K1008" s="1">
        <v>0</v>
      </c>
      <c r="L1008" s="1">
        <v>6</v>
      </c>
      <c r="M1008" s="1">
        <v>52</v>
      </c>
      <c r="N1008" s="1">
        <v>4</v>
      </c>
      <c r="O1008" s="1">
        <v>6</v>
      </c>
      <c r="P1008" s="1">
        <v>2</v>
      </c>
      <c r="Q1008" s="1">
        <v>5</v>
      </c>
      <c r="R1008" s="1">
        <v>8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74</v>
      </c>
      <c r="AA1008" s="1" t="str" cm="1">
        <f t="array" ref="AA1008">_xlfn.IFS(AND(Z1008&lt;36, Z1008&gt;23), "24-35", AND(Z1008&lt;51, Z1008&gt;35),"36-50", AND(Z1008&lt;66, Z1008&gt;50), "51-66", Z1008&gt;65, "66+", TRUE, "?")</f>
        <v>66+</v>
      </c>
      <c r="AB1008" s="1">
        <v>2573</v>
      </c>
      <c r="AC1008" s="1">
        <v>0</v>
      </c>
      <c r="AD1008" s="1">
        <v>0</v>
      </c>
      <c r="AE1008" s="1">
        <v>0</v>
      </c>
      <c r="AF1008" s="1">
        <v>1</v>
      </c>
      <c r="AG1008" s="1">
        <v>0</v>
      </c>
      <c r="AH1008" s="1">
        <v>0</v>
      </c>
      <c r="AI1008" s="1">
        <v>0</v>
      </c>
      <c r="AJ1008" s="1">
        <v>0</v>
      </c>
      <c r="AK1008" s="1">
        <v>1</v>
      </c>
      <c r="AL1008" s="1">
        <v>293</v>
      </c>
      <c r="AM1008" s="2">
        <v>42276</v>
      </c>
      <c r="AN1008" t="str">
        <f t="shared" si="31"/>
        <v>44124,345,0.00781887408213217,0,1,62,284,0,55,0,6,52,4,6,2,5,8,0,0,0,0,0,0,0,74,66+,2573,0,0,0,1,0,0,0,0,1,293,42276</v>
      </c>
    </row>
    <row r="1009" spans="1:40" ht="13" hidden="1" x14ac:dyDescent="0.15">
      <c r="A1009">
        <v>600</v>
      </c>
      <c r="B1009" s="1">
        <v>56181</v>
      </c>
      <c r="C1009" s="1">
        <v>345</v>
      </c>
      <c r="D1009" s="4">
        <f t="shared" si="30"/>
        <v>6.1408661291183853E-3</v>
      </c>
      <c r="E1009" s="1">
        <v>0</v>
      </c>
      <c r="F1009" s="1">
        <v>1</v>
      </c>
      <c r="G1009" s="1">
        <v>6</v>
      </c>
      <c r="H1009" s="1">
        <v>121</v>
      </c>
      <c r="I1009" s="1">
        <v>103</v>
      </c>
      <c r="J1009" s="1">
        <v>69</v>
      </c>
      <c r="K1009" s="1">
        <v>8</v>
      </c>
      <c r="L1009" s="1">
        <v>44</v>
      </c>
      <c r="M1009" s="1">
        <v>48</v>
      </c>
      <c r="N1009" s="1">
        <v>1</v>
      </c>
      <c r="O1009" s="1">
        <v>4</v>
      </c>
      <c r="P1009" s="1">
        <v>2</v>
      </c>
      <c r="Q1009" s="1">
        <v>7</v>
      </c>
      <c r="R1009" s="1">
        <v>4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58</v>
      </c>
      <c r="AA1009" s="1" t="str" cm="1">
        <f t="array" ref="AA1009">_xlfn.IFS(AND(Z1009&lt;36, Z1009&gt;23), "24-35", AND(Z1009&lt;51, Z1009&gt;35),"36-50", AND(Z1009&lt;66, Z1009&gt;50), "51-66", Z1009&gt;65, "66+", TRUE, "?")</f>
        <v>51-66</v>
      </c>
      <c r="AB1009" s="1">
        <v>2696</v>
      </c>
      <c r="AC1009" s="1">
        <v>0</v>
      </c>
      <c r="AD1009" s="1">
        <v>1</v>
      </c>
      <c r="AE1009" s="1">
        <v>0</v>
      </c>
      <c r="AF1009" s="1">
        <v>0</v>
      </c>
      <c r="AG1009" s="1">
        <v>0</v>
      </c>
      <c r="AH1009" s="1">
        <v>0</v>
      </c>
      <c r="AI1009" s="1">
        <v>1</v>
      </c>
      <c r="AJ1009" s="1">
        <v>0</v>
      </c>
      <c r="AK1009" s="1">
        <v>0</v>
      </c>
      <c r="AL1009" s="1">
        <v>297</v>
      </c>
      <c r="AM1009" s="2">
        <v>42153</v>
      </c>
      <c r="AN1009" t="str">
        <f t="shared" si="31"/>
        <v>56181,345,0.00614086612911839,0,1,6,121,103,69,8,44,48,1,4,2,7,4,0,0,0,0,0,0,0,58,51-66,2696,0,1,0,0,0,0,1,0,0,297,42153</v>
      </c>
    </row>
    <row r="1010" spans="1:40" ht="13" hidden="1" x14ac:dyDescent="0.15">
      <c r="A1010">
        <v>1757</v>
      </c>
      <c r="B1010" s="1">
        <v>67472</v>
      </c>
      <c r="C1010" s="1">
        <v>345</v>
      </c>
      <c r="D1010" s="4">
        <f t="shared" si="30"/>
        <v>5.1132321555608252E-3</v>
      </c>
      <c r="E1010" s="1">
        <v>0</v>
      </c>
      <c r="F1010" s="1">
        <v>1</v>
      </c>
      <c r="G1010" s="1">
        <v>93</v>
      </c>
      <c r="H1010" s="1">
        <v>162</v>
      </c>
      <c r="I1010" s="1">
        <v>31</v>
      </c>
      <c r="J1010" s="1">
        <v>127</v>
      </c>
      <c r="K1010" s="1">
        <v>8</v>
      </c>
      <c r="L1010" s="1">
        <v>17</v>
      </c>
      <c r="M1010" s="1">
        <v>69</v>
      </c>
      <c r="N1010" s="1">
        <v>2</v>
      </c>
      <c r="O1010" s="1">
        <v>4</v>
      </c>
      <c r="P1010" s="1">
        <v>2</v>
      </c>
      <c r="Q1010" s="1">
        <v>7</v>
      </c>
      <c r="R1010" s="1">
        <v>3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73</v>
      </c>
      <c r="AA1010" s="1" t="str" cm="1">
        <f t="array" ref="AA1010">_xlfn.IFS(AND(Z1010&lt;36, Z1010&gt;23), "24-35", AND(Z1010&lt;51, Z1010&gt;35),"36-50", AND(Z1010&lt;66, Z1010&gt;50), "51-66", Z1010&gt;65, "66+", TRUE, "?")</f>
        <v>66+</v>
      </c>
      <c r="AB1010" s="1">
        <v>2433</v>
      </c>
      <c r="AC1010" s="1">
        <v>0</v>
      </c>
      <c r="AD1010" s="1">
        <v>1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1</v>
      </c>
      <c r="AL1010" s="1">
        <v>276</v>
      </c>
      <c r="AM1010" s="2">
        <v>42416</v>
      </c>
      <c r="AN1010" t="str">
        <f t="shared" si="31"/>
        <v>67472,345,0.00511323215556083,0,1,93,162,31,127,8,17,69,2,4,2,7,3,0,0,0,0,0,0,0,73,66+,2433,0,1,0,0,0,0,0,0,1,276,42416</v>
      </c>
    </row>
    <row r="1011" spans="1:40" ht="13" hidden="1" x14ac:dyDescent="0.15">
      <c r="A1011">
        <v>1286</v>
      </c>
      <c r="B1011" s="1">
        <v>48904</v>
      </c>
      <c r="C1011" s="1">
        <v>344</v>
      </c>
      <c r="D1011" s="4">
        <f t="shared" si="30"/>
        <v>7.0341894323572712E-3</v>
      </c>
      <c r="E1011" s="1">
        <v>0</v>
      </c>
      <c r="F1011" s="1">
        <v>1</v>
      </c>
      <c r="G1011" s="1">
        <v>1</v>
      </c>
      <c r="H1011" s="1">
        <v>283</v>
      </c>
      <c r="I1011" s="1">
        <v>10</v>
      </c>
      <c r="J1011" s="1">
        <v>38</v>
      </c>
      <c r="K1011" s="1">
        <v>0</v>
      </c>
      <c r="L1011" s="1">
        <v>13</v>
      </c>
      <c r="M1011" s="1">
        <v>27</v>
      </c>
      <c r="N1011" s="1">
        <v>4</v>
      </c>
      <c r="O1011" s="1">
        <v>7</v>
      </c>
      <c r="P1011" s="1">
        <v>2</v>
      </c>
      <c r="Q1011" s="1">
        <v>4</v>
      </c>
      <c r="R1011" s="1">
        <v>8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60</v>
      </c>
      <c r="AA1011" s="1" t="str" cm="1">
        <f t="array" ref="AA1011">_xlfn.IFS(AND(Z1011&lt;36, Z1011&gt;23), "24-35", AND(Z1011&lt;51, Z1011&gt;35),"36-50", AND(Z1011&lt;66, Z1011&gt;50), "51-66", Z1011&gt;65, "66+", TRUE, "?")</f>
        <v>51-66</v>
      </c>
      <c r="AB1011" s="1">
        <v>2733</v>
      </c>
      <c r="AC1011" s="1">
        <v>0</v>
      </c>
      <c r="AD1011" s="1">
        <v>0</v>
      </c>
      <c r="AE1011" s="1">
        <v>1</v>
      </c>
      <c r="AF1011" s="1">
        <v>0</v>
      </c>
      <c r="AG1011" s="1">
        <v>0</v>
      </c>
      <c r="AH1011" s="1">
        <v>0</v>
      </c>
      <c r="AI1011" s="1">
        <v>1</v>
      </c>
      <c r="AJ1011" s="1">
        <v>0</v>
      </c>
      <c r="AK1011" s="1">
        <v>0</v>
      </c>
      <c r="AL1011" s="1">
        <v>317</v>
      </c>
      <c r="AM1011" s="2">
        <v>42116</v>
      </c>
      <c r="AN1011" t="str">
        <f t="shared" si="31"/>
        <v>48904,344,0.00703418943235727,0,1,1,283,10,38,0,13,27,4,7,2,4,8,0,0,0,0,0,0,0,60,51-66,2733,0,0,1,0,0,0,1,0,0,317,42116</v>
      </c>
    </row>
    <row r="1012" spans="1:40" ht="13" hidden="1" x14ac:dyDescent="0.15">
      <c r="A1012">
        <v>740</v>
      </c>
      <c r="B1012" s="1">
        <v>40780</v>
      </c>
      <c r="C1012" s="1">
        <v>343</v>
      </c>
      <c r="D1012" s="4">
        <f t="shared" si="30"/>
        <v>8.4109857773418343E-3</v>
      </c>
      <c r="E1012" s="1">
        <v>0</v>
      </c>
      <c r="F1012" s="1">
        <v>1</v>
      </c>
      <c r="G1012" s="1">
        <v>30</v>
      </c>
      <c r="H1012" s="1">
        <v>229</v>
      </c>
      <c r="I1012" s="1">
        <v>27</v>
      </c>
      <c r="J1012" s="1">
        <v>71</v>
      </c>
      <c r="K1012" s="1">
        <v>13</v>
      </c>
      <c r="L1012" s="1">
        <v>3</v>
      </c>
      <c r="M1012" s="1">
        <v>34</v>
      </c>
      <c r="N1012" s="1">
        <v>4</v>
      </c>
      <c r="O1012" s="1">
        <v>7</v>
      </c>
      <c r="P1012" s="1">
        <v>1</v>
      </c>
      <c r="Q1012" s="1">
        <v>5</v>
      </c>
      <c r="R1012" s="1">
        <v>9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44</v>
      </c>
      <c r="AA1012" s="1" t="str" cm="1">
        <f t="array" ref="AA1012">_xlfn.IFS(AND(Z1012&lt;36, Z1012&gt;23), "24-35", AND(Z1012&lt;51, Z1012&gt;35),"36-50", AND(Z1012&lt;66, Z1012&gt;50), "51-66", Z1012&gt;65, "66+", TRUE, "?")</f>
        <v>36-50</v>
      </c>
      <c r="AB1012" s="1">
        <v>2818</v>
      </c>
      <c r="AC1012" s="1">
        <v>1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1</v>
      </c>
      <c r="AJ1012" s="1">
        <v>0</v>
      </c>
      <c r="AK1012" s="1">
        <v>0</v>
      </c>
      <c r="AL1012" s="1">
        <v>309</v>
      </c>
      <c r="AM1012" s="2">
        <v>42031</v>
      </c>
      <c r="AN1012" t="str">
        <f t="shared" si="31"/>
        <v>40780,343,0.00841098577734183,0,1,30,229,27,71,13,3,34,4,7,1,5,9,0,0,0,0,0,0,0,44,36-50,2818,1,0,0,0,0,0,1,0,0,309,42031</v>
      </c>
    </row>
    <row r="1013" spans="1:40" ht="13" hidden="1" x14ac:dyDescent="0.15">
      <c r="A1013">
        <v>1135</v>
      </c>
      <c r="B1013" s="1">
        <v>42213</v>
      </c>
      <c r="C1013" s="1">
        <v>343</v>
      </c>
      <c r="D1013" s="4">
        <f t="shared" si="30"/>
        <v>8.1254589818302424E-3</v>
      </c>
      <c r="E1013" s="1">
        <v>0</v>
      </c>
      <c r="F1013" s="1">
        <v>1</v>
      </c>
      <c r="G1013" s="1">
        <v>96</v>
      </c>
      <c r="H1013" s="1">
        <v>309</v>
      </c>
      <c r="I1013" s="1">
        <v>3</v>
      </c>
      <c r="J1013" s="1">
        <v>24</v>
      </c>
      <c r="K1013" s="1">
        <v>4</v>
      </c>
      <c r="L1013" s="1">
        <v>3</v>
      </c>
      <c r="M1013" s="1">
        <v>20</v>
      </c>
      <c r="N1013" s="1">
        <v>2</v>
      </c>
      <c r="O1013" s="1">
        <v>5</v>
      </c>
      <c r="P1013" s="1">
        <v>1</v>
      </c>
      <c r="Q1013" s="1">
        <v>7</v>
      </c>
      <c r="R1013" s="1">
        <v>7</v>
      </c>
      <c r="S1013" s="1">
        <v>0</v>
      </c>
      <c r="T1013" s="1">
        <v>0</v>
      </c>
      <c r="U1013" s="1">
        <v>0</v>
      </c>
      <c r="V1013" s="1">
        <v>1</v>
      </c>
      <c r="W1013" s="1">
        <v>0</v>
      </c>
      <c r="X1013" s="1">
        <v>0</v>
      </c>
      <c r="Y1013" s="1">
        <v>0</v>
      </c>
      <c r="Z1013" s="1">
        <v>63</v>
      </c>
      <c r="AA1013" s="1" t="str" cm="1">
        <f t="array" ref="AA1013">_xlfn.IFS(AND(Z1013&lt;36, Z1013&gt;23), "24-35", AND(Z1013&lt;51, Z1013&gt;35),"36-50", AND(Z1013&lt;66, Z1013&gt;50), "51-66", Z1013&gt;65, "66+", TRUE, "?")</f>
        <v>51-66</v>
      </c>
      <c r="AB1013" s="1">
        <v>2419</v>
      </c>
      <c r="AC1013" s="1">
        <v>0</v>
      </c>
      <c r="AD1013" s="1">
        <v>0</v>
      </c>
      <c r="AE1013" s="1">
        <v>0</v>
      </c>
      <c r="AF1013" s="1">
        <v>1</v>
      </c>
      <c r="AG1013" s="1">
        <v>0</v>
      </c>
      <c r="AH1013" s="1">
        <v>0</v>
      </c>
      <c r="AI1013" s="1">
        <v>1</v>
      </c>
      <c r="AJ1013" s="1">
        <v>0</v>
      </c>
      <c r="AK1013" s="1">
        <v>0</v>
      </c>
      <c r="AL1013" s="1">
        <v>323</v>
      </c>
      <c r="AM1013" s="2">
        <v>42430</v>
      </c>
      <c r="AN1013" t="str">
        <f t="shared" si="31"/>
        <v>42213,343,0.00812545898183024,0,1,96,309,3,24,4,3,20,2,5,1,7,7,0,0,0,1,0,0,0,63,51-66,2419,0,0,0,1,0,0,1,0,0,323,42430</v>
      </c>
    </row>
    <row r="1014" spans="1:40" ht="13" x14ac:dyDescent="0.15">
      <c r="A1014">
        <v>1460</v>
      </c>
      <c r="B1014" s="1">
        <v>39552</v>
      </c>
      <c r="C1014" s="1">
        <v>343</v>
      </c>
      <c r="D1014" s="4">
        <f t="shared" si="30"/>
        <v>8.6721278317152106E-3</v>
      </c>
      <c r="E1014" s="1">
        <v>1</v>
      </c>
      <c r="F1014" s="1">
        <v>1</v>
      </c>
      <c r="G1014" s="1">
        <v>54</v>
      </c>
      <c r="H1014" s="1">
        <v>165</v>
      </c>
      <c r="I1014" s="1">
        <v>3</v>
      </c>
      <c r="J1014" s="1">
        <v>147</v>
      </c>
      <c r="K1014" s="1">
        <v>4</v>
      </c>
      <c r="L1014" s="1">
        <v>24</v>
      </c>
      <c r="M1014" s="1">
        <v>41</v>
      </c>
      <c r="N1014" s="1">
        <v>7</v>
      </c>
      <c r="O1014" s="1">
        <v>6</v>
      </c>
      <c r="P1014" s="1">
        <v>2</v>
      </c>
      <c r="Q1014" s="1">
        <v>5</v>
      </c>
      <c r="R1014" s="1">
        <v>8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1</v>
      </c>
      <c r="Z1014" s="1">
        <v>58</v>
      </c>
      <c r="AA1014" s="1" t="str" cm="1">
        <f t="array" ref="AA1014">_xlfn.IFS(AND(Z1014&lt;36, Z1014&gt;23), "24-35", AND(Z1014&lt;51, Z1014&gt;35),"36-50", AND(Z1014&lt;66, Z1014&gt;50), "51-66", Z1014&gt;65, "66+", TRUE, "?")</f>
        <v>51-66</v>
      </c>
      <c r="AB1014" s="1">
        <v>2717</v>
      </c>
      <c r="AC1014" s="1">
        <v>1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1</v>
      </c>
      <c r="AJ1014" s="1">
        <v>0</v>
      </c>
      <c r="AK1014" s="1">
        <v>0</v>
      </c>
      <c r="AL1014" s="1">
        <v>302</v>
      </c>
      <c r="AM1014" s="2">
        <v>42132</v>
      </c>
      <c r="AN1014" t="str">
        <f t="shared" si="31"/>
        <v>39552,343,0.00867212783171521,1,1,54,165,3,147,4,24,41,7,6,2,5,8,0,0,0,0,0,0,1,58,51-66,2717,1,0,0,0,0,0,1,0,0,302,42132</v>
      </c>
    </row>
    <row r="1015" spans="1:40" ht="13" hidden="1" x14ac:dyDescent="0.15">
      <c r="A1015">
        <v>605</v>
      </c>
      <c r="B1015" s="1">
        <v>45906</v>
      </c>
      <c r="C1015" s="1">
        <v>342</v>
      </c>
      <c r="D1015" s="4">
        <f t="shared" si="30"/>
        <v>7.4500065350934517E-3</v>
      </c>
      <c r="E1015" s="1">
        <v>0</v>
      </c>
      <c r="F1015" s="1">
        <v>1</v>
      </c>
      <c r="G1015" s="1">
        <v>20</v>
      </c>
      <c r="H1015" s="1">
        <v>305</v>
      </c>
      <c r="I1015" s="1">
        <v>3</v>
      </c>
      <c r="J1015" s="1">
        <v>27</v>
      </c>
      <c r="K1015" s="1">
        <v>4</v>
      </c>
      <c r="L1015" s="1">
        <v>3</v>
      </c>
      <c r="M1015" s="1">
        <v>144</v>
      </c>
      <c r="N1015" s="1">
        <v>2</v>
      </c>
      <c r="O1015" s="1">
        <v>5</v>
      </c>
      <c r="P1015" s="1">
        <v>4</v>
      </c>
      <c r="Q1015" s="1">
        <v>4</v>
      </c>
      <c r="R1015" s="1">
        <v>5</v>
      </c>
      <c r="S1015" s="1">
        <v>0</v>
      </c>
      <c r="T1015" s="1">
        <v>0</v>
      </c>
      <c r="U1015" s="1">
        <v>1</v>
      </c>
      <c r="V1015" s="1">
        <v>0</v>
      </c>
      <c r="W1015" s="1">
        <v>0</v>
      </c>
      <c r="X1015" s="1">
        <v>0</v>
      </c>
      <c r="Y1015" s="1">
        <v>0</v>
      </c>
      <c r="Z1015" s="1">
        <v>56</v>
      </c>
      <c r="AA1015" s="1" t="str" cm="1">
        <f t="array" ref="AA1015">_xlfn.IFS(AND(Z1015&lt;36, Z1015&gt;23), "24-35", AND(Z1015&lt;51, Z1015&gt;35),"36-50", AND(Z1015&lt;66, Z1015&gt;50), "51-66", Z1015&gt;65, "66+", TRUE, "?")</f>
        <v>51-66</v>
      </c>
      <c r="AB1015" s="1">
        <v>2577</v>
      </c>
      <c r="AC1015" s="1">
        <v>0</v>
      </c>
      <c r="AD1015" s="1">
        <v>0</v>
      </c>
      <c r="AE1015" s="1">
        <v>1</v>
      </c>
      <c r="AF1015" s="1">
        <v>0</v>
      </c>
      <c r="AG1015" s="1">
        <v>0</v>
      </c>
      <c r="AH1015" s="1">
        <v>0</v>
      </c>
      <c r="AI1015" s="1">
        <v>1</v>
      </c>
      <c r="AJ1015" s="1">
        <v>0</v>
      </c>
      <c r="AK1015" s="1">
        <v>0</v>
      </c>
      <c r="AL1015" s="1">
        <v>198</v>
      </c>
      <c r="AM1015" s="2">
        <v>42272</v>
      </c>
      <c r="AN1015" t="str">
        <f t="shared" si="31"/>
        <v>45906,342,0.00745000653509345,0,1,20,305,3,27,4,3,144,2,5,4,4,5,0,0,1,0,0,0,0,56,51-66,2577,0,0,1,0,0,0,1,0,0,198,42272</v>
      </c>
    </row>
    <row r="1016" spans="1:40" ht="13" hidden="1" x14ac:dyDescent="0.15">
      <c r="A1016">
        <v>1009</v>
      </c>
      <c r="B1016" s="1">
        <v>46610</v>
      </c>
      <c r="C1016" s="1">
        <v>342</v>
      </c>
      <c r="D1016" s="4">
        <f t="shared" si="30"/>
        <v>7.3374812272044626E-3</v>
      </c>
      <c r="E1016" s="1">
        <v>0</v>
      </c>
      <c r="F1016" s="1">
        <v>0</v>
      </c>
      <c r="G1016" s="1">
        <v>4</v>
      </c>
      <c r="H1016" s="1">
        <v>288</v>
      </c>
      <c r="I1016" s="1">
        <v>10</v>
      </c>
      <c r="J1016" s="1">
        <v>30</v>
      </c>
      <c r="K1016" s="1">
        <v>4</v>
      </c>
      <c r="L1016" s="1">
        <v>10</v>
      </c>
      <c r="M1016" s="1">
        <v>125</v>
      </c>
      <c r="N1016" s="1">
        <v>1</v>
      </c>
      <c r="O1016" s="1">
        <v>6</v>
      </c>
      <c r="P1016" s="1">
        <v>1</v>
      </c>
      <c r="Q1016" s="1">
        <v>6</v>
      </c>
      <c r="R1016" s="1">
        <v>6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62</v>
      </c>
      <c r="AA1016" s="1" t="str" cm="1">
        <f t="array" ref="AA1016">_xlfn.IFS(AND(Z1016&lt;36, Z1016&gt;23), "24-35", AND(Z1016&lt;51, Z1016&gt;35),"36-50", AND(Z1016&lt;66, Z1016&gt;50), "51-66", Z1016&gt;65, "66+", TRUE, "?")</f>
        <v>51-66</v>
      </c>
      <c r="AB1016" s="1">
        <v>2505</v>
      </c>
      <c r="AC1016" s="1">
        <v>0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1</v>
      </c>
      <c r="AJ1016" s="1">
        <v>0</v>
      </c>
      <c r="AK1016" s="1">
        <v>0</v>
      </c>
      <c r="AL1016" s="1">
        <v>217</v>
      </c>
      <c r="AM1016" s="2">
        <v>42344</v>
      </c>
      <c r="AN1016" t="str">
        <f t="shared" si="31"/>
        <v>46610,342,0.00733748122720446,0,0,4,288,10,30,4,10,125,1,6,1,6,6,0,0,0,0,0,0,0,62,51-66,2505,0,0,0,1,0,0,1,0,0,217,42344</v>
      </c>
    </row>
    <row r="1017" spans="1:40" ht="13" hidden="1" x14ac:dyDescent="0.15">
      <c r="A1017">
        <v>481</v>
      </c>
      <c r="B1017" s="1">
        <v>48920</v>
      </c>
      <c r="C1017" s="1">
        <v>341</v>
      </c>
      <c r="D1017" s="4">
        <f t="shared" si="30"/>
        <v>6.9705641864268196E-3</v>
      </c>
      <c r="E1017" s="1">
        <v>0</v>
      </c>
      <c r="F1017" s="1">
        <v>2</v>
      </c>
      <c r="G1017" s="1">
        <v>93</v>
      </c>
      <c r="H1017" s="1">
        <v>238</v>
      </c>
      <c r="I1017" s="1">
        <v>17</v>
      </c>
      <c r="J1017" s="1">
        <v>68</v>
      </c>
      <c r="K1017" s="1">
        <v>8</v>
      </c>
      <c r="L1017" s="1">
        <v>10</v>
      </c>
      <c r="M1017" s="1">
        <v>6</v>
      </c>
      <c r="N1017" s="1">
        <v>3</v>
      </c>
      <c r="O1017" s="1">
        <v>6</v>
      </c>
      <c r="P1017" s="1">
        <v>2</v>
      </c>
      <c r="Q1017" s="1">
        <v>5</v>
      </c>
      <c r="R1017" s="1">
        <v>7</v>
      </c>
      <c r="S1017" s="1">
        <v>0</v>
      </c>
      <c r="T1017" s="1">
        <v>0</v>
      </c>
      <c r="U1017" s="1">
        <v>0</v>
      </c>
      <c r="V1017" s="1">
        <v>1</v>
      </c>
      <c r="W1017" s="1">
        <v>0</v>
      </c>
      <c r="X1017" s="1">
        <v>0</v>
      </c>
      <c r="Y1017" s="1">
        <v>0</v>
      </c>
      <c r="Z1017" s="1">
        <v>56</v>
      </c>
      <c r="AA1017" s="1" t="str" cm="1">
        <f t="array" ref="AA1017">_xlfn.IFS(AND(Z1017&lt;36, Z1017&gt;23), "24-35", AND(Z1017&lt;51, Z1017&gt;35),"36-50", AND(Z1017&lt;66, Z1017&gt;50), "51-66", Z1017&gt;65, "66+", TRUE, "?")</f>
        <v>51-66</v>
      </c>
      <c r="AB1017" s="1">
        <v>2411</v>
      </c>
      <c r="AC1017" s="1">
        <v>0</v>
      </c>
      <c r="AD1017" s="1">
        <v>1</v>
      </c>
      <c r="AE1017" s="1">
        <v>0</v>
      </c>
      <c r="AF1017" s="1">
        <v>0</v>
      </c>
      <c r="AG1017" s="1">
        <v>0</v>
      </c>
      <c r="AH1017" s="1">
        <v>0</v>
      </c>
      <c r="AI1017" s="1">
        <v>1</v>
      </c>
      <c r="AJ1017" s="1">
        <v>0</v>
      </c>
      <c r="AK1017" s="1">
        <v>0</v>
      </c>
      <c r="AL1017" s="1">
        <v>335</v>
      </c>
      <c r="AM1017" s="2">
        <v>42438</v>
      </c>
      <c r="AN1017" t="str">
        <f t="shared" si="31"/>
        <v>48920,341,0.00697056418642682,0,2,93,238,17,68,8,10,6,3,6,2,5,7,0,0,0,1,0,0,0,56,51-66,2411,0,1,0,0,0,0,1,0,0,335,42438</v>
      </c>
    </row>
    <row r="1018" spans="1:40" ht="13" x14ac:dyDescent="0.15">
      <c r="A1018">
        <v>1461</v>
      </c>
      <c r="B1018" s="1">
        <v>36715</v>
      </c>
      <c r="C1018" s="1">
        <v>341</v>
      </c>
      <c r="D1018" s="4">
        <f t="shared" si="30"/>
        <v>9.287757047528258E-3</v>
      </c>
      <c r="E1018" s="1">
        <v>1</v>
      </c>
      <c r="F1018" s="1">
        <v>0</v>
      </c>
      <c r="G1018" s="1">
        <v>16</v>
      </c>
      <c r="H1018" s="1">
        <v>172</v>
      </c>
      <c r="I1018" s="1">
        <v>10</v>
      </c>
      <c r="J1018" s="1">
        <v>125</v>
      </c>
      <c r="K1018" s="1">
        <v>21</v>
      </c>
      <c r="L1018" s="1">
        <v>13</v>
      </c>
      <c r="M1018" s="1">
        <v>16</v>
      </c>
      <c r="N1018" s="1">
        <v>6</v>
      </c>
      <c r="O1018" s="1">
        <v>7</v>
      </c>
      <c r="P1018" s="1">
        <v>2</v>
      </c>
      <c r="Q1018" s="1">
        <v>4</v>
      </c>
      <c r="R1018" s="1">
        <v>9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1</v>
      </c>
      <c r="Z1018" s="1">
        <v>49</v>
      </c>
      <c r="AA1018" s="1" t="str" cm="1">
        <f t="array" ref="AA1018">_xlfn.IFS(AND(Z1018&lt;36, Z1018&gt;23), "24-35", AND(Z1018&lt;51, Z1018&gt;35),"36-50", AND(Z1018&lt;66, Z1018&gt;50), "51-66", Z1018&gt;65, "66+", TRUE, "?")</f>
        <v>36-50</v>
      </c>
      <c r="AB1018" s="1">
        <v>2748</v>
      </c>
      <c r="AC1018" s="1">
        <v>0</v>
      </c>
      <c r="AD1018" s="1">
        <v>1</v>
      </c>
      <c r="AE1018" s="1">
        <v>0</v>
      </c>
      <c r="AF1018" s="1">
        <v>0</v>
      </c>
      <c r="AG1018" s="1">
        <v>0</v>
      </c>
      <c r="AH1018" s="1">
        <v>0</v>
      </c>
      <c r="AI1018" s="1">
        <v>1</v>
      </c>
      <c r="AJ1018" s="1">
        <v>0</v>
      </c>
      <c r="AK1018" s="1">
        <v>0</v>
      </c>
      <c r="AL1018" s="1">
        <v>325</v>
      </c>
      <c r="AM1018" s="2">
        <v>42101</v>
      </c>
      <c r="AN1018" t="str">
        <f t="shared" si="31"/>
        <v>36715,341,0.00928775704752826,1,0,16,172,10,125,21,13,16,6,7,2,4,9,0,0,0,0,0,0,1,49,36-50,2748,0,1,0,0,0,0,1,0,0,325,42101</v>
      </c>
    </row>
    <row r="1019" spans="1:40" ht="13" hidden="1" x14ac:dyDescent="0.15">
      <c r="A1019">
        <v>1890</v>
      </c>
      <c r="B1019" s="1">
        <v>51651</v>
      </c>
      <c r="C1019" s="1">
        <v>341</v>
      </c>
      <c r="D1019" s="4">
        <f t="shared" si="30"/>
        <v>6.602001897349519E-3</v>
      </c>
      <c r="E1019" s="1">
        <v>0</v>
      </c>
      <c r="F1019" s="1">
        <v>1</v>
      </c>
      <c r="G1019" s="1">
        <v>32</v>
      </c>
      <c r="H1019" s="1">
        <v>293</v>
      </c>
      <c r="I1019" s="1">
        <v>6</v>
      </c>
      <c r="J1019" s="1">
        <v>23</v>
      </c>
      <c r="K1019" s="1">
        <v>13</v>
      </c>
      <c r="L1019" s="1">
        <v>6</v>
      </c>
      <c r="M1019" s="1">
        <v>92</v>
      </c>
      <c r="N1019" s="1">
        <v>4</v>
      </c>
      <c r="O1019" s="1">
        <v>6</v>
      </c>
      <c r="P1019" s="1">
        <v>2</v>
      </c>
      <c r="Q1019" s="1">
        <v>5</v>
      </c>
      <c r="R1019" s="1">
        <v>8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60</v>
      </c>
      <c r="AA1019" s="1" t="str" cm="1">
        <f t="array" ref="AA1019">_xlfn.IFS(AND(Z1019&lt;36, Z1019&gt;23), "24-35", AND(Z1019&lt;51, Z1019&gt;35),"36-50", AND(Z1019&lt;66, Z1019&gt;50), "51-66", Z1019&gt;65, "66+", TRUE, "?")</f>
        <v>51-66</v>
      </c>
      <c r="AB1019" s="1">
        <v>2758</v>
      </c>
      <c r="AC1019" s="1">
        <v>0</v>
      </c>
      <c r="AD1019" s="1">
        <v>1</v>
      </c>
      <c r="AE1019" s="1">
        <v>0</v>
      </c>
      <c r="AF1019" s="1">
        <v>0</v>
      </c>
      <c r="AG1019" s="1">
        <v>0</v>
      </c>
      <c r="AH1019" s="1">
        <v>0</v>
      </c>
      <c r="AI1019" s="1">
        <v>1</v>
      </c>
      <c r="AJ1019" s="1">
        <v>0</v>
      </c>
      <c r="AK1019" s="1">
        <v>0</v>
      </c>
      <c r="AL1019" s="1">
        <v>249</v>
      </c>
      <c r="AM1019" s="2">
        <v>42091</v>
      </c>
      <c r="AN1019" t="str">
        <f t="shared" si="31"/>
        <v>51651,341,0.00660200189734952,0,1,32,293,6,23,13,6,92,4,6,2,5,8,0,0,0,0,0,0,0,60,51-66,2758,0,1,0,0,0,0,1,0,0,249,42091</v>
      </c>
    </row>
    <row r="1020" spans="1:40" ht="13" hidden="1" x14ac:dyDescent="0.15">
      <c r="A1020">
        <v>498</v>
      </c>
      <c r="B1020" s="1">
        <v>49154</v>
      </c>
      <c r="C1020" s="1">
        <v>340</v>
      </c>
      <c r="D1020" s="4">
        <f t="shared" si="30"/>
        <v>6.9170362534076574E-3</v>
      </c>
      <c r="E1020" s="1">
        <v>1</v>
      </c>
      <c r="F1020" s="1">
        <v>1</v>
      </c>
      <c r="G1020" s="1">
        <v>69</v>
      </c>
      <c r="H1020" s="1">
        <v>206</v>
      </c>
      <c r="I1020" s="1">
        <v>10</v>
      </c>
      <c r="J1020" s="1">
        <v>67</v>
      </c>
      <c r="K1020" s="1">
        <v>30</v>
      </c>
      <c r="L1020" s="1">
        <v>27</v>
      </c>
      <c r="M1020" s="1">
        <v>71</v>
      </c>
      <c r="N1020" s="1">
        <v>6</v>
      </c>
      <c r="O1020" s="1">
        <v>4</v>
      </c>
      <c r="P1020" s="1">
        <v>1</v>
      </c>
      <c r="Q1020" s="1">
        <v>8</v>
      </c>
      <c r="R1020" s="1">
        <v>6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60</v>
      </c>
      <c r="AA1020" s="1" t="str" cm="1">
        <f t="array" ref="AA1020">_xlfn.IFS(AND(Z1020&lt;36, Z1020&gt;23), "24-35", AND(Z1020&lt;51, Z1020&gt;35),"36-50", AND(Z1020&lt;66, Z1020&gt;50), "51-66", Z1020&gt;65, "66+", TRUE, "?")</f>
        <v>51-66</v>
      </c>
      <c r="AB1020" s="1">
        <v>2397</v>
      </c>
      <c r="AC1020" s="1">
        <v>0</v>
      </c>
      <c r="AD1020" s="1">
        <v>1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1</v>
      </c>
      <c r="AL1020" s="1">
        <v>269</v>
      </c>
      <c r="AM1020" s="2">
        <v>42452</v>
      </c>
      <c r="AN1020" t="str">
        <f t="shared" si="31"/>
        <v>49154,340,0.00691703625340766,1,1,69,206,10,67,30,27,71,6,4,1,8,6,0,0,0,0,0,0,0,60,51-66,2397,0,1,0,0,0,0,0,0,1,269,42452</v>
      </c>
    </row>
    <row r="1021" spans="1:40" ht="13" hidden="1" x14ac:dyDescent="0.15">
      <c r="A1021">
        <v>267</v>
      </c>
      <c r="B1021" s="1">
        <v>35416</v>
      </c>
      <c r="C1021" s="1">
        <v>339</v>
      </c>
      <c r="D1021" s="4">
        <f t="shared" si="30"/>
        <v>9.5719448836683978E-3</v>
      </c>
      <c r="E1021" s="1">
        <v>0</v>
      </c>
      <c r="F1021" s="1">
        <v>0</v>
      </c>
      <c r="G1021" s="1">
        <v>62</v>
      </c>
      <c r="H1021" s="1">
        <v>248</v>
      </c>
      <c r="I1021" s="1">
        <v>3</v>
      </c>
      <c r="J1021" s="1">
        <v>81</v>
      </c>
      <c r="K1021" s="1">
        <v>4</v>
      </c>
      <c r="L1021" s="1">
        <v>3</v>
      </c>
      <c r="M1021" s="1">
        <v>51</v>
      </c>
      <c r="N1021" s="1">
        <v>3</v>
      </c>
      <c r="O1021" s="1">
        <v>7</v>
      </c>
      <c r="P1021" s="1">
        <v>1</v>
      </c>
      <c r="Q1021" s="1">
        <v>5</v>
      </c>
      <c r="R1021" s="1">
        <v>8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71</v>
      </c>
      <c r="AA1021" s="1" t="str" cm="1">
        <f t="array" ref="AA1021">_xlfn.IFS(AND(Z1021&lt;36, Z1021&gt;23), "24-35", AND(Z1021&lt;51, Z1021&gt;35),"36-50", AND(Z1021&lt;66, Z1021&gt;50), "51-66", Z1021&gt;65, "66+", TRUE, "?")</f>
        <v>66+</v>
      </c>
      <c r="AB1021" s="1">
        <v>2540</v>
      </c>
      <c r="AC1021" s="1">
        <v>1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1</v>
      </c>
      <c r="AK1021" s="1">
        <v>0</v>
      </c>
      <c r="AL1021" s="1">
        <v>288</v>
      </c>
      <c r="AM1021" s="2">
        <v>42309</v>
      </c>
      <c r="AN1021" t="str">
        <f t="shared" si="31"/>
        <v>35416,339,0.0095719448836684,0,0,62,248,3,81,4,3,51,3,7,1,5,8,0,0,0,0,0,0,0,71,66+,2540,1,0,0,0,0,0,0,1,0,288,42309</v>
      </c>
    </row>
    <row r="1022" spans="1:40" ht="13" hidden="1" x14ac:dyDescent="0.15">
      <c r="A1022">
        <v>1257</v>
      </c>
      <c r="B1022" s="1">
        <v>43263</v>
      </c>
      <c r="C1022" s="1">
        <v>339</v>
      </c>
      <c r="D1022" s="4">
        <f t="shared" si="30"/>
        <v>7.8357950211497118E-3</v>
      </c>
      <c r="E1022" s="1">
        <v>0</v>
      </c>
      <c r="F1022" s="1">
        <v>1</v>
      </c>
      <c r="G1022" s="1">
        <v>2</v>
      </c>
      <c r="H1022" s="1">
        <v>262</v>
      </c>
      <c r="I1022" s="1">
        <v>6</v>
      </c>
      <c r="J1022" s="1">
        <v>61</v>
      </c>
      <c r="K1022" s="1">
        <v>0</v>
      </c>
      <c r="L1022" s="1">
        <v>10</v>
      </c>
      <c r="M1022" s="1">
        <v>102</v>
      </c>
      <c r="N1022" s="1">
        <v>3</v>
      </c>
      <c r="O1022" s="1">
        <v>5</v>
      </c>
      <c r="P1022" s="1">
        <v>2</v>
      </c>
      <c r="Q1022" s="1">
        <v>6</v>
      </c>
      <c r="R1022" s="1">
        <v>5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43</v>
      </c>
      <c r="AA1022" s="1" t="str" cm="1">
        <f t="array" ref="AA1022">_xlfn.IFS(AND(Z1022&lt;36, Z1022&gt;23), "24-35", AND(Z1022&lt;51, Z1022&gt;35),"36-50", AND(Z1022&lt;66, Z1022&gt;50), "51-66", Z1022&gt;65, "66+", TRUE, "?")</f>
        <v>36-50</v>
      </c>
      <c r="AB1022" s="1">
        <v>2744</v>
      </c>
      <c r="AC1022" s="1">
        <v>0</v>
      </c>
      <c r="AD1022" s="1">
        <v>1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>
        <v>0</v>
      </c>
      <c r="AL1022" s="1">
        <v>237</v>
      </c>
      <c r="AM1022" s="2">
        <v>42105</v>
      </c>
      <c r="AN1022" t="str">
        <f t="shared" si="31"/>
        <v>43263,339,0.00783579502114971,0,1,2,262,6,61,0,10,102,3,5,2,6,5,0,0,0,0,0,0,0,43,36-50,2744,0,1,0,0,0,0,0,1,0,237,42105</v>
      </c>
    </row>
    <row r="1023" spans="1:40" ht="13" hidden="1" x14ac:dyDescent="0.15">
      <c r="A1023">
        <v>139</v>
      </c>
      <c r="B1023" s="1">
        <v>46344</v>
      </c>
      <c r="C1023" s="1">
        <v>338</v>
      </c>
      <c r="D1023" s="4">
        <f t="shared" si="30"/>
        <v>7.2932849991368892E-3</v>
      </c>
      <c r="E1023" s="1">
        <v>0</v>
      </c>
      <c r="F1023" s="1">
        <v>1</v>
      </c>
      <c r="G1023" s="1">
        <v>28</v>
      </c>
      <c r="H1023" s="1">
        <v>233</v>
      </c>
      <c r="I1023" s="1">
        <v>20</v>
      </c>
      <c r="J1023" s="1">
        <v>57</v>
      </c>
      <c r="K1023" s="1">
        <v>8</v>
      </c>
      <c r="L1023" s="1">
        <v>20</v>
      </c>
      <c r="M1023" s="1">
        <v>91</v>
      </c>
      <c r="N1023" s="1">
        <v>4</v>
      </c>
      <c r="O1023" s="1">
        <v>7</v>
      </c>
      <c r="P1023" s="1">
        <v>1</v>
      </c>
      <c r="Q1023" s="1">
        <v>5</v>
      </c>
      <c r="R1023" s="1">
        <v>7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48</v>
      </c>
      <c r="AA1023" s="1" t="str" cm="1">
        <f t="array" ref="AA1023">_xlfn.IFS(AND(Z1023&lt;36, Z1023&gt;23), "24-35", AND(Z1023&lt;51, Z1023&gt;35),"36-50", AND(Z1023&lt;66, Z1023&gt;50), "51-66", Z1023&gt;65, "66+", TRUE, "?")</f>
        <v>36-50</v>
      </c>
      <c r="AB1023" s="1">
        <v>2721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1</v>
      </c>
      <c r="AI1023" s="1">
        <v>0</v>
      </c>
      <c r="AJ1023" s="1">
        <v>0</v>
      </c>
      <c r="AK1023" s="1">
        <v>0</v>
      </c>
      <c r="AL1023" s="1">
        <v>247</v>
      </c>
      <c r="AM1023" s="2">
        <v>42128</v>
      </c>
      <c r="AN1023" t="str">
        <f t="shared" si="31"/>
        <v>46344,338,0.00729328499913689,0,1,28,233,20,57,8,20,91,4,7,1,5,7,0,0,0,0,0,0,0,48,36-50,2721,0,0,0,1,0,1,0,0,0,247,42128</v>
      </c>
    </row>
    <row r="1024" spans="1:40" ht="13" x14ac:dyDescent="0.15">
      <c r="A1024">
        <v>1468</v>
      </c>
      <c r="B1024" s="1">
        <v>50388</v>
      </c>
      <c r="C1024" s="1">
        <v>338</v>
      </c>
      <c r="D1024" s="4">
        <f t="shared" si="30"/>
        <v>6.7079463364293082E-3</v>
      </c>
      <c r="E1024" s="1">
        <v>0</v>
      </c>
      <c r="F1024" s="1">
        <v>1</v>
      </c>
      <c r="G1024" s="1">
        <v>3</v>
      </c>
      <c r="H1024" s="1">
        <v>292</v>
      </c>
      <c r="I1024" s="1">
        <v>6</v>
      </c>
      <c r="J1024" s="1">
        <v>37</v>
      </c>
      <c r="K1024" s="1">
        <v>0</v>
      </c>
      <c r="L1024" s="1">
        <v>3</v>
      </c>
      <c r="M1024" s="1">
        <v>34</v>
      </c>
      <c r="N1024" s="1">
        <v>4</v>
      </c>
      <c r="O1024" s="1">
        <v>6</v>
      </c>
      <c r="P1024" s="1">
        <v>1</v>
      </c>
      <c r="Q1024" s="1">
        <v>6</v>
      </c>
      <c r="R1024" s="1">
        <v>7</v>
      </c>
      <c r="S1024" s="1">
        <v>1</v>
      </c>
      <c r="T1024" s="1">
        <v>0</v>
      </c>
      <c r="U1024" s="1">
        <v>0</v>
      </c>
      <c r="V1024" s="1">
        <v>1</v>
      </c>
      <c r="W1024" s="1">
        <v>0</v>
      </c>
      <c r="X1024" s="1">
        <v>0</v>
      </c>
      <c r="Y1024" s="1">
        <v>1</v>
      </c>
      <c r="Z1024" s="1">
        <v>63</v>
      </c>
      <c r="AA1024" s="1" t="str" cm="1">
        <f t="array" ref="AA1024">_xlfn.IFS(AND(Z1024&lt;36, Z1024&gt;23), "24-35", AND(Z1024&lt;51, Z1024&gt;35),"36-50", AND(Z1024&lt;66, Z1024&gt;50), "51-66", Z1024&gt;65, "66+", TRUE, "?")</f>
        <v>51-66</v>
      </c>
      <c r="AB1024" s="1">
        <v>2191</v>
      </c>
      <c r="AC1024" s="1">
        <v>0</v>
      </c>
      <c r="AD1024" s="1">
        <v>0</v>
      </c>
      <c r="AE1024" s="1">
        <v>1</v>
      </c>
      <c r="AF1024" s="1">
        <v>0</v>
      </c>
      <c r="AG1024" s="1">
        <v>0</v>
      </c>
      <c r="AH1024" s="1">
        <v>0</v>
      </c>
      <c r="AI1024" s="1">
        <v>1</v>
      </c>
      <c r="AJ1024" s="1">
        <v>0</v>
      </c>
      <c r="AK1024" s="1">
        <v>0</v>
      </c>
      <c r="AL1024" s="1">
        <v>304</v>
      </c>
      <c r="AM1024" s="2">
        <v>42658</v>
      </c>
      <c r="AN1024" t="str">
        <f t="shared" si="31"/>
        <v>50388,338,0.00670794633642931,0,1,3,292,6,37,0,3,34,4,6,1,6,7,1,0,0,1,0,0,1,63,51-66,2191,0,0,1,0,0,0,1,0,0,304,42658</v>
      </c>
    </row>
    <row r="1025" spans="1:40" ht="13" hidden="1" x14ac:dyDescent="0.15">
      <c r="A1025">
        <v>1663</v>
      </c>
      <c r="B1025" s="1">
        <v>54111</v>
      </c>
      <c r="C1025" s="1">
        <v>338</v>
      </c>
      <c r="D1025" s="4">
        <f t="shared" si="30"/>
        <v>6.2464193971650869E-3</v>
      </c>
      <c r="E1025" s="1">
        <v>0</v>
      </c>
      <c r="F1025" s="1">
        <v>1</v>
      </c>
      <c r="G1025" s="1">
        <v>97</v>
      </c>
      <c r="H1025" s="1">
        <v>267</v>
      </c>
      <c r="I1025" s="1">
        <v>6</v>
      </c>
      <c r="J1025" s="1">
        <v>54</v>
      </c>
      <c r="K1025" s="1">
        <v>8</v>
      </c>
      <c r="L1025" s="1">
        <v>3</v>
      </c>
      <c r="M1025" s="1">
        <v>50</v>
      </c>
      <c r="N1025" s="1">
        <v>2</v>
      </c>
      <c r="O1025" s="1">
        <v>5</v>
      </c>
      <c r="P1025" s="1">
        <v>2</v>
      </c>
      <c r="Q1025" s="1">
        <v>6</v>
      </c>
      <c r="R1025" s="1">
        <v>5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55</v>
      </c>
      <c r="AA1025" s="1" t="str" cm="1">
        <f t="array" ref="AA1025">_xlfn.IFS(AND(Z1025&lt;36, Z1025&gt;23), "24-35", AND(Z1025&lt;51, Z1025&gt;35),"36-50", AND(Z1025&lt;66, Z1025&gt;50), "51-66", Z1025&gt;65, "66+", TRUE, "?")</f>
        <v>51-66</v>
      </c>
      <c r="AB1025" s="1">
        <v>2467</v>
      </c>
      <c r="AC1025" s="1">
        <v>0</v>
      </c>
      <c r="AD1025" s="1">
        <v>0</v>
      </c>
      <c r="AE1025" s="1">
        <v>0</v>
      </c>
      <c r="AF1025" s="1">
        <v>0</v>
      </c>
      <c r="AG1025" s="1">
        <v>1</v>
      </c>
      <c r="AH1025" s="1">
        <v>0</v>
      </c>
      <c r="AI1025" s="1">
        <v>0</v>
      </c>
      <c r="AJ1025" s="1">
        <v>0</v>
      </c>
      <c r="AK1025" s="1">
        <v>1</v>
      </c>
      <c r="AL1025" s="1">
        <v>288</v>
      </c>
      <c r="AM1025" s="2">
        <v>42382</v>
      </c>
      <c r="AN1025" t="str">
        <f t="shared" si="31"/>
        <v>54111,338,0.00624641939716509,0,1,97,267,6,54,8,3,50,2,5,2,6,5,0,0,0,0,0,0,0,55,51-66,2467,0,0,0,0,1,0,0,0,1,288,42382</v>
      </c>
    </row>
    <row r="1026" spans="1:40" ht="13" hidden="1" x14ac:dyDescent="0.15">
      <c r="A1026">
        <v>1223</v>
      </c>
      <c r="B1026" s="1">
        <v>50200</v>
      </c>
      <c r="C1026" s="1">
        <v>337</v>
      </c>
      <c r="D1026" s="4">
        <f t="shared" ref="D1026:D1089" si="32">C1026/B1026</f>
        <v>6.7131474103585657E-3</v>
      </c>
      <c r="E1026" s="1">
        <v>1</v>
      </c>
      <c r="F1026" s="1">
        <v>1</v>
      </c>
      <c r="G1026" s="1">
        <v>70</v>
      </c>
      <c r="H1026" s="1">
        <v>266</v>
      </c>
      <c r="I1026" s="1">
        <v>6</v>
      </c>
      <c r="J1026" s="1">
        <v>51</v>
      </c>
      <c r="K1026" s="1">
        <v>8</v>
      </c>
      <c r="L1026" s="1">
        <v>6</v>
      </c>
      <c r="M1026" s="1">
        <v>64</v>
      </c>
      <c r="N1026" s="1">
        <v>6</v>
      </c>
      <c r="O1026" s="1">
        <v>7</v>
      </c>
      <c r="P1026" s="1">
        <v>1</v>
      </c>
      <c r="Q1026" s="1">
        <v>5</v>
      </c>
      <c r="R1026" s="1">
        <v>8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44</v>
      </c>
      <c r="AA1026" s="1" t="str" cm="1">
        <f t="array" ref="AA1026">_xlfn.IFS(AND(Z1026&lt;36, Z1026&gt;23), "24-35", AND(Z1026&lt;51, Z1026&gt;35),"36-50", AND(Z1026&lt;66, Z1026&gt;50), "51-66", Z1026&gt;65, "66+", TRUE, "?")</f>
        <v>36-50</v>
      </c>
      <c r="AB1026" s="1">
        <v>2611</v>
      </c>
      <c r="AC1026" s="1">
        <v>0</v>
      </c>
      <c r="AD1026" s="1">
        <v>0</v>
      </c>
      <c r="AE1026" s="1">
        <v>0</v>
      </c>
      <c r="AF1026" s="1">
        <v>1</v>
      </c>
      <c r="AG1026" s="1">
        <v>0</v>
      </c>
      <c r="AH1026" s="1">
        <v>0</v>
      </c>
      <c r="AI1026" s="1">
        <v>1</v>
      </c>
      <c r="AJ1026" s="1">
        <v>0</v>
      </c>
      <c r="AK1026" s="1">
        <v>0</v>
      </c>
      <c r="AL1026" s="1">
        <v>273</v>
      </c>
      <c r="AM1026" s="2">
        <v>42238</v>
      </c>
      <c r="AN1026" t="str">
        <f t="shared" ref="AN1026:AN1089" si="33">_xlfn.TEXTJOIN(",",TRUE,B1026:AM1026)</f>
        <v>50200,337,0.00671314741035857,1,1,70,266,6,51,8,6,64,6,7,1,5,8,0,0,0,0,0,0,0,44,36-50,2611,0,0,0,1,0,0,1,0,0,273,42238</v>
      </c>
    </row>
    <row r="1027" spans="1:40" ht="13" x14ac:dyDescent="0.15">
      <c r="A1027">
        <v>1482</v>
      </c>
      <c r="B1027" s="1">
        <v>59754</v>
      </c>
      <c r="C1027" s="1">
        <v>336</v>
      </c>
      <c r="D1027" s="4">
        <f t="shared" si="32"/>
        <v>5.6230545235465409E-3</v>
      </c>
      <c r="E1027" s="1">
        <v>0</v>
      </c>
      <c r="F1027" s="1">
        <v>1</v>
      </c>
      <c r="G1027" s="1">
        <v>96</v>
      </c>
      <c r="H1027" s="1">
        <v>115</v>
      </c>
      <c r="I1027" s="1">
        <v>27</v>
      </c>
      <c r="J1027" s="1">
        <v>44</v>
      </c>
      <c r="K1027" s="1">
        <v>4</v>
      </c>
      <c r="L1027" s="1">
        <v>146</v>
      </c>
      <c r="M1027" s="1">
        <v>139</v>
      </c>
      <c r="N1027" s="1">
        <v>3</v>
      </c>
      <c r="O1027" s="1">
        <v>5</v>
      </c>
      <c r="P1027" s="1">
        <v>2</v>
      </c>
      <c r="Q1027" s="1">
        <v>6</v>
      </c>
      <c r="R1027" s="1">
        <v>5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1</v>
      </c>
      <c r="Z1027" s="1">
        <v>55</v>
      </c>
      <c r="AA1027" s="1" t="str" cm="1">
        <f t="array" ref="AA1027">_xlfn.IFS(AND(Z1027&lt;36, Z1027&gt;23), "24-35", AND(Z1027&lt;51, Z1027&gt;35),"36-50", AND(Z1027&lt;66, Z1027&gt;50), "51-66", Z1027&gt;65, "66+", TRUE, "?")</f>
        <v>51-66</v>
      </c>
      <c r="AB1027" s="1">
        <v>2734</v>
      </c>
      <c r="AC1027" s="1">
        <v>0</v>
      </c>
      <c r="AD1027" s="1">
        <v>1</v>
      </c>
      <c r="AE1027" s="1">
        <v>0</v>
      </c>
      <c r="AF1027" s="1">
        <v>0</v>
      </c>
      <c r="AG1027" s="1">
        <v>0</v>
      </c>
      <c r="AH1027" s="1">
        <v>0</v>
      </c>
      <c r="AI1027" s="1">
        <v>1</v>
      </c>
      <c r="AJ1027" s="1">
        <v>0</v>
      </c>
      <c r="AK1027" s="1">
        <v>0</v>
      </c>
      <c r="AL1027" s="1">
        <v>197</v>
      </c>
      <c r="AM1027" s="2">
        <v>42115</v>
      </c>
      <c r="AN1027" t="str">
        <f t="shared" si="33"/>
        <v>59754,336,0.00562305452354654,0,1,96,115,27,44,4,146,139,3,5,2,6,5,0,0,0,0,0,0,1,55,51-66,2734,0,1,0,0,0,0,1,0,0,197,42115</v>
      </c>
    </row>
    <row r="1028" spans="1:40" ht="13" hidden="1" x14ac:dyDescent="0.15">
      <c r="A1028">
        <v>1198</v>
      </c>
      <c r="B1028" s="1">
        <v>46149</v>
      </c>
      <c r="C1028" s="1">
        <v>335</v>
      </c>
      <c r="D1028" s="4">
        <f t="shared" si="32"/>
        <v>7.2590955383648615E-3</v>
      </c>
      <c r="E1028" s="1">
        <v>0</v>
      </c>
      <c r="F1028" s="1">
        <v>1</v>
      </c>
      <c r="G1028" s="1">
        <v>36</v>
      </c>
      <c r="H1028" s="1">
        <v>254</v>
      </c>
      <c r="I1028" s="1">
        <v>6</v>
      </c>
      <c r="J1028" s="1">
        <v>71</v>
      </c>
      <c r="K1028" s="1">
        <v>4</v>
      </c>
      <c r="L1028" s="1">
        <v>0</v>
      </c>
      <c r="M1028" s="1">
        <v>27</v>
      </c>
      <c r="N1028" s="1">
        <v>5</v>
      </c>
      <c r="O1028" s="1">
        <v>5</v>
      </c>
      <c r="P1028" s="1">
        <v>1</v>
      </c>
      <c r="Q1028" s="1">
        <v>7</v>
      </c>
      <c r="R1028" s="1">
        <v>5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45</v>
      </c>
      <c r="AA1028" s="1" t="str" cm="1">
        <f t="array" ref="AA1028">_xlfn.IFS(AND(Z1028&lt;36, Z1028&gt;23), "24-35", AND(Z1028&lt;51, Z1028&gt;35),"36-50", AND(Z1028&lt;66, Z1028&gt;50), "51-66", Z1028&gt;65, "66+", TRUE, "?")</f>
        <v>36-50</v>
      </c>
      <c r="AB1028" s="1">
        <v>2371</v>
      </c>
      <c r="AC1028" s="1">
        <v>0</v>
      </c>
      <c r="AD1028" s="1">
        <v>1</v>
      </c>
      <c r="AE1028" s="1">
        <v>0</v>
      </c>
      <c r="AF1028" s="1">
        <v>0</v>
      </c>
      <c r="AG1028" s="1">
        <v>0</v>
      </c>
      <c r="AH1028" s="1">
        <v>0</v>
      </c>
      <c r="AI1028" s="1">
        <v>1</v>
      </c>
      <c r="AJ1028" s="1">
        <v>0</v>
      </c>
      <c r="AK1028" s="1">
        <v>0</v>
      </c>
      <c r="AL1028" s="1">
        <v>308</v>
      </c>
      <c r="AM1028" s="2">
        <v>42478</v>
      </c>
      <c r="AN1028" t="str">
        <f t="shared" si="33"/>
        <v>46149,335,0.00725909553836486,0,1,36,254,6,71,4,0,27,5,5,1,7,5,0,0,0,0,0,0,0,45,36-50,2371,0,1,0,0,0,0,1,0,0,308,42478</v>
      </c>
    </row>
    <row r="1029" spans="1:40" ht="13" hidden="1" x14ac:dyDescent="0.15">
      <c r="A1029">
        <v>1035</v>
      </c>
      <c r="B1029" s="1">
        <v>54210</v>
      </c>
      <c r="C1029" s="1">
        <v>322</v>
      </c>
      <c r="D1029" s="4">
        <f t="shared" si="32"/>
        <v>5.9398634938203285E-3</v>
      </c>
      <c r="E1029" s="1">
        <v>0</v>
      </c>
      <c r="F1029" s="1">
        <v>1</v>
      </c>
      <c r="G1029" s="1">
        <v>18</v>
      </c>
      <c r="H1029" s="1">
        <v>70</v>
      </c>
      <c r="I1029" s="1">
        <v>54</v>
      </c>
      <c r="J1029" s="1">
        <v>109</v>
      </c>
      <c r="K1029" s="1">
        <v>80</v>
      </c>
      <c r="L1029" s="1">
        <v>9</v>
      </c>
      <c r="M1029" s="1">
        <v>45</v>
      </c>
      <c r="N1029" s="1">
        <v>2</v>
      </c>
      <c r="O1029" s="1">
        <v>4</v>
      </c>
      <c r="P1029" s="1">
        <v>1</v>
      </c>
      <c r="Q1029" s="1">
        <v>7</v>
      </c>
      <c r="R1029" s="1">
        <v>5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41</v>
      </c>
      <c r="AA1029" s="1" t="str" cm="1">
        <f t="array" ref="AA1029">_xlfn.IFS(AND(Z1029&lt;36, Z1029&gt;23), "24-35", AND(Z1029&lt;51, Z1029&gt;35),"36-50", AND(Z1029&lt;66, Z1029&gt;50), "51-66", Z1029&gt;65, "66+", TRUE, "?")</f>
        <v>36-50</v>
      </c>
      <c r="AB1029" s="1">
        <v>2564</v>
      </c>
      <c r="AC1029" s="1">
        <v>0</v>
      </c>
      <c r="AD1029" s="1">
        <v>1</v>
      </c>
      <c r="AE1029" s="1">
        <v>0</v>
      </c>
      <c r="AF1029" s="1">
        <v>0</v>
      </c>
      <c r="AG1029" s="1">
        <v>0</v>
      </c>
      <c r="AH1029" s="1">
        <v>1</v>
      </c>
      <c r="AI1029" s="1">
        <v>0</v>
      </c>
      <c r="AJ1029" s="1">
        <v>0</v>
      </c>
      <c r="AK1029" s="1">
        <v>0</v>
      </c>
      <c r="AL1029" s="1">
        <v>277</v>
      </c>
      <c r="AM1029" s="2">
        <v>42285</v>
      </c>
      <c r="AN1029" t="str">
        <f t="shared" si="33"/>
        <v>54210,322,0.00593986349382033,0,1,18,70,54,109,80,9,45,2,4,1,7,5,0,0,0,0,0,0,0,41,36-50,2564,0,1,0,0,0,1,0,0,0,277,42285</v>
      </c>
    </row>
    <row r="1030" spans="1:40" ht="13" x14ac:dyDescent="0.15">
      <c r="A1030">
        <v>1484</v>
      </c>
      <c r="B1030" s="1">
        <v>48752</v>
      </c>
      <c r="C1030" s="1">
        <v>316</v>
      </c>
      <c r="D1030" s="4">
        <f t="shared" si="32"/>
        <v>6.4817853626517883E-3</v>
      </c>
      <c r="E1030" s="1">
        <v>1</v>
      </c>
      <c r="F1030" s="1">
        <v>1</v>
      </c>
      <c r="G1030" s="1">
        <v>8</v>
      </c>
      <c r="H1030" s="1">
        <v>73</v>
      </c>
      <c r="I1030" s="1">
        <v>57</v>
      </c>
      <c r="J1030" s="1">
        <v>100</v>
      </c>
      <c r="K1030" s="1">
        <v>71</v>
      </c>
      <c r="L1030" s="1">
        <v>15</v>
      </c>
      <c r="M1030" s="1">
        <v>0</v>
      </c>
      <c r="N1030" s="1">
        <v>5</v>
      </c>
      <c r="O1030" s="1">
        <v>6</v>
      </c>
      <c r="P1030" s="1">
        <v>1</v>
      </c>
      <c r="Q1030" s="1">
        <v>5</v>
      </c>
      <c r="R1030" s="1">
        <v>9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1</v>
      </c>
      <c r="Z1030" s="1">
        <v>51</v>
      </c>
      <c r="AA1030" s="1" t="str" cm="1">
        <f t="array" ref="AA1030">_xlfn.IFS(AND(Z1030&lt;36, Z1030&gt;23), "24-35", AND(Z1030&lt;51, Z1030&gt;35),"36-50", AND(Z1030&lt;66, Z1030&gt;50), "51-66", Z1030&gt;65, "66+", TRUE, "?")</f>
        <v>51-66</v>
      </c>
      <c r="AB1030" s="1">
        <v>2723</v>
      </c>
      <c r="AC1030" s="1">
        <v>0</v>
      </c>
      <c r="AD1030" s="1">
        <v>1</v>
      </c>
      <c r="AE1030" s="1">
        <v>0</v>
      </c>
      <c r="AF1030" s="1">
        <v>0</v>
      </c>
      <c r="AG1030" s="1">
        <v>0</v>
      </c>
      <c r="AH1030" s="1">
        <v>0</v>
      </c>
      <c r="AI1030" s="1">
        <v>1</v>
      </c>
      <c r="AJ1030" s="1">
        <v>0</v>
      </c>
      <c r="AK1030" s="1">
        <v>0</v>
      </c>
      <c r="AL1030" s="1">
        <v>316</v>
      </c>
      <c r="AM1030" s="2">
        <v>42126</v>
      </c>
      <c r="AN1030" t="str">
        <f t="shared" si="33"/>
        <v>48752,316,0.00648178536265179,1,1,8,73,57,100,71,15,0,5,6,1,5,9,0,0,0,0,0,0,1,51,51-66,2723,0,1,0,0,0,0,1,0,0,316,42126</v>
      </c>
    </row>
    <row r="1031" spans="1:40" ht="13" hidden="1" x14ac:dyDescent="0.15">
      <c r="A1031">
        <v>689</v>
      </c>
      <c r="B1031" s="1">
        <v>70545</v>
      </c>
      <c r="C1031" s="1">
        <v>313</v>
      </c>
      <c r="D1031" s="4">
        <f t="shared" si="32"/>
        <v>4.4368842582748601E-3</v>
      </c>
      <c r="E1031" s="1">
        <v>0</v>
      </c>
      <c r="F1031" s="1">
        <v>1</v>
      </c>
      <c r="G1031" s="1">
        <v>29</v>
      </c>
      <c r="H1031" s="1">
        <v>138</v>
      </c>
      <c r="I1031" s="1">
        <v>39</v>
      </c>
      <c r="J1031" s="1">
        <v>63</v>
      </c>
      <c r="K1031" s="1">
        <v>55</v>
      </c>
      <c r="L1031" s="1">
        <v>18</v>
      </c>
      <c r="M1031" s="1">
        <v>21</v>
      </c>
      <c r="N1031" s="1">
        <v>1</v>
      </c>
      <c r="O1031" s="1">
        <v>4</v>
      </c>
      <c r="P1031" s="1">
        <v>1</v>
      </c>
      <c r="Q1031" s="1">
        <v>7</v>
      </c>
      <c r="R1031" s="1">
        <v>2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68</v>
      </c>
      <c r="AA1031" s="1" t="str" cm="1">
        <f t="array" ref="AA1031">_xlfn.IFS(AND(Z1031&lt;36, Z1031&gt;23), "24-35", AND(Z1031&lt;51, Z1031&gt;35),"36-50", AND(Z1031&lt;66, Z1031&gt;50), "51-66", Z1031&gt;65, "66+", TRUE, "?")</f>
        <v>66+</v>
      </c>
      <c r="AB1031" s="1">
        <v>2185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0</v>
      </c>
      <c r="AJ1031" s="1">
        <v>1</v>
      </c>
      <c r="AK1031" s="1">
        <v>0</v>
      </c>
      <c r="AL1031" s="1">
        <v>292</v>
      </c>
      <c r="AM1031" s="2">
        <v>42664</v>
      </c>
      <c r="AN1031" t="str">
        <f t="shared" si="33"/>
        <v>70545,313,0.00443688425827486,0,1,29,138,39,63,55,18,21,1,4,1,7,2,0,0,0,0,0,0,0,68,66+,2185,0,0,0,1,0,0,0,1,0,292,42664</v>
      </c>
    </row>
    <row r="1032" spans="1:40" ht="13" hidden="1" x14ac:dyDescent="0.15">
      <c r="A1032">
        <v>849</v>
      </c>
      <c r="B1032" s="1">
        <v>57100</v>
      </c>
      <c r="C1032" s="1">
        <v>313</v>
      </c>
      <c r="D1032" s="4">
        <f t="shared" si="32"/>
        <v>5.4816112084063043E-3</v>
      </c>
      <c r="E1032" s="1">
        <v>0</v>
      </c>
      <c r="F1032" s="1">
        <v>0</v>
      </c>
      <c r="G1032" s="1">
        <v>19</v>
      </c>
      <c r="H1032" s="1">
        <v>181</v>
      </c>
      <c r="I1032" s="1">
        <v>21</v>
      </c>
      <c r="J1032" s="1">
        <v>69</v>
      </c>
      <c r="K1032" s="1">
        <v>39</v>
      </c>
      <c r="L1032" s="1">
        <v>3</v>
      </c>
      <c r="M1032" s="1">
        <v>96</v>
      </c>
      <c r="N1032" s="1">
        <v>1</v>
      </c>
      <c r="O1032" s="1">
        <v>3</v>
      </c>
      <c r="P1032" s="1">
        <v>3</v>
      </c>
      <c r="Q1032" s="1">
        <v>6</v>
      </c>
      <c r="R1032" s="1">
        <v>3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47</v>
      </c>
      <c r="AA1032" s="1" t="str" cm="1">
        <f t="array" ref="AA1032">_xlfn.IFS(AND(Z1032&lt;36, Z1032&gt;23), "24-35", AND(Z1032&lt;51, Z1032&gt;35),"36-50", AND(Z1032&lt;66, Z1032&gt;50), "51-66", Z1032&gt;65, "66+", TRUE, "?")</f>
        <v>36-50</v>
      </c>
      <c r="AB1032" s="1">
        <v>2366</v>
      </c>
      <c r="AC1032" s="1">
        <v>0</v>
      </c>
      <c r="AD1032" s="1">
        <v>0</v>
      </c>
      <c r="AE1032" s="1">
        <v>0</v>
      </c>
      <c r="AF1032" s="1">
        <v>1</v>
      </c>
      <c r="AG1032" s="1">
        <v>0</v>
      </c>
      <c r="AH1032" s="1">
        <v>0</v>
      </c>
      <c r="AI1032" s="1">
        <v>1</v>
      </c>
      <c r="AJ1032" s="1">
        <v>0</v>
      </c>
      <c r="AK1032" s="1">
        <v>0</v>
      </c>
      <c r="AL1032" s="1">
        <v>217</v>
      </c>
      <c r="AM1032" s="2">
        <v>42483</v>
      </c>
      <c r="AN1032" t="str">
        <f t="shared" si="33"/>
        <v>57100,313,0.0054816112084063,0,0,19,181,21,69,39,3,96,1,3,3,6,3,0,0,0,0,0,0,0,47,36-50,2366,0,0,0,1,0,0,1,0,0,217,42483</v>
      </c>
    </row>
    <row r="1033" spans="1:40" ht="13" hidden="1" x14ac:dyDescent="0.15">
      <c r="A1033">
        <v>1390</v>
      </c>
      <c r="B1033" s="1">
        <v>53253</v>
      </c>
      <c r="C1033" s="1">
        <v>311</v>
      </c>
      <c r="D1033" s="4">
        <f t="shared" si="32"/>
        <v>5.8400465701462833E-3</v>
      </c>
      <c r="E1033" s="1">
        <v>1</v>
      </c>
      <c r="F1033" s="1">
        <v>1</v>
      </c>
      <c r="G1033" s="1">
        <v>61</v>
      </c>
      <c r="H1033" s="1">
        <v>216</v>
      </c>
      <c r="I1033" s="1">
        <v>9</v>
      </c>
      <c r="J1033" s="1">
        <v>57</v>
      </c>
      <c r="K1033" s="1">
        <v>20</v>
      </c>
      <c r="L1033" s="1">
        <v>9</v>
      </c>
      <c r="M1033" s="1">
        <v>125</v>
      </c>
      <c r="N1033" s="1">
        <v>7</v>
      </c>
      <c r="O1033" s="1">
        <v>4</v>
      </c>
      <c r="P1033" s="1">
        <v>3</v>
      </c>
      <c r="Q1033" s="1">
        <v>5</v>
      </c>
      <c r="R1033" s="1">
        <v>5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45</v>
      </c>
      <c r="AA1033" s="1" t="str" cm="1">
        <f t="array" ref="AA1033">_xlfn.IFS(AND(Z1033&lt;36, Z1033&gt;23), "24-35", AND(Z1033&lt;51, Z1033&gt;35),"36-50", AND(Z1033&lt;66, Z1033&gt;50), "51-66", Z1033&gt;65, "66+", TRUE, "?")</f>
        <v>36-50</v>
      </c>
      <c r="AB1033" s="1">
        <v>2662</v>
      </c>
      <c r="AC1033" s="1">
        <v>0</v>
      </c>
      <c r="AD1033" s="1">
        <v>0</v>
      </c>
      <c r="AE1033" s="1">
        <v>0</v>
      </c>
      <c r="AF1033" s="1">
        <v>1</v>
      </c>
      <c r="AG1033" s="1">
        <v>0</v>
      </c>
      <c r="AH1033" s="1">
        <v>0</v>
      </c>
      <c r="AI1033" s="1">
        <v>0</v>
      </c>
      <c r="AJ1033" s="1">
        <v>1</v>
      </c>
      <c r="AK1033" s="1">
        <v>0</v>
      </c>
      <c r="AL1033" s="1">
        <v>186</v>
      </c>
      <c r="AM1033" s="2">
        <v>42187</v>
      </c>
      <c r="AN1033" t="str">
        <f t="shared" si="33"/>
        <v>53253,311,0.00584004657014628,1,1,61,216,9,57,20,9,125,7,4,3,5,5,0,0,0,0,0,0,0,45,36-50,2662,0,0,0,1,0,0,0,1,0,186,42187</v>
      </c>
    </row>
    <row r="1034" spans="1:40" ht="13" hidden="1" x14ac:dyDescent="0.15">
      <c r="A1034">
        <v>238</v>
      </c>
      <c r="B1034" s="1">
        <v>45989</v>
      </c>
      <c r="C1034" s="1">
        <v>310</v>
      </c>
      <c r="D1034" s="4">
        <f t="shared" si="32"/>
        <v>6.7407423514318637E-3</v>
      </c>
      <c r="E1034" s="1">
        <v>0</v>
      </c>
      <c r="F1034" s="1">
        <v>1</v>
      </c>
      <c r="G1034" s="1">
        <v>97</v>
      </c>
      <c r="H1034" s="1">
        <v>138</v>
      </c>
      <c r="I1034" s="1">
        <v>33</v>
      </c>
      <c r="J1034" s="1">
        <v>87</v>
      </c>
      <c r="K1034" s="1">
        <v>28</v>
      </c>
      <c r="L1034" s="1">
        <v>24</v>
      </c>
      <c r="M1034" s="1">
        <v>12</v>
      </c>
      <c r="N1034" s="1">
        <v>4</v>
      </c>
      <c r="O1034" s="1">
        <v>3</v>
      </c>
      <c r="P1034" s="1">
        <v>2</v>
      </c>
      <c r="Q1034" s="1">
        <v>7</v>
      </c>
      <c r="R1034" s="1">
        <v>3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56</v>
      </c>
      <c r="AA1034" s="1" t="str" cm="1">
        <f t="array" ref="AA1034">_xlfn.IFS(AND(Z1034&lt;36, Z1034&gt;23), "24-35", AND(Z1034&lt;51, Z1034&gt;35),"36-50", AND(Z1034&lt;66, Z1034&gt;50), "51-66", Z1034&gt;65, "66+", TRUE, "?")</f>
        <v>51-66</v>
      </c>
      <c r="AB1034" s="1">
        <v>2774</v>
      </c>
      <c r="AC1034" s="1">
        <v>0</v>
      </c>
      <c r="AD1034" s="1">
        <v>0</v>
      </c>
      <c r="AE1034" s="1">
        <v>1</v>
      </c>
      <c r="AF1034" s="1">
        <v>0</v>
      </c>
      <c r="AG1034" s="1">
        <v>0</v>
      </c>
      <c r="AH1034" s="1">
        <v>0</v>
      </c>
      <c r="AI1034" s="1">
        <v>1</v>
      </c>
      <c r="AJ1034" s="1">
        <v>0</v>
      </c>
      <c r="AK1034" s="1">
        <v>0</v>
      </c>
      <c r="AL1034" s="1">
        <v>298</v>
      </c>
      <c r="AM1034" s="2">
        <v>42075</v>
      </c>
      <c r="AN1034" t="str">
        <f t="shared" si="33"/>
        <v>45989,310,0.00674074235143186,0,1,97,138,33,87,28,24,12,4,3,2,7,3,0,0,0,0,0,0,0,56,51-66,2774,0,0,1,0,0,0,1,0,0,298,42075</v>
      </c>
    </row>
    <row r="1035" spans="1:40" ht="13" x14ac:dyDescent="0.15">
      <c r="A1035">
        <v>1496</v>
      </c>
      <c r="B1035" s="1">
        <v>35196</v>
      </c>
      <c r="C1035" s="1">
        <v>310</v>
      </c>
      <c r="D1035" s="4">
        <f t="shared" si="32"/>
        <v>8.8078190703489035E-3</v>
      </c>
      <c r="E1035" s="1">
        <v>1</v>
      </c>
      <c r="F1035" s="1">
        <v>0</v>
      </c>
      <c r="G1035" s="1">
        <v>68</v>
      </c>
      <c r="H1035" s="1">
        <v>75</v>
      </c>
      <c r="I1035" s="1">
        <v>12</v>
      </c>
      <c r="J1035" s="1">
        <v>141</v>
      </c>
      <c r="K1035" s="1">
        <v>43</v>
      </c>
      <c r="L1035" s="1">
        <v>39</v>
      </c>
      <c r="M1035" s="1">
        <v>187</v>
      </c>
      <c r="N1035" s="1">
        <v>6</v>
      </c>
      <c r="O1035" s="1">
        <v>6</v>
      </c>
      <c r="P1035" s="1">
        <v>1</v>
      </c>
      <c r="Q1035" s="1">
        <v>5</v>
      </c>
      <c r="R1035" s="1">
        <v>8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1</v>
      </c>
      <c r="Z1035" s="1">
        <v>36</v>
      </c>
      <c r="AA1035" s="1" t="str" cm="1">
        <f t="array" ref="AA1035">_xlfn.IFS(AND(Z1035&lt;36, Z1035&gt;23), "24-35", AND(Z1035&lt;51, Z1035&gt;35),"36-50", AND(Z1035&lt;66, Z1035&gt;50), "51-66", Z1035&gt;65, "66+", TRUE, "?")</f>
        <v>36-50</v>
      </c>
      <c r="AB1035" s="1">
        <v>2752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1</v>
      </c>
      <c r="AJ1035" s="1">
        <v>0</v>
      </c>
      <c r="AK1035" s="1">
        <v>0</v>
      </c>
      <c r="AL1035" s="1">
        <v>123</v>
      </c>
      <c r="AM1035" s="2">
        <v>42097</v>
      </c>
      <c r="AN1035" t="str">
        <f t="shared" si="33"/>
        <v>35196,310,0.0088078190703489,1,0,68,75,12,141,43,39,187,6,6,1,5,8,0,0,0,0,0,0,1,36,36-50,2752,0,0,0,1,0,0,1,0,0,123,42097</v>
      </c>
    </row>
    <row r="1036" spans="1:40" ht="13" hidden="1" x14ac:dyDescent="0.15">
      <c r="A1036">
        <v>1572</v>
      </c>
      <c r="B1036" s="1">
        <v>35196</v>
      </c>
      <c r="C1036" s="1">
        <v>310</v>
      </c>
      <c r="D1036" s="4">
        <f t="shared" si="32"/>
        <v>8.8078190703489035E-3</v>
      </c>
      <c r="E1036" s="1">
        <v>1</v>
      </c>
      <c r="F1036" s="1">
        <v>0</v>
      </c>
      <c r="G1036" s="1">
        <v>68</v>
      </c>
      <c r="H1036" s="1">
        <v>75</v>
      </c>
      <c r="I1036" s="1">
        <v>12</v>
      </c>
      <c r="J1036" s="1">
        <v>141</v>
      </c>
      <c r="K1036" s="1">
        <v>43</v>
      </c>
      <c r="L1036" s="1">
        <v>39</v>
      </c>
      <c r="M1036" s="1">
        <v>187</v>
      </c>
      <c r="N1036" s="1">
        <v>6</v>
      </c>
      <c r="O1036" s="1">
        <v>6</v>
      </c>
      <c r="P1036" s="1">
        <v>1</v>
      </c>
      <c r="Q1036" s="1">
        <v>5</v>
      </c>
      <c r="R1036" s="1">
        <v>8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36</v>
      </c>
      <c r="AA1036" s="1" t="str" cm="1">
        <f t="array" ref="AA1036">_xlfn.IFS(AND(Z1036&lt;36, Z1036&gt;23), "24-35", AND(Z1036&lt;51, Z1036&gt;35),"36-50", AND(Z1036&lt;66, Z1036&gt;50), "51-66", Z1036&gt;65, "66+", TRUE, "?")</f>
        <v>36-50</v>
      </c>
      <c r="AB1036" s="1">
        <v>2752</v>
      </c>
      <c r="AC1036" s="1">
        <v>0</v>
      </c>
      <c r="AD1036" s="1">
        <v>0</v>
      </c>
      <c r="AE1036" s="1">
        <v>0</v>
      </c>
      <c r="AF1036" s="1">
        <v>1</v>
      </c>
      <c r="AG1036" s="1">
        <v>0</v>
      </c>
      <c r="AH1036" s="1">
        <v>0</v>
      </c>
      <c r="AI1036" s="1">
        <v>1</v>
      </c>
      <c r="AJ1036" s="1">
        <v>0</v>
      </c>
      <c r="AK1036" s="1">
        <v>0</v>
      </c>
      <c r="AL1036" s="1">
        <v>123</v>
      </c>
      <c r="AM1036" s="2">
        <v>42097</v>
      </c>
      <c r="AN1036" t="str">
        <f t="shared" si="33"/>
        <v>35196,310,0.0088078190703489,1,0,68,75,12,141,43,39,187,6,6,1,5,8,0,0,0,0,0,0,0,36,36-50,2752,0,0,0,1,0,0,1,0,0,123,42097</v>
      </c>
    </row>
    <row r="1037" spans="1:40" ht="13" hidden="1" x14ac:dyDescent="0.15">
      <c r="A1037">
        <v>1237</v>
      </c>
      <c r="B1037" s="1">
        <v>46692</v>
      </c>
      <c r="C1037" s="1">
        <v>309</v>
      </c>
      <c r="D1037" s="4">
        <f t="shared" si="32"/>
        <v>6.6178360318684144E-3</v>
      </c>
      <c r="E1037" s="1">
        <v>0</v>
      </c>
      <c r="F1037" s="1">
        <v>1</v>
      </c>
      <c r="G1037" s="1">
        <v>37</v>
      </c>
      <c r="H1037" s="1">
        <v>170</v>
      </c>
      <c r="I1037" s="1">
        <v>6</v>
      </c>
      <c r="J1037" s="1">
        <v>97</v>
      </c>
      <c r="K1037" s="1">
        <v>24</v>
      </c>
      <c r="L1037" s="1">
        <v>12</v>
      </c>
      <c r="M1037" s="1">
        <v>88</v>
      </c>
      <c r="N1037" s="1">
        <v>3</v>
      </c>
      <c r="O1037" s="1">
        <v>6</v>
      </c>
      <c r="P1037" s="1">
        <v>1</v>
      </c>
      <c r="Q1037" s="1">
        <v>5</v>
      </c>
      <c r="R1037" s="1">
        <v>6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62</v>
      </c>
      <c r="AA1037" s="1" t="str" cm="1">
        <f t="array" ref="AA1037">_xlfn.IFS(AND(Z1037&lt;36, Z1037&gt;23), "24-35", AND(Z1037&lt;51, Z1037&gt;35),"36-50", AND(Z1037&lt;66, Z1037&gt;50), "51-66", Z1037&gt;65, "66+", TRUE, "?")</f>
        <v>51-66</v>
      </c>
      <c r="AB1037" s="1">
        <v>2547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0</v>
      </c>
      <c r="AJ1037" s="1">
        <v>1</v>
      </c>
      <c r="AK1037" s="1">
        <v>0</v>
      </c>
      <c r="AL1037" s="1">
        <v>221</v>
      </c>
      <c r="AM1037" s="2">
        <v>42302</v>
      </c>
      <c r="AN1037" t="str">
        <f t="shared" si="33"/>
        <v>46692,309,0.00661783603186841,0,1,37,170,6,97,24,12,88,3,6,1,5,6,0,0,0,0,0,0,0,62,51-66,2547,0,0,0,1,0,0,0,1,0,221,42302</v>
      </c>
    </row>
    <row r="1038" spans="1:40" ht="13" hidden="1" x14ac:dyDescent="0.15">
      <c r="A1038">
        <v>1303</v>
      </c>
      <c r="B1038" s="1">
        <v>51039</v>
      </c>
      <c r="C1038" s="1">
        <v>308</v>
      </c>
      <c r="D1038" s="4">
        <f t="shared" si="32"/>
        <v>6.0346009913987341E-3</v>
      </c>
      <c r="E1038" s="1">
        <v>1</v>
      </c>
      <c r="F1038" s="1">
        <v>1</v>
      </c>
      <c r="G1038" s="1">
        <v>11</v>
      </c>
      <c r="H1038" s="1">
        <v>100</v>
      </c>
      <c r="I1038" s="1">
        <v>64</v>
      </c>
      <c r="J1038" s="1">
        <v>79</v>
      </c>
      <c r="K1038" s="1">
        <v>65</v>
      </c>
      <c r="L1038" s="1">
        <v>0</v>
      </c>
      <c r="M1038" s="1">
        <v>109</v>
      </c>
      <c r="N1038" s="1">
        <v>2</v>
      </c>
      <c r="O1038" s="1">
        <v>6</v>
      </c>
      <c r="P1038" s="1">
        <v>2</v>
      </c>
      <c r="Q1038" s="1">
        <v>4</v>
      </c>
      <c r="R1038" s="1">
        <v>7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51</v>
      </c>
      <c r="AA1038" s="1" t="str" cm="1">
        <f t="array" ref="AA1038">_xlfn.IFS(AND(Z1038&lt;36, Z1038&gt;23), "24-35", AND(Z1038&lt;51, Z1038&gt;35),"36-50", AND(Z1038&lt;66, Z1038&gt;50), "51-66", Z1038&gt;65, "66+", TRUE, "?")</f>
        <v>51-66</v>
      </c>
      <c r="AB1038" s="1">
        <v>2725</v>
      </c>
      <c r="AC1038" s="1">
        <v>0</v>
      </c>
      <c r="AD1038" s="1">
        <v>1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1</v>
      </c>
      <c r="AL1038" s="1">
        <v>199</v>
      </c>
      <c r="AM1038" s="2">
        <v>42124</v>
      </c>
      <c r="AN1038" t="str">
        <f t="shared" si="33"/>
        <v>51039,308,0.00603460099139873,1,1,11,100,64,79,65,0,109,2,6,2,4,7,0,0,0,0,0,0,0,51,51-66,2725,0,1,0,0,0,0,0,0,1,199,42124</v>
      </c>
    </row>
    <row r="1039" spans="1:40" ht="13" hidden="1" x14ac:dyDescent="0.15">
      <c r="A1039">
        <v>1897</v>
      </c>
      <c r="B1039" s="1">
        <v>71322</v>
      </c>
      <c r="C1039" s="1">
        <v>308</v>
      </c>
      <c r="D1039" s="4">
        <f t="shared" si="32"/>
        <v>4.318443117130759E-3</v>
      </c>
      <c r="E1039" s="1">
        <v>0</v>
      </c>
      <c r="F1039" s="1">
        <v>1</v>
      </c>
      <c r="G1039" s="1">
        <v>31</v>
      </c>
      <c r="H1039" s="1">
        <v>121</v>
      </c>
      <c r="I1039" s="1">
        <v>24</v>
      </c>
      <c r="J1039" s="1">
        <v>124</v>
      </c>
      <c r="K1039" s="1">
        <v>24</v>
      </c>
      <c r="L1039" s="1">
        <v>15</v>
      </c>
      <c r="M1039" s="1">
        <v>42</v>
      </c>
      <c r="N1039" s="1">
        <v>1</v>
      </c>
      <c r="O1039" s="1">
        <v>4</v>
      </c>
      <c r="P1039" s="1">
        <v>1</v>
      </c>
      <c r="Q1039" s="1">
        <v>7</v>
      </c>
      <c r="R1039" s="1">
        <v>2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44</v>
      </c>
      <c r="AA1039" s="1" t="str" cm="1">
        <f t="array" ref="AA1039">_xlfn.IFS(AND(Z1039&lt;36, Z1039&gt;23), "24-35", AND(Z1039&lt;51, Z1039&gt;35),"36-50", AND(Z1039&lt;66, Z1039&gt;50), "51-66", Z1039&gt;65, "66+", TRUE, "?")</f>
        <v>36-50</v>
      </c>
      <c r="AB1039" s="1">
        <v>2217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0</v>
      </c>
      <c r="AI1039" s="1">
        <v>1</v>
      </c>
      <c r="AJ1039" s="1">
        <v>0</v>
      </c>
      <c r="AK1039" s="1">
        <v>0</v>
      </c>
      <c r="AL1039" s="1">
        <v>266</v>
      </c>
      <c r="AM1039" s="2">
        <v>42632</v>
      </c>
      <c r="AN1039" t="str">
        <f t="shared" si="33"/>
        <v>71322,308,0.00431844311713076,0,1,31,121,24,124,24,15,42,1,4,1,7,2,0,0,0,0,0,0,0,44,36-50,2217,0,0,0,1,0,0,1,0,0,266,42632</v>
      </c>
    </row>
    <row r="1040" spans="1:40" ht="13" hidden="1" x14ac:dyDescent="0.15">
      <c r="A1040">
        <v>532</v>
      </c>
      <c r="B1040" s="1">
        <v>48799</v>
      </c>
      <c r="C1040" s="1">
        <v>307</v>
      </c>
      <c r="D1040" s="4">
        <f t="shared" si="32"/>
        <v>6.2911125227975984E-3</v>
      </c>
      <c r="E1040" s="1">
        <v>0</v>
      </c>
      <c r="F1040" s="1">
        <v>1</v>
      </c>
      <c r="G1040" s="1">
        <v>9</v>
      </c>
      <c r="H1040" s="1">
        <v>174</v>
      </c>
      <c r="I1040" s="1">
        <v>18</v>
      </c>
      <c r="J1040" s="1">
        <v>81</v>
      </c>
      <c r="K1040" s="1">
        <v>28</v>
      </c>
      <c r="L1040" s="1">
        <v>6</v>
      </c>
      <c r="M1040" s="1">
        <v>24</v>
      </c>
      <c r="N1040" s="1">
        <v>3</v>
      </c>
      <c r="O1040" s="1">
        <v>3</v>
      </c>
      <c r="P1040" s="1">
        <v>2</v>
      </c>
      <c r="Q1040" s="1">
        <v>7</v>
      </c>
      <c r="R1040" s="1">
        <v>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57</v>
      </c>
      <c r="AA1040" s="1" t="str" cm="1">
        <f t="array" ref="AA1040">_xlfn.IFS(AND(Z1040&lt;36, Z1040&gt;23), "24-35", AND(Z1040&lt;51, Z1040&gt;35),"36-50", AND(Z1040&lt;66, Z1040&gt;50), "51-66", Z1040&gt;65, "66+", TRUE, "?")</f>
        <v>51-66</v>
      </c>
      <c r="AB1040" s="1">
        <v>2395</v>
      </c>
      <c r="AC1040" s="1">
        <v>1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1</v>
      </c>
      <c r="AL1040" s="1">
        <v>283</v>
      </c>
      <c r="AM1040" s="2">
        <v>42454</v>
      </c>
      <c r="AN1040" t="str">
        <f t="shared" si="33"/>
        <v>48799,307,0.0062911125227976,0,1,9,174,18,81,28,6,24,3,3,2,7,3,0,0,0,0,0,0,0,57,51-66,2395,1,0,0,0,0,0,0,0,1,283,42454</v>
      </c>
    </row>
    <row r="1041" spans="1:40" ht="13" hidden="1" x14ac:dyDescent="0.15">
      <c r="A1041">
        <v>426</v>
      </c>
      <c r="B1041" s="1">
        <v>38988</v>
      </c>
      <c r="C1041" s="1">
        <v>306</v>
      </c>
      <c r="D1041" s="4">
        <f t="shared" si="32"/>
        <v>7.8485687903970449E-3</v>
      </c>
      <c r="E1041" s="1">
        <v>1</v>
      </c>
      <c r="F1041" s="1">
        <v>2</v>
      </c>
      <c r="G1041" s="1">
        <v>90</v>
      </c>
      <c r="H1041" s="1">
        <v>164</v>
      </c>
      <c r="I1041" s="1">
        <v>24</v>
      </c>
      <c r="J1041" s="1">
        <v>103</v>
      </c>
      <c r="K1041" s="1">
        <v>12</v>
      </c>
      <c r="L1041" s="1">
        <v>3</v>
      </c>
      <c r="M1041" s="1">
        <v>42</v>
      </c>
      <c r="N1041" s="1">
        <v>7</v>
      </c>
      <c r="O1041" s="1">
        <v>5</v>
      </c>
      <c r="P1041" s="1">
        <v>1</v>
      </c>
      <c r="Q1041" s="1">
        <v>6</v>
      </c>
      <c r="R1041" s="1">
        <v>8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48</v>
      </c>
      <c r="AA1041" s="1" t="str" cm="1">
        <f t="array" ref="AA1041">_xlfn.IFS(AND(Z1041&lt;36, Z1041&gt;23), "24-35", AND(Z1041&lt;51, Z1041&gt;35),"36-50", AND(Z1041&lt;66, Z1041&gt;50), "51-66", Z1041&gt;65, "66+", TRUE, "?")</f>
        <v>36-50</v>
      </c>
      <c r="AB1041" s="1">
        <v>2837</v>
      </c>
      <c r="AC1041" s="1">
        <v>0</v>
      </c>
      <c r="AD1041" s="1">
        <v>1</v>
      </c>
      <c r="AE1041" s="1">
        <v>0</v>
      </c>
      <c r="AF1041" s="1">
        <v>0</v>
      </c>
      <c r="AG1041" s="1">
        <v>0</v>
      </c>
      <c r="AH1041" s="1">
        <v>0</v>
      </c>
      <c r="AI1041" s="1">
        <v>1</v>
      </c>
      <c r="AJ1041" s="1">
        <v>0</v>
      </c>
      <c r="AK1041" s="1">
        <v>0</v>
      </c>
      <c r="AL1041" s="1">
        <v>264</v>
      </c>
      <c r="AM1041" s="2">
        <v>42012</v>
      </c>
      <c r="AN1041" t="str">
        <f t="shared" si="33"/>
        <v>38988,306,0.00784856879039704,1,2,90,164,24,103,12,3,42,7,5,1,6,8,0,0,0,0,0,0,0,48,36-50,2837,0,1,0,0,0,0,1,0,0,264,42012</v>
      </c>
    </row>
    <row r="1042" spans="1:40" ht="13" hidden="1" x14ac:dyDescent="0.15">
      <c r="A1042">
        <v>1042</v>
      </c>
      <c r="B1042" s="1">
        <v>66480</v>
      </c>
      <c r="C1042" s="1">
        <v>306</v>
      </c>
      <c r="D1042" s="4">
        <f t="shared" si="32"/>
        <v>4.6028880866425996E-3</v>
      </c>
      <c r="E1042" s="1">
        <v>1</v>
      </c>
      <c r="F1042" s="1">
        <v>1</v>
      </c>
      <c r="G1042" s="1">
        <v>71</v>
      </c>
      <c r="H1042" s="1">
        <v>199</v>
      </c>
      <c r="I1042" s="1">
        <v>9</v>
      </c>
      <c r="J1042" s="1">
        <v>57</v>
      </c>
      <c r="K1042" s="1">
        <v>20</v>
      </c>
      <c r="L1042" s="1">
        <v>21</v>
      </c>
      <c r="M1042" s="1">
        <v>6</v>
      </c>
      <c r="N1042" s="1">
        <v>7</v>
      </c>
      <c r="O1042" s="1">
        <v>4</v>
      </c>
      <c r="P1042" s="1">
        <v>1</v>
      </c>
      <c r="Q1042" s="1">
        <v>7</v>
      </c>
      <c r="R1042" s="1">
        <v>4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55</v>
      </c>
      <c r="AA1042" s="1" t="str" cm="1">
        <f t="array" ref="AA1042">_xlfn.IFS(AND(Z1042&lt;36, Z1042&gt;23), "24-35", AND(Z1042&lt;51, Z1042&gt;35),"36-50", AND(Z1042&lt;66, Z1042&gt;50), "51-66", Z1042&gt;65, "66+", TRUE, "?")</f>
        <v>51-66</v>
      </c>
      <c r="AB1042" s="1">
        <v>2188</v>
      </c>
      <c r="AC1042" s="1">
        <v>0</v>
      </c>
      <c r="AD1042" s="1">
        <v>1</v>
      </c>
      <c r="AE1042" s="1">
        <v>0</v>
      </c>
      <c r="AF1042" s="1">
        <v>0</v>
      </c>
      <c r="AG1042" s="1">
        <v>0</v>
      </c>
      <c r="AH1042" s="1">
        <v>0</v>
      </c>
      <c r="AI1042" s="1">
        <v>1</v>
      </c>
      <c r="AJ1042" s="1">
        <v>0</v>
      </c>
      <c r="AK1042" s="1">
        <v>0</v>
      </c>
      <c r="AL1042" s="1">
        <v>300</v>
      </c>
      <c r="AM1042" s="2">
        <v>42661</v>
      </c>
      <c r="AN1042" t="str">
        <f t="shared" si="33"/>
        <v>66480,306,0.0046028880866426,1,1,71,199,9,57,20,21,6,7,4,1,7,4,0,0,0,0,0,0,0,55,51-66,2188,0,1,0,0,0,0,1,0,0,300,42661</v>
      </c>
    </row>
    <row r="1043" spans="1:40" ht="13" hidden="1" x14ac:dyDescent="0.15">
      <c r="A1043">
        <v>1167</v>
      </c>
      <c r="B1043" s="1">
        <v>27683</v>
      </c>
      <c r="C1043" s="1">
        <v>306</v>
      </c>
      <c r="D1043" s="4">
        <f t="shared" si="32"/>
        <v>1.1053715276523499E-2</v>
      </c>
      <c r="E1043" s="1">
        <v>1</v>
      </c>
      <c r="F1043" s="1">
        <v>0</v>
      </c>
      <c r="G1043" s="1">
        <v>90</v>
      </c>
      <c r="H1043" s="1">
        <v>152</v>
      </c>
      <c r="I1043" s="1">
        <v>9</v>
      </c>
      <c r="J1043" s="1">
        <v>121</v>
      </c>
      <c r="K1043" s="1">
        <v>12</v>
      </c>
      <c r="L1043" s="1">
        <v>12</v>
      </c>
      <c r="M1043" s="1">
        <v>45</v>
      </c>
      <c r="N1043" s="1">
        <v>4</v>
      </c>
      <c r="O1043" s="1">
        <v>6</v>
      </c>
      <c r="P1043" s="1">
        <v>2</v>
      </c>
      <c r="Q1043" s="1">
        <v>4</v>
      </c>
      <c r="R1043" s="1">
        <v>8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42</v>
      </c>
      <c r="AA1043" s="1" t="str" cm="1">
        <f t="array" ref="AA1043">_xlfn.IFS(AND(Z1043&lt;36, Z1043&gt;23), "24-35", AND(Z1043&lt;51, Z1043&gt;35),"36-50", AND(Z1043&lt;66, Z1043&gt;50), "51-66", Z1043&gt;65, "66+", TRUE, "?")</f>
        <v>36-50</v>
      </c>
      <c r="AB1043" s="1">
        <v>2853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0</v>
      </c>
      <c r="AJ1043" s="1">
        <v>0</v>
      </c>
      <c r="AK1043" s="1">
        <v>1</v>
      </c>
      <c r="AL1043" s="1">
        <v>261</v>
      </c>
      <c r="AM1043" s="2">
        <v>41996</v>
      </c>
      <c r="AN1043" t="str">
        <f t="shared" si="33"/>
        <v>27683,306,0.0110537152765235,1,0,90,152,9,121,12,12,45,4,6,2,4,8,0,0,0,0,0,0,0,42,36-50,2853,0,0,0,1,0,0,0,0,1,261,41996</v>
      </c>
    </row>
    <row r="1044" spans="1:40" ht="13" x14ac:dyDescent="0.15">
      <c r="A1044">
        <v>1507</v>
      </c>
      <c r="B1044" s="1">
        <v>38513</v>
      </c>
      <c r="C1044" s="1">
        <v>306</v>
      </c>
      <c r="D1044" s="4">
        <f t="shared" si="32"/>
        <v>7.9453690961493514E-3</v>
      </c>
      <c r="E1044" s="1">
        <v>1</v>
      </c>
      <c r="F1044" s="1">
        <v>0</v>
      </c>
      <c r="G1044" s="1">
        <v>20</v>
      </c>
      <c r="H1044" s="1">
        <v>172</v>
      </c>
      <c r="I1044" s="1">
        <v>3</v>
      </c>
      <c r="J1044" s="1">
        <v>115</v>
      </c>
      <c r="K1044" s="1">
        <v>16</v>
      </c>
      <c r="L1044" s="1">
        <v>0</v>
      </c>
      <c r="M1044" s="1">
        <v>18</v>
      </c>
      <c r="N1044" s="1">
        <v>5</v>
      </c>
      <c r="O1044" s="1">
        <v>6</v>
      </c>
      <c r="P1044" s="1">
        <v>1</v>
      </c>
      <c r="Q1044" s="1">
        <v>5</v>
      </c>
      <c r="R1044" s="1">
        <v>8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1</v>
      </c>
      <c r="Z1044" s="1">
        <v>38</v>
      </c>
      <c r="AA1044" s="1" t="str" cm="1">
        <f t="array" ref="AA1044">_xlfn.IFS(AND(Z1044&lt;36, Z1044&gt;23), "24-35", AND(Z1044&lt;51, Z1044&gt;35),"36-50", AND(Z1044&lt;66, Z1044&gt;50), "51-66", Z1044&gt;65, "66+", TRUE, "?")</f>
        <v>36-50</v>
      </c>
      <c r="AB1044" s="1">
        <v>2311</v>
      </c>
      <c r="AC1044" s="1">
        <v>0</v>
      </c>
      <c r="AD1044" s="1">
        <v>0</v>
      </c>
      <c r="AE1044" s="1">
        <v>1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1</v>
      </c>
      <c r="AL1044" s="1">
        <v>288</v>
      </c>
      <c r="AM1044" s="2">
        <v>42538</v>
      </c>
      <c r="AN1044" t="str">
        <f t="shared" si="33"/>
        <v>38513,306,0.00794536909614935,1,0,20,172,3,115,16,0,18,5,6,1,5,8,0,0,0,0,0,0,1,38,36-50,2311,0,0,1,0,0,0,0,0,1,288,42538</v>
      </c>
    </row>
    <row r="1045" spans="1:40" ht="13" hidden="1" x14ac:dyDescent="0.15">
      <c r="A1045">
        <v>1256</v>
      </c>
      <c r="B1045" s="1">
        <v>50127</v>
      </c>
      <c r="C1045" s="1">
        <v>305</v>
      </c>
      <c r="D1045" s="4">
        <f t="shared" si="32"/>
        <v>6.0845452550521671E-3</v>
      </c>
      <c r="E1045" s="1">
        <v>0</v>
      </c>
      <c r="F1045" s="1">
        <v>1</v>
      </c>
      <c r="G1045" s="1">
        <v>88</v>
      </c>
      <c r="H1045" s="1">
        <v>274</v>
      </c>
      <c r="I1045" s="1">
        <v>0</v>
      </c>
      <c r="J1045" s="1">
        <v>21</v>
      </c>
      <c r="K1045" s="1">
        <v>4</v>
      </c>
      <c r="L1045" s="1">
        <v>6</v>
      </c>
      <c r="M1045" s="1">
        <v>15</v>
      </c>
      <c r="N1045" s="1">
        <v>1</v>
      </c>
      <c r="O1045" s="1">
        <v>5</v>
      </c>
      <c r="P1045" s="1">
        <v>1</v>
      </c>
      <c r="Q1045" s="1">
        <v>6</v>
      </c>
      <c r="R1045" s="1">
        <v>6</v>
      </c>
      <c r="S1045" s="1">
        <v>0</v>
      </c>
      <c r="T1045" s="1">
        <v>0</v>
      </c>
      <c r="U1045" s="1">
        <v>0</v>
      </c>
      <c r="V1045" s="1">
        <v>1</v>
      </c>
      <c r="W1045" s="1">
        <v>0</v>
      </c>
      <c r="X1045" s="1">
        <v>0</v>
      </c>
      <c r="Y1045" s="1">
        <v>0</v>
      </c>
      <c r="Z1045" s="1">
        <v>58</v>
      </c>
      <c r="AA1045" s="1" t="str" cm="1">
        <f t="array" ref="AA1045">_xlfn.IFS(AND(Z1045&lt;36, Z1045&gt;23), "24-35", AND(Z1045&lt;51, Z1045&gt;35),"36-50", AND(Z1045&lt;66, Z1045&gt;50), "51-66", Z1045&gt;65, "66+", TRUE, "?")</f>
        <v>51-66</v>
      </c>
      <c r="AB1045" s="1">
        <v>2190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1</v>
      </c>
      <c r="AJ1045" s="1">
        <v>0</v>
      </c>
      <c r="AK1045" s="1">
        <v>0</v>
      </c>
      <c r="AL1045" s="1">
        <v>290</v>
      </c>
      <c r="AM1045" s="2">
        <v>42659</v>
      </c>
      <c r="AN1045" t="str">
        <f t="shared" si="33"/>
        <v>50127,305,0.00608454525505217,0,1,88,274,0,21,4,6,15,1,5,1,6,6,0,0,0,1,0,0,0,58,51-66,2190,0,0,0,1,0,0,1,0,0,290,42659</v>
      </c>
    </row>
    <row r="1046" spans="1:40" ht="13" hidden="1" x14ac:dyDescent="0.15">
      <c r="A1046">
        <v>1519</v>
      </c>
      <c r="B1046" s="1">
        <v>36634</v>
      </c>
      <c r="C1046" s="1">
        <v>305</v>
      </c>
      <c r="D1046" s="4">
        <f t="shared" si="32"/>
        <v>8.3255991701697875E-3</v>
      </c>
      <c r="E1046" s="1">
        <v>0</v>
      </c>
      <c r="F1046" s="1">
        <v>1</v>
      </c>
      <c r="G1046" s="1">
        <v>0</v>
      </c>
      <c r="H1046" s="1">
        <v>213</v>
      </c>
      <c r="I1046" s="1">
        <v>9</v>
      </c>
      <c r="J1046" s="1">
        <v>76</v>
      </c>
      <c r="K1046" s="1">
        <v>4</v>
      </c>
      <c r="L1046" s="1">
        <v>3</v>
      </c>
      <c r="M1046" s="1">
        <v>30</v>
      </c>
      <c r="N1046" s="1">
        <v>3</v>
      </c>
      <c r="O1046" s="1">
        <v>5</v>
      </c>
      <c r="P1046" s="1">
        <v>2</v>
      </c>
      <c r="Q1046" s="1">
        <v>5</v>
      </c>
      <c r="R1046" s="1">
        <v>7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66</v>
      </c>
      <c r="AA1046" s="1" t="str" cm="1">
        <f t="array" ref="AA1046">_xlfn.IFS(AND(Z1046&lt;36, Z1046&gt;23), "24-35", AND(Z1046&lt;51, Z1046&gt;35),"36-50", AND(Z1046&lt;66, Z1046&gt;50), "51-66", Z1046&gt;65, "66+", TRUE, "?")</f>
        <v>66+</v>
      </c>
      <c r="AB1046" s="1">
        <v>2556</v>
      </c>
      <c r="AC1046" s="1">
        <v>0</v>
      </c>
      <c r="AD1046" s="1">
        <v>0</v>
      </c>
      <c r="AE1046" s="1">
        <v>0</v>
      </c>
      <c r="AF1046" s="1">
        <v>1</v>
      </c>
      <c r="AG1046" s="1">
        <v>0</v>
      </c>
      <c r="AH1046" s="1">
        <v>0</v>
      </c>
      <c r="AI1046" s="1">
        <v>0</v>
      </c>
      <c r="AJ1046" s="1">
        <v>1</v>
      </c>
      <c r="AK1046" s="1">
        <v>0</v>
      </c>
      <c r="AL1046" s="1">
        <v>275</v>
      </c>
      <c r="AM1046" s="2">
        <v>42293</v>
      </c>
      <c r="AN1046" t="str">
        <f t="shared" si="33"/>
        <v>36634,305,0.00832559917016979,0,1,0,213,9,76,4,3,30,3,5,2,5,7,0,0,0,0,0,0,0,66,66+,2556,0,0,0,1,0,0,0,1,0,275,42293</v>
      </c>
    </row>
    <row r="1047" spans="1:40" ht="13" hidden="1" x14ac:dyDescent="0.15">
      <c r="A1047">
        <v>504</v>
      </c>
      <c r="B1047" s="1">
        <v>47352</v>
      </c>
      <c r="C1047" s="1">
        <v>304</v>
      </c>
      <c r="D1047" s="4">
        <f t="shared" si="32"/>
        <v>6.4200033789491469E-3</v>
      </c>
      <c r="E1047" s="1">
        <v>0</v>
      </c>
      <c r="F1047" s="1">
        <v>1</v>
      </c>
      <c r="G1047" s="1">
        <v>70</v>
      </c>
      <c r="H1047" s="1">
        <v>172</v>
      </c>
      <c r="I1047" s="1">
        <v>12</v>
      </c>
      <c r="J1047" s="1">
        <v>112</v>
      </c>
      <c r="K1047" s="1">
        <v>8</v>
      </c>
      <c r="L1047" s="1">
        <v>0</v>
      </c>
      <c r="M1047" s="1">
        <v>15</v>
      </c>
      <c r="N1047" s="1">
        <v>4</v>
      </c>
      <c r="O1047" s="1">
        <v>6</v>
      </c>
      <c r="P1047" s="1">
        <v>1</v>
      </c>
      <c r="Q1047" s="1">
        <v>5</v>
      </c>
      <c r="R1047" s="1">
        <v>7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69</v>
      </c>
      <c r="AA1047" s="1" t="str" cm="1">
        <f t="array" ref="AA1047">_xlfn.IFS(AND(Z1047&lt;36, Z1047&gt;23), "24-35", AND(Z1047&lt;51, Z1047&gt;35),"36-50", AND(Z1047&lt;66, Z1047&gt;50), "51-66", Z1047&gt;65, "66+", TRUE, "?")</f>
        <v>66+</v>
      </c>
      <c r="AB1047" s="1">
        <v>2603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0</v>
      </c>
      <c r="AJ1047" s="1">
        <v>1</v>
      </c>
      <c r="AK1047" s="1">
        <v>0</v>
      </c>
      <c r="AL1047" s="1">
        <v>289</v>
      </c>
      <c r="AM1047" s="2">
        <v>42246</v>
      </c>
      <c r="AN1047" t="str">
        <f t="shared" si="33"/>
        <v>47352,304,0.00642000337894915,0,1,70,172,12,112,8,0,15,4,6,1,5,7,0,0,0,0,0,0,0,69,66+,2603,0,0,0,1,0,0,0,1,0,289,42246</v>
      </c>
    </row>
    <row r="1048" spans="1:40" ht="13" hidden="1" x14ac:dyDescent="0.15">
      <c r="A1048">
        <v>511</v>
      </c>
      <c r="B1048" s="1">
        <v>42710</v>
      </c>
      <c r="C1048" s="1">
        <v>304</v>
      </c>
      <c r="D1048" s="4">
        <f t="shared" si="32"/>
        <v>7.117771013814095E-3</v>
      </c>
      <c r="E1048" s="1">
        <v>1</v>
      </c>
      <c r="F1048" s="1">
        <v>0</v>
      </c>
      <c r="G1048" s="1">
        <v>38</v>
      </c>
      <c r="H1048" s="1">
        <v>252</v>
      </c>
      <c r="I1048" s="1">
        <v>3</v>
      </c>
      <c r="J1048" s="1">
        <v>42</v>
      </c>
      <c r="K1048" s="1">
        <v>4</v>
      </c>
      <c r="L1048" s="1">
        <v>3</v>
      </c>
      <c r="M1048" s="1">
        <v>102</v>
      </c>
      <c r="N1048" s="1">
        <v>2</v>
      </c>
      <c r="O1048" s="1">
        <v>4</v>
      </c>
      <c r="P1048" s="1">
        <v>5</v>
      </c>
      <c r="Q1048" s="1">
        <v>3</v>
      </c>
      <c r="R1048" s="1">
        <v>6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36</v>
      </c>
      <c r="AA1048" s="1" t="str" cm="1">
        <f t="array" ref="AA1048">_xlfn.IFS(AND(Z1048&lt;36, Z1048&gt;23), "24-35", AND(Z1048&lt;51, Z1048&gt;35),"36-50", AND(Z1048&lt;66, Z1048&gt;50), "51-66", Z1048&gt;65, "66+", TRUE, "?")</f>
        <v>36-50</v>
      </c>
      <c r="AB1048" s="1">
        <v>2737</v>
      </c>
      <c r="AC1048" s="1">
        <v>0</v>
      </c>
      <c r="AD1048" s="1">
        <v>0</v>
      </c>
      <c r="AE1048" s="1">
        <v>1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1</v>
      </c>
      <c r="AL1048" s="1">
        <v>202</v>
      </c>
      <c r="AM1048" s="2">
        <v>42112</v>
      </c>
      <c r="AN1048" t="str">
        <f t="shared" si="33"/>
        <v>42710,304,0.0071177710138141,1,0,38,252,3,42,4,3,102,2,4,5,3,6,0,0,0,0,0,0,0,36,36-50,2737,0,0,1,0,0,0,0,0,1,202,42112</v>
      </c>
    </row>
    <row r="1049" spans="1:40" ht="13" hidden="1" x14ac:dyDescent="0.15">
      <c r="A1049">
        <v>902</v>
      </c>
      <c r="B1049" s="1">
        <v>54237</v>
      </c>
      <c r="C1049" s="1">
        <v>304</v>
      </c>
      <c r="D1049" s="4">
        <f t="shared" si="32"/>
        <v>5.6050297767206887E-3</v>
      </c>
      <c r="E1049" s="1">
        <v>0</v>
      </c>
      <c r="F1049" s="1">
        <v>1</v>
      </c>
      <c r="G1049" s="1">
        <v>48</v>
      </c>
      <c r="H1049" s="1">
        <v>267</v>
      </c>
      <c r="I1049" s="1">
        <v>3</v>
      </c>
      <c r="J1049" s="1">
        <v>30</v>
      </c>
      <c r="K1049" s="1">
        <v>4</v>
      </c>
      <c r="L1049" s="1">
        <v>0</v>
      </c>
      <c r="M1049" s="1">
        <v>57</v>
      </c>
      <c r="N1049" s="1">
        <v>4</v>
      </c>
      <c r="O1049" s="1">
        <v>5</v>
      </c>
      <c r="P1049" s="1">
        <v>2</v>
      </c>
      <c r="Q1049" s="1">
        <v>5</v>
      </c>
      <c r="R1049" s="1">
        <v>6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63</v>
      </c>
      <c r="AA1049" s="1" t="str" cm="1">
        <f t="array" ref="AA1049">_xlfn.IFS(AND(Z1049&lt;36, Z1049&gt;23), "24-35", AND(Z1049&lt;51, Z1049&gt;35),"36-50", AND(Z1049&lt;66, Z1049&gt;50), "51-66", Z1049&gt;65, "66+", TRUE, "?")</f>
        <v>51-66</v>
      </c>
      <c r="AB1049" s="1">
        <v>2587</v>
      </c>
      <c r="AC1049" s="1">
        <v>1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1</v>
      </c>
      <c r="AL1049" s="1">
        <v>247</v>
      </c>
      <c r="AM1049" s="2">
        <v>42262</v>
      </c>
      <c r="AN1049" t="str">
        <f t="shared" si="33"/>
        <v>54237,304,0.00560502977672069,0,1,48,267,3,30,4,0,57,4,5,2,5,6,0,0,0,0,0,0,0,63,51-66,2587,1,0,0,0,0,0,0,0,1,247,42262</v>
      </c>
    </row>
    <row r="1050" spans="1:40" ht="13" hidden="1" x14ac:dyDescent="0.15">
      <c r="A1050">
        <v>1341</v>
      </c>
      <c r="B1050" s="1">
        <v>51876</v>
      </c>
      <c r="C1050" s="1">
        <v>304</v>
      </c>
      <c r="D1050" s="4">
        <f t="shared" si="32"/>
        <v>5.8601279975325779E-3</v>
      </c>
      <c r="E1050" s="1">
        <v>0</v>
      </c>
      <c r="F1050" s="1">
        <v>0</v>
      </c>
      <c r="G1050" s="1">
        <v>88</v>
      </c>
      <c r="H1050" s="1">
        <v>99</v>
      </c>
      <c r="I1050" s="1">
        <v>27</v>
      </c>
      <c r="J1050" s="1">
        <v>102</v>
      </c>
      <c r="K1050" s="1">
        <v>28</v>
      </c>
      <c r="L1050" s="1">
        <v>48</v>
      </c>
      <c r="M1050" s="1">
        <v>6</v>
      </c>
      <c r="N1050" s="1">
        <v>1</v>
      </c>
      <c r="O1050" s="1">
        <v>2</v>
      </c>
      <c r="P1050" s="1">
        <v>2</v>
      </c>
      <c r="Q1050" s="1">
        <v>8</v>
      </c>
      <c r="R1050" s="1">
        <v>1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62</v>
      </c>
      <c r="AA1050" s="1" t="str" cm="1">
        <f t="array" ref="AA1050">_xlfn.IFS(AND(Z1050&lt;36, Z1050&gt;23), "24-35", AND(Z1050&lt;51, Z1050&gt;35),"36-50", AND(Z1050&lt;66, Z1050&gt;50), "51-66", Z1050&gt;65, "66+", TRUE, "?")</f>
        <v>51-66</v>
      </c>
      <c r="AB1050" s="1">
        <v>2416</v>
      </c>
      <c r="AC1050" s="1">
        <v>0</v>
      </c>
      <c r="AD1050" s="1">
        <v>1</v>
      </c>
      <c r="AE1050" s="1">
        <v>0</v>
      </c>
      <c r="AF1050" s="1">
        <v>0</v>
      </c>
      <c r="AG1050" s="1">
        <v>0</v>
      </c>
      <c r="AH1050" s="1">
        <v>0</v>
      </c>
      <c r="AI1050" s="1">
        <v>1</v>
      </c>
      <c r="AJ1050" s="1">
        <v>0</v>
      </c>
      <c r="AK1050" s="1">
        <v>0</v>
      </c>
      <c r="AL1050" s="1">
        <v>298</v>
      </c>
      <c r="AM1050" s="2">
        <v>42433</v>
      </c>
      <c r="AN1050" t="str">
        <f t="shared" si="33"/>
        <v>51876,304,0.00586012799753258,0,0,88,99,27,102,28,48,6,1,2,2,8,1,0,0,0,0,0,0,0,62,51-66,2416,0,1,0,0,0,0,1,0,0,298,42433</v>
      </c>
    </row>
    <row r="1051" spans="1:40" ht="13" hidden="1" x14ac:dyDescent="0.15">
      <c r="A1051">
        <v>143</v>
      </c>
      <c r="B1051" s="1">
        <v>49967</v>
      </c>
      <c r="C1051" s="1">
        <v>303</v>
      </c>
      <c r="D1051" s="4">
        <f t="shared" si="32"/>
        <v>6.0640022414793762E-3</v>
      </c>
      <c r="E1051" s="1">
        <v>0</v>
      </c>
      <c r="F1051" s="1">
        <v>1</v>
      </c>
      <c r="G1051" s="1">
        <v>4</v>
      </c>
      <c r="H1051" s="1">
        <v>212</v>
      </c>
      <c r="I1051" s="1">
        <v>6</v>
      </c>
      <c r="J1051" s="1">
        <v>69</v>
      </c>
      <c r="K1051" s="1">
        <v>4</v>
      </c>
      <c r="L1051" s="1">
        <v>12</v>
      </c>
      <c r="M1051" s="1">
        <v>3</v>
      </c>
      <c r="N1051" s="1">
        <v>3</v>
      </c>
      <c r="O1051" s="1">
        <v>6</v>
      </c>
      <c r="P1051" s="1">
        <v>1</v>
      </c>
      <c r="Q1051" s="1">
        <v>5</v>
      </c>
      <c r="R1051" s="1">
        <v>7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62</v>
      </c>
      <c r="AA1051" s="1" t="str" cm="1">
        <f t="array" ref="AA1051">_xlfn.IFS(AND(Z1051&lt;36, Z1051&gt;23), "24-35", AND(Z1051&lt;51, Z1051&gt;35),"36-50", AND(Z1051&lt;66, Z1051&gt;50), "51-66", Z1051&gt;65, "66+", TRUE, "?")</f>
        <v>51-66</v>
      </c>
      <c r="AB1051" s="1">
        <v>2515</v>
      </c>
      <c r="AC1051" s="1">
        <v>0</v>
      </c>
      <c r="AD1051" s="1">
        <v>0</v>
      </c>
      <c r="AE1051" s="1">
        <v>1</v>
      </c>
      <c r="AF1051" s="1">
        <v>0</v>
      </c>
      <c r="AG1051" s="1">
        <v>0</v>
      </c>
      <c r="AH1051" s="1">
        <v>0</v>
      </c>
      <c r="AI1051" s="1">
        <v>1</v>
      </c>
      <c r="AJ1051" s="1">
        <v>0</v>
      </c>
      <c r="AK1051" s="1">
        <v>0</v>
      </c>
      <c r="AL1051" s="1">
        <v>300</v>
      </c>
      <c r="AM1051" s="2">
        <v>42334</v>
      </c>
      <c r="AN1051" t="str">
        <f t="shared" si="33"/>
        <v>49967,303,0.00606400224147938,0,1,4,212,6,69,4,12,3,3,6,1,5,7,0,0,0,0,0,0,0,62,51-66,2515,0,0,1,0,0,0,1,0,0,300,42334</v>
      </c>
    </row>
    <row r="1052" spans="1:40" ht="13" hidden="1" x14ac:dyDescent="0.15">
      <c r="A1052">
        <v>177</v>
      </c>
      <c r="B1052" s="1">
        <v>51148</v>
      </c>
      <c r="C1052" s="1">
        <v>303</v>
      </c>
      <c r="D1052" s="4">
        <f t="shared" si="32"/>
        <v>5.9239852975678424E-3</v>
      </c>
      <c r="E1052" s="1">
        <v>1</v>
      </c>
      <c r="F1052" s="1">
        <v>1</v>
      </c>
      <c r="G1052" s="1">
        <v>38</v>
      </c>
      <c r="H1052" s="1">
        <v>235</v>
      </c>
      <c r="I1052" s="1">
        <v>6</v>
      </c>
      <c r="J1052" s="1">
        <v>45</v>
      </c>
      <c r="K1052" s="1">
        <v>8</v>
      </c>
      <c r="L1052" s="1">
        <v>9</v>
      </c>
      <c r="M1052" s="1">
        <v>12</v>
      </c>
      <c r="N1052" s="1">
        <v>4</v>
      </c>
      <c r="O1052" s="1">
        <v>5</v>
      </c>
      <c r="P1052" s="1">
        <v>1</v>
      </c>
      <c r="Q1052" s="1">
        <v>6</v>
      </c>
      <c r="R1052" s="1">
        <v>6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47</v>
      </c>
      <c r="AA1052" s="1" t="str" cm="1">
        <f t="array" ref="AA1052">_xlfn.IFS(AND(Z1052&lt;36, Z1052&gt;23), "24-35", AND(Z1052&lt;51, Z1052&gt;35),"36-50", AND(Z1052&lt;66, Z1052&gt;50), "51-66", Z1052&gt;65, "66+", TRUE, "?")</f>
        <v>36-50</v>
      </c>
      <c r="AB1052" s="1">
        <v>2655</v>
      </c>
      <c r="AC1052" s="1">
        <v>0</v>
      </c>
      <c r="AD1052" s="1">
        <v>1</v>
      </c>
      <c r="AE1052" s="1">
        <v>0</v>
      </c>
      <c r="AF1052" s="1">
        <v>0</v>
      </c>
      <c r="AG1052" s="1">
        <v>0</v>
      </c>
      <c r="AH1052" s="1">
        <v>0</v>
      </c>
      <c r="AI1052" s="1">
        <v>1</v>
      </c>
      <c r="AJ1052" s="1">
        <v>0</v>
      </c>
      <c r="AK1052" s="1">
        <v>0</v>
      </c>
      <c r="AL1052" s="1">
        <v>291</v>
      </c>
      <c r="AM1052" s="2">
        <v>42194</v>
      </c>
      <c r="AN1052" t="str">
        <f t="shared" si="33"/>
        <v>51148,303,0.00592398529756784,1,1,38,235,6,45,8,9,12,4,5,1,6,6,0,0,0,0,0,0,0,47,36-50,2655,0,1,0,0,0,0,1,0,0,291,42194</v>
      </c>
    </row>
    <row r="1053" spans="1:40" ht="13" hidden="1" x14ac:dyDescent="0.15">
      <c r="A1053">
        <v>746</v>
      </c>
      <c r="B1053" s="1">
        <v>45183</v>
      </c>
      <c r="C1053" s="1">
        <v>303</v>
      </c>
      <c r="D1053" s="4">
        <f t="shared" si="32"/>
        <v>6.7060620144744707E-3</v>
      </c>
      <c r="E1053" s="1">
        <v>0</v>
      </c>
      <c r="F1053" s="1">
        <v>0</v>
      </c>
      <c r="G1053" s="1">
        <v>33</v>
      </c>
      <c r="H1053" s="1">
        <v>219</v>
      </c>
      <c r="I1053" s="1">
        <v>3</v>
      </c>
      <c r="J1053" s="1">
        <v>60</v>
      </c>
      <c r="K1053" s="1">
        <v>12</v>
      </c>
      <c r="L1053" s="1">
        <v>9</v>
      </c>
      <c r="M1053" s="1">
        <v>12</v>
      </c>
      <c r="N1053" s="1">
        <v>1</v>
      </c>
      <c r="O1053" s="1">
        <v>4</v>
      </c>
      <c r="P1053" s="1">
        <v>1</v>
      </c>
      <c r="Q1053" s="1">
        <v>7</v>
      </c>
      <c r="R1053" s="1">
        <v>7</v>
      </c>
      <c r="S1053" s="1">
        <v>0</v>
      </c>
      <c r="T1053" s="1">
        <v>0</v>
      </c>
      <c r="U1053" s="1">
        <v>0</v>
      </c>
      <c r="V1053" s="1">
        <v>1</v>
      </c>
      <c r="W1053" s="1">
        <v>0</v>
      </c>
      <c r="X1053" s="1">
        <v>0</v>
      </c>
      <c r="Y1053" s="1">
        <v>0</v>
      </c>
      <c r="Z1053" s="1">
        <v>58</v>
      </c>
      <c r="AA1053" s="1" t="str" cm="1">
        <f t="array" ref="AA1053">_xlfn.IFS(AND(Z1053&lt;36, Z1053&gt;23), "24-35", AND(Z1053&lt;51, Z1053&gt;35),"36-50", AND(Z1053&lt;66, Z1053&gt;50), "51-66", Z1053&gt;65, "66+", TRUE, "?")</f>
        <v>51-66</v>
      </c>
      <c r="AB1053" s="1">
        <v>2684</v>
      </c>
      <c r="AC1053" s="1">
        <v>0</v>
      </c>
      <c r="AD1053" s="1">
        <v>0</v>
      </c>
      <c r="AE1053" s="1">
        <v>1</v>
      </c>
      <c r="AF1053" s="1">
        <v>0</v>
      </c>
      <c r="AG1053" s="1">
        <v>0</v>
      </c>
      <c r="AH1053" s="1">
        <v>0</v>
      </c>
      <c r="AI1053" s="1">
        <v>0</v>
      </c>
      <c r="AJ1053" s="1">
        <v>1</v>
      </c>
      <c r="AK1053" s="1">
        <v>0</v>
      </c>
      <c r="AL1053" s="1">
        <v>291</v>
      </c>
      <c r="AM1053" s="2">
        <v>42165</v>
      </c>
      <c r="AN1053" t="str">
        <f t="shared" si="33"/>
        <v>45183,303,0.00670606201447447,0,0,33,219,3,60,12,9,12,1,4,1,7,7,0,0,0,1,0,0,0,58,51-66,2684,0,0,1,0,0,0,0,1,0,291,42165</v>
      </c>
    </row>
    <row r="1054" spans="1:40" ht="13" hidden="1" x14ac:dyDescent="0.15">
      <c r="A1054">
        <v>785</v>
      </c>
      <c r="B1054" s="1">
        <v>49494</v>
      </c>
      <c r="C1054" s="1">
        <v>303</v>
      </c>
      <c r="D1054" s="4">
        <f t="shared" si="32"/>
        <v>6.1219541762637898E-3</v>
      </c>
      <c r="E1054" s="1">
        <v>1</v>
      </c>
      <c r="F1054" s="1">
        <v>0</v>
      </c>
      <c r="G1054" s="1">
        <v>46</v>
      </c>
      <c r="H1054" s="1">
        <v>191</v>
      </c>
      <c r="I1054" s="1">
        <v>9</v>
      </c>
      <c r="J1054" s="1">
        <v>97</v>
      </c>
      <c r="K1054" s="1">
        <v>0</v>
      </c>
      <c r="L1054" s="1">
        <v>6</v>
      </c>
      <c r="M1054" s="1">
        <v>82</v>
      </c>
      <c r="N1054" s="1">
        <v>2</v>
      </c>
      <c r="O1054" s="1">
        <v>6</v>
      </c>
      <c r="P1054" s="1">
        <v>1</v>
      </c>
      <c r="Q1054" s="1">
        <v>5</v>
      </c>
      <c r="R1054" s="1">
        <v>7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48</v>
      </c>
      <c r="AA1054" s="1" t="str" cm="1">
        <f t="array" ref="AA1054">_xlfn.IFS(AND(Z1054&lt;36, Z1054&gt;23), "24-35", AND(Z1054&lt;51, Z1054&gt;35),"36-50", AND(Z1054&lt;66, Z1054&gt;50), "51-66", Z1054&gt;65, "66+", TRUE, "?")</f>
        <v>36-50</v>
      </c>
      <c r="AB1054" s="1">
        <v>2589</v>
      </c>
      <c r="AC1054" s="1">
        <v>0</v>
      </c>
      <c r="AD1054" s="1">
        <v>0</v>
      </c>
      <c r="AE1054" s="1">
        <v>1</v>
      </c>
      <c r="AF1054" s="1">
        <v>0</v>
      </c>
      <c r="AG1054" s="1">
        <v>0</v>
      </c>
      <c r="AH1054" s="1">
        <v>0</v>
      </c>
      <c r="AI1054" s="1">
        <v>0</v>
      </c>
      <c r="AJ1054" s="1">
        <v>1</v>
      </c>
      <c r="AK1054" s="1">
        <v>0</v>
      </c>
      <c r="AL1054" s="1">
        <v>221</v>
      </c>
      <c r="AM1054" s="2">
        <v>42260</v>
      </c>
      <c r="AN1054" t="str">
        <f t="shared" si="33"/>
        <v>49494,303,0.00612195417626379,1,0,46,191,9,97,0,6,82,2,6,1,5,7,0,0,0,0,0,0,0,48,36-50,2589,0,0,1,0,0,0,0,1,0,221,42260</v>
      </c>
    </row>
    <row r="1055" spans="1:40" ht="13" hidden="1" x14ac:dyDescent="0.15">
      <c r="A1055">
        <v>863</v>
      </c>
      <c r="B1055" s="1">
        <v>42607</v>
      </c>
      <c r="C1055" s="1">
        <v>303</v>
      </c>
      <c r="D1055" s="4">
        <f t="shared" si="32"/>
        <v>7.1115074987678079E-3</v>
      </c>
      <c r="E1055" s="1">
        <v>0</v>
      </c>
      <c r="F1055" s="1">
        <v>1</v>
      </c>
      <c r="G1055" s="1">
        <v>30</v>
      </c>
      <c r="H1055" s="1">
        <v>156</v>
      </c>
      <c r="I1055" s="1">
        <v>29</v>
      </c>
      <c r="J1055" s="1">
        <v>56</v>
      </c>
      <c r="K1055" s="1">
        <v>30</v>
      </c>
      <c r="L1055" s="1">
        <v>32</v>
      </c>
      <c r="M1055" s="1">
        <v>47</v>
      </c>
      <c r="N1055" s="1">
        <v>2</v>
      </c>
      <c r="O1055" s="1">
        <v>3</v>
      </c>
      <c r="P1055" s="1">
        <v>2</v>
      </c>
      <c r="Q1055" s="1">
        <v>7</v>
      </c>
      <c r="R1055" s="1">
        <v>3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66</v>
      </c>
      <c r="AA1055" s="1" t="str" cm="1">
        <f t="array" ref="AA1055">_xlfn.IFS(AND(Z1055&lt;36, Z1055&gt;23), "24-35", AND(Z1055&lt;51, Z1055&gt;35),"36-50", AND(Z1055&lt;66, Z1055&gt;50), "51-66", Z1055&gt;65, "66+", TRUE, "?")</f>
        <v>66+</v>
      </c>
      <c r="AB1055" s="1">
        <v>2383</v>
      </c>
      <c r="AC1055" s="1">
        <v>0</v>
      </c>
      <c r="AD1055" s="1">
        <v>0</v>
      </c>
      <c r="AE1055" s="1">
        <v>1</v>
      </c>
      <c r="AF1055" s="1">
        <v>0</v>
      </c>
      <c r="AG1055" s="1">
        <v>0</v>
      </c>
      <c r="AH1055" s="1">
        <v>1</v>
      </c>
      <c r="AI1055" s="1">
        <v>0</v>
      </c>
      <c r="AJ1055" s="1">
        <v>0</v>
      </c>
      <c r="AK1055" s="1">
        <v>0</v>
      </c>
      <c r="AL1055" s="1">
        <v>256</v>
      </c>
      <c r="AM1055" s="2">
        <v>42466</v>
      </c>
      <c r="AN1055" t="str">
        <f t="shared" si="33"/>
        <v>42607,303,0.00711150749876781,0,1,30,156,29,56,30,32,47,2,3,2,7,3,0,0,0,0,0,0,0,66,66+,2383,0,0,1,0,0,1,0,0,0,256,42466</v>
      </c>
    </row>
    <row r="1056" spans="1:40" ht="13" x14ac:dyDescent="0.15">
      <c r="A1056">
        <v>1513</v>
      </c>
      <c r="B1056" s="1">
        <v>34600</v>
      </c>
      <c r="C1056" s="1">
        <v>303</v>
      </c>
      <c r="D1056" s="4">
        <f t="shared" si="32"/>
        <v>8.7572254335260124E-3</v>
      </c>
      <c r="E1056" s="1">
        <v>1</v>
      </c>
      <c r="F1056" s="1">
        <v>1</v>
      </c>
      <c r="G1056" s="1">
        <v>8</v>
      </c>
      <c r="H1056" s="1">
        <v>199</v>
      </c>
      <c r="I1056" s="1">
        <v>33</v>
      </c>
      <c r="J1056" s="1">
        <v>60</v>
      </c>
      <c r="K1056" s="1">
        <v>8</v>
      </c>
      <c r="L1056" s="1">
        <v>3</v>
      </c>
      <c r="M1056" s="1">
        <v>15</v>
      </c>
      <c r="N1056" s="1">
        <v>5</v>
      </c>
      <c r="O1056" s="1">
        <v>5</v>
      </c>
      <c r="P1056" s="1">
        <v>2</v>
      </c>
      <c r="Q1056" s="1">
        <v>5</v>
      </c>
      <c r="R1056" s="1">
        <v>8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1</v>
      </c>
      <c r="Z1056" s="1">
        <v>49</v>
      </c>
      <c r="AA1056" s="1" t="str" cm="1">
        <f t="array" ref="AA1056">_xlfn.IFS(AND(Z1056&lt;36, Z1056&gt;23), "24-35", AND(Z1056&lt;51, Z1056&gt;35),"36-50", AND(Z1056&lt;66, Z1056&gt;50), "51-66", Z1056&gt;65, "66+", TRUE, "?")</f>
        <v>36-50</v>
      </c>
      <c r="AB1056" s="1">
        <v>2703</v>
      </c>
      <c r="AC1056" s="1">
        <v>0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1</v>
      </c>
      <c r="AJ1056" s="1">
        <v>0</v>
      </c>
      <c r="AK1056" s="1">
        <v>0</v>
      </c>
      <c r="AL1056" s="1">
        <v>288</v>
      </c>
      <c r="AM1056" s="2">
        <v>42146</v>
      </c>
      <c r="AN1056" t="str">
        <f t="shared" si="33"/>
        <v>34600,303,0.00875722543352601,1,1,8,199,33,60,8,3,15,5,5,2,5,8,0,0,0,0,0,0,1,49,36-50,2703,0,0,0,1,0,0,1,0,0,288,42146</v>
      </c>
    </row>
    <row r="1057" spans="1:40" ht="13" hidden="1" x14ac:dyDescent="0.15">
      <c r="A1057">
        <v>1056</v>
      </c>
      <c r="B1057" s="1">
        <v>46734</v>
      </c>
      <c r="C1057" s="1">
        <v>301</v>
      </c>
      <c r="D1057" s="4">
        <f t="shared" si="32"/>
        <v>6.4407069799289601E-3</v>
      </c>
      <c r="E1057" s="1">
        <v>0</v>
      </c>
      <c r="F1057" s="1">
        <v>1</v>
      </c>
      <c r="G1057" s="1">
        <v>40</v>
      </c>
      <c r="H1057" s="1">
        <v>110</v>
      </c>
      <c r="I1057" s="1">
        <v>5</v>
      </c>
      <c r="J1057" s="1">
        <v>137</v>
      </c>
      <c r="K1057" s="1">
        <v>26</v>
      </c>
      <c r="L1057" s="1">
        <v>23</v>
      </c>
      <c r="M1057" s="1">
        <v>29</v>
      </c>
      <c r="N1057" s="1">
        <v>2</v>
      </c>
      <c r="O1057" s="1">
        <v>6</v>
      </c>
      <c r="P1057" s="1">
        <v>1</v>
      </c>
      <c r="Q1057" s="1">
        <v>5</v>
      </c>
      <c r="R1057" s="1">
        <v>7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66</v>
      </c>
      <c r="AA1057" s="1" t="str" cm="1">
        <f t="array" ref="AA1057">_xlfn.IFS(AND(Z1057&lt;36, Z1057&gt;23), "24-35", AND(Z1057&lt;51, Z1057&gt;35),"36-50", AND(Z1057&lt;66, Z1057&gt;50), "51-66", Z1057&gt;65, "66+", TRUE, "?")</f>
        <v>66+</v>
      </c>
      <c r="AB1057" s="1">
        <v>2747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0</v>
      </c>
      <c r="AI1057" s="1">
        <v>1</v>
      </c>
      <c r="AJ1057" s="1">
        <v>0</v>
      </c>
      <c r="AK1057" s="1">
        <v>0</v>
      </c>
      <c r="AL1057" s="1">
        <v>272</v>
      </c>
      <c r="AM1057" s="2">
        <v>42102</v>
      </c>
      <c r="AN1057" t="str">
        <f t="shared" si="33"/>
        <v>46734,301,0.00644070697992896,0,1,40,110,5,137,26,23,29,2,6,1,5,7,0,0,0,0,0,0,0,66,66+,2747,0,1,0,0,0,0,1,0,0,272,42102</v>
      </c>
    </row>
    <row r="1058" spans="1:40" ht="13" hidden="1" x14ac:dyDescent="0.15">
      <c r="A1058">
        <v>491</v>
      </c>
      <c r="B1058" s="1">
        <v>42691</v>
      </c>
      <c r="C1058" s="1">
        <v>300</v>
      </c>
      <c r="D1058" s="4">
        <f t="shared" si="32"/>
        <v>7.0272422758895321E-3</v>
      </c>
      <c r="E1058" s="1">
        <v>0</v>
      </c>
      <c r="F1058" s="1">
        <v>0</v>
      </c>
      <c r="G1058" s="1">
        <v>48</v>
      </c>
      <c r="H1058" s="1">
        <v>179</v>
      </c>
      <c r="I1058" s="1">
        <v>2</v>
      </c>
      <c r="J1058" s="1">
        <v>64</v>
      </c>
      <c r="K1058" s="1">
        <v>38</v>
      </c>
      <c r="L1058" s="1">
        <v>17</v>
      </c>
      <c r="M1058" s="1">
        <v>58</v>
      </c>
      <c r="N1058" s="1">
        <v>1</v>
      </c>
      <c r="O1058" s="1">
        <v>5</v>
      </c>
      <c r="P1058" s="1">
        <v>1</v>
      </c>
      <c r="Q1058" s="1">
        <v>6</v>
      </c>
      <c r="R1058" s="1">
        <v>5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29</v>
      </c>
      <c r="AA1058" s="1" t="str" cm="1">
        <f t="array" ref="AA1058">_xlfn.IFS(AND(Z1058&lt;36, Z1058&gt;23), "24-35", AND(Z1058&lt;51, Z1058&gt;35),"36-50", AND(Z1058&lt;66, Z1058&gt;50), "51-66", Z1058&gt;65, "66+", TRUE, "?")</f>
        <v>24-35</v>
      </c>
      <c r="AB1058" s="1">
        <v>2476</v>
      </c>
      <c r="AC1058" s="1">
        <v>0</v>
      </c>
      <c r="AD1058" s="1">
        <v>1</v>
      </c>
      <c r="AE1058" s="1">
        <v>0</v>
      </c>
      <c r="AF1058" s="1">
        <v>0</v>
      </c>
      <c r="AG1058" s="1">
        <v>0</v>
      </c>
      <c r="AH1058" s="1">
        <v>0</v>
      </c>
      <c r="AI1058" s="1">
        <v>1</v>
      </c>
      <c r="AJ1058" s="1">
        <v>0</v>
      </c>
      <c r="AK1058" s="1">
        <v>0</v>
      </c>
      <c r="AL1058" s="1">
        <v>242</v>
      </c>
      <c r="AM1058" s="2">
        <v>42373</v>
      </c>
      <c r="AN1058" t="str">
        <f t="shared" si="33"/>
        <v>42691,300,0.00702724227588953,0,0,48,179,2,64,38,17,58,1,5,1,6,5,0,0,0,0,0,0,0,29,24-35,2476,0,1,0,0,0,0,1,0,0,242,42373</v>
      </c>
    </row>
    <row r="1059" spans="1:40" ht="13" hidden="1" x14ac:dyDescent="0.15">
      <c r="A1059">
        <v>583</v>
      </c>
      <c r="B1059" s="1">
        <v>30522</v>
      </c>
      <c r="C1059" s="1">
        <v>300</v>
      </c>
      <c r="D1059" s="4">
        <f t="shared" si="32"/>
        <v>9.8289758207194804E-3</v>
      </c>
      <c r="E1059" s="1">
        <v>0</v>
      </c>
      <c r="F1059" s="1">
        <v>1</v>
      </c>
      <c r="G1059" s="1">
        <v>6</v>
      </c>
      <c r="H1059" s="1">
        <v>179</v>
      </c>
      <c r="I1059" s="1">
        <v>8</v>
      </c>
      <c r="J1059" s="1">
        <v>83</v>
      </c>
      <c r="K1059" s="1">
        <v>19</v>
      </c>
      <c r="L1059" s="1">
        <v>11</v>
      </c>
      <c r="M1059" s="1">
        <v>26</v>
      </c>
      <c r="N1059" s="1">
        <v>5</v>
      </c>
      <c r="O1059" s="1">
        <v>1</v>
      </c>
      <c r="P1059" s="1">
        <v>2</v>
      </c>
      <c r="Q1059" s="1">
        <v>9</v>
      </c>
      <c r="R1059" s="1">
        <v>2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60</v>
      </c>
      <c r="AA1059" s="1" t="str" cm="1">
        <f t="array" ref="AA1059">_xlfn.IFS(AND(Z1059&lt;36, Z1059&gt;23), "24-35", AND(Z1059&lt;51, Z1059&gt;35),"36-50", AND(Z1059&lt;66, Z1059&gt;50), "51-66", Z1059&gt;65, "66+", TRUE, "?")</f>
        <v>51-66</v>
      </c>
      <c r="AB1059" s="1">
        <v>2840</v>
      </c>
      <c r="AC1059" s="1">
        <v>0</v>
      </c>
      <c r="AD1059" s="1">
        <v>1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1</v>
      </c>
      <c r="AK1059" s="1">
        <v>0</v>
      </c>
      <c r="AL1059" s="1">
        <v>274</v>
      </c>
      <c r="AM1059" s="2">
        <v>42009</v>
      </c>
      <c r="AN1059" t="str">
        <f t="shared" si="33"/>
        <v>30522,300,0.00982897582071948,0,1,6,179,8,83,19,11,26,5,1,2,9,2,0,0,0,0,0,0,0,60,51-66,2840,0,1,0,0,0,0,0,1,0,274,42009</v>
      </c>
    </row>
    <row r="1060" spans="1:40" ht="13" hidden="1" x14ac:dyDescent="0.15">
      <c r="A1060">
        <v>1956</v>
      </c>
      <c r="B1060" s="1">
        <v>62994</v>
      </c>
      <c r="C1060" s="1">
        <v>300</v>
      </c>
      <c r="D1060" s="4">
        <f t="shared" si="32"/>
        <v>4.7623583198399847E-3</v>
      </c>
      <c r="E1060" s="1">
        <v>1</v>
      </c>
      <c r="F1060" s="1">
        <v>0</v>
      </c>
      <c r="G1060" s="1">
        <v>74</v>
      </c>
      <c r="H1060" s="1">
        <v>224</v>
      </c>
      <c r="I1060" s="1">
        <v>12</v>
      </c>
      <c r="J1060" s="1">
        <v>48</v>
      </c>
      <c r="K1060" s="1">
        <v>4</v>
      </c>
      <c r="L1060" s="1">
        <v>12</v>
      </c>
      <c r="M1060" s="1">
        <v>12</v>
      </c>
      <c r="N1060" s="1">
        <v>1</v>
      </c>
      <c r="O1060" s="1">
        <v>6</v>
      </c>
      <c r="P1060" s="1">
        <v>2</v>
      </c>
      <c r="Q1060" s="1">
        <v>4</v>
      </c>
      <c r="R1060" s="1">
        <v>6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40</v>
      </c>
      <c r="AA1060" s="1" t="str" cm="1">
        <f t="array" ref="AA1060">_xlfn.IFS(AND(Z1060&lt;36, Z1060&gt;23), "24-35", AND(Z1060&lt;51, Z1060&gt;35),"36-50", AND(Z1060&lt;66, Z1060&gt;50), "51-66", Z1060&gt;65, "66+", TRUE, "?")</f>
        <v>36-50</v>
      </c>
      <c r="AB1060" s="1">
        <v>2276</v>
      </c>
      <c r="AC1060" s="1">
        <v>0</v>
      </c>
      <c r="AD1060" s="1">
        <v>0</v>
      </c>
      <c r="AE1060" s="1">
        <v>0</v>
      </c>
      <c r="AF1060" s="1">
        <v>1</v>
      </c>
      <c r="AG1060" s="1">
        <v>0</v>
      </c>
      <c r="AH1060" s="1">
        <v>0</v>
      </c>
      <c r="AI1060" s="1">
        <v>1</v>
      </c>
      <c r="AJ1060" s="1">
        <v>0</v>
      </c>
      <c r="AK1060" s="1">
        <v>0</v>
      </c>
      <c r="AL1060" s="1">
        <v>288</v>
      </c>
      <c r="AM1060" s="2">
        <v>42573</v>
      </c>
      <c r="AN1060" t="str">
        <f t="shared" si="33"/>
        <v>62994,300,0.00476235831983998,1,0,74,224,12,48,4,12,12,1,6,2,4,6,0,0,0,0,0,0,0,40,36-50,2276,0,0,0,1,0,0,1,0,0,288,42573</v>
      </c>
    </row>
    <row r="1061" spans="1:40" ht="13" hidden="1" x14ac:dyDescent="0.15">
      <c r="A1061">
        <v>1289</v>
      </c>
      <c r="B1061" s="1">
        <v>57420</v>
      </c>
      <c r="C1061" s="1">
        <v>298</v>
      </c>
      <c r="D1061" s="4">
        <f t="shared" si="32"/>
        <v>5.1898293277603622E-3</v>
      </c>
      <c r="E1061" s="1">
        <v>0</v>
      </c>
      <c r="F1061" s="1">
        <v>1</v>
      </c>
      <c r="G1061" s="1">
        <v>22</v>
      </c>
      <c r="H1061" s="1">
        <v>280</v>
      </c>
      <c r="I1061" s="1">
        <v>0</v>
      </c>
      <c r="J1061" s="1">
        <v>18</v>
      </c>
      <c r="K1061" s="1">
        <v>0</v>
      </c>
      <c r="L1061" s="1">
        <v>0</v>
      </c>
      <c r="M1061" s="1">
        <v>24</v>
      </c>
      <c r="N1061" s="1">
        <v>3</v>
      </c>
      <c r="O1061" s="1">
        <v>5</v>
      </c>
      <c r="P1061" s="1">
        <v>1</v>
      </c>
      <c r="Q1061" s="1">
        <v>6</v>
      </c>
      <c r="R1061" s="1">
        <v>7</v>
      </c>
      <c r="S1061" s="1">
        <v>0</v>
      </c>
      <c r="T1061" s="1">
        <v>0</v>
      </c>
      <c r="U1061" s="1">
        <v>0</v>
      </c>
      <c r="V1061" s="1">
        <v>1</v>
      </c>
      <c r="W1061" s="1">
        <v>0</v>
      </c>
      <c r="X1061" s="1">
        <v>0</v>
      </c>
      <c r="Y1061" s="1">
        <v>0</v>
      </c>
      <c r="Z1061" s="1">
        <v>49</v>
      </c>
      <c r="AA1061" s="1" t="str" cm="1">
        <f t="array" ref="AA1061">_xlfn.IFS(AND(Z1061&lt;36, Z1061&gt;23), "24-35", AND(Z1061&lt;51, Z1061&gt;35),"36-50", AND(Z1061&lt;66, Z1061&gt;50), "51-66", Z1061&gt;65, "66+", TRUE, "?")</f>
        <v>36-50</v>
      </c>
      <c r="AB1061" s="1">
        <v>2528</v>
      </c>
      <c r="AC1061" s="1">
        <v>0</v>
      </c>
      <c r="AD1061" s="1">
        <v>0</v>
      </c>
      <c r="AE1061" s="1">
        <v>0</v>
      </c>
      <c r="AF1061" s="1">
        <v>1</v>
      </c>
      <c r="AG1061" s="1">
        <v>0</v>
      </c>
      <c r="AH1061" s="1">
        <v>0</v>
      </c>
      <c r="AI1061" s="1">
        <v>0</v>
      </c>
      <c r="AJ1061" s="1">
        <v>1</v>
      </c>
      <c r="AK1061" s="1">
        <v>0</v>
      </c>
      <c r="AL1061" s="1">
        <v>274</v>
      </c>
      <c r="AM1061" s="2">
        <v>42321</v>
      </c>
      <c r="AN1061" t="str">
        <f t="shared" si="33"/>
        <v>57420,298,0.00518982932776036,0,1,22,280,0,18,0,0,24,3,5,1,6,7,0,0,0,1,0,0,0,49,36-50,2528,0,0,0,1,0,0,0,1,0,274,42321</v>
      </c>
    </row>
    <row r="1062" spans="1:40" ht="13" hidden="1" x14ac:dyDescent="0.15">
      <c r="A1062">
        <v>838</v>
      </c>
      <c r="B1062" s="1">
        <v>51390</v>
      </c>
      <c r="C1062" s="1">
        <v>297</v>
      </c>
      <c r="D1062" s="4">
        <f t="shared" si="32"/>
        <v>5.7793345008756566E-3</v>
      </c>
      <c r="E1062" s="1">
        <v>1</v>
      </c>
      <c r="F1062" s="1">
        <v>1</v>
      </c>
      <c r="G1062" s="1">
        <v>54</v>
      </c>
      <c r="H1062" s="1">
        <v>205</v>
      </c>
      <c r="I1062" s="1">
        <v>20</v>
      </c>
      <c r="J1062" s="1">
        <v>47</v>
      </c>
      <c r="K1062" s="1">
        <v>23</v>
      </c>
      <c r="L1062" s="1">
        <v>2</v>
      </c>
      <c r="M1062" s="1">
        <v>56</v>
      </c>
      <c r="N1062" s="1">
        <v>6</v>
      </c>
      <c r="O1062" s="1">
        <v>5</v>
      </c>
      <c r="P1062" s="1">
        <v>2</v>
      </c>
      <c r="Q1062" s="1">
        <v>5</v>
      </c>
      <c r="R1062" s="1">
        <v>5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55</v>
      </c>
      <c r="AA1062" s="1" t="str" cm="1">
        <f t="array" ref="AA1062">_xlfn.IFS(AND(Z1062&lt;36, Z1062&gt;23), "24-35", AND(Z1062&lt;51, Z1062&gt;35),"36-50", AND(Z1062&lt;66, Z1062&gt;50), "51-66", Z1062&gt;65, "66+", TRUE, "?")</f>
        <v>51-66</v>
      </c>
      <c r="AB1062" s="1">
        <v>2818</v>
      </c>
      <c r="AC1062" s="1">
        <v>0</v>
      </c>
      <c r="AD1062" s="1">
        <v>0</v>
      </c>
      <c r="AE1062" s="1">
        <v>0</v>
      </c>
      <c r="AF1062" s="1">
        <v>0</v>
      </c>
      <c r="AG1062" s="1">
        <v>1</v>
      </c>
      <c r="AH1062" s="1">
        <v>0</v>
      </c>
      <c r="AI1062" s="1">
        <v>0</v>
      </c>
      <c r="AJ1062" s="1">
        <v>1</v>
      </c>
      <c r="AK1062" s="1">
        <v>0</v>
      </c>
      <c r="AL1062" s="1">
        <v>241</v>
      </c>
      <c r="AM1062" s="2">
        <v>42031</v>
      </c>
      <c r="AN1062" t="str">
        <f t="shared" si="33"/>
        <v>51390,297,0.00577933450087566,1,1,54,205,20,47,23,2,56,6,5,2,5,5,0,0,0,0,0,0,0,55,51-66,2818,0,0,0,0,1,0,0,1,0,241,42031</v>
      </c>
    </row>
    <row r="1063" spans="1:40" ht="13" hidden="1" x14ac:dyDescent="0.15">
      <c r="A1063">
        <v>1067</v>
      </c>
      <c r="B1063" s="1">
        <v>49669</v>
      </c>
      <c r="C1063" s="1">
        <v>297</v>
      </c>
      <c r="D1063" s="4">
        <f t="shared" si="32"/>
        <v>5.979584851718376E-3</v>
      </c>
      <c r="E1063" s="1">
        <v>1</v>
      </c>
      <c r="F1063" s="1">
        <v>0</v>
      </c>
      <c r="G1063" s="1">
        <v>97</v>
      </c>
      <c r="H1063" s="1">
        <v>166</v>
      </c>
      <c r="I1063" s="1">
        <v>5</v>
      </c>
      <c r="J1063" s="1">
        <v>107</v>
      </c>
      <c r="K1063" s="1">
        <v>11</v>
      </c>
      <c r="L1063" s="1">
        <v>8</v>
      </c>
      <c r="M1063" s="1">
        <v>29</v>
      </c>
      <c r="N1063" s="1">
        <v>2</v>
      </c>
      <c r="O1063" s="1">
        <v>5</v>
      </c>
      <c r="P1063" s="1">
        <v>1</v>
      </c>
      <c r="Q1063" s="1">
        <v>6</v>
      </c>
      <c r="R1063" s="1">
        <v>6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46</v>
      </c>
      <c r="AA1063" s="1" t="str" cm="1">
        <f t="array" ref="AA1063">_xlfn.IFS(AND(Z1063&lt;36, Z1063&gt;23), "24-35", AND(Z1063&lt;51, Z1063&gt;35),"36-50", AND(Z1063&lt;66, Z1063&gt;50), "51-66", Z1063&gt;65, "66+", TRUE, "?")</f>
        <v>36-50</v>
      </c>
      <c r="AB1063" s="1">
        <v>2195</v>
      </c>
      <c r="AC1063" s="1">
        <v>0</v>
      </c>
      <c r="AD1063" s="1">
        <v>0</v>
      </c>
      <c r="AE1063" s="1">
        <v>0</v>
      </c>
      <c r="AF1063" s="1">
        <v>1</v>
      </c>
      <c r="AG1063" s="1">
        <v>0</v>
      </c>
      <c r="AH1063" s="1">
        <v>1</v>
      </c>
      <c r="AI1063" s="1">
        <v>0</v>
      </c>
      <c r="AJ1063" s="1">
        <v>0</v>
      </c>
      <c r="AK1063" s="1">
        <v>0</v>
      </c>
      <c r="AL1063" s="1">
        <v>268</v>
      </c>
      <c r="AM1063" s="2">
        <v>42654</v>
      </c>
      <c r="AN1063" t="str">
        <f t="shared" si="33"/>
        <v>49669,297,0.00597958485171838,1,0,97,166,5,107,11,8,29,2,5,1,6,6,0,0,0,0,0,0,0,46,36-50,2195,0,0,0,1,0,1,0,0,0,268,42654</v>
      </c>
    </row>
    <row r="1064" spans="1:40" ht="13" hidden="1" x14ac:dyDescent="0.15">
      <c r="A1064">
        <v>1229</v>
      </c>
      <c r="B1064" s="1">
        <v>45143</v>
      </c>
      <c r="C1064" s="1">
        <v>297</v>
      </c>
      <c r="D1064" s="4">
        <f t="shared" si="32"/>
        <v>6.5790931041357463E-3</v>
      </c>
      <c r="E1064" s="1">
        <v>0</v>
      </c>
      <c r="F1064" s="1">
        <v>1</v>
      </c>
      <c r="G1064" s="1">
        <v>74</v>
      </c>
      <c r="H1064" s="1">
        <v>202</v>
      </c>
      <c r="I1064" s="1">
        <v>5</v>
      </c>
      <c r="J1064" s="1">
        <v>74</v>
      </c>
      <c r="K1064" s="1">
        <v>11</v>
      </c>
      <c r="L1064" s="1">
        <v>5</v>
      </c>
      <c r="M1064" s="1">
        <v>14</v>
      </c>
      <c r="N1064" s="1">
        <v>3</v>
      </c>
      <c r="O1064" s="1">
        <v>6</v>
      </c>
      <c r="P1064" s="1">
        <v>1</v>
      </c>
      <c r="Q1064" s="1">
        <v>5</v>
      </c>
      <c r="R1064" s="1">
        <v>7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55</v>
      </c>
      <c r="AA1064" s="1" t="str" cm="1">
        <f t="array" ref="AA1064">_xlfn.IFS(AND(Z1064&lt;36, Z1064&gt;23), "24-35", AND(Z1064&lt;51, Z1064&gt;35),"36-50", AND(Z1064&lt;66, Z1064&gt;50), "51-66", Z1064&gt;65, "66+", TRUE, "?")</f>
        <v>51-66</v>
      </c>
      <c r="AB1064" s="1">
        <v>2466</v>
      </c>
      <c r="AC1064" s="1">
        <v>0</v>
      </c>
      <c r="AD1064" s="1">
        <v>0</v>
      </c>
      <c r="AE1064" s="1">
        <v>0</v>
      </c>
      <c r="AF1064" s="1">
        <v>1</v>
      </c>
      <c r="AG1064" s="1">
        <v>0</v>
      </c>
      <c r="AH1064" s="1">
        <v>0</v>
      </c>
      <c r="AI1064" s="1">
        <v>0</v>
      </c>
      <c r="AJ1064" s="1">
        <v>1</v>
      </c>
      <c r="AK1064" s="1">
        <v>0</v>
      </c>
      <c r="AL1064" s="1">
        <v>283</v>
      </c>
      <c r="AM1064" s="2">
        <v>42383</v>
      </c>
      <c r="AN1064" t="str">
        <f t="shared" si="33"/>
        <v>45143,297,0.00657909310413575,0,1,74,202,5,74,11,5,14,3,6,1,5,7,0,0,0,0,0,0,0,55,51-66,2466,0,0,0,1,0,0,0,1,0,283,42383</v>
      </c>
    </row>
    <row r="1065" spans="1:40" ht="13" x14ac:dyDescent="0.15">
      <c r="A1065">
        <v>1516</v>
      </c>
      <c r="B1065" s="1">
        <v>37774</v>
      </c>
      <c r="C1065" s="1">
        <v>297</v>
      </c>
      <c r="D1065" s="4">
        <f t="shared" si="32"/>
        <v>7.8625509609784507E-3</v>
      </c>
      <c r="E1065" s="1">
        <v>2</v>
      </c>
      <c r="F1065" s="1">
        <v>0</v>
      </c>
      <c r="G1065" s="1">
        <v>28</v>
      </c>
      <c r="H1065" s="1">
        <v>173</v>
      </c>
      <c r="I1065" s="1">
        <v>8</v>
      </c>
      <c r="J1065" s="1">
        <v>107</v>
      </c>
      <c r="K1065" s="1">
        <v>7</v>
      </c>
      <c r="L1065" s="1">
        <v>2</v>
      </c>
      <c r="M1065" s="1">
        <v>176</v>
      </c>
      <c r="N1065" s="1">
        <v>4</v>
      </c>
      <c r="O1065" s="1">
        <v>7</v>
      </c>
      <c r="P1065" s="1">
        <v>2</v>
      </c>
      <c r="Q1065" s="1">
        <v>3</v>
      </c>
      <c r="R1065" s="1">
        <v>9</v>
      </c>
      <c r="S1065" s="1">
        <v>0</v>
      </c>
      <c r="T1065" s="1">
        <v>0</v>
      </c>
      <c r="U1065" s="1">
        <v>1</v>
      </c>
      <c r="V1065" s="1">
        <v>0</v>
      </c>
      <c r="W1065" s="1">
        <v>0</v>
      </c>
      <c r="X1065" s="1">
        <v>1</v>
      </c>
      <c r="Y1065" s="1">
        <v>1</v>
      </c>
      <c r="Z1065" s="1">
        <v>43</v>
      </c>
      <c r="AA1065" s="1" t="str" cm="1">
        <f t="array" ref="AA1065">_xlfn.IFS(AND(Z1065&lt;36, Z1065&gt;23), "24-35", AND(Z1065&lt;51, Z1065&gt;35),"36-50", AND(Z1065&lt;66, Z1065&gt;50), "51-66", Z1065&gt;65, "66+", TRUE, "?")</f>
        <v>36-50</v>
      </c>
      <c r="AB1065" s="1">
        <v>2823</v>
      </c>
      <c r="AC1065" s="1">
        <v>0</v>
      </c>
      <c r="AD1065" s="1">
        <v>0</v>
      </c>
      <c r="AE1065" s="1">
        <v>1</v>
      </c>
      <c r="AF1065" s="1">
        <v>0</v>
      </c>
      <c r="AG1065" s="1">
        <v>0</v>
      </c>
      <c r="AH1065" s="1">
        <v>0</v>
      </c>
      <c r="AI1065" s="1">
        <v>1</v>
      </c>
      <c r="AJ1065" s="1">
        <v>0</v>
      </c>
      <c r="AK1065" s="1">
        <v>0</v>
      </c>
      <c r="AL1065" s="1">
        <v>121</v>
      </c>
      <c r="AM1065" s="2">
        <v>42026</v>
      </c>
      <c r="AN1065" t="str">
        <f t="shared" si="33"/>
        <v>37774,297,0.00786255096097845,2,0,28,173,8,107,7,2,176,4,7,2,3,9,0,0,1,0,0,1,1,43,36-50,2823,0,0,1,0,0,0,1,0,0,121,42026</v>
      </c>
    </row>
    <row r="1066" spans="1:40" ht="13" hidden="1" x14ac:dyDescent="0.15">
      <c r="A1066">
        <v>1735</v>
      </c>
      <c r="B1066" s="1">
        <v>45688</v>
      </c>
      <c r="C1066" s="1">
        <v>297</v>
      </c>
      <c r="D1066" s="4">
        <f t="shared" si="32"/>
        <v>6.500612852390124E-3</v>
      </c>
      <c r="E1066" s="1">
        <v>0</v>
      </c>
      <c r="F1066" s="1">
        <v>1</v>
      </c>
      <c r="G1066" s="1">
        <v>20</v>
      </c>
      <c r="H1066" s="1">
        <v>279</v>
      </c>
      <c r="I1066" s="1">
        <v>0</v>
      </c>
      <c r="J1066" s="1">
        <v>18</v>
      </c>
      <c r="K1066" s="1">
        <v>0</v>
      </c>
      <c r="L1066" s="1">
        <v>0</v>
      </c>
      <c r="M1066" s="1">
        <v>9</v>
      </c>
      <c r="N1066" s="1">
        <v>2</v>
      </c>
      <c r="O1066" s="1">
        <v>3</v>
      </c>
      <c r="P1066" s="1">
        <v>1</v>
      </c>
      <c r="Q1066" s="1">
        <v>8</v>
      </c>
      <c r="R1066" s="1">
        <v>4</v>
      </c>
      <c r="S1066" s="1">
        <v>0</v>
      </c>
      <c r="T1066" s="1">
        <v>0</v>
      </c>
      <c r="U1066" s="1">
        <v>0</v>
      </c>
      <c r="V1066" s="1">
        <v>1</v>
      </c>
      <c r="W1066" s="1">
        <v>0</v>
      </c>
      <c r="X1066" s="1">
        <v>0</v>
      </c>
      <c r="Y1066" s="1">
        <v>0</v>
      </c>
      <c r="Z1066" s="1">
        <v>52</v>
      </c>
      <c r="AA1066" s="1" t="str" cm="1">
        <f t="array" ref="AA1066">_xlfn.IFS(AND(Z1066&lt;36, Z1066&gt;23), "24-35", AND(Z1066&lt;51, Z1066&gt;35),"36-50", AND(Z1066&lt;66, Z1066&gt;50), "51-66", Z1066&gt;65, "66+", TRUE, "?")</f>
        <v>51-66</v>
      </c>
      <c r="AB1066" s="1">
        <v>2314</v>
      </c>
      <c r="AC1066" s="1">
        <v>0</v>
      </c>
      <c r="AD1066" s="1">
        <v>1</v>
      </c>
      <c r="AE1066" s="1">
        <v>0</v>
      </c>
      <c r="AF1066" s="1">
        <v>0</v>
      </c>
      <c r="AG1066" s="1">
        <v>0</v>
      </c>
      <c r="AH1066" s="1">
        <v>0</v>
      </c>
      <c r="AI1066" s="1">
        <v>1</v>
      </c>
      <c r="AJ1066" s="1">
        <v>0</v>
      </c>
      <c r="AK1066" s="1">
        <v>0</v>
      </c>
      <c r="AL1066" s="1">
        <v>288</v>
      </c>
      <c r="AM1066" s="2">
        <v>42535</v>
      </c>
      <c r="AN1066" t="str">
        <f t="shared" si="33"/>
        <v>45688,297,0.00650061285239012,0,1,20,279,0,18,0,0,9,2,3,1,8,4,0,0,0,1,0,0,0,52,51-66,2314,0,1,0,0,0,0,1,0,0,288,42535</v>
      </c>
    </row>
    <row r="1067" spans="1:40" ht="13" hidden="1" x14ac:dyDescent="0.15">
      <c r="A1067">
        <v>13</v>
      </c>
      <c r="B1067" s="1">
        <v>59354</v>
      </c>
      <c r="C1067" s="1">
        <v>296</v>
      </c>
      <c r="D1067" s="4">
        <f t="shared" si="32"/>
        <v>4.9870269905987804E-3</v>
      </c>
      <c r="E1067" s="1">
        <v>1</v>
      </c>
      <c r="F1067" s="1">
        <v>1</v>
      </c>
      <c r="G1067" s="1">
        <v>53</v>
      </c>
      <c r="H1067" s="1">
        <v>233</v>
      </c>
      <c r="I1067" s="1">
        <v>2</v>
      </c>
      <c r="J1067" s="1">
        <v>53</v>
      </c>
      <c r="K1067" s="1">
        <v>3</v>
      </c>
      <c r="L1067" s="1">
        <v>5</v>
      </c>
      <c r="M1067" s="1">
        <v>14</v>
      </c>
      <c r="N1067" s="1">
        <v>3</v>
      </c>
      <c r="O1067" s="1">
        <v>6</v>
      </c>
      <c r="P1067" s="1">
        <v>1</v>
      </c>
      <c r="Q1067" s="1">
        <v>5</v>
      </c>
      <c r="R1067" s="1">
        <v>6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68</v>
      </c>
      <c r="AA1067" s="1" t="str" cm="1">
        <f t="array" ref="AA1067">_xlfn.IFS(AND(Z1067&lt;36, Z1067&gt;23), "24-35", AND(Z1067&lt;51, Z1067&gt;35),"36-50", AND(Z1067&lt;66, Z1067&gt;50), "51-66", Z1067&gt;65, "66+", TRUE, "?")</f>
        <v>66+</v>
      </c>
      <c r="AB1067" s="1">
        <v>2385</v>
      </c>
      <c r="AC1067" s="1">
        <v>1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1</v>
      </c>
      <c r="AK1067" s="1">
        <v>0</v>
      </c>
      <c r="AL1067" s="1">
        <v>282</v>
      </c>
      <c r="AM1067" s="2">
        <v>42464</v>
      </c>
      <c r="AN1067" t="str">
        <f t="shared" si="33"/>
        <v>59354,296,0.00498702699059878,1,1,53,233,2,53,3,5,14,3,6,1,5,6,0,0,0,0,0,0,0,68,66+,2385,1,0,0,0,0,0,0,1,0,282,42464</v>
      </c>
    </row>
    <row r="1068" spans="1:40" ht="13" hidden="1" x14ac:dyDescent="0.15">
      <c r="A1068">
        <v>461</v>
      </c>
      <c r="B1068" s="1">
        <v>46310</v>
      </c>
      <c r="C1068" s="1">
        <v>295</v>
      </c>
      <c r="D1068" s="4">
        <f t="shared" si="32"/>
        <v>6.3701144461239473E-3</v>
      </c>
      <c r="E1068" s="1">
        <v>1</v>
      </c>
      <c r="F1068" s="1">
        <v>0</v>
      </c>
      <c r="G1068" s="1">
        <v>99</v>
      </c>
      <c r="H1068" s="1">
        <v>185</v>
      </c>
      <c r="I1068" s="1">
        <v>2</v>
      </c>
      <c r="J1068" s="1">
        <v>88</v>
      </c>
      <c r="K1068" s="1">
        <v>15</v>
      </c>
      <c r="L1068" s="1">
        <v>5</v>
      </c>
      <c r="M1068" s="1">
        <v>14</v>
      </c>
      <c r="N1068" s="1">
        <v>2</v>
      </c>
      <c r="O1068" s="1">
        <v>6</v>
      </c>
      <c r="P1068" s="1">
        <v>1</v>
      </c>
      <c r="Q1068" s="1">
        <v>5</v>
      </c>
      <c r="R1068" s="1">
        <v>8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44</v>
      </c>
      <c r="AA1068" s="1" t="str" cm="1">
        <f t="array" ref="AA1068">_xlfn.IFS(AND(Z1068&lt;36, Z1068&gt;23), "24-35", AND(Z1068&lt;51, Z1068&gt;35),"36-50", AND(Z1068&lt;66, Z1068&gt;50), "51-66", Z1068&gt;65, "66+", TRUE, "?")</f>
        <v>36-50</v>
      </c>
      <c r="AB1068" s="1">
        <v>2732</v>
      </c>
      <c r="AC1068" s="1">
        <v>1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1</v>
      </c>
      <c r="AJ1068" s="1">
        <v>0</v>
      </c>
      <c r="AK1068" s="1">
        <v>0</v>
      </c>
      <c r="AL1068" s="1">
        <v>281</v>
      </c>
      <c r="AM1068" s="2">
        <v>42117</v>
      </c>
      <c r="AN1068" t="str">
        <f t="shared" si="33"/>
        <v>46310,295,0.00637011444612395,1,0,99,185,2,88,15,5,14,2,6,1,5,8,0,0,0,0,0,0,0,44,36-50,2732,1,0,0,0,0,0,1,0,0,281,42117</v>
      </c>
    </row>
    <row r="1069" spans="1:40" ht="13" hidden="1" x14ac:dyDescent="0.15">
      <c r="A1069">
        <v>1070</v>
      </c>
      <c r="B1069" s="1">
        <v>49678</v>
      </c>
      <c r="C1069" s="1">
        <v>295</v>
      </c>
      <c r="D1069" s="4">
        <f t="shared" si="32"/>
        <v>5.9382422802850355E-3</v>
      </c>
      <c r="E1069" s="1">
        <v>0</v>
      </c>
      <c r="F1069" s="1">
        <v>1</v>
      </c>
      <c r="G1069" s="1">
        <v>81</v>
      </c>
      <c r="H1069" s="1">
        <v>229</v>
      </c>
      <c r="I1069" s="1">
        <v>5</v>
      </c>
      <c r="J1069" s="1">
        <v>56</v>
      </c>
      <c r="K1069" s="1">
        <v>3</v>
      </c>
      <c r="L1069" s="1">
        <v>2</v>
      </c>
      <c r="M1069" s="1">
        <v>20</v>
      </c>
      <c r="N1069" s="1">
        <v>2</v>
      </c>
      <c r="O1069" s="1">
        <v>6</v>
      </c>
      <c r="P1069" s="1">
        <v>2</v>
      </c>
      <c r="Q1069" s="1">
        <v>4</v>
      </c>
      <c r="R1069" s="1">
        <v>7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59</v>
      </c>
      <c r="AA1069" s="1" t="str" cm="1">
        <f t="array" ref="AA1069">_xlfn.IFS(AND(Z1069&lt;36, Z1069&gt;23), "24-35", AND(Z1069&lt;51, Z1069&gt;35),"36-50", AND(Z1069&lt;66, Z1069&gt;50), "51-66", Z1069&gt;65, "66+", TRUE, "?")</f>
        <v>51-66</v>
      </c>
      <c r="AB1069" s="1">
        <v>2671</v>
      </c>
      <c r="AC1069" s="1">
        <v>0</v>
      </c>
      <c r="AD1069" s="1">
        <v>1</v>
      </c>
      <c r="AE1069" s="1">
        <v>0</v>
      </c>
      <c r="AF1069" s="1">
        <v>0</v>
      </c>
      <c r="AG1069" s="1">
        <v>0</v>
      </c>
      <c r="AH1069" s="1">
        <v>0</v>
      </c>
      <c r="AI1069" s="1">
        <v>1</v>
      </c>
      <c r="AJ1069" s="1">
        <v>0</v>
      </c>
      <c r="AK1069" s="1">
        <v>0</v>
      </c>
      <c r="AL1069" s="1">
        <v>275</v>
      </c>
      <c r="AM1069" s="2">
        <v>42178</v>
      </c>
      <c r="AN1069" t="str">
        <f t="shared" si="33"/>
        <v>49678,295,0.00593824228028504,0,1,81,229,5,56,3,2,20,2,6,2,4,7,0,0,0,0,0,0,0,59,51-66,2671,0,1,0,0,0,0,1,0,0,275,42178</v>
      </c>
    </row>
    <row r="1070" spans="1:40" ht="13" hidden="1" x14ac:dyDescent="0.15">
      <c r="A1070">
        <v>1945</v>
      </c>
      <c r="B1070" s="1">
        <v>63516</v>
      </c>
      <c r="C1070" s="1">
        <v>295</v>
      </c>
      <c r="D1070" s="4">
        <f t="shared" si="32"/>
        <v>4.644499023868002E-3</v>
      </c>
      <c r="E1070" s="1">
        <v>1</v>
      </c>
      <c r="F1070" s="1">
        <v>1</v>
      </c>
      <c r="G1070" s="1">
        <v>30</v>
      </c>
      <c r="H1070" s="1">
        <v>141</v>
      </c>
      <c r="I1070" s="1">
        <v>11</v>
      </c>
      <c r="J1070" s="1">
        <v>114</v>
      </c>
      <c r="K1070" s="1">
        <v>15</v>
      </c>
      <c r="L1070" s="1">
        <v>14</v>
      </c>
      <c r="M1070" s="1">
        <v>5</v>
      </c>
      <c r="N1070" s="1">
        <v>4</v>
      </c>
      <c r="O1070" s="1">
        <v>4</v>
      </c>
      <c r="P1070" s="1">
        <v>1</v>
      </c>
      <c r="Q1070" s="1">
        <v>7</v>
      </c>
      <c r="R1070" s="1">
        <v>5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47</v>
      </c>
      <c r="AA1070" s="1" t="str" cm="1">
        <f t="array" ref="AA1070">_xlfn.IFS(AND(Z1070&lt;36, Z1070&gt;23), "24-35", AND(Z1070&lt;51, Z1070&gt;35),"36-50", AND(Z1070&lt;66, Z1070&gt;50), "51-66", Z1070&gt;65, "66+", TRUE, "?")</f>
        <v>36-50</v>
      </c>
      <c r="AB1070" s="1">
        <v>2517</v>
      </c>
      <c r="AC1070" s="1">
        <v>0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0</v>
      </c>
      <c r="AJ1070" s="1">
        <v>0</v>
      </c>
      <c r="AK1070" s="1">
        <v>1</v>
      </c>
      <c r="AL1070" s="1">
        <v>290</v>
      </c>
      <c r="AM1070" s="2">
        <v>42332</v>
      </c>
      <c r="AN1070" t="str">
        <f t="shared" si="33"/>
        <v>63516,295,0.004644499023868,1,1,30,141,11,114,15,14,5,4,4,1,7,5,0,0,0,0,0,0,0,47,36-50,2517,0,0,0,1,0,0,0,0,1,290,42332</v>
      </c>
    </row>
    <row r="1071" spans="1:40" ht="13" hidden="1" x14ac:dyDescent="0.15">
      <c r="A1071">
        <v>1487</v>
      </c>
      <c r="B1071" s="1">
        <v>57100</v>
      </c>
      <c r="C1071" s="1">
        <v>294</v>
      </c>
      <c r="D1071" s="4">
        <f t="shared" si="32"/>
        <v>5.1488616462346763E-3</v>
      </c>
      <c r="E1071" s="1">
        <v>1</v>
      </c>
      <c r="F1071" s="1">
        <v>0</v>
      </c>
      <c r="G1071" s="1">
        <v>9</v>
      </c>
      <c r="H1071" s="1">
        <v>158</v>
      </c>
      <c r="I1071" s="1">
        <v>11</v>
      </c>
      <c r="J1071" s="1">
        <v>99</v>
      </c>
      <c r="K1071" s="1">
        <v>15</v>
      </c>
      <c r="L1071" s="1">
        <v>11</v>
      </c>
      <c r="M1071" s="1">
        <v>17</v>
      </c>
      <c r="N1071" s="1">
        <v>2</v>
      </c>
      <c r="O1071" s="1">
        <v>3</v>
      </c>
      <c r="P1071" s="1">
        <v>2</v>
      </c>
      <c r="Q1071" s="1">
        <v>7</v>
      </c>
      <c r="R1071" s="1">
        <v>3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33</v>
      </c>
      <c r="AA1071" s="1" t="str" cm="1">
        <f t="array" ref="AA1071">_xlfn.IFS(AND(Z1071&lt;36, Z1071&gt;23), "24-35", AND(Z1071&lt;51, Z1071&gt;35),"36-50", AND(Z1071&lt;66, Z1071&gt;50), "51-66", Z1071&gt;65, "66+", TRUE, "?")</f>
        <v>24-35</v>
      </c>
      <c r="AB1071" s="1">
        <v>2201</v>
      </c>
      <c r="AC1071" s="1">
        <v>0</v>
      </c>
      <c r="AD1071" s="1">
        <v>0</v>
      </c>
      <c r="AE1071" s="1">
        <v>1</v>
      </c>
      <c r="AF1071" s="1">
        <v>0</v>
      </c>
      <c r="AG1071" s="1">
        <v>0</v>
      </c>
      <c r="AH1071" s="1">
        <v>0</v>
      </c>
      <c r="AI1071" s="1">
        <v>1</v>
      </c>
      <c r="AJ1071" s="1">
        <v>0</v>
      </c>
      <c r="AK1071" s="1">
        <v>0</v>
      </c>
      <c r="AL1071" s="1">
        <v>277</v>
      </c>
      <c r="AM1071" s="2">
        <v>42648</v>
      </c>
      <c r="AN1071" t="str">
        <f t="shared" si="33"/>
        <v>57100,294,0.00514886164623468,1,0,9,158,11,99,15,11,17,2,3,2,7,3,0,0,0,0,0,0,0,33,24-35,2201,0,0,1,0,0,0,1,0,0,277,42648</v>
      </c>
    </row>
    <row r="1072" spans="1:40" ht="13" hidden="1" x14ac:dyDescent="0.15">
      <c r="A1072">
        <v>938</v>
      </c>
      <c r="B1072" s="1">
        <v>46086</v>
      </c>
      <c r="C1072" s="1">
        <v>293</v>
      </c>
      <c r="D1072" s="4">
        <f t="shared" si="32"/>
        <v>6.3576791216421475E-3</v>
      </c>
      <c r="E1072" s="1">
        <v>0</v>
      </c>
      <c r="F1072" s="1">
        <v>1</v>
      </c>
      <c r="G1072" s="1">
        <v>34</v>
      </c>
      <c r="H1072" s="1">
        <v>244</v>
      </c>
      <c r="I1072" s="1">
        <v>8</v>
      </c>
      <c r="J1072" s="1">
        <v>32</v>
      </c>
      <c r="K1072" s="1">
        <v>7</v>
      </c>
      <c r="L1072" s="1">
        <v>2</v>
      </c>
      <c r="M1072" s="1">
        <v>50</v>
      </c>
      <c r="N1072" s="1">
        <v>4</v>
      </c>
      <c r="O1072" s="1">
        <v>3</v>
      </c>
      <c r="P1072" s="1">
        <v>1</v>
      </c>
      <c r="Q1072" s="1">
        <v>8</v>
      </c>
      <c r="R1072" s="1">
        <v>4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64</v>
      </c>
      <c r="AA1072" s="1" t="str" cm="1">
        <f t="array" ref="AA1072">_xlfn.IFS(AND(Z1072&lt;36, Z1072&gt;23), "24-35", AND(Z1072&lt;51, Z1072&gt;35),"36-50", AND(Z1072&lt;66, Z1072&gt;50), "51-66", Z1072&gt;65, "66+", TRUE, "?")</f>
        <v>51-66</v>
      </c>
      <c r="AB1072" s="1">
        <v>2397</v>
      </c>
      <c r="AC1072" s="1">
        <v>1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1</v>
      </c>
      <c r="AJ1072" s="1">
        <v>0</v>
      </c>
      <c r="AK1072" s="1">
        <v>0</v>
      </c>
      <c r="AL1072" s="1">
        <v>243</v>
      </c>
      <c r="AM1072" s="2">
        <v>42452</v>
      </c>
      <c r="AN1072" t="str">
        <f t="shared" si="33"/>
        <v>46086,293,0.00635767912164215,0,1,34,244,8,32,7,2,50,4,3,1,8,4,0,0,0,0,0,0,0,64,51-66,2397,1,0,0,0,0,0,1,0,0,243,42452</v>
      </c>
    </row>
    <row r="1073" spans="1:40" ht="13" hidden="1" x14ac:dyDescent="0.15">
      <c r="A1073">
        <v>1332</v>
      </c>
      <c r="B1073" s="1">
        <v>70844</v>
      </c>
      <c r="C1073" s="1">
        <v>292</v>
      </c>
      <c r="D1073" s="4">
        <f t="shared" si="32"/>
        <v>4.1217322567895657E-3</v>
      </c>
      <c r="E1073" s="1">
        <v>1</v>
      </c>
      <c r="F1073" s="1">
        <v>1</v>
      </c>
      <c r="G1073" s="1">
        <v>16</v>
      </c>
      <c r="H1073" s="1">
        <v>129</v>
      </c>
      <c r="I1073" s="1">
        <v>26</v>
      </c>
      <c r="J1073" s="1">
        <v>67</v>
      </c>
      <c r="K1073" s="1">
        <v>3</v>
      </c>
      <c r="L1073" s="1">
        <v>67</v>
      </c>
      <c r="M1073" s="1">
        <v>2</v>
      </c>
      <c r="N1073" s="1">
        <v>5</v>
      </c>
      <c r="O1073" s="1">
        <v>6</v>
      </c>
      <c r="P1073" s="1">
        <v>1</v>
      </c>
      <c r="Q1073" s="1">
        <v>5</v>
      </c>
      <c r="R1073" s="1">
        <v>7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53</v>
      </c>
      <c r="AA1073" s="1" t="str" cm="1">
        <f t="array" ref="AA1073">_xlfn.IFS(AND(Z1073&lt;36, Z1073&gt;23), "24-35", AND(Z1073&lt;51, Z1073&gt;35),"36-50", AND(Z1073&lt;66, Z1073&gt;50), "51-66", Z1073&gt;65, "66+", TRUE, "?")</f>
        <v>51-66</v>
      </c>
      <c r="AB1073" s="1">
        <v>2401</v>
      </c>
      <c r="AC1073" s="1">
        <v>1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1</v>
      </c>
      <c r="AJ1073" s="1">
        <v>0</v>
      </c>
      <c r="AK1073" s="1">
        <v>0</v>
      </c>
      <c r="AL1073" s="1">
        <v>290</v>
      </c>
      <c r="AM1073" s="2">
        <v>42448</v>
      </c>
      <c r="AN1073" t="str">
        <f t="shared" si="33"/>
        <v>70844,292,0.00412173225678957,1,1,16,129,26,67,3,67,2,5,6,1,5,7,0,0,0,0,0,0,0,53,51-66,2401,1,0,0,0,0,0,1,0,0,290,42448</v>
      </c>
    </row>
    <row r="1074" spans="1:40" ht="13" hidden="1" x14ac:dyDescent="0.15">
      <c r="A1074">
        <v>1469</v>
      </c>
      <c r="B1074" s="1">
        <v>36108</v>
      </c>
      <c r="C1074" s="1">
        <v>292</v>
      </c>
      <c r="D1074" s="4">
        <f t="shared" si="32"/>
        <v>8.0868505594328122E-3</v>
      </c>
      <c r="E1074" s="1">
        <v>1</v>
      </c>
      <c r="F1074" s="1">
        <v>0</v>
      </c>
      <c r="G1074" s="1">
        <v>68</v>
      </c>
      <c r="H1074" s="1">
        <v>141</v>
      </c>
      <c r="I1074" s="1">
        <v>8</v>
      </c>
      <c r="J1074" s="1">
        <v>129</v>
      </c>
      <c r="K1074" s="1">
        <v>3</v>
      </c>
      <c r="L1074" s="1">
        <v>11</v>
      </c>
      <c r="M1074" s="1">
        <v>47</v>
      </c>
      <c r="N1074" s="1">
        <v>3</v>
      </c>
      <c r="O1074" s="1">
        <v>7</v>
      </c>
      <c r="P1074" s="1">
        <v>1</v>
      </c>
      <c r="Q1074" s="1">
        <v>4</v>
      </c>
      <c r="R1074" s="1">
        <v>9</v>
      </c>
      <c r="S1074" s="1">
        <v>0</v>
      </c>
      <c r="T1074" s="1">
        <v>0</v>
      </c>
      <c r="U1074" s="1">
        <v>1</v>
      </c>
      <c r="V1074" s="1">
        <v>0</v>
      </c>
      <c r="W1074" s="1">
        <v>0</v>
      </c>
      <c r="X1074" s="1">
        <v>0</v>
      </c>
      <c r="Y1074" s="1">
        <v>0</v>
      </c>
      <c r="Z1074" s="1">
        <v>36</v>
      </c>
      <c r="AA1074" s="1" t="str" cm="1">
        <f t="array" ref="AA1074">_xlfn.IFS(AND(Z1074&lt;36, Z1074&gt;23), "24-35", AND(Z1074&lt;51, Z1074&gt;35),"36-50", AND(Z1074&lt;66, Z1074&gt;50), "51-66", Z1074&gt;65, "66+", TRUE, "?")</f>
        <v>36-50</v>
      </c>
      <c r="AB1074" s="1">
        <v>2416</v>
      </c>
      <c r="AC1074" s="1">
        <v>0</v>
      </c>
      <c r="AD1074" s="1">
        <v>0</v>
      </c>
      <c r="AE1074" s="1">
        <v>1</v>
      </c>
      <c r="AF1074" s="1">
        <v>0</v>
      </c>
      <c r="AG1074" s="1">
        <v>0</v>
      </c>
      <c r="AH1074" s="1">
        <v>0</v>
      </c>
      <c r="AI1074" s="1">
        <v>1</v>
      </c>
      <c r="AJ1074" s="1">
        <v>0</v>
      </c>
      <c r="AK1074" s="1">
        <v>0</v>
      </c>
      <c r="AL1074" s="1">
        <v>245</v>
      </c>
      <c r="AM1074" s="2">
        <v>42433</v>
      </c>
      <c r="AN1074" t="str">
        <f t="shared" si="33"/>
        <v>36108,292,0.00808685055943281,1,0,68,141,8,129,3,11,47,3,7,1,4,9,0,0,1,0,0,0,0,36,36-50,2416,0,0,1,0,0,0,1,0,0,245,42433</v>
      </c>
    </row>
    <row r="1075" spans="1:40" ht="13" hidden="1" x14ac:dyDescent="0.15">
      <c r="A1075">
        <v>1203</v>
      </c>
      <c r="B1075" s="1">
        <v>26997</v>
      </c>
      <c r="C1075" s="1">
        <v>290</v>
      </c>
      <c r="D1075" s="4">
        <f t="shared" si="32"/>
        <v>1.0741934288995074E-2</v>
      </c>
      <c r="E1075" s="1">
        <v>0</v>
      </c>
      <c r="F1075" s="1">
        <v>0</v>
      </c>
      <c r="G1075" s="1">
        <v>89</v>
      </c>
      <c r="H1075" s="1">
        <v>7</v>
      </c>
      <c r="I1075" s="1">
        <v>23</v>
      </c>
      <c r="J1075" s="1">
        <v>78</v>
      </c>
      <c r="K1075" s="1">
        <v>133</v>
      </c>
      <c r="L1075" s="1">
        <v>49</v>
      </c>
      <c r="M1075" s="1">
        <v>144</v>
      </c>
      <c r="N1075" s="1">
        <v>2</v>
      </c>
      <c r="O1075" s="1">
        <v>4</v>
      </c>
      <c r="P1075" s="1">
        <v>2</v>
      </c>
      <c r="Q1075" s="1">
        <v>5</v>
      </c>
      <c r="R1075" s="1">
        <v>7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69</v>
      </c>
      <c r="AA1075" s="1" t="str" cm="1">
        <f t="array" ref="AA1075">_xlfn.IFS(AND(Z1075&lt;36, Z1075&gt;23), "24-35", AND(Z1075&lt;51, Z1075&gt;35),"36-50", AND(Z1075&lt;66, Z1075&gt;50), "51-66", Z1075&gt;65, "66+", TRUE, "?")</f>
        <v>66+</v>
      </c>
      <c r="AB1075" s="1">
        <v>2760</v>
      </c>
      <c r="AC1075" s="1">
        <v>0</v>
      </c>
      <c r="AD1075" s="1">
        <v>1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146</v>
      </c>
      <c r="AM1075" s="2">
        <v>42089</v>
      </c>
      <c r="AN1075" t="str">
        <f t="shared" si="33"/>
        <v>26997,290,0.0107419342889951,0,0,89,7,23,78,133,49,144,2,4,2,5,7,0,0,0,0,0,0,0,69,66+,2760,0,1,0,0,0,0,0,0,0,146,42089</v>
      </c>
    </row>
    <row r="1076" spans="1:40" ht="13" hidden="1" x14ac:dyDescent="0.15">
      <c r="A1076">
        <v>17</v>
      </c>
      <c r="B1076" s="1">
        <v>37760</v>
      </c>
      <c r="C1076" s="1">
        <v>289</v>
      </c>
      <c r="D1076" s="4">
        <f t="shared" si="32"/>
        <v>7.6536016949152541E-3</v>
      </c>
      <c r="E1076" s="1">
        <v>0</v>
      </c>
      <c r="F1076" s="1">
        <v>0</v>
      </c>
      <c r="G1076" s="1">
        <v>20</v>
      </c>
      <c r="H1076" s="1">
        <v>84</v>
      </c>
      <c r="I1076" s="1">
        <v>5</v>
      </c>
      <c r="J1076" s="1">
        <v>38</v>
      </c>
      <c r="K1076" s="1">
        <v>150</v>
      </c>
      <c r="L1076" s="1">
        <v>12</v>
      </c>
      <c r="M1076" s="1">
        <v>28</v>
      </c>
      <c r="N1076" s="1">
        <v>2</v>
      </c>
      <c r="O1076" s="1">
        <v>4</v>
      </c>
      <c r="P1076" s="1">
        <v>1</v>
      </c>
      <c r="Q1076" s="1">
        <v>6</v>
      </c>
      <c r="R1076" s="1">
        <v>7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74</v>
      </c>
      <c r="AA1076" s="1" t="str" cm="1">
        <f t="array" ref="AA1076">_xlfn.IFS(AND(Z1076&lt;36, Z1076&gt;23), "24-35", AND(Z1076&lt;51, Z1076&gt;35),"36-50", AND(Z1076&lt;66, Z1076&gt;50), "51-66", Z1076&gt;65, "66+", TRUE, "?")</f>
        <v>66+</v>
      </c>
      <c r="AB1076" s="1">
        <v>2826</v>
      </c>
      <c r="AC1076" s="1">
        <v>0</v>
      </c>
      <c r="AD1076" s="1">
        <v>0</v>
      </c>
      <c r="AE1076" s="1">
        <v>0</v>
      </c>
      <c r="AF1076" s="1">
        <v>1</v>
      </c>
      <c r="AG1076" s="1">
        <v>0</v>
      </c>
      <c r="AH1076" s="1">
        <v>0</v>
      </c>
      <c r="AI1076" s="1">
        <v>1</v>
      </c>
      <c r="AJ1076" s="1">
        <v>0</v>
      </c>
      <c r="AK1076" s="1">
        <v>0</v>
      </c>
      <c r="AL1076" s="1">
        <v>261</v>
      </c>
      <c r="AM1076" s="2">
        <v>42023</v>
      </c>
      <c r="AN1076" t="str">
        <f t="shared" si="33"/>
        <v>37760,289,0.00765360169491525,0,0,20,84,5,38,150,12,28,2,4,1,6,7,0,0,0,0,0,0,0,74,66+,2826,0,0,0,1,0,0,1,0,0,261,42023</v>
      </c>
    </row>
    <row r="1077" spans="1:40" ht="13" x14ac:dyDescent="0.15">
      <c r="A1077">
        <v>1522</v>
      </c>
      <c r="B1077" s="1">
        <v>57107</v>
      </c>
      <c r="C1077" s="1">
        <v>279</v>
      </c>
      <c r="D1077" s="4">
        <f t="shared" si="32"/>
        <v>4.8855656924720265E-3</v>
      </c>
      <c r="E1077" s="1">
        <v>0</v>
      </c>
      <c r="F1077" s="1">
        <v>1</v>
      </c>
      <c r="G1077" s="1">
        <v>44</v>
      </c>
      <c r="H1077" s="1">
        <v>159</v>
      </c>
      <c r="I1077" s="1">
        <v>0</v>
      </c>
      <c r="J1077" s="1">
        <v>120</v>
      </c>
      <c r="K1077" s="1">
        <v>0</v>
      </c>
      <c r="L1077" s="1">
        <v>0</v>
      </c>
      <c r="M1077" s="1">
        <v>137</v>
      </c>
      <c r="N1077" s="1">
        <v>7</v>
      </c>
      <c r="O1077" s="1">
        <v>4</v>
      </c>
      <c r="P1077" s="1">
        <v>4</v>
      </c>
      <c r="Q1077" s="1">
        <v>8</v>
      </c>
      <c r="R1077" s="1">
        <v>8</v>
      </c>
      <c r="S1077" s="1">
        <v>0</v>
      </c>
      <c r="T1077" s="1">
        <v>1</v>
      </c>
      <c r="U1077" s="1">
        <v>0</v>
      </c>
      <c r="V1077" s="1">
        <v>1</v>
      </c>
      <c r="W1077" s="1">
        <v>0</v>
      </c>
      <c r="X1077" s="1">
        <v>0</v>
      </c>
      <c r="Y1077" s="1">
        <v>1</v>
      </c>
      <c r="Z1077" s="1">
        <v>52</v>
      </c>
      <c r="AA1077" s="1" t="str" cm="1">
        <f t="array" ref="AA1077">_xlfn.IFS(AND(Z1077&lt;36, Z1077&gt;23), "24-35", AND(Z1077&lt;51, Z1077&gt;35),"36-50", AND(Z1077&lt;66, Z1077&gt;50), "51-66", Z1077&gt;65, "66+", TRUE, "?")</f>
        <v>51-66</v>
      </c>
      <c r="AB1077" s="1">
        <v>2833</v>
      </c>
      <c r="AC1077" s="1">
        <v>0</v>
      </c>
      <c r="AD1077" s="1">
        <v>0</v>
      </c>
      <c r="AE1077" s="1">
        <v>1</v>
      </c>
      <c r="AF1077" s="1">
        <v>0</v>
      </c>
      <c r="AG1077" s="1">
        <v>0</v>
      </c>
      <c r="AH1077" s="1">
        <v>0</v>
      </c>
      <c r="AI1077" s="1">
        <v>1</v>
      </c>
      <c r="AJ1077" s="1">
        <v>0</v>
      </c>
      <c r="AK1077" s="1">
        <v>0</v>
      </c>
      <c r="AL1077" s="1">
        <v>142</v>
      </c>
      <c r="AM1077" s="2">
        <v>42016</v>
      </c>
      <c r="AN1077" t="str">
        <f t="shared" si="33"/>
        <v>57107,279,0.00488556569247203,0,1,44,159,0,120,0,0,137,7,4,4,8,8,0,1,0,1,0,0,1,52,51-66,2833,0,0,1,0,0,0,1,0,0,142,42016</v>
      </c>
    </row>
    <row r="1078" spans="1:40" ht="13" hidden="1" x14ac:dyDescent="0.15">
      <c r="A1078">
        <v>811</v>
      </c>
      <c r="B1078" s="1">
        <v>49514</v>
      </c>
      <c r="C1078" s="1">
        <v>276</v>
      </c>
      <c r="D1078" s="4">
        <f t="shared" si="32"/>
        <v>5.5741810397059418E-3</v>
      </c>
      <c r="E1078" s="1">
        <v>1</v>
      </c>
      <c r="F1078" s="1">
        <v>0</v>
      </c>
      <c r="G1078" s="1">
        <v>61</v>
      </c>
      <c r="H1078" s="1">
        <v>88</v>
      </c>
      <c r="I1078" s="1">
        <v>39</v>
      </c>
      <c r="J1078" s="1">
        <v>78</v>
      </c>
      <c r="K1078" s="1">
        <v>58</v>
      </c>
      <c r="L1078" s="1">
        <v>13</v>
      </c>
      <c r="M1078" s="1">
        <v>93</v>
      </c>
      <c r="N1078" s="1">
        <v>2</v>
      </c>
      <c r="O1078" s="1">
        <v>6</v>
      </c>
      <c r="P1078" s="1">
        <v>1</v>
      </c>
      <c r="Q1078" s="1">
        <v>4</v>
      </c>
      <c r="R1078" s="1">
        <v>7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45</v>
      </c>
      <c r="AA1078" s="1" t="str" cm="1">
        <f t="array" ref="AA1078">_xlfn.IFS(AND(Z1078&lt;36, Z1078&gt;23), "24-35", AND(Z1078&lt;51, Z1078&gt;35),"36-50", AND(Z1078&lt;66, Z1078&gt;50), "51-66", Z1078&gt;65, "66+", TRUE, "?")</f>
        <v>36-50</v>
      </c>
      <c r="AB1078" s="1">
        <v>2353</v>
      </c>
      <c r="AC1078" s="1">
        <v>0</v>
      </c>
      <c r="AD1078" s="1">
        <v>0</v>
      </c>
      <c r="AE1078" s="1">
        <v>1</v>
      </c>
      <c r="AF1078" s="1">
        <v>0</v>
      </c>
      <c r="AG1078" s="1">
        <v>0</v>
      </c>
      <c r="AH1078" s="1">
        <v>1</v>
      </c>
      <c r="AI1078" s="1">
        <v>0</v>
      </c>
      <c r="AJ1078" s="1">
        <v>0</v>
      </c>
      <c r="AK1078" s="1">
        <v>0</v>
      </c>
      <c r="AL1078" s="1">
        <v>183</v>
      </c>
      <c r="AM1078" s="2">
        <v>42496</v>
      </c>
      <c r="AN1078" t="str">
        <f t="shared" si="33"/>
        <v>49514,276,0.00557418103970594,1,0,61,88,39,78,58,13,93,2,6,1,4,7,0,0,0,0,0,0,0,45,36-50,2353,0,0,1,0,0,1,0,0,0,183,42496</v>
      </c>
    </row>
    <row r="1079" spans="1:40" ht="13" hidden="1" x14ac:dyDescent="0.15">
      <c r="A1079">
        <v>1809</v>
      </c>
      <c r="B1079" s="1">
        <v>51373</v>
      </c>
      <c r="C1079" s="1">
        <v>276</v>
      </c>
      <c r="D1079" s="4">
        <f t="shared" si="32"/>
        <v>5.372471921048021E-3</v>
      </c>
      <c r="E1079" s="1">
        <v>0</v>
      </c>
      <c r="F1079" s="1">
        <v>0</v>
      </c>
      <c r="G1079" s="1">
        <v>37</v>
      </c>
      <c r="H1079" s="1">
        <v>83</v>
      </c>
      <c r="I1079" s="1">
        <v>2</v>
      </c>
      <c r="J1079" s="1">
        <v>101</v>
      </c>
      <c r="K1079" s="1">
        <v>64</v>
      </c>
      <c r="L1079" s="1">
        <v>26</v>
      </c>
      <c r="M1079" s="1">
        <v>117</v>
      </c>
      <c r="N1079" s="1">
        <v>1</v>
      </c>
      <c r="O1079" s="1">
        <v>3</v>
      </c>
      <c r="P1079" s="1">
        <v>5</v>
      </c>
      <c r="Q1079" s="1">
        <v>3</v>
      </c>
      <c r="R1079" s="1">
        <v>4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29</v>
      </c>
      <c r="AA1079" s="1" t="str" cm="1">
        <f t="array" ref="AA1079">_xlfn.IFS(AND(Z1079&lt;36, Z1079&gt;23), "24-35", AND(Z1079&lt;51, Z1079&gt;35),"36-50", AND(Z1079&lt;66, Z1079&gt;50), "51-66", Z1079&gt;65, "66+", TRUE, "?")</f>
        <v>24-35</v>
      </c>
      <c r="AB1079" s="1">
        <v>2531</v>
      </c>
      <c r="AC1079" s="1">
        <v>0</v>
      </c>
      <c r="AD1079" s="1">
        <v>1</v>
      </c>
      <c r="AE1079" s="1">
        <v>0</v>
      </c>
      <c r="AF1079" s="1">
        <v>0</v>
      </c>
      <c r="AG1079" s="1">
        <v>0</v>
      </c>
      <c r="AH1079" s="1">
        <v>0</v>
      </c>
      <c r="AI1079" s="1">
        <v>1</v>
      </c>
      <c r="AJ1079" s="1">
        <v>0</v>
      </c>
      <c r="AK1079" s="1">
        <v>0</v>
      </c>
      <c r="AL1079" s="1">
        <v>159</v>
      </c>
      <c r="AM1079" s="2">
        <v>42318</v>
      </c>
      <c r="AN1079" t="str">
        <f t="shared" si="33"/>
        <v>51373,276,0.00537247192104802,0,0,37,83,2,101,64,26,117,1,3,5,3,4,0,0,0,0,0,0,0,29,24-35,2531,0,1,0,0,0,0,1,0,0,159,42318</v>
      </c>
    </row>
    <row r="1080" spans="1:40" ht="13" hidden="1" x14ac:dyDescent="0.15">
      <c r="A1080">
        <v>810</v>
      </c>
      <c r="B1080" s="1">
        <v>38683</v>
      </c>
      <c r="C1080" s="1">
        <v>275</v>
      </c>
      <c r="D1080" s="4">
        <f t="shared" si="32"/>
        <v>7.1090659979836102E-3</v>
      </c>
      <c r="E1080" s="1">
        <v>1</v>
      </c>
      <c r="F1080" s="1">
        <v>0</v>
      </c>
      <c r="G1080" s="1">
        <v>80</v>
      </c>
      <c r="H1080" s="1">
        <v>46</v>
      </c>
      <c r="I1080" s="1">
        <v>35</v>
      </c>
      <c r="J1080" s="1">
        <v>69</v>
      </c>
      <c r="K1080" s="1">
        <v>84</v>
      </c>
      <c r="L1080" s="1">
        <v>41</v>
      </c>
      <c r="M1080" s="1">
        <v>66</v>
      </c>
      <c r="N1080" s="1">
        <v>6</v>
      </c>
      <c r="O1080" s="1">
        <v>4</v>
      </c>
      <c r="P1080" s="1">
        <v>1</v>
      </c>
      <c r="Q1080" s="1">
        <v>6</v>
      </c>
      <c r="R1080" s="1">
        <v>7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31</v>
      </c>
      <c r="AA1080" s="1" t="str" cm="1">
        <f t="array" ref="AA1080">_xlfn.IFS(AND(Z1080&lt;36, Z1080&gt;23), "24-35", AND(Z1080&lt;51, Z1080&gt;35),"36-50", AND(Z1080&lt;66, Z1080&gt;50), "51-66", Z1080&gt;65, "66+", TRUE, "?")</f>
        <v>24-35</v>
      </c>
      <c r="AB1080" s="1">
        <v>2792</v>
      </c>
      <c r="AC1080" s="1">
        <v>0</v>
      </c>
      <c r="AD1080" s="1">
        <v>0</v>
      </c>
      <c r="AE1080" s="1">
        <v>0</v>
      </c>
      <c r="AF1080" s="1">
        <v>1</v>
      </c>
      <c r="AG1080" s="1">
        <v>0</v>
      </c>
      <c r="AH1080" s="1">
        <v>1</v>
      </c>
      <c r="AI1080" s="1">
        <v>0</v>
      </c>
      <c r="AJ1080" s="1">
        <v>0</v>
      </c>
      <c r="AK1080" s="1">
        <v>0</v>
      </c>
      <c r="AL1080" s="1">
        <v>209</v>
      </c>
      <c r="AM1080" s="2">
        <v>42057</v>
      </c>
      <c r="AN1080" t="str">
        <f t="shared" si="33"/>
        <v>38683,275,0.00710906599798361,1,0,80,46,35,69,84,41,66,6,4,1,6,7,0,0,0,0,0,0,0,31,24-35,2792,0,0,0,1,0,1,0,0,0,209,42057</v>
      </c>
    </row>
    <row r="1081" spans="1:40" ht="13" hidden="1" x14ac:dyDescent="0.15">
      <c r="A1081">
        <v>1731</v>
      </c>
      <c r="B1081" s="1">
        <v>113734</v>
      </c>
      <c r="C1081" s="1">
        <v>274</v>
      </c>
      <c r="D1081" s="4">
        <f t="shared" si="32"/>
        <v>2.4091300754391825E-3</v>
      </c>
      <c r="E1081" s="1">
        <v>0</v>
      </c>
      <c r="F1081" s="1">
        <v>0</v>
      </c>
      <c r="G1081" s="1">
        <v>9</v>
      </c>
      <c r="H1081" s="1">
        <v>6</v>
      </c>
      <c r="I1081" s="1">
        <v>2</v>
      </c>
      <c r="J1081" s="1">
        <v>3</v>
      </c>
      <c r="K1081" s="1">
        <v>1</v>
      </c>
      <c r="L1081" s="1">
        <v>262</v>
      </c>
      <c r="M1081" s="1">
        <v>3</v>
      </c>
      <c r="N1081" s="1">
        <v>0</v>
      </c>
      <c r="O1081" s="1">
        <v>27</v>
      </c>
      <c r="P1081" s="1">
        <v>0</v>
      </c>
      <c r="Q1081" s="1">
        <v>0</v>
      </c>
      <c r="R1081" s="1">
        <v>1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75</v>
      </c>
      <c r="AA1081" s="1" t="str" cm="1">
        <f t="array" ref="AA1081">_xlfn.IFS(AND(Z1081&lt;36, Z1081&gt;23), "24-35", AND(Z1081&lt;51, Z1081&gt;35),"36-50", AND(Z1081&lt;66, Z1081&gt;50), "51-66", Z1081&gt;65, "66+", TRUE, "?")</f>
        <v>66+</v>
      </c>
      <c r="AB1081" s="1">
        <v>2191</v>
      </c>
      <c r="AC1081" s="1">
        <v>0</v>
      </c>
      <c r="AD1081" s="1">
        <v>0</v>
      </c>
      <c r="AE1081" s="1">
        <v>1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1</v>
      </c>
      <c r="AL1081" s="1">
        <v>271</v>
      </c>
      <c r="AM1081" s="2">
        <v>42658</v>
      </c>
      <c r="AN1081" t="str">
        <f t="shared" si="33"/>
        <v>113734,274,0.00240913007543918,0,0,9,6,2,3,1,262,3,0,27,0,0,1,0,0,0,0,0,0,0,75,66+,2191,0,0,1,0,0,0,0,0,1,271,42658</v>
      </c>
    </row>
    <row r="1082" spans="1:40" ht="13" x14ac:dyDescent="0.15">
      <c r="A1082">
        <v>1530</v>
      </c>
      <c r="B1082" s="1">
        <v>36262</v>
      </c>
      <c r="C1082" s="1">
        <v>273</v>
      </c>
      <c r="D1082" s="4">
        <f t="shared" si="32"/>
        <v>7.5285422756604711E-3</v>
      </c>
      <c r="E1082" s="1">
        <v>0</v>
      </c>
      <c r="F1082" s="1">
        <v>0</v>
      </c>
      <c r="G1082" s="1">
        <v>24</v>
      </c>
      <c r="H1082" s="1">
        <v>88</v>
      </c>
      <c r="I1082" s="1">
        <v>39</v>
      </c>
      <c r="J1082" s="1">
        <v>54</v>
      </c>
      <c r="K1082" s="1">
        <v>64</v>
      </c>
      <c r="L1082" s="1">
        <v>28</v>
      </c>
      <c r="M1082" s="1">
        <v>153</v>
      </c>
      <c r="N1082" s="1">
        <v>1</v>
      </c>
      <c r="O1082" s="1">
        <v>3</v>
      </c>
      <c r="P1082" s="1">
        <v>5</v>
      </c>
      <c r="Q1082" s="1">
        <v>3</v>
      </c>
      <c r="R1082" s="1">
        <v>6</v>
      </c>
      <c r="S1082" s="1">
        <v>0</v>
      </c>
      <c r="T1082" s="1">
        <v>0</v>
      </c>
      <c r="U1082" s="1">
        <v>1</v>
      </c>
      <c r="V1082" s="1">
        <v>0</v>
      </c>
      <c r="W1082" s="1">
        <v>0</v>
      </c>
      <c r="X1082" s="1">
        <v>0</v>
      </c>
      <c r="Y1082" s="1">
        <v>1</v>
      </c>
      <c r="Z1082" s="1">
        <v>37</v>
      </c>
      <c r="AA1082" s="1" t="str" cm="1">
        <f t="array" ref="AA1082">_xlfn.IFS(AND(Z1082&lt;36, Z1082&gt;23), "24-35", AND(Z1082&lt;51, Z1082&gt;35),"36-50", AND(Z1082&lt;66, Z1082&gt;50), "51-66", Z1082&gt;65, "66+", TRUE, "?")</f>
        <v>36-50</v>
      </c>
      <c r="AB1082" s="1">
        <v>2441</v>
      </c>
      <c r="AC1082" s="1">
        <v>0</v>
      </c>
      <c r="AD1082" s="1">
        <v>1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1</v>
      </c>
      <c r="AK1082" s="1">
        <v>0</v>
      </c>
      <c r="AL1082" s="1">
        <v>120</v>
      </c>
      <c r="AM1082" s="2">
        <v>42408</v>
      </c>
      <c r="AN1082" t="str">
        <f t="shared" si="33"/>
        <v>36262,273,0.00752854227566047,0,0,24,88,39,54,64,28,153,1,3,5,3,6,0,0,1,0,0,0,1,37,36-50,2441,0,1,0,0,0,0,0,1,0,120,42408</v>
      </c>
    </row>
    <row r="1083" spans="1:40" ht="13" hidden="1" x14ac:dyDescent="0.15">
      <c r="A1083">
        <v>189</v>
      </c>
      <c r="B1083" s="1">
        <v>48721</v>
      </c>
      <c r="C1083" s="1">
        <v>272</v>
      </c>
      <c r="D1083" s="4">
        <f t="shared" si="32"/>
        <v>5.5828082346421459E-3</v>
      </c>
      <c r="E1083" s="1">
        <v>1</v>
      </c>
      <c r="F1083" s="1">
        <v>1</v>
      </c>
      <c r="G1083" s="1">
        <v>50</v>
      </c>
      <c r="H1083" s="1">
        <v>81</v>
      </c>
      <c r="I1083" s="1">
        <v>18</v>
      </c>
      <c r="J1083" s="1">
        <v>113</v>
      </c>
      <c r="K1083" s="1">
        <v>47</v>
      </c>
      <c r="L1083" s="1">
        <v>13</v>
      </c>
      <c r="M1083" s="1">
        <v>21</v>
      </c>
      <c r="N1083" s="1">
        <v>6</v>
      </c>
      <c r="O1083" s="1">
        <v>4</v>
      </c>
      <c r="P1083" s="1">
        <v>2</v>
      </c>
      <c r="Q1083" s="1">
        <v>5</v>
      </c>
      <c r="R1083" s="1">
        <v>6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57</v>
      </c>
      <c r="AA1083" s="1" t="str" cm="1">
        <f t="array" ref="AA1083">_xlfn.IFS(AND(Z1083&lt;36, Z1083&gt;23), "24-35", AND(Z1083&lt;51, Z1083&gt;35),"36-50", AND(Z1083&lt;66, Z1083&gt;50), "51-66", Z1083&gt;65, "66+", TRUE, "?")</f>
        <v>51-66</v>
      </c>
      <c r="AB1083" s="1">
        <v>2571</v>
      </c>
      <c r="AC1083" s="1">
        <v>1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1</v>
      </c>
      <c r="AK1083" s="1">
        <v>0</v>
      </c>
      <c r="AL1083" s="1">
        <v>251</v>
      </c>
      <c r="AM1083" s="2">
        <v>42278</v>
      </c>
      <c r="AN1083" t="str">
        <f t="shared" si="33"/>
        <v>48721,272,0.00558280823464215,1,1,50,81,18,113,47,13,21,6,4,2,5,6,0,0,0,0,0,0,0,57,51-66,2571,1,0,0,0,0,0,0,1,0,251,42278</v>
      </c>
    </row>
    <row r="1084" spans="1:40" ht="13" hidden="1" x14ac:dyDescent="0.15">
      <c r="A1084">
        <v>1251</v>
      </c>
      <c r="B1084" s="1">
        <v>51948</v>
      </c>
      <c r="C1084" s="1">
        <v>270</v>
      </c>
      <c r="D1084" s="4">
        <f t="shared" si="32"/>
        <v>5.1975051975051978E-3</v>
      </c>
      <c r="E1084" s="1">
        <v>0</v>
      </c>
      <c r="F1084" s="1">
        <v>1</v>
      </c>
      <c r="G1084" s="1">
        <v>51</v>
      </c>
      <c r="H1084" s="1">
        <v>82</v>
      </c>
      <c r="I1084" s="1">
        <v>33</v>
      </c>
      <c r="J1084" s="1">
        <v>54</v>
      </c>
      <c r="K1084" s="1">
        <v>71</v>
      </c>
      <c r="L1084" s="1">
        <v>30</v>
      </c>
      <c r="M1084" s="1">
        <v>41</v>
      </c>
      <c r="N1084" s="1">
        <v>2</v>
      </c>
      <c r="O1084" s="1">
        <v>5</v>
      </c>
      <c r="P1084" s="1">
        <v>2</v>
      </c>
      <c r="Q1084" s="1">
        <v>4</v>
      </c>
      <c r="R1084" s="1">
        <v>5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45</v>
      </c>
      <c r="AA1084" s="1" t="str" cm="1">
        <f t="array" ref="AA1084">_xlfn.IFS(AND(Z1084&lt;36, Z1084&gt;23), "24-35", AND(Z1084&lt;51, Z1084&gt;35),"36-50", AND(Z1084&lt;66, Z1084&gt;50), "51-66", Z1084&gt;65, "66+", TRUE, "?")</f>
        <v>36-50</v>
      </c>
      <c r="AB1084" s="1">
        <v>2444</v>
      </c>
      <c r="AC1084" s="1">
        <v>0</v>
      </c>
      <c r="AD1084" s="1">
        <v>1</v>
      </c>
      <c r="AE1084" s="1">
        <v>0</v>
      </c>
      <c r="AF1084" s="1">
        <v>0</v>
      </c>
      <c r="AG1084" s="1">
        <v>0</v>
      </c>
      <c r="AH1084" s="1">
        <v>0</v>
      </c>
      <c r="AI1084" s="1">
        <v>1</v>
      </c>
      <c r="AJ1084" s="1">
        <v>0</v>
      </c>
      <c r="AK1084" s="1">
        <v>0</v>
      </c>
      <c r="AL1084" s="1">
        <v>229</v>
      </c>
      <c r="AM1084" s="2">
        <v>42405</v>
      </c>
      <c r="AN1084" t="str">
        <f t="shared" si="33"/>
        <v>51948,270,0.0051975051975052,0,1,51,82,33,54,71,30,41,2,5,2,4,5,0,0,0,0,0,0,0,45,36-50,2444,0,1,0,0,0,0,1,0,0,229,42405</v>
      </c>
    </row>
    <row r="1085" spans="1:40" ht="13" hidden="1" x14ac:dyDescent="0.15">
      <c r="A1085">
        <v>356</v>
      </c>
      <c r="B1085" s="1">
        <v>27421</v>
      </c>
      <c r="C1085" s="1">
        <v>269</v>
      </c>
      <c r="D1085" s="4">
        <f t="shared" si="32"/>
        <v>9.8099996353159993E-3</v>
      </c>
      <c r="E1085" s="1">
        <v>0</v>
      </c>
      <c r="F1085" s="1">
        <v>0</v>
      </c>
      <c r="G1085" s="1">
        <v>14</v>
      </c>
      <c r="H1085" s="1">
        <v>43</v>
      </c>
      <c r="I1085" s="1">
        <v>12</v>
      </c>
      <c r="J1085" s="1">
        <v>96</v>
      </c>
      <c r="K1085" s="1">
        <v>78</v>
      </c>
      <c r="L1085" s="1">
        <v>40</v>
      </c>
      <c r="M1085" s="1">
        <v>55</v>
      </c>
      <c r="N1085" s="1">
        <v>3</v>
      </c>
      <c r="O1085" s="1">
        <v>4</v>
      </c>
      <c r="P1085" s="1">
        <v>1</v>
      </c>
      <c r="Q1085" s="1">
        <v>6</v>
      </c>
      <c r="R1085" s="1">
        <v>7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66</v>
      </c>
      <c r="AA1085" s="1" t="str" cm="1">
        <f t="array" ref="AA1085">_xlfn.IFS(AND(Z1085&lt;36, Z1085&gt;23), "24-35", AND(Z1085&lt;51, Z1085&gt;35),"36-50", AND(Z1085&lt;66, Z1085&gt;50), "51-66", Z1085&gt;65, "66+", TRUE, "?")</f>
        <v>66+</v>
      </c>
      <c r="AB1085" s="1">
        <v>2723</v>
      </c>
      <c r="AC1085" s="1">
        <v>0</v>
      </c>
      <c r="AD1085" s="1">
        <v>0</v>
      </c>
      <c r="AE1085" s="1">
        <v>0</v>
      </c>
      <c r="AF1085" s="1">
        <v>0</v>
      </c>
      <c r="AG1085" s="1">
        <v>1</v>
      </c>
      <c r="AH1085" s="1">
        <v>0</v>
      </c>
      <c r="AI1085" s="1">
        <v>1</v>
      </c>
      <c r="AJ1085" s="1">
        <v>0</v>
      </c>
      <c r="AK1085" s="1">
        <v>0</v>
      </c>
      <c r="AL1085" s="1">
        <v>214</v>
      </c>
      <c r="AM1085" s="2">
        <v>42126</v>
      </c>
      <c r="AN1085" t="str">
        <f t="shared" si="33"/>
        <v>27421,269,0.009809999635316,0,0,14,43,12,96,78,40,55,3,4,1,6,7,0,0,0,0,0,0,0,66,66+,2723,0,0,0,0,1,0,1,0,0,214,42126</v>
      </c>
    </row>
    <row r="1086" spans="1:40" ht="13" hidden="1" x14ac:dyDescent="0.15">
      <c r="A1086">
        <v>972</v>
      </c>
      <c r="B1086" s="1">
        <v>28071</v>
      </c>
      <c r="C1086" s="1">
        <v>269</v>
      </c>
      <c r="D1086" s="4">
        <f t="shared" si="32"/>
        <v>9.5828435039720713E-3</v>
      </c>
      <c r="E1086" s="1">
        <v>0</v>
      </c>
      <c r="F1086" s="1">
        <v>0</v>
      </c>
      <c r="G1086" s="1">
        <v>65</v>
      </c>
      <c r="H1086" s="1">
        <v>39</v>
      </c>
      <c r="I1086" s="1">
        <v>33</v>
      </c>
      <c r="J1086" s="1">
        <v>130</v>
      </c>
      <c r="K1086" s="1">
        <v>41</v>
      </c>
      <c r="L1086" s="1">
        <v>26</v>
      </c>
      <c r="M1086" s="1">
        <v>44</v>
      </c>
      <c r="N1086" s="1">
        <v>2</v>
      </c>
      <c r="O1086" s="1">
        <v>5</v>
      </c>
      <c r="P1086" s="1">
        <v>1</v>
      </c>
      <c r="Q1086" s="1">
        <v>5</v>
      </c>
      <c r="R1086" s="1">
        <v>8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40</v>
      </c>
      <c r="AA1086" s="1" t="str" cm="1">
        <f t="array" ref="AA1086">_xlfn.IFS(AND(Z1086&lt;36, Z1086&gt;23), "24-35", AND(Z1086&lt;51, Z1086&gt;35),"36-50", AND(Z1086&lt;66, Z1086&gt;50), "51-66", Z1086&gt;65, "66+", TRUE, "?")</f>
        <v>36-50</v>
      </c>
      <c r="AB1086" s="1">
        <v>2828</v>
      </c>
      <c r="AC1086" s="1">
        <v>0</v>
      </c>
      <c r="AD1086" s="1">
        <v>0</v>
      </c>
      <c r="AE1086" s="1">
        <v>1</v>
      </c>
      <c r="AF1086" s="1">
        <v>0</v>
      </c>
      <c r="AG1086" s="1">
        <v>0</v>
      </c>
      <c r="AH1086" s="1">
        <v>0</v>
      </c>
      <c r="AI1086" s="1">
        <v>1</v>
      </c>
      <c r="AJ1086" s="1">
        <v>0</v>
      </c>
      <c r="AK1086" s="1">
        <v>0</v>
      </c>
      <c r="AL1086" s="1">
        <v>225</v>
      </c>
      <c r="AM1086" s="2">
        <v>42021</v>
      </c>
      <c r="AN1086" t="str">
        <f t="shared" si="33"/>
        <v>28071,269,0.00958284350397207,0,0,65,39,33,130,41,26,44,2,5,1,5,8,0,0,0,0,0,0,0,40,36-50,2828,0,0,1,0,0,0,1,0,0,225,42021</v>
      </c>
    </row>
    <row r="1087" spans="1:40" ht="13" hidden="1" x14ac:dyDescent="0.15">
      <c r="A1087">
        <v>1853</v>
      </c>
      <c r="B1087" s="1">
        <v>40059</v>
      </c>
      <c r="C1087" s="1">
        <v>269</v>
      </c>
      <c r="D1087" s="4">
        <f t="shared" si="32"/>
        <v>6.7150952345290697E-3</v>
      </c>
      <c r="E1087" s="1">
        <v>1</v>
      </c>
      <c r="F1087" s="1">
        <v>0</v>
      </c>
      <c r="G1087" s="1">
        <v>82</v>
      </c>
      <c r="H1087" s="1">
        <v>110</v>
      </c>
      <c r="I1087" s="1">
        <v>29</v>
      </c>
      <c r="J1087" s="1">
        <v>92</v>
      </c>
      <c r="K1087" s="1">
        <v>28</v>
      </c>
      <c r="L1087" s="1">
        <v>10</v>
      </c>
      <c r="M1087" s="1">
        <v>145</v>
      </c>
      <c r="N1087" s="1">
        <v>1</v>
      </c>
      <c r="O1087" s="1">
        <v>6</v>
      </c>
      <c r="P1087" s="1">
        <v>2</v>
      </c>
      <c r="Q1087" s="1">
        <v>3</v>
      </c>
      <c r="R1087" s="1">
        <v>8</v>
      </c>
      <c r="S1087" s="1">
        <v>0</v>
      </c>
      <c r="T1087" s="1">
        <v>0</v>
      </c>
      <c r="U1087" s="1">
        <v>1</v>
      </c>
      <c r="V1087" s="1">
        <v>0</v>
      </c>
      <c r="W1087" s="1">
        <v>0</v>
      </c>
      <c r="X1087" s="1">
        <v>0</v>
      </c>
      <c r="Y1087" s="1">
        <v>0</v>
      </c>
      <c r="Z1087" s="1">
        <v>36</v>
      </c>
      <c r="AA1087" s="1" t="str" cm="1">
        <f t="array" ref="AA1087">_xlfn.IFS(AND(Z1087&lt;36, Z1087&gt;23), "24-35", AND(Z1087&lt;51, Z1087&gt;35),"36-50", AND(Z1087&lt;66, Z1087&gt;50), "51-66", Z1087&gt;65, "66+", TRUE, "?")</f>
        <v>36-50</v>
      </c>
      <c r="AB1087" s="1">
        <v>2433</v>
      </c>
      <c r="AC1087" s="1">
        <v>0</v>
      </c>
      <c r="AD1087" s="1">
        <v>1</v>
      </c>
      <c r="AE1087" s="1">
        <v>0</v>
      </c>
      <c r="AF1087" s="1">
        <v>0</v>
      </c>
      <c r="AG1087" s="1">
        <v>0</v>
      </c>
      <c r="AH1087" s="1">
        <v>0</v>
      </c>
      <c r="AI1087" s="1">
        <v>1</v>
      </c>
      <c r="AJ1087" s="1">
        <v>0</v>
      </c>
      <c r="AK1087" s="1">
        <v>0</v>
      </c>
      <c r="AL1087" s="1">
        <v>124</v>
      </c>
      <c r="AM1087" s="2">
        <v>42416</v>
      </c>
      <c r="AN1087" t="str">
        <f t="shared" si="33"/>
        <v>40059,269,0.00671509523452907,1,0,82,110,29,92,28,10,145,1,6,2,3,8,0,0,1,0,0,0,0,36,36-50,2433,0,1,0,0,0,0,1,0,0,124,42416</v>
      </c>
    </row>
    <row r="1088" spans="1:40" ht="13" hidden="1" x14ac:dyDescent="0.15">
      <c r="A1088">
        <v>1954</v>
      </c>
      <c r="B1088" s="1">
        <v>59686</v>
      </c>
      <c r="C1088" s="1">
        <v>269</v>
      </c>
      <c r="D1088" s="4">
        <f t="shared" si="32"/>
        <v>4.506919545622089E-3</v>
      </c>
      <c r="E1088" s="1">
        <v>0</v>
      </c>
      <c r="F1088" s="1">
        <v>1</v>
      </c>
      <c r="G1088" s="1">
        <v>78</v>
      </c>
      <c r="H1088" s="1">
        <v>89</v>
      </c>
      <c r="I1088" s="1">
        <v>15</v>
      </c>
      <c r="J1088" s="1">
        <v>89</v>
      </c>
      <c r="K1088" s="1">
        <v>34</v>
      </c>
      <c r="L1088" s="1">
        <v>42</v>
      </c>
      <c r="M1088" s="1">
        <v>5</v>
      </c>
      <c r="N1088" s="1">
        <v>1</v>
      </c>
      <c r="O1088" s="1">
        <v>4</v>
      </c>
      <c r="P1088" s="1">
        <v>1</v>
      </c>
      <c r="Q1088" s="1">
        <v>6</v>
      </c>
      <c r="R1088" s="1">
        <v>4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55</v>
      </c>
      <c r="AA1088" s="1" t="str" cm="1">
        <f t="array" ref="AA1088">_xlfn.IFS(AND(Z1088&lt;36, Z1088&gt;23), "24-35", AND(Z1088&lt;51, Z1088&gt;35),"36-50", AND(Z1088&lt;66, Z1088&gt;50), "51-66", Z1088&gt;65, "66+", TRUE, "?")</f>
        <v>51-66</v>
      </c>
      <c r="AB1088" s="1">
        <v>2314</v>
      </c>
      <c r="AC1088" s="1">
        <v>0</v>
      </c>
      <c r="AD1088" s="1">
        <v>0</v>
      </c>
      <c r="AE1088" s="1">
        <v>1</v>
      </c>
      <c r="AF1088" s="1">
        <v>0</v>
      </c>
      <c r="AG1088" s="1">
        <v>0</v>
      </c>
      <c r="AH1088" s="1">
        <v>0</v>
      </c>
      <c r="AI1088" s="1">
        <v>1</v>
      </c>
      <c r="AJ1088" s="1">
        <v>0</v>
      </c>
      <c r="AK1088" s="1">
        <v>0</v>
      </c>
      <c r="AL1088" s="1">
        <v>264</v>
      </c>
      <c r="AM1088" s="2">
        <v>42535</v>
      </c>
      <c r="AN1088" t="str">
        <f t="shared" si="33"/>
        <v>59686,269,0.00450691954562209,0,1,78,89,15,89,34,42,5,1,4,1,6,4,0,0,0,0,0,0,0,55,51-66,2314,0,0,1,0,0,0,1,0,0,264,42535</v>
      </c>
    </row>
    <row r="1089" spans="1:40" ht="13" hidden="1" x14ac:dyDescent="0.15">
      <c r="A1089">
        <v>20</v>
      </c>
      <c r="B1089" s="1">
        <v>37040</v>
      </c>
      <c r="C1089" s="1">
        <v>268</v>
      </c>
      <c r="D1089" s="4">
        <f t="shared" si="32"/>
        <v>7.2354211663066955E-3</v>
      </c>
      <c r="E1089" s="1">
        <v>0</v>
      </c>
      <c r="F1089" s="1">
        <v>0</v>
      </c>
      <c r="G1089" s="1">
        <v>41</v>
      </c>
      <c r="H1089" s="1">
        <v>86</v>
      </c>
      <c r="I1089" s="1">
        <v>2</v>
      </c>
      <c r="J1089" s="1">
        <v>73</v>
      </c>
      <c r="K1089" s="1">
        <v>69</v>
      </c>
      <c r="L1089" s="1">
        <v>38</v>
      </c>
      <c r="M1089" s="1">
        <v>48</v>
      </c>
      <c r="N1089" s="1">
        <v>1</v>
      </c>
      <c r="O1089" s="1">
        <v>4</v>
      </c>
      <c r="P1089" s="1">
        <v>2</v>
      </c>
      <c r="Q1089" s="1">
        <v>5</v>
      </c>
      <c r="R1089" s="1">
        <v>8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38</v>
      </c>
      <c r="AA1089" s="1" t="str" cm="1">
        <f t="array" ref="AA1089">_xlfn.IFS(AND(Z1089&lt;36, Z1089&gt;23), "24-35", AND(Z1089&lt;51, Z1089&gt;35),"36-50", AND(Z1089&lt;66, Z1089&gt;50), "51-66", Z1089&gt;65, "66+", TRUE, "?")</f>
        <v>36-50</v>
      </c>
      <c r="AB1089" s="1">
        <v>2849</v>
      </c>
      <c r="AC1089" s="1">
        <v>0</v>
      </c>
      <c r="AD1089" s="1">
        <v>1</v>
      </c>
      <c r="AE1089" s="1">
        <v>0</v>
      </c>
      <c r="AF1089" s="1">
        <v>0</v>
      </c>
      <c r="AG1089" s="1">
        <v>0</v>
      </c>
      <c r="AH1089" s="1">
        <v>0</v>
      </c>
      <c r="AI1089" s="1">
        <v>1</v>
      </c>
      <c r="AJ1089" s="1">
        <v>0</v>
      </c>
      <c r="AK1089" s="1">
        <v>0</v>
      </c>
      <c r="AL1089" s="1">
        <v>220</v>
      </c>
      <c r="AM1089" s="2">
        <v>42000</v>
      </c>
      <c r="AN1089" t="str">
        <f t="shared" si="33"/>
        <v>37040,268,0.0072354211663067,0,0,41,86,2,73,69,38,48,1,4,2,5,8,0,0,0,0,0,0,0,38,36-50,2849,0,1,0,0,0,0,1,0,0,220,42000</v>
      </c>
    </row>
    <row r="1090" spans="1:40" ht="13" hidden="1" x14ac:dyDescent="0.15">
      <c r="A1090">
        <v>243</v>
      </c>
      <c r="B1090" s="1">
        <v>44159</v>
      </c>
      <c r="C1090" s="1">
        <v>268</v>
      </c>
      <c r="D1090" s="4">
        <f t="shared" ref="D1090:D1153" si="34">C1090/B1090</f>
        <v>6.0689780112774296E-3</v>
      </c>
      <c r="E1090" s="1">
        <v>1</v>
      </c>
      <c r="F1090" s="1">
        <v>0</v>
      </c>
      <c r="G1090" s="1">
        <v>85</v>
      </c>
      <c r="H1090" s="1">
        <v>167</v>
      </c>
      <c r="I1090" s="1">
        <v>2</v>
      </c>
      <c r="J1090" s="1">
        <v>62</v>
      </c>
      <c r="K1090" s="1">
        <v>24</v>
      </c>
      <c r="L1090" s="1">
        <v>13</v>
      </c>
      <c r="M1090" s="1">
        <v>7</v>
      </c>
      <c r="N1090" s="1">
        <v>4</v>
      </c>
      <c r="O1090" s="1">
        <v>4</v>
      </c>
      <c r="P1090" s="1">
        <v>1</v>
      </c>
      <c r="Q1090" s="1">
        <v>6</v>
      </c>
      <c r="R1090" s="1">
        <v>5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50</v>
      </c>
      <c r="AA1090" s="1" t="str" cm="1">
        <f t="array" ref="AA1090">_xlfn.IFS(AND(Z1090&lt;36, Z1090&gt;23), "24-35", AND(Z1090&lt;51, Z1090&gt;35),"36-50", AND(Z1090&lt;66, Z1090&gt;50), "51-66", Z1090&gt;65, "66+", TRUE, "?")</f>
        <v>36-50</v>
      </c>
      <c r="AB1090" s="1">
        <v>2171</v>
      </c>
      <c r="AC1090" s="1">
        <v>0</v>
      </c>
      <c r="AD1090" s="1">
        <v>1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1</v>
      </c>
      <c r="AK1090" s="1">
        <v>0</v>
      </c>
      <c r="AL1090" s="1">
        <v>261</v>
      </c>
      <c r="AM1090" s="2">
        <v>42678</v>
      </c>
      <c r="AN1090" t="str">
        <f t="shared" ref="AN1090:AN1153" si="35">_xlfn.TEXTJOIN(",",TRUE,B1090:AM1090)</f>
        <v>44159,268,0.00606897801127743,1,0,85,167,2,62,24,13,7,4,4,1,6,5,0,0,0,0,0,0,0,50,36-50,2171,0,1,0,0,0,0,0,1,0,261,42678</v>
      </c>
    </row>
    <row r="1091" spans="1:40" ht="13" hidden="1" x14ac:dyDescent="0.15">
      <c r="A1091">
        <v>429</v>
      </c>
      <c r="B1091" s="1">
        <v>50300</v>
      </c>
      <c r="C1091" s="1">
        <v>265</v>
      </c>
      <c r="D1091" s="4">
        <f t="shared" si="34"/>
        <v>5.2683896620278328E-3</v>
      </c>
      <c r="E1091" s="1">
        <v>0</v>
      </c>
      <c r="F1091" s="1">
        <v>1</v>
      </c>
      <c r="G1091" s="1">
        <v>52</v>
      </c>
      <c r="H1091" s="1">
        <v>143</v>
      </c>
      <c r="I1091" s="1">
        <v>15</v>
      </c>
      <c r="J1091" s="1">
        <v>60</v>
      </c>
      <c r="K1091" s="1">
        <v>24</v>
      </c>
      <c r="L1091" s="1">
        <v>23</v>
      </c>
      <c r="M1091" s="1">
        <v>5</v>
      </c>
      <c r="N1091" s="1">
        <v>2</v>
      </c>
      <c r="O1091" s="1">
        <v>2</v>
      </c>
      <c r="P1091" s="1">
        <v>1</v>
      </c>
      <c r="Q1091" s="1">
        <v>8</v>
      </c>
      <c r="R1091" s="1">
        <v>2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68</v>
      </c>
      <c r="AA1091" s="1" t="str" cm="1">
        <f t="array" ref="AA1091">_xlfn.IFS(AND(Z1091&lt;36, Z1091&gt;23), "24-35", AND(Z1091&lt;51, Z1091&gt;35),"36-50", AND(Z1091&lt;66, Z1091&gt;50), "51-66", Z1091&gt;65, "66+", TRUE, "?")</f>
        <v>66+</v>
      </c>
      <c r="AB1091" s="1">
        <v>2194</v>
      </c>
      <c r="AC1091" s="1">
        <v>0</v>
      </c>
      <c r="AD1091" s="1">
        <v>1</v>
      </c>
      <c r="AE1091" s="1">
        <v>0</v>
      </c>
      <c r="AF1091" s="1">
        <v>0</v>
      </c>
      <c r="AG1091" s="1">
        <v>0</v>
      </c>
      <c r="AH1091" s="1">
        <v>0</v>
      </c>
      <c r="AI1091" s="1">
        <v>1</v>
      </c>
      <c r="AJ1091" s="1">
        <v>0</v>
      </c>
      <c r="AK1091" s="1">
        <v>0</v>
      </c>
      <c r="AL1091" s="1">
        <v>260</v>
      </c>
      <c r="AM1091" s="2">
        <v>42655</v>
      </c>
      <c r="AN1091" t="str">
        <f t="shared" si="35"/>
        <v>50300,265,0.00526838966202783,0,1,52,143,15,60,24,23,5,2,2,1,8,2,0,0,0,0,0,0,0,68,66+,2194,0,1,0,0,0,0,1,0,0,260,42655</v>
      </c>
    </row>
    <row r="1092" spans="1:40" ht="13" x14ac:dyDescent="0.15">
      <c r="A1092">
        <v>1531</v>
      </c>
      <c r="B1092" s="1">
        <v>36864</v>
      </c>
      <c r="C1092" s="1">
        <v>265</v>
      </c>
      <c r="D1092" s="4">
        <f t="shared" si="34"/>
        <v>7.1885850694444441E-3</v>
      </c>
      <c r="E1092" s="1">
        <v>0</v>
      </c>
      <c r="F1092" s="1">
        <v>1</v>
      </c>
      <c r="G1092" s="1">
        <v>53</v>
      </c>
      <c r="H1092" s="1">
        <v>204</v>
      </c>
      <c r="I1092" s="1">
        <v>5</v>
      </c>
      <c r="J1092" s="1">
        <v>39</v>
      </c>
      <c r="K1092" s="1">
        <v>17</v>
      </c>
      <c r="L1092" s="1">
        <v>0</v>
      </c>
      <c r="M1092" s="1">
        <v>89</v>
      </c>
      <c r="N1092" s="1">
        <v>3</v>
      </c>
      <c r="O1092" s="1">
        <v>5</v>
      </c>
      <c r="P1092" s="1">
        <v>2</v>
      </c>
      <c r="Q1092" s="1">
        <v>4</v>
      </c>
      <c r="R1092" s="1">
        <v>8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63</v>
      </c>
      <c r="AA1092" s="1" t="str" cm="1">
        <f t="array" ref="AA1092">_xlfn.IFS(AND(Z1092&lt;36, Z1092&gt;23), "24-35", AND(Z1092&lt;51, Z1092&gt;35),"36-50", AND(Z1092&lt;66, Z1092&gt;50), "51-66", Z1092&gt;65, "66+", TRUE, "?")</f>
        <v>51-66</v>
      </c>
      <c r="AB1092" s="1">
        <v>2844</v>
      </c>
      <c r="AC1092" s="1">
        <v>0</v>
      </c>
      <c r="AD1092" s="1">
        <v>0</v>
      </c>
      <c r="AE1092" s="1">
        <v>1</v>
      </c>
      <c r="AF1092" s="1">
        <v>0</v>
      </c>
      <c r="AG1092" s="1">
        <v>0</v>
      </c>
      <c r="AH1092" s="1">
        <v>0</v>
      </c>
      <c r="AI1092" s="1">
        <v>1</v>
      </c>
      <c r="AJ1092" s="1">
        <v>0</v>
      </c>
      <c r="AK1092" s="1">
        <v>0</v>
      </c>
      <c r="AL1092" s="1">
        <v>176</v>
      </c>
      <c r="AM1092" s="2">
        <v>42005</v>
      </c>
      <c r="AN1092" t="str">
        <f t="shared" si="35"/>
        <v>36864,265,0.00718858506944444,0,1,53,204,5,39,17,0,89,3,5,2,4,8,0,0,0,0,0,0,1,63,51-66,2844,0,0,1,0,0,0,1,0,0,176,42005</v>
      </c>
    </row>
    <row r="1093" spans="1:40" ht="13" hidden="1" x14ac:dyDescent="0.15">
      <c r="A1093">
        <v>1420</v>
      </c>
      <c r="B1093" s="1">
        <v>23331</v>
      </c>
      <c r="C1093" s="1">
        <v>264</v>
      </c>
      <c r="D1093" s="4">
        <f t="shared" si="34"/>
        <v>1.1315417256011316E-2</v>
      </c>
      <c r="E1093" s="1">
        <v>1</v>
      </c>
      <c r="F1093" s="1">
        <v>0</v>
      </c>
      <c r="G1093" s="1">
        <v>97</v>
      </c>
      <c r="H1093" s="1">
        <v>104</v>
      </c>
      <c r="I1093" s="1">
        <v>20</v>
      </c>
      <c r="J1093" s="1">
        <v>101</v>
      </c>
      <c r="K1093" s="1">
        <v>24</v>
      </c>
      <c r="L1093" s="1">
        <v>15</v>
      </c>
      <c r="M1093" s="1">
        <v>5</v>
      </c>
      <c r="N1093" s="1">
        <v>6</v>
      </c>
      <c r="O1093" s="1">
        <v>5</v>
      </c>
      <c r="P1093" s="1">
        <v>1</v>
      </c>
      <c r="Q1093" s="1">
        <v>5</v>
      </c>
      <c r="R1093" s="1">
        <v>9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32</v>
      </c>
      <c r="AA1093" s="1" t="str" cm="1">
        <f t="array" ref="AA1093">_xlfn.IFS(AND(Z1093&lt;36, Z1093&gt;23), "24-35", AND(Z1093&lt;51, Z1093&gt;35),"36-50", AND(Z1093&lt;66, Z1093&gt;50), "51-66", Z1093&gt;65, "66+", TRUE, "?")</f>
        <v>24-35</v>
      </c>
      <c r="AB1093" s="1">
        <v>2791</v>
      </c>
      <c r="AC1093" s="1">
        <v>0</v>
      </c>
      <c r="AD1093" s="1">
        <v>0</v>
      </c>
      <c r="AE1093" s="1">
        <v>1</v>
      </c>
      <c r="AF1093" s="1">
        <v>0</v>
      </c>
      <c r="AG1093" s="1">
        <v>0</v>
      </c>
      <c r="AH1093" s="1">
        <v>1</v>
      </c>
      <c r="AI1093" s="1">
        <v>0</v>
      </c>
      <c r="AJ1093" s="1">
        <v>0</v>
      </c>
      <c r="AK1093" s="1">
        <v>0</v>
      </c>
      <c r="AL1093" s="1">
        <v>259</v>
      </c>
      <c r="AM1093" s="2">
        <v>42058</v>
      </c>
      <c r="AN1093" t="str">
        <f t="shared" si="35"/>
        <v>23331,264,0.0113154172560113,1,0,97,104,20,101,24,15,5,6,5,1,5,9,0,0,0,0,0,0,0,32,24-35,2791,0,0,1,0,0,1,0,0,0,259,42058</v>
      </c>
    </row>
    <row r="1094" spans="1:40" ht="13" hidden="1" x14ac:dyDescent="0.15">
      <c r="A1094">
        <v>1821</v>
      </c>
      <c r="B1094" s="1">
        <v>67506</v>
      </c>
      <c r="C1094" s="1">
        <v>264</v>
      </c>
      <c r="D1094" s="4">
        <f t="shared" si="34"/>
        <v>3.9107634876899833E-3</v>
      </c>
      <c r="E1094" s="1">
        <v>0</v>
      </c>
      <c r="F1094" s="1">
        <v>1</v>
      </c>
      <c r="G1094" s="1">
        <v>73</v>
      </c>
      <c r="H1094" s="1">
        <v>90</v>
      </c>
      <c r="I1094" s="1">
        <v>38</v>
      </c>
      <c r="J1094" s="1">
        <v>67</v>
      </c>
      <c r="K1094" s="1">
        <v>33</v>
      </c>
      <c r="L1094" s="1">
        <v>36</v>
      </c>
      <c r="M1094" s="1">
        <v>67</v>
      </c>
      <c r="N1094" s="1">
        <v>1</v>
      </c>
      <c r="O1094" s="1">
        <v>4</v>
      </c>
      <c r="P1094" s="1">
        <v>1</v>
      </c>
      <c r="Q1094" s="1">
        <v>6</v>
      </c>
      <c r="R1094" s="1">
        <v>3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40</v>
      </c>
      <c r="AA1094" s="1" t="str" cm="1">
        <f t="array" ref="AA1094">_xlfn.IFS(AND(Z1094&lt;36, Z1094&gt;23), "24-35", AND(Z1094&lt;51, Z1094&gt;35),"36-50", AND(Z1094&lt;66, Z1094&gt;50), "51-66", Z1094&gt;65, "66+", TRUE, "?")</f>
        <v>36-50</v>
      </c>
      <c r="AB1094" s="1">
        <v>2337</v>
      </c>
      <c r="AC1094" s="1">
        <v>0</v>
      </c>
      <c r="AD1094" s="1">
        <v>0</v>
      </c>
      <c r="AE1094" s="1">
        <v>1</v>
      </c>
      <c r="AF1094" s="1">
        <v>0</v>
      </c>
      <c r="AG1094" s="1">
        <v>0</v>
      </c>
      <c r="AH1094" s="1">
        <v>1</v>
      </c>
      <c r="AI1094" s="1">
        <v>0</v>
      </c>
      <c r="AJ1094" s="1">
        <v>0</v>
      </c>
      <c r="AK1094" s="1">
        <v>0</v>
      </c>
      <c r="AL1094" s="1">
        <v>197</v>
      </c>
      <c r="AM1094" s="2">
        <v>42512</v>
      </c>
      <c r="AN1094" t="str">
        <f t="shared" si="35"/>
        <v>67506,264,0.00391076348768998,0,1,73,90,38,67,33,36,67,1,4,1,6,3,0,0,0,0,0,0,0,40,36-50,2337,0,0,1,0,0,1,0,0,0,197,42512</v>
      </c>
    </row>
    <row r="1095" spans="1:40" ht="13" hidden="1" x14ac:dyDescent="0.15">
      <c r="A1095">
        <v>538</v>
      </c>
      <c r="B1095" s="1">
        <v>44989</v>
      </c>
      <c r="C1095" s="1">
        <v>263</v>
      </c>
      <c r="D1095" s="4">
        <f t="shared" si="34"/>
        <v>5.845873435728734E-3</v>
      </c>
      <c r="E1095" s="1">
        <v>0</v>
      </c>
      <c r="F1095" s="1">
        <v>1</v>
      </c>
      <c r="G1095" s="1">
        <v>26</v>
      </c>
      <c r="H1095" s="1">
        <v>98</v>
      </c>
      <c r="I1095" s="1">
        <v>0</v>
      </c>
      <c r="J1095" s="1">
        <v>106</v>
      </c>
      <c r="K1095" s="1">
        <v>49</v>
      </c>
      <c r="L1095" s="1">
        <v>10</v>
      </c>
      <c r="M1095" s="1">
        <v>106</v>
      </c>
      <c r="N1095" s="1">
        <v>5</v>
      </c>
      <c r="O1095" s="1">
        <v>5</v>
      </c>
      <c r="P1095" s="1">
        <v>1</v>
      </c>
      <c r="Q1095" s="1">
        <v>5</v>
      </c>
      <c r="R1095" s="1">
        <v>6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46</v>
      </c>
      <c r="AA1095" s="1" t="str" cm="1">
        <f t="array" ref="AA1095">_xlfn.IFS(AND(Z1095&lt;36, Z1095&gt;23), "24-35", AND(Z1095&lt;51, Z1095&gt;35),"36-50", AND(Z1095&lt;66, Z1095&gt;50), "51-66", Z1095&gt;65, "66+", TRUE, "?")</f>
        <v>36-50</v>
      </c>
      <c r="AB1095" s="1">
        <v>2814</v>
      </c>
      <c r="AC1095" s="1">
        <v>0</v>
      </c>
      <c r="AD1095" s="1">
        <v>1</v>
      </c>
      <c r="AE1095" s="1">
        <v>0</v>
      </c>
      <c r="AF1095" s="1">
        <v>0</v>
      </c>
      <c r="AG1095" s="1">
        <v>0</v>
      </c>
      <c r="AH1095" s="1">
        <v>0</v>
      </c>
      <c r="AI1095" s="1">
        <v>1</v>
      </c>
      <c r="AJ1095" s="1">
        <v>0</v>
      </c>
      <c r="AK1095" s="1">
        <v>0</v>
      </c>
      <c r="AL1095" s="1">
        <v>157</v>
      </c>
      <c r="AM1095" s="2">
        <v>42035</v>
      </c>
      <c r="AN1095" t="str">
        <f t="shared" si="35"/>
        <v>44989,263,0.00584587343572873,0,1,26,98,0,106,49,10,106,5,5,1,5,6,0,0,0,0,0,0,0,46,36-50,2814,0,1,0,0,0,0,1,0,0,157,42035</v>
      </c>
    </row>
    <row r="1096" spans="1:40" ht="13" x14ac:dyDescent="0.15">
      <c r="A1096">
        <v>1533</v>
      </c>
      <c r="B1096" s="1">
        <v>39660</v>
      </c>
      <c r="C1096" s="1">
        <v>263</v>
      </c>
      <c r="D1096" s="4">
        <f t="shared" si="34"/>
        <v>6.6313666162380229E-3</v>
      </c>
      <c r="E1096" s="1">
        <v>1</v>
      </c>
      <c r="F1096" s="1">
        <v>0</v>
      </c>
      <c r="G1096" s="1">
        <v>36</v>
      </c>
      <c r="H1096" s="1">
        <v>139</v>
      </c>
      <c r="I1096" s="1">
        <v>13</v>
      </c>
      <c r="J1096" s="1">
        <v>78</v>
      </c>
      <c r="K1096" s="1">
        <v>20</v>
      </c>
      <c r="L1096" s="1">
        <v>13</v>
      </c>
      <c r="M1096" s="1">
        <v>36</v>
      </c>
      <c r="N1096" s="1">
        <v>3</v>
      </c>
      <c r="O1096" s="1">
        <v>7</v>
      </c>
      <c r="P1096" s="1">
        <v>1</v>
      </c>
      <c r="Q1096" s="1">
        <v>3</v>
      </c>
      <c r="R1096" s="1">
        <v>9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38</v>
      </c>
      <c r="AA1096" s="1" t="str" cm="1">
        <f t="array" ref="AA1096">_xlfn.IFS(AND(Z1096&lt;36, Z1096&gt;23), "24-35", AND(Z1096&lt;51, Z1096&gt;35),"36-50", AND(Z1096&lt;66, Z1096&gt;50), "51-66", Z1096&gt;65, "66+", TRUE, "?")</f>
        <v>36-50</v>
      </c>
      <c r="AB1096" s="1">
        <v>2849</v>
      </c>
      <c r="AC1096" s="1">
        <v>0</v>
      </c>
      <c r="AD1096" s="1">
        <v>0</v>
      </c>
      <c r="AE1096" s="1">
        <v>1</v>
      </c>
      <c r="AF1096" s="1">
        <v>0</v>
      </c>
      <c r="AG1096" s="1">
        <v>0</v>
      </c>
      <c r="AH1096" s="1">
        <v>0</v>
      </c>
      <c r="AI1096" s="1">
        <v>1</v>
      </c>
      <c r="AJ1096" s="1">
        <v>0</v>
      </c>
      <c r="AK1096" s="1">
        <v>0</v>
      </c>
      <c r="AL1096" s="1">
        <v>227</v>
      </c>
      <c r="AM1096" s="2">
        <v>42000</v>
      </c>
      <c r="AN1096" t="str">
        <f t="shared" si="35"/>
        <v>39660,263,0.00663136661623802,1,0,36,139,13,78,20,13,36,3,7,1,3,9,0,0,0,0,0,0,1,38,36-50,2849,0,0,1,0,0,0,1,0,0,227,42000</v>
      </c>
    </row>
    <row r="1097" spans="1:40" ht="13" hidden="1" x14ac:dyDescent="0.15">
      <c r="A1097">
        <v>1829</v>
      </c>
      <c r="B1097" s="1">
        <v>68805</v>
      </c>
      <c r="C1097" s="1">
        <v>263</v>
      </c>
      <c r="D1097" s="4">
        <f t="shared" si="34"/>
        <v>3.8223966281520239E-3</v>
      </c>
      <c r="E1097" s="1">
        <v>0</v>
      </c>
      <c r="F1097" s="1">
        <v>1</v>
      </c>
      <c r="G1097" s="1">
        <v>73</v>
      </c>
      <c r="H1097" s="1">
        <v>182</v>
      </c>
      <c r="I1097" s="1">
        <v>2</v>
      </c>
      <c r="J1097" s="1">
        <v>49</v>
      </c>
      <c r="K1097" s="1">
        <v>17</v>
      </c>
      <c r="L1097" s="1">
        <v>13</v>
      </c>
      <c r="M1097" s="1">
        <v>20</v>
      </c>
      <c r="N1097" s="1">
        <v>1</v>
      </c>
      <c r="O1097" s="1">
        <v>3</v>
      </c>
      <c r="P1097" s="1">
        <v>1</v>
      </c>
      <c r="Q1097" s="1">
        <v>7</v>
      </c>
      <c r="R1097" s="1">
        <v>2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61</v>
      </c>
      <c r="AA1097" s="1" t="str" cm="1">
        <f t="array" ref="AA1097">_xlfn.IFS(AND(Z1097&lt;36, Z1097&gt;23), "24-35", AND(Z1097&lt;51, Z1097&gt;35),"36-50", AND(Z1097&lt;66, Z1097&gt;50), "51-66", Z1097&gt;65, "66+", TRUE, "?")</f>
        <v>51-66</v>
      </c>
      <c r="AB1097" s="1">
        <v>2444</v>
      </c>
      <c r="AC1097" s="1">
        <v>1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1</v>
      </c>
      <c r="AL1097" s="1">
        <v>243</v>
      </c>
      <c r="AM1097" s="2">
        <v>42405</v>
      </c>
      <c r="AN1097" t="str">
        <f t="shared" si="35"/>
        <v>68805,263,0.00382239662815202,0,1,73,182,2,49,17,13,20,1,3,1,7,2,0,0,0,0,0,0,0,61,51-66,2444,1,0,0,0,0,0,0,0,1,243,42405</v>
      </c>
    </row>
    <row r="1098" spans="1:40" ht="13" hidden="1" x14ac:dyDescent="0.15">
      <c r="A1098">
        <v>380</v>
      </c>
      <c r="B1098" s="1">
        <v>65808</v>
      </c>
      <c r="C1098" s="1">
        <v>262</v>
      </c>
      <c r="D1098" s="4">
        <f t="shared" si="34"/>
        <v>3.9812788718696819E-3</v>
      </c>
      <c r="E1098" s="1">
        <v>1</v>
      </c>
      <c r="F1098" s="1">
        <v>1</v>
      </c>
      <c r="G1098" s="1">
        <v>1</v>
      </c>
      <c r="H1098" s="1">
        <v>155</v>
      </c>
      <c r="I1098" s="1">
        <v>7</v>
      </c>
      <c r="J1098" s="1">
        <v>80</v>
      </c>
      <c r="K1098" s="1">
        <v>13</v>
      </c>
      <c r="L1098" s="1">
        <v>7</v>
      </c>
      <c r="M1098" s="1">
        <v>10</v>
      </c>
      <c r="N1098" s="1">
        <v>3</v>
      </c>
      <c r="O1098" s="1">
        <v>5</v>
      </c>
      <c r="P1098" s="1">
        <v>1</v>
      </c>
      <c r="Q1098" s="1">
        <v>5</v>
      </c>
      <c r="R1098" s="1">
        <v>6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49</v>
      </c>
      <c r="AA1098" s="1" t="str" cm="1">
        <f t="array" ref="AA1098">_xlfn.IFS(AND(Z1098&lt;36, Z1098&gt;23), "24-35", AND(Z1098&lt;51, Z1098&gt;35),"36-50", AND(Z1098&lt;66, Z1098&gt;50), "51-66", Z1098&gt;65, "66+", TRUE, "?")</f>
        <v>36-50</v>
      </c>
      <c r="AB1098" s="1">
        <v>2189</v>
      </c>
      <c r="AC1098" s="1">
        <v>1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1</v>
      </c>
      <c r="AL1098" s="1">
        <v>252</v>
      </c>
      <c r="AM1098" s="2">
        <v>42660</v>
      </c>
      <c r="AN1098" t="str">
        <f t="shared" si="35"/>
        <v>65808,262,0.00398127887186968,1,1,1,155,7,80,13,7,10,3,5,1,5,6,0,0,0,0,0,0,0,49,36-50,2189,1,0,0,0,0,0,0,0,1,252,42660</v>
      </c>
    </row>
    <row r="1099" spans="1:40" ht="13" hidden="1" x14ac:dyDescent="0.15">
      <c r="A1099">
        <v>790</v>
      </c>
      <c r="B1099" s="1">
        <v>40049</v>
      </c>
      <c r="C1099" s="1">
        <v>262</v>
      </c>
      <c r="D1099" s="4">
        <f t="shared" si="34"/>
        <v>6.5419860670678422E-3</v>
      </c>
      <c r="E1099" s="1">
        <v>0</v>
      </c>
      <c r="F1099" s="1">
        <v>1</v>
      </c>
      <c r="G1099" s="1">
        <v>61</v>
      </c>
      <c r="H1099" s="1">
        <v>91</v>
      </c>
      <c r="I1099" s="1">
        <v>65</v>
      </c>
      <c r="J1099" s="1">
        <v>52</v>
      </c>
      <c r="K1099" s="1">
        <v>10</v>
      </c>
      <c r="L1099" s="1">
        <v>44</v>
      </c>
      <c r="M1099" s="1">
        <v>28</v>
      </c>
      <c r="N1099" s="1">
        <v>3</v>
      </c>
      <c r="O1099" s="1">
        <v>3</v>
      </c>
      <c r="P1099" s="1">
        <v>2</v>
      </c>
      <c r="Q1099" s="1">
        <v>6</v>
      </c>
      <c r="R1099" s="1">
        <v>5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46</v>
      </c>
      <c r="AA1099" s="1" t="str" cm="1">
        <f t="array" ref="AA1099">_xlfn.IFS(AND(Z1099&lt;36, Z1099&gt;23), "24-35", AND(Z1099&lt;51, Z1099&gt;35),"36-50", AND(Z1099&lt;66, Z1099&gt;50), "51-66", Z1099&gt;65, "66+", TRUE, "?")</f>
        <v>36-50</v>
      </c>
      <c r="AB1099" s="1">
        <v>2736</v>
      </c>
      <c r="AC1099" s="1">
        <v>0</v>
      </c>
      <c r="AD1099" s="1">
        <v>1</v>
      </c>
      <c r="AE1099" s="1">
        <v>0</v>
      </c>
      <c r="AF1099" s="1">
        <v>0</v>
      </c>
      <c r="AG1099" s="1">
        <v>0</v>
      </c>
      <c r="AH1099" s="1">
        <v>0</v>
      </c>
      <c r="AI1099" s="1">
        <v>1</v>
      </c>
      <c r="AJ1099" s="1">
        <v>0</v>
      </c>
      <c r="AK1099" s="1">
        <v>0</v>
      </c>
      <c r="AL1099" s="1">
        <v>234</v>
      </c>
      <c r="AM1099" s="2">
        <v>42113</v>
      </c>
      <c r="AN1099" t="str">
        <f t="shared" si="35"/>
        <v>40049,262,0.00654198606706784,0,1,61,91,65,52,10,44,28,3,3,2,6,5,0,0,0,0,0,0,0,46,36-50,2736,0,1,0,0,0,0,1,0,0,234,42113</v>
      </c>
    </row>
    <row r="1100" spans="1:40" ht="13" hidden="1" x14ac:dyDescent="0.15">
      <c r="A1100">
        <v>1231</v>
      </c>
      <c r="B1100" s="1">
        <v>59060</v>
      </c>
      <c r="C1100" s="1">
        <v>262</v>
      </c>
      <c r="D1100" s="4">
        <f t="shared" si="34"/>
        <v>4.4361666102268882E-3</v>
      </c>
      <c r="E1100" s="1">
        <v>1</v>
      </c>
      <c r="F1100" s="1">
        <v>0</v>
      </c>
      <c r="G1100" s="1">
        <v>77</v>
      </c>
      <c r="H1100" s="1">
        <v>35</v>
      </c>
      <c r="I1100" s="1">
        <v>40</v>
      </c>
      <c r="J1100" s="1">
        <v>111</v>
      </c>
      <c r="K1100" s="1">
        <v>36</v>
      </c>
      <c r="L1100" s="1">
        <v>40</v>
      </c>
      <c r="M1100" s="1">
        <v>12</v>
      </c>
      <c r="N1100" s="1">
        <v>3</v>
      </c>
      <c r="O1100" s="1">
        <v>3</v>
      </c>
      <c r="P1100" s="1">
        <v>1</v>
      </c>
      <c r="Q1100" s="1">
        <v>7</v>
      </c>
      <c r="R1100" s="1">
        <v>4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31</v>
      </c>
      <c r="AA1100" s="1" t="str" cm="1">
        <f t="array" ref="AA1100">_xlfn.IFS(AND(Z1100&lt;36, Z1100&gt;23), "24-35", AND(Z1100&lt;51, Z1100&gt;35),"36-50", AND(Z1100&lt;66, Z1100&gt;50), "51-66", Z1100&gt;65, "66+", TRUE, "?")</f>
        <v>24-35</v>
      </c>
      <c r="AB1100" s="1">
        <v>2328</v>
      </c>
      <c r="AC1100" s="1">
        <v>0</v>
      </c>
      <c r="AD1100" s="1">
        <v>1</v>
      </c>
      <c r="AE1100" s="1">
        <v>0</v>
      </c>
      <c r="AF1100" s="1">
        <v>0</v>
      </c>
      <c r="AG1100" s="1">
        <v>0</v>
      </c>
      <c r="AH1100" s="1">
        <v>1</v>
      </c>
      <c r="AI1100" s="1">
        <v>0</v>
      </c>
      <c r="AJ1100" s="1">
        <v>0</v>
      </c>
      <c r="AK1100" s="1">
        <v>0</v>
      </c>
      <c r="AL1100" s="1">
        <v>250</v>
      </c>
      <c r="AM1100" s="2">
        <v>42521</v>
      </c>
      <c r="AN1100" t="str">
        <f t="shared" si="35"/>
        <v>59060,262,0.00443616661022689,1,0,77,35,40,111,36,40,12,3,3,1,7,4,0,0,0,0,0,0,0,31,24-35,2328,0,1,0,0,0,1,0,0,0,250,42521</v>
      </c>
    </row>
    <row r="1101" spans="1:40" ht="13" hidden="1" x14ac:dyDescent="0.15">
      <c r="A1101">
        <v>453</v>
      </c>
      <c r="B1101" s="1">
        <v>43057</v>
      </c>
      <c r="C1101" s="1">
        <v>261</v>
      </c>
      <c r="D1101" s="4">
        <f t="shared" si="34"/>
        <v>6.0617321225352443E-3</v>
      </c>
      <c r="E1101" s="1">
        <v>0</v>
      </c>
      <c r="F1101" s="1">
        <v>1</v>
      </c>
      <c r="G1101" s="1">
        <v>30</v>
      </c>
      <c r="H1101" s="1">
        <v>213</v>
      </c>
      <c r="I1101" s="1">
        <v>2</v>
      </c>
      <c r="J1101" s="1">
        <v>44</v>
      </c>
      <c r="K1101" s="1">
        <v>0</v>
      </c>
      <c r="L1101" s="1">
        <v>2</v>
      </c>
      <c r="M1101" s="1">
        <v>5</v>
      </c>
      <c r="N1101" s="1">
        <v>4</v>
      </c>
      <c r="O1101" s="1">
        <v>4</v>
      </c>
      <c r="P1101" s="1">
        <v>2</v>
      </c>
      <c r="Q1101" s="1">
        <v>5</v>
      </c>
      <c r="R1101" s="1">
        <v>5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45</v>
      </c>
      <c r="AA1101" s="1" t="str" cm="1">
        <f t="array" ref="AA1101">_xlfn.IFS(AND(Z1101&lt;36, Z1101&gt;23), "24-35", AND(Z1101&lt;51, Z1101&gt;35),"36-50", AND(Z1101&lt;66, Z1101&gt;50), "51-66", Z1101&gt;65, "66+", TRUE, "?")</f>
        <v>36-50</v>
      </c>
      <c r="AB1101" s="1">
        <v>2401</v>
      </c>
      <c r="AC1101" s="1">
        <v>0</v>
      </c>
      <c r="AD1101" s="1">
        <v>1</v>
      </c>
      <c r="AE1101" s="1">
        <v>0</v>
      </c>
      <c r="AF1101" s="1">
        <v>0</v>
      </c>
      <c r="AG1101" s="1">
        <v>0</v>
      </c>
      <c r="AH1101" s="1">
        <v>0</v>
      </c>
      <c r="AI1101" s="1">
        <v>1</v>
      </c>
      <c r="AJ1101" s="1">
        <v>0</v>
      </c>
      <c r="AK1101" s="1">
        <v>0</v>
      </c>
      <c r="AL1101" s="1">
        <v>256</v>
      </c>
      <c r="AM1101" s="2">
        <v>42448</v>
      </c>
      <c r="AN1101" t="str">
        <f t="shared" si="35"/>
        <v>43057,261,0.00606173212253524,0,1,30,213,2,44,0,2,5,4,4,2,5,5,0,0,0,0,0,0,0,45,36-50,2401,0,1,0,0,0,0,1,0,0,256,42448</v>
      </c>
    </row>
    <row r="1102" spans="1:40" ht="13" hidden="1" x14ac:dyDescent="0.15">
      <c r="A1102">
        <v>1220</v>
      </c>
      <c r="B1102" s="1">
        <v>44267</v>
      </c>
      <c r="C1102" s="1">
        <v>261</v>
      </c>
      <c r="D1102" s="4">
        <f t="shared" si="34"/>
        <v>5.8960399394582868E-3</v>
      </c>
      <c r="E1102" s="1">
        <v>1</v>
      </c>
      <c r="F1102" s="1">
        <v>1</v>
      </c>
      <c r="G1102" s="1">
        <v>48</v>
      </c>
      <c r="H1102" s="1">
        <v>183</v>
      </c>
      <c r="I1102" s="1">
        <v>5</v>
      </c>
      <c r="J1102" s="1">
        <v>65</v>
      </c>
      <c r="K1102" s="1">
        <v>3</v>
      </c>
      <c r="L1102" s="1">
        <v>5</v>
      </c>
      <c r="M1102" s="1">
        <v>49</v>
      </c>
      <c r="N1102" s="1">
        <v>5</v>
      </c>
      <c r="O1102" s="1">
        <v>5</v>
      </c>
      <c r="P1102" s="1">
        <v>2</v>
      </c>
      <c r="Q1102" s="1">
        <v>4</v>
      </c>
      <c r="R1102" s="1">
        <v>9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50</v>
      </c>
      <c r="AA1102" s="1" t="str" cm="1">
        <f t="array" ref="AA1102">_xlfn.IFS(AND(Z1102&lt;36, Z1102&gt;23), "24-35", AND(Z1102&lt;51, Z1102&gt;35),"36-50", AND(Z1102&lt;66, Z1102&gt;50), "51-66", Z1102&gt;65, "66+", TRUE, "?")</f>
        <v>36-50</v>
      </c>
      <c r="AB1102" s="1">
        <v>2648</v>
      </c>
      <c r="AC1102" s="1">
        <v>1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1</v>
      </c>
      <c r="AJ1102" s="1">
        <v>0</v>
      </c>
      <c r="AK1102" s="1">
        <v>0</v>
      </c>
      <c r="AL1102" s="1">
        <v>212</v>
      </c>
      <c r="AM1102" s="2">
        <v>42201</v>
      </c>
      <c r="AN1102" t="str">
        <f t="shared" si="35"/>
        <v>44267,261,0.00589603993945829,1,1,48,183,5,65,3,5,49,5,5,2,4,9,0,0,0,0,0,0,0,50,36-50,2648,1,0,0,0,0,0,1,0,0,212,42201</v>
      </c>
    </row>
    <row r="1103" spans="1:40" ht="13" hidden="1" x14ac:dyDescent="0.15">
      <c r="A1103">
        <v>1090</v>
      </c>
      <c r="B1103" s="1">
        <v>44375</v>
      </c>
      <c r="C1103" s="1">
        <v>260</v>
      </c>
      <c r="D1103" s="4">
        <f t="shared" si="34"/>
        <v>5.8591549295774646E-3</v>
      </c>
      <c r="E1103" s="1">
        <v>0</v>
      </c>
      <c r="F1103" s="1">
        <v>1</v>
      </c>
      <c r="G1103" s="1">
        <v>73</v>
      </c>
      <c r="H1103" s="1">
        <v>213</v>
      </c>
      <c r="I1103" s="1">
        <v>5</v>
      </c>
      <c r="J1103" s="1">
        <v>28</v>
      </c>
      <c r="K1103" s="1">
        <v>7</v>
      </c>
      <c r="L1103" s="1">
        <v>7</v>
      </c>
      <c r="M1103" s="1">
        <v>41</v>
      </c>
      <c r="N1103" s="1">
        <v>1</v>
      </c>
      <c r="O1103" s="1">
        <v>4</v>
      </c>
      <c r="P1103" s="1">
        <v>1</v>
      </c>
      <c r="Q1103" s="1">
        <v>6</v>
      </c>
      <c r="R1103" s="1">
        <v>5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55</v>
      </c>
      <c r="AA1103" s="1" t="str" cm="1">
        <f t="array" ref="AA1103">_xlfn.IFS(AND(Z1103&lt;36, Z1103&gt;23), "24-35", AND(Z1103&lt;51, Z1103&gt;35),"36-50", AND(Z1103&lt;66, Z1103&gt;50), "51-66", Z1103&gt;65, "66+", TRUE, "?")</f>
        <v>51-66</v>
      </c>
      <c r="AB1103" s="1">
        <v>2257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0</v>
      </c>
      <c r="AI1103" s="1">
        <v>1</v>
      </c>
      <c r="AJ1103" s="1">
        <v>0</v>
      </c>
      <c r="AK1103" s="1">
        <v>0</v>
      </c>
      <c r="AL1103" s="1">
        <v>219</v>
      </c>
      <c r="AM1103" s="2">
        <v>42592</v>
      </c>
      <c r="AN1103" t="str">
        <f t="shared" si="35"/>
        <v>44375,260,0.00585915492957746,0,1,73,213,5,28,7,7,41,1,4,1,6,5,0,0,0,0,0,0,0,55,51-66,2257,0,1,0,0,0,0,1,0,0,219,42592</v>
      </c>
    </row>
    <row r="1104" spans="1:40" ht="13" hidden="1" x14ac:dyDescent="0.15">
      <c r="A1104">
        <v>1483</v>
      </c>
      <c r="B1104" s="1">
        <v>33955</v>
      </c>
      <c r="C1104" s="1">
        <v>260</v>
      </c>
      <c r="D1104" s="4">
        <f t="shared" si="34"/>
        <v>7.6571933441319396E-3</v>
      </c>
      <c r="E1104" s="1">
        <v>1</v>
      </c>
      <c r="F1104" s="1">
        <v>0</v>
      </c>
      <c r="G1104" s="1">
        <v>92</v>
      </c>
      <c r="H1104" s="1">
        <v>100</v>
      </c>
      <c r="I1104" s="1">
        <v>2</v>
      </c>
      <c r="J1104" s="1">
        <v>128</v>
      </c>
      <c r="K1104" s="1">
        <v>23</v>
      </c>
      <c r="L1104" s="1">
        <v>7</v>
      </c>
      <c r="M1104" s="1">
        <v>10</v>
      </c>
      <c r="N1104" s="1">
        <v>4</v>
      </c>
      <c r="O1104" s="1">
        <v>5</v>
      </c>
      <c r="P1104" s="1">
        <v>1</v>
      </c>
      <c r="Q1104" s="1">
        <v>5</v>
      </c>
      <c r="R1104" s="1">
        <v>8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45</v>
      </c>
      <c r="AA1104" s="1" t="str" cm="1">
        <f t="array" ref="AA1104">_xlfn.IFS(AND(Z1104&lt;36, Z1104&gt;23), "24-35", AND(Z1104&lt;51, Z1104&gt;35),"36-50", AND(Z1104&lt;66, Z1104&gt;50), "51-66", Z1104&gt;65, "66+", TRUE, "?")</f>
        <v>36-50</v>
      </c>
      <c r="AB1104" s="1">
        <v>2483</v>
      </c>
      <c r="AC1104" s="1">
        <v>0</v>
      </c>
      <c r="AD1104" s="1">
        <v>0</v>
      </c>
      <c r="AE1104" s="1">
        <v>1</v>
      </c>
      <c r="AF1104" s="1">
        <v>0</v>
      </c>
      <c r="AG1104" s="1">
        <v>0</v>
      </c>
      <c r="AH1104" s="1">
        <v>0</v>
      </c>
      <c r="AI1104" s="1">
        <v>1</v>
      </c>
      <c r="AJ1104" s="1">
        <v>0</v>
      </c>
      <c r="AK1104" s="1">
        <v>0</v>
      </c>
      <c r="AL1104" s="1">
        <v>250</v>
      </c>
      <c r="AM1104" s="2">
        <v>42366</v>
      </c>
      <c r="AN1104" t="str">
        <f t="shared" si="35"/>
        <v>33955,260,0.00765719334413194,1,0,92,100,2,128,23,7,10,4,5,1,5,8,0,0,0,0,0,0,0,45,36-50,2483,0,0,1,0,0,0,1,0,0,250,42366</v>
      </c>
    </row>
    <row r="1105" spans="1:40" ht="13" hidden="1" x14ac:dyDescent="0.15">
      <c r="A1105">
        <v>1842</v>
      </c>
      <c r="B1105" s="1">
        <v>48195</v>
      </c>
      <c r="C1105" s="1">
        <v>260</v>
      </c>
      <c r="D1105" s="4">
        <f t="shared" si="34"/>
        <v>5.3947504927897086E-3</v>
      </c>
      <c r="E1105" s="1">
        <v>1</v>
      </c>
      <c r="F1105" s="1">
        <v>1</v>
      </c>
      <c r="G1105" s="1">
        <v>53</v>
      </c>
      <c r="H1105" s="1">
        <v>106</v>
      </c>
      <c r="I1105" s="1">
        <v>27</v>
      </c>
      <c r="J1105" s="1">
        <v>68</v>
      </c>
      <c r="K1105" s="1">
        <v>52</v>
      </c>
      <c r="L1105" s="1">
        <v>7</v>
      </c>
      <c r="M1105" s="1">
        <v>5</v>
      </c>
      <c r="N1105" s="1">
        <v>6</v>
      </c>
      <c r="O1105" s="1">
        <v>4</v>
      </c>
      <c r="P1105" s="1">
        <v>2</v>
      </c>
      <c r="Q1105" s="1">
        <v>5</v>
      </c>
      <c r="R1105" s="1">
        <v>6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64</v>
      </c>
      <c r="AA1105" s="1" t="str" cm="1">
        <f t="array" ref="AA1105">_xlfn.IFS(AND(Z1105&lt;36, Z1105&gt;23), "24-35", AND(Z1105&lt;51, Z1105&gt;35),"36-50", AND(Z1105&lt;66, Z1105&gt;50), "51-66", Z1105&gt;65, "66+", TRUE, "?")</f>
        <v>51-66</v>
      </c>
      <c r="AB1105" s="1">
        <v>2318</v>
      </c>
      <c r="AC1105" s="1">
        <v>0</v>
      </c>
      <c r="AD1105" s="1">
        <v>1</v>
      </c>
      <c r="AE1105" s="1">
        <v>0</v>
      </c>
      <c r="AF1105" s="1">
        <v>0</v>
      </c>
      <c r="AG1105" s="1">
        <v>0</v>
      </c>
      <c r="AH1105" s="1">
        <v>0</v>
      </c>
      <c r="AI1105" s="1">
        <v>1</v>
      </c>
      <c r="AJ1105" s="1">
        <v>0</v>
      </c>
      <c r="AK1105" s="1">
        <v>0</v>
      </c>
      <c r="AL1105" s="1">
        <v>255</v>
      </c>
      <c r="AM1105" s="2">
        <v>42531</v>
      </c>
      <c r="AN1105" t="str">
        <f t="shared" si="35"/>
        <v>48195,260,0.00539475049278971,1,1,53,106,27,68,52,7,5,6,4,2,5,6,0,0,0,0,0,0,0,64,51-66,2318,0,1,0,0,0,0,1,0,0,255,42531</v>
      </c>
    </row>
    <row r="1106" spans="1:40" ht="13" hidden="1" x14ac:dyDescent="0.15">
      <c r="A1106">
        <v>541</v>
      </c>
      <c r="B1106" s="1">
        <v>64413</v>
      </c>
      <c r="C1106" s="1">
        <v>259</v>
      </c>
      <c r="D1106" s="4">
        <f t="shared" si="34"/>
        <v>4.0209274525328737E-3</v>
      </c>
      <c r="E1106" s="1">
        <v>0</v>
      </c>
      <c r="F1106" s="1">
        <v>1</v>
      </c>
      <c r="G1106" s="1">
        <v>27</v>
      </c>
      <c r="H1106" s="1">
        <v>200</v>
      </c>
      <c r="I1106" s="1">
        <v>5</v>
      </c>
      <c r="J1106" s="1">
        <v>44</v>
      </c>
      <c r="K1106" s="1">
        <v>0</v>
      </c>
      <c r="L1106" s="1">
        <v>10</v>
      </c>
      <c r="M1106" s="1">
        <v>20</v>
      </c>
      <c r="N1106" s="1">
        <v>1</v>
      </c>
      <c r="O1106" s="1">
        <v>5</v>
      </c>
      <c r="P1106" s="1">
        <v>1</v>
      </c>
      <c r="Q1106" s="1">
        <v>5</v>
      </c>
      <c r="R1106" s="1">
        <v>5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50</v>
      </c>
      <c r="AA1106" s="1" t="str" cm="1">
        <f t="array" ref="AA1106">_xlfn.IFS(AND(Z1106&lt;36, Z1106&gt;23), "24-35", AND(Z1106&lt;51, Z1106&gt;35),"36-50", AND(Z1106&lt;66, Z1106&gt;50), "51-66", Z1106&gt;65, "66+", TRUE, "?")</f>
        <v>36-50</v>
      </c>
      <c r="AB1106" s="1">
        <v>2491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0</v>
      </c>
      <c r="AI1106" s="1">
        <v>0</v>
      </c>
      <c r="AJ1106" s="1">
        <v>0</v>
      </c>
      <c r="AK1106" s="1">
        <v>1</v>
      </c>
      <c r="AL1106" s="1">
        <v>239</v>
      </c>
      <c r="AM1106" s="2">
        <v>42358</v>
      </c>
      <c r="AN1106" t="str">
        <f t="shared" si="35"/>
        <v>64413,259,0.00402092745253287,0,1,27,200,5,44,0,10,20,1,5,1,5,5,0,0,0,0,0,0,0,50,36-50,2491,0,0,0,1,0,0,0,0,1,239,42358</v>
      </c>
    </row>
    <row r="1107" spans="1:40" ht="13" hidden="1" x14ac:dyDescent="0.15">
      <c r="A1107">
        <v>890</v>
      </c>
      <c r="B1107" s="1">
        <v>68274</v>
      </c>
      <c r="C1107" s="1">
        <v>259</v>
      </c>
      <c r="D1107" s="4">
        <f t="shared" si="34"/>
        <v>3.7935378035562585E-3</v>
      </c>
      <c r="E1107" s="1">
        <v>1</v>
      </c>
      <c r="F1107" s="1">
        <v>1</v>
      </c>
      <c r="G1107" s="1">
        <v>83</v>
      </c>
      <c r="H1107" s="1">
        <v>135</v>
      </c>
      <c r="I1107" s="1">
        <v>25</v>
      </c>
      <c r="J1107" s="1">
        <v>51</v>
      </c>
      <c r="K1107" s="1">
        <v>23</v>
      </c>
      <c r="L1107" s="1">
        <v>25</v>
      </c>
      <c r="M1107" s="1">
        <v>46</v>
      </c>
      <c r="N1107" s="1">
        <v>2</v>
      </c>
      <c r="O1107" s="1">
        <v>4</v>
      </c>
      <c r="P1107" s="1">
        <v>2</v>
      </c>
      <c r="Q1107" s="1">
        <v>5</v>
      </c>
      <c r="R1107" s="1">
        <v>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41</v>
      </c>
      <c r="AA1107" s="1" t="str" cm="1">
        <f t="array" ref="AA1107">_xlfn.IFS(AND(Z1107&lt;36, Z1107&gt;23), "24-35", AND(Z1107&lt;51, Z1107&gt;35),"36-50", AND(Z1107&lt;66, Z1107&gt;50), "51-66", Z1107&gt;65, "66+", TRUE, "?")</f>
        <v>36-50</v>
      </c>
      <c r="AB1107" s="1">
        <v>2431</v>
      </c>
      <c r="AC1107" s="1">
        <v>1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1</v>
      </c>
      <c r="AJ1107" s="1">
        <v>0</v>
      </c>
      <c r="AK1107" s="1">
        <v>0</v>
      </c>
      <c r="AL1107" s="1">
        <v>213</v>
      </c>
      <c r="AM1107" s="2">
        <v>42418</v>
      </c>
      <c r="AN1107" t="str">
        <f t="shared" si="35"/>
        <v>68274,259,0.00379353780355626,1,1,83,135,25,51,23,25,46,2,4,2,5,3,0,0,0,0,0,0,0,41,36-50,2431,1,0,0,0,0,0,1,0,0,213,42418</v>
      </c>
    </row>
    <row r="1108" spans="1:40" ht="13" hidden="1" x14ac:dyDescent="0.15">
      <c r="A1108">
        <v>1054</v>
      </c>
      <c r="B1108" s="1">
        <v>52034</v>
      </c>
      <c r="C1108" s="1">
        <v>259</v>
      </c>
      <c r="D1108" s="4">
        <f t="shared" si="34"/>
        <v>4.977514701925664E-3</v>
      </c>
      <c r="E1108" s="1">
        <v>1</v>
      </c>
      <c r="F1108" s="1">
        <v>1</v>
      </c>
      <c r="G1108" s="1">
        <v>67</v>
      </c>
      <c r="H1108" s="1">
        <v>146</v>
      </c>
      <c r="I1108" s="1">
        <v>0</v>
      </c>
      <c r="J1108" s="1">
        <v>93</v>
      </c>
      <c r="K1108" s="1">
        <v>7</v>
      </c>
      <c r="L1108" s="1">
        <v>13</v>
      </c>
      <c r="M1108" s="1">
        <v>73</v>
      </c>
      <c r="N1108" s="1">
        <v>5</v>
      </c>
      <c r="O1108" s="1">
        <v>4</v>
      </c>
      <c r="P1108" s="1">
        <v>2</v>
      </c>
      <c r="Q1108" s="1">
        <v>5</v>
      </c>
      <c r="R1108" s="1">
        <v>7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47</v>
      </c>
      <c r="AA1108" s="1" t="str" cm="1">
        <f t="array" ref="AA1108">_xlfn.IFS(AND(Z1108&lt;36, Z1108&gt;23), "24-35", AND(Z1108&lt;51, Z1108&gt;35),"36-50", AND(Z1108&lt;66, Z1108&gt;50), "51-66", Z1108&gt;65, "66+", TRUE, "?")</f>
        <v>36-50</v>
      </c>
      <c r="AB1108" s="1">
        <v>2567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1</v>
      </c>
      <c r="AK1108" s="1">
        <v>0</v>
      </c>
      <c r="AL1108" s="1">
        <v>186</v>
      </c>
      <c r="AM1108" s="2">
        <v>42282</v>
      </c>
      <c r="AN1108" t="str">
        <f t="shared" si="35"/>
        <v>52034,259,0.00497751470192566,1,1,67,146,0,93,7,13,73,5,4,2,5,7,0,0,0,0,0,0,0,47,36-50,2567,1,0,0,0,0,0,0,1,0,186,42282</v>
      </c>
    </row>
    <row r="1109" spans="1:40" ht="13" x14ac:dyDescent="0.15">
      <c r="A1109">
        <v>1546</v>
      </c>
      <c r="B1109" s="1">
        <v>46610</v>
      </c>
      <c r="C1109" s="1">
        <v>259</v>
      </c>
      <c r="D1109" s="4">
        <f t="shared" si="34"/>
        <v>5.5567474790817421E-3</v>
      </c>
      <c r="E1109" s="1">
        <v>0</v>
      </c>
      <c r="F1109" s="1">
        <v>2</v>
      </c>
      <c r="G1109" s="1">
        <v>8</v>
      </c>
      <c r="H1109" s="1">
        <v>96</v>
      </c>
      <c r="I1109" s="1">
        <v>12</v>
      </c>
      <c r="J1109" s="1">
        <v>96</v>
      </c>
      <c r="K1109" s="1">
        <v>33</v>
      </c>
      <c r="L1109" s="1">
        <v>22</v>
      </c>
      <c r="M1109" s="1">
        <v>43</v>
      </c>
      <c r="N1109" s="1">
        <v>6</v>
      </c>
      <c r="O1109" s="1">
        <v>4</v>
      </c>
      <c r="P1109" s="1">
        <v>1</v>
      </c>
      <c r="Q1109" s="1">
        <v>6</v>
      </c>
      <c r="R1109" s="1">
        <v>6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1</v>
      </c>
      <c r="Z1109" s="1">
        <v>68</v>
      </c>
      <c r="AA1109" s="1" t="str" cm="1">
        <f t="array" ref="AA1109">_xlfn.IFS(AND(Z1109&lt;36, Z1109&gt;23), "24-35", AND(Z1109&lt;51, Z1109&gt;35),"36-50", AND(Z1109&lt;66, Z1109&gt;50), "51-66", Z1109&gt;65, "66+", TRUE, "?")</f>
        <v>66+</v>
      </c>
      <c r="AB1109" s="1">
        <v>2767</v>
      </c>
      <c r="AC1109" s="1">
        <v>1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1</v>
      </c>
      <c r="AL1109" s="1">
        <v>216</v>
      </c>
      <c r="AM1109" s="2">
        <v>42082</v>
      </c>
      <c r="AN1109" t="str">
        <f t="shared" si="35"/>
        <v>46610,259,0.00555674747908174,0,2,8,96,12,96,33,22,43,6,4,1,6,6,0,0,0,0,0,0,1,68,66+,2767,1,0,0,0,0,0,0,0,1,216,42082</v>
      </c>
    </row>
    <row r="1110" spans="1:40" ht="13" hidden="1" x14ac:dyDescent="0.15">
      <c r="A1110">
        <v>1565</v>
      </c>
      <c r="B1110" s="1">
        <v>52117</v>
      </c>
      <c r="C1110" s="1">
        <v>259</v>
      </c>
      <c r="D1110" s="4">
        <f t="shared" si="34"/>
        <v>4.9695876585375215E-3</v>
      </c>
      <c r="E1110" s="1">
        <v>0</v>
      </c>
      <c r="F1110" s="1">
        <v>1</v>
      </c>
      <c r="G1110" s="1">
        <v>55</v>
      </c>
      <c r="H1110" s="1">
        <v>112</v>
      </c>
      <c r="I1110" s="1">
        <v>10</v>
      </c>
      <c r="J1110" s="1">
        <v>107</v>
      </c>
      <c r="K1110" s="1">
        <v>30</v>
      </c>
      <c r="L1110" s="1">
        <v>0</v>
      </c>
      <c r="M1110" s="1">
        <v>20</v>
      </c>
      <c r="N1110" s="1">
        <v>2</v>
      </c>
      <c r="O1110" s="1">
        <v>5</v>
      </c>
      <c r="P1110" s="1">
        <v>2</v>
      </c>
      <c r="Q1110" s="1">
        <v>4</v>
      </c>
      <c r="R1110" s="1">
        <v>7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55</v>
      </c>
      <c r="AA1110" s="1" t="str" cm="1">
        <f t="array" ref="AA1110">_xlfn.IFS(AND(Z1110&lt;36, Z1110&gt;23), "24-35", AND(Z1110&lt;51, Z1110&gt;35),"36-50", AND(Z1110&lt;66, Z1110&gt;50), "51-66", Z1110&gt;65, "66+", TRUE, "?")</f>
        <v>51-66</v>
      </c>
      <c r="AB1110" s="1">
        <v>2841</v>
      </c>
      <c r="AC1110" s="1">
        <v>0</v>
      </c>
      <c r="AD1110" s="1">
        <v>0</v>
      </c>
      <c r="AE1110" s="1">
        <v>0</v>
      </c>
      <c r="AF1110" s="1">
        <v>1</v>
      </c>
      <c r="AG1110" s="1">
        <v>0</v>
      </c>
      <c r="AH1110" s="1">
        <v>0</v>
      </c>
      <c r="AI1110" s="1">
        <v>1</v>
      </c>
      <c r="AJ1110" s="1">
        <v>0</v>
      </c>
      <c r="AK1110" s="1">
        <v>0</v>
      </c>
      <c r="AL1110" s="1">
        <v>239</v>
      </c>
      <c r="AM1110" s="2">
        <v>42008</v>
      </c>
      <c r="AN1110" t="str">
        <f t="shared" si="35"/>
        <v>52117,259,0.00496958765853752,0,1,55,112,10,107,30,0,20,2,5,2,4,7,0,0,0,0,0,0,0,55,51-66,2841,0,0,0,1,0,0,1,0,0,239,42008</v>
      </c>
    </row>
    <row r="1111" spans="1:40" ht="13" hidden="1" x14ac:dyDescent="0.15">
      <c r="A1111">
        <v>744</v>
      </c>
      <c r="B1111" s="1">
        <v>51267</v>
      </c>
      <c r="C1111" s="1">
        <v>258</v>
      </c>
      <c r="D1111" s="4">
        <f t="shared" si="34"/>
        <v>5.0324770320088943E-3</v>
      </c>
      <c r="E1111" s="1">
        <v>1</v>
      </c>
      <c r="F1111" s="1">
        <v>1</v>
      </c>
      <c r="G1111" s="1">
        <v>37</v>
      </c>
      <c r="H1111" s="1">
        <v>183</v>
      </c>
      <c r="I1111" s="1">
        <v>2</v>
      </c>
      <c r="J1111" s="1">
        <v>64</v>
      </c>
      <c r="K1111" s="1">
        <v>7</v>
      </c>
      <c r="L1111" s="1">
        <v>2</v>
      </c>
      <c r="M1111" s="1">
        <v>12</v>
      </c>
      <c r="N1111" s="1">
        <v>4</v>
      </c>
      <c r="O1111" s="1">
        <v>3</v>
      </c>
      <c r="P1111" s="1">
        <v>3</v>
      </c>
      <c r="Q1111" s="1">
        <v>5</v>
      </c>
      <c r="R1111" s="1">
        <v>4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42</v>
      </c>
      <c r="AA1111" s="1" t="str" cm="1">
        <f t="array" ref="AA1111">_xlfn.IFS(AND(Z1111&lt;36, Z1111&gt;23), "24-35", AND(Z1111&lt;51, Z1111&gt;35),"36-50", AND(Z1111&lt;66, Z1111&gt;50), "51-66", Z1111&gt;65, "66+", TRUE, "?")</f>
        <v>36-50</v>
      </c>
      <c r="AB1111" s="1">
        <v>2402</v>
      </c>
      <c r="AC1111" s="1">
        <v>0</v>
      </c>
      <c r="AD1111" s="1">
        <v>1</v>
      </c>
      <c r="AE1111" s="1">
        <v>0</v>
      </c>
      <c r="AF1111" s="1">
        <v>0</v>
      </c>
      <c r="AG1111" s="1">
        <v>0</v>
      </c>
      <c r="AH1111" s="1">
        <v>0</v>
      </c>
      <c r="AI1111" s="1">
        <v>1</v>
      </c>
      <c r="AJ1111" s="1">
        <v>0</v>
      </c>
      <c r="AK1111" s="1">
        <v>0</v>
      </c>
      <c r="AL1111" s="1">
        <v>246</v>
      </c>
      <c r="AM1111" s="2">
        <v>42447</v>
      </c>
      <c r="AN1111" t="str">
        <f t="shared" si="35"/>
        <v>51267,258,0.00503247703200889,1,1,37,183,2,64,7,2,12,4,3,3,5,4,0,0,0,0,0,0,0,42,36-50,2402,0,1,0,0,0,0,1,0,0,246,42447</v>
      </c>
    </row>
    <row r="1112" spans="1:40" ht="13" hidden="1" x14ac:dyDescent="0.15">
      <c r="A1112">
        <v>798</v>
      </c>
      <c r="B1112" s="1">
        <v>49166</v>
      </c>
      <c r="C1112" s="1">
        <v>258</v>
      </c>
      <c r="D1112" s="4">
        <f t="shared" si="34"/>
        <v>5.2475287800512549E-3</v>
      </c>
      <c r="E1112" s="1">
        <v>0</v>
      </c>
      <c r="F1112" s="1">
        <v>1</v>
      </c>
      <c r="G1112" s="1">
        <v>17</v>
      </c>
      <c r="H1112" s="1">
        <v>224</v>
      </c>
      <c r="I1112" s="1">
        <v>2</v>
      </c>
      <c r="J1112" s="1">
        <v>25</v>
      </c>
      <c r="K1112" s="1">
        <v>7</v>
      </c>
      <c r="L1112" s="1">
        <v>0</v>
      </c>
      <c r="M1112" s="1">
        <v>110</v>
      </c>
      <c r="N1112" s="1">
        <v>2</v>
      </c>
      <c r="O1112" s="1">
        <v>5</v>
      </c>
      <c r="P1112" s="1">
        <v>3</v>
      </c>
      <c r="Q1112" s="1">
        <v>3</v>
      </c>
      <c r="R1112" s="1">
        <v>6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46</v>
      </c>
      <c r="AA1112" s="1" t="str" cm="1">
        <f t="array" ref="AA1112">_xlfn.IFS(AND(Z1112&lt;36, Z1112&gt;23), "24-35", AND(Z1112&lt;51, Z1112&gt;35),"36-50", AND(Z1112&lt;66, Z1112&gt;50), "51-66", Z1112&gt;65, "66+", TRUE, "?")</f>
        <v>36-50</v>
      </c>
      <c r="AB1112" s="1">
        <v>2540</v>
      </c>
      <c r="AC1112" s="1">
        <v>0</v>
      </c>
      <c r="AD1112" s="1">
        <v>0</v>
      </c>
      <c r="AE1112" s="1">
        <v>1</v>
      </c>
      <c r="AF1112" s="1">
        <v>0</v>
      </c>
      <c r="AG1112" s="1">
        <v>0</v>
      </c>
      <c r="AH1112" s="1">
        <v>0</v>
      </c>
      <c r="AI1112" s="1">
        <v>1</v>
      </c>
      <c r="AJ1112" s="1">
        <v>0</v>
      </c>
      <c r="AK1112" s="1">
        <v>0</v>
      </c>
      <c r="AL1112" s="1">
        <v>148</v>
      </c>
      <c r="AM1112" s="2">
        <v>42309</v>
      </c>
      <c r="AN1112" t="str">
        <f t="shared" si="35"/>
        <v>49166,258,0.00524752878005125,0,1,17,224,2,25,7,0,110,2,5,3,3,6,0,0,0,0,0,0,0,46,36-50,2540,0,0,1,0,0,0,1,0,0,148,42309</v>
      </c>
    </row>
    <row r="1113" spans="1:40" ht="13" hidden="1" x14ac:dyDescent="0.15">
      <c r="A1113">
        <v>808</v>
      </c>
      <c r="B1113" s="1">
        <v>44602</v>
      </c>
      <c r="C1113" s="1">
        <v>258</v>
      </c>
      <c r="D1113" s="4">
        <f t="shared" si="34"/>
        <v>5.7844939688803197E-3</v>
      </c>
      <c r="E1113" s="1">
        <v>1</v>
      </c>
      <c r="F1113" s="1">
        <v>1</v>
      </c>
      <c r="G1113" s="1">
        <v>35</v>
      </c>
      <c r="H1113" s="1">
        <v>167</v>
      </c>
      <c r="I1113" s="1">
        <v>2</v>
      </c>
      <c r="J1113" s="1">
        <v>89</v>
      </c>
      <c r="K1113" s="1">
        <v>0</v>
      </c>
      <c r="L1113" s="1">
        <v>0</v>
      </c>
      <c r="M1113" s="1">
        <v>34</v>
      </c>
      <c r="N1113" s="1">
        <v>6</v>
      </c>
      <c r="O1113" s="1">
        <v>6</v>
      </c>
      <c r="P1113" s="1">
        <v>1</v>
      </c>
      <c r="Q1113" s="1">
        <v>4</v>
      </c>
      <c r="R1113" s="1">
        <v>8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51</v>
      </c>
      <c r="AA1113" s="1" t="str" cm="1">
        <f t="array" ref="AA1113">_xlfn.IFS(AND(Z1113&lt;36, Z1113&gt;23), "24-35", AND(Z1113&lt;51, Z1113&gt;35),"36-50", AND(Z1113&lt;66, Z1113&gt;50), "51-66", Z1113&gt;65, "66+", TRUE, "?")</f>
        <v>51-66</v>
      </c>
      <c r="AB1113" s="1">
        <v>2293</v>
      </c>
      <c r="AC1113" s="1">
        <v>0</v>
      </c>
      <c r="AD1113" s="1">
        <v>0</v>
      </c>
      <c r="AE1113" s="1">
        <v>0</v>
      </c>
      <c r="AF1113" s="1">
        <v>1</v>
      </c>
      <c r="AG1113" s="1">
        <v>0</v>
      </c>
      <c r="AH1113" s="1">
        <v>0</v>
      </c>
      <c r="AI1113" s="1">
        <v>0</v>
      </c>
      <c r="AJ1113" s="1">
        <v>1</v>
      </c>
      <c r="AK1113" s="1">
        <v>0</v>
      </c>
      <c r="AL1113" s="1">
        <v>224</v>
      </c>
      <c r="AM1113" s="2">
        <v>42556</v>
      </c>
      <c r="AN1113" t="str">
        <f t="shared" si="35"/>
        <v>44602,258,0.00578449396888032,1,1,35,167,2,89,0,0,34,6,6,1,4,8,0,0,0,0,0,0,0,51,51-66,2293,0,0,0,1,0,0,0,1,0,224,42556</v>
      </c>
    </row>
    <row r="1114" spans="1:40" ht="13" hidden="1" x14ac:dyDescent="0.15">
      <c r="A1114">
        <v>943</v>
      </c>
      <c r="B1114" s="1">
        <v>36930</v>
      </c>
      <c r="C1114" s="1">
        <v>258</v>
      </c>
      <c r="D1114" s="4">
        <f t="shared" si="34"/>
        <v>6.9861900893582454E-3</v>
      </c>
      <c r="E1114" s="1">
        <v>0</v>
      </c>
      <c r="F1114" s="1">
        <v>1</v>
      </c>
      <c r="G1114" s="1">
        <v>50</v>
      </c>
      <c r="H1114" s="1">
        <v>223</v>
      </c>
      <c r="I1114" s="1">
        <v>2</v>
      </c>
      <c r="J1114" s="1">
        <v>31</v>
      </c>
      <c r="K1114" s="1">
        <v>0</v>
      </c>
      <c r="L1114" s="1">
        <v>2</v>
      </c>
      <c r="M1114" s="1">
        <v>39</v>
      </c>
      <c r="N1114" s="1">
        <v>5</v>
      </c>
      <c r="O1114" s="1">
        <v>5</v>
      </c>
      <c r="P1114" s="1">
        <v>2</v>
      </c>
      <c r="Q1114" s="1">
        <v>4</v>
      </c>
      <c r="R1114" s="1">
        <v>8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66</v>
      </c>
      <c r="AA1114" s="1" t="str" cm="1">
        <f t="array" ref="AA1114">_xlfn.IFS(AND(Z1114&lt;36, Z1114&gt;23), "24-35", AND(Z1114&lt;51, Z1114&gt;35),"36-50", AND(Z1114&lt;66, Z1114&gt;50), "51-66", Z1114&gt;65, "66+", TRUE, "?")</f>
        <v>66+</v>
      </c>
      <c r="AB1114" s="1">
        <v>2567</v>
      </c>
      <c r="AC1114" s="1">
        <v>0</v>
      </c>
      <c r="AD1114" s="1">
        <v>1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1</v>
      </c>
      <c r="AL1114" s="1">
        <v>219</v>
      </c>
      <c r="AM1114" s="2">
        <v>42282</v>
      </c>
      <c r="AN1114" t="str">
        <f t="shared" si="35"/>
        <v>36930,258,0.00698619008935825,0,1,50,223,2,31,0,2,39,5,5,2,4,8,0,0,0,0,0,0,0,66,66+,2567,0,1,0,0,0,0,0,0,1,219,42282</v>
      </c>
    </row>
    <row r="1115" spans="1:40" ht="13" hidden="1" x14ac:dyDescent="0.15">
      <c r="A1115">
        <v>1416</v>
      </c>
      <c r="B1115" s="1">
        <v>53083</v>
      </c>
      <c r="C1115" s="1">
        <v>258</v>
      </c>
      <c r="D1115" s="4">
        <f t="shared" si="34"/>
        <v>4.8603130945877211E-3</v>
      </c>
      <c r="E1115" s="1">
        <v>1</v>
      </c>
      <c r="F1115" s="1">
        <v>1</v>
      </c>
      <c r="G1115" s="1">
        <v>65</v>
      </c>
      <c r="H1115" s="1">
        <v>215</v>
      </c>
      <c r="I1115" s="1">
        <v>7</v>
      </c>
      <c r="J1115" s="1">
        <v>33</v>
      </c>
      <c r="K1115" s="1">
        <v>3</v>
      </c>
      <c r="L1115" s="1">
        <v>0</v>
      </c>
      <c r="M1115" s="1">
        <v>13</v>
      </c>
      <c r="N1115" s="1">
        <v>6</v>
      </c>
      <c r="O1115" s="1">
        <v>5</v>
      </c>
      <c r="P1115" s="1">
        <v>1</v>
      </c>
      <c r="Q1115" s="1">
        <v>5</v>
      </c>
      <c r="R1115" s="1">
        <v>7</v>
      </c>
      <c r="S1115" s="1">
        <v>0</v>
      </c>
      <c r="T1115" s="1">
        <v>0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62</v>
      </c>
      <c r="AA1115" s="1" t="str" cm="1">
        <f t="array" ref="AA1115">_xlfn.IFS(AND(Z1115&lt;36, Z1115&gt;23), "24-35", AND(Z1115&lt;51, Z1115&gt;35),"36-50", AND(Z1115&lt;66, Z1115&gt;50), "51-66", Z1115&gt;65, "66+", TRUE, "?")</f>
        <v>51-66</v>
      </c>
      <c r="AB1115" s="1">
        <v>2569</v>
      </c>
      <c r="AC1115" s="1">
        <v>0</v>
      </c>
      <c r="AD1115" s="1">
        <v>0</v>
      </c>
      <c r="AE1115" s="1">
        <v>0</v>
      </c>
      <c r="AF1115" s="1">
        <v>1</v>
      </c>
      <c r="AG1115" s="1">
        <v>0</v>
      </c>
      <c r="AH1115" s="1">
        <v>1</v>
      </c>
      <c r="AI1115" s="1">
        <v>0</v>
      </c>
      <c r="AJ1115" s="1">
        <v>0</v>
      </c>
      <c r="AK1115" s="1">
        <v>0</v>
      </c>
      <c r="AL1115" s="1">
        <v>245</v>
      </c>
      <c r="AM1115" s="2">
        <v>42280</v>
      </c>
      <c r="AN1115" t="str">
        <f t="shared" si="35"/>
        <v>53083,258,0.00486031309458772,1,1,65,215,7,33,3,0,13,6,5,1,5,7,0,0,0,1,0,0,0,62,51-66,2569,0,0,0,1,0,1,0,0,0,245,42280</v>
      </c>
    </row>
    <row r="1116" spans="1:40" ht="13" hidden="1" x14ac:dyDescent="0.15">
      <c r="A1116">
        <v>1544</v>
      </c>
      <c r="B1116" s="1">
        <v>49413</v>
      </c>
      <c r="C1116" s="1">
        <v>258</v>
      </c>
      <c r="D1116" s="4">
        <f t="shared" si="34"/>
        <v>5.2212980389775973E-3</v>
      </c>
      <c r="E1116" s="1">
        <v>0</v>
      </c>
      <c r="F1116" s="1">
        <v>1</v>
      </c>
      <c r="G1116" s="1">
        <v>88</v>
      </c>
      <c r="H1116" s="1">
        <v>205</v>
      </c>
      <c r="I1116" s="1">
        <v>7</v>
      </c>
      <c r="J1116" s="1">
        <v>41</v>
      </c>
      <c r="K1116" s="1">
        <v>3</v>
      </c>
      <c r="L1116" s="1">
        <v>2</v>
      </c>
      <c r="M1116" s="1">
        <v>46</v>
      </c>
      <c r="N1116" s="1">
        <v>2</v>
      </c>
      <c r="O1116" s="1">
        <v>4</v>
      </c>
      <c r="P1116" s="1">
        <v>2</v>
      </c>
      <c r="Q1116" s="1">
        <v>5</v>
      </c>
      <c r="R1116" s="1">
        <v>5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68</v>
      </c>
      <c r="AA1116" s="1" t="str" cm="1">
        <f t="array" ref="AA1116">_xlfn.IFS(AND(Z1116&lt;36, Z1116&gt;23), "24-35", AND(Z1116&lt;51, Z1116&gt;35),"36-50", AND(Z1116&lt;66, Z1116&gt;50), "51-66", Z1116&gt;65, "66+", TRUE, "?")</f>
        <v>66+</v>
      </c>
      <c r="AB1116" s="1">
        <v>2406</v>
      </c>
      <c r="AC1116" s="1">
        <v>0</v>
      </c>
      <c r="AD1116" s="1">
        <v>1</v>
      </c>
      <c r="AE1116" s="1">
        <v>0</v>
      </c>
      <c r="AF1116" s="1">
        <v>0</v>
      </c>
      <c r="AG1116" s="1">
        <v>0</v>
      </c>
      <c r="AH1116" s="1">
        <v>0</v>
      </c>
      <c r="AI1116" s="1">
        <v>1</v>
      </c>
      <c r="AJ1116" s="1">
        <v>0</v>
      </c>
      <c r="AK1116" s="1">
        <v>0</v>
      </c>
      <c r="AL1116" s="1">
        <v>212</v>
      </c>
      <c r="AM1116" s="2">
        <v>42443</v>
      </c>
      <c r="AN1116" t="str">
        <f t="shared" si="35"/>
        <v>49413,258,0.0052212980389776,0,1,88,205,7,41,3,2,46,2,4,2,5,5,0,0,0,0,0,0,0,68,66+,2406,0,1,0,0,0,0,1,0,0,212,42443</v>
      </c>
    </row>
    <row r="1117" spans="1:40" ht="13" hidden="1" x14ac:dyDescent="0.15">
      <c r="A1117">
        <v>153</v>
      </c>
      <c r="B1117" s="1">
        <v>52332</v>
      </c>
      <c r="C1117" s="1">
        <v>257</v>
      </c>
      <c r="D1117" s="4">
        <f t="shared" si="34"/>
        <v>4.9109531453030647E-3</v>
      </c>
      <c r="E1117" s="1">
        <v>0</v>
      </c>
      <c r="F1117" s="1">
        <v>0</v>
      </c>
      <c r="G1117" s="1">
        <v>63</v>
      </c>
      <c r="H1117" s="1">
        <v>212</v>
      </c>
      <c r="I1117" s="1">
        <v>5</v>
      </c>
      <c r="J1117" s="1">
        <v>33</v>
      </c>
      <c r="K1117" s="1">
        <v>7</v>
      </c>
      <c r="L1117" s="1">
        <v>0</v>
      </c>
      <c r="M1117" s="1">
        <v>2</v>
      </c>
      <c r="N1117" s="1">
        <v>1</v>
      </c>
      <c r="O1117" s="1">
        <v>3</v>
      </c>
      <c r="P1117" s="1">
        <v>2</v>
      </c>
      <c r="Q1117" s="1">
        <v>6</v>
      </c>
      <c r="R1117" s="1">
        <v>4</v>
      </c>
      <c r="S1117" s="1">
        <v>0</v>
      </c>
      <c r="T1117" s="1">
        <v>0</v>
      </c>
      <c r="U1117" s="1">
        <v>0</v>
      </c>
      <c r="V1117" s="1">
        <v>1</v>
      </c>
      <c r="W1117" s="1">
        <v>0</v>
      </c>
      <c r="X1117" s="1">
        <v>0</v>
      </c>
      <c r="Y1117" s="1">
        <v>0</v>
      </c>
      <c r="Z1117" s="1">
        <v>61</v>
      </c>
      <c r="AA1117" s="1" t="str" cm="1">
        <f t="array" ref="AA1117">_xlfn.IFS(AND(Z1117&lt;36, Z1117&gt;23), "24-35", AND(Z1117&lt;51, Z1117&gt;35),"36-50", AND(Z1117&lt;66, Z1117&gt;50), "51-66", Z1117&gt;65, "66+", TRUE, "?")</f>
        <v>51-66</v>
      </c>
      <c r="AB1117" s="1">
        <v>2464</v>
      </c>
      <c r="AC1117" s="1">
        <v>1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1</v>
      </c>
      <c r="AJ1117" s="1">
        <v>0</v>
      </c>
      <c r="AK1117" s="1">
        <v>0</v>
      </c>
      <c r="AL1117" s="1">
        <v>255</v>
      </c>
      <c r="AM1117" s="2">
        <v>42385</v>
      </c>
      <c r="AN1117" t="str">
        <f t="shared" si="35"/>
        <v>52332,257,0.00491095314530306,0,0,63,212,5,33,7,0,2,1,3,2,6,4,0,0,0,1,0,0,0,61,51-66,2464,1,0,0,0,0,0,1,0,0,255,42385</v>
      </c>
    </row>
    <row r="1118" spans="1:40" ht="13" hidden="1" x14ac:dyDescent="0.15">
      <c r="A1118">
        <v>1037</v>
      </c>
      <c r="B1118" s="1">
        <v>53187</v>
      </c>
      <c r="C1118" s="1">
        <v>257</v>
      </c>
      <c r="D1118" s="4">
        <f t="shared" si="34"/>
        <v>4.832007821460131E-3</v>
      </c>
      <c r="E1118" s="1">
        <v>1</v>
      </c>
      <c r="F1118" s="1">
        <v>0</v>
      </c>
      <c r="G1118" s="1">
        <v>66</v>
      </c>
      <c r="H1118" s="1">
        <v>211</v>
      </c>
      <c r="I1118" s="1">
        <v>2</v>
      </c>
      <c r="J1118" s="1">
        <v>30</v>
      </c>
      <c r="K1118" s="1">
        <v>7</v>
      </c>
      <c r="L1118" s="1">
        <v>7</v>
      </c>
      <c r="M1118" s="1">
        <v>10</v>
      </c>
      <c r="N1118" s="1">
        <v>2</v>
      </c>
      <c r="O1118" s="1">
        <v>4</v>
      </c>
      <c r="P1118" s="1">
        <v>1</v>
      </c>
      <c r="Q1118" s="1">
        <v>6</v>
      </c>
      <c r="R1118" s="1">
        <v>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50</v>
      </c>
      <c r="AA1118" s="1" t="str" cm="1">
        <f t="array" ref="AA1118">_xlfn.IFS(AND(Z1118&lt;36, Z1118&gt;23), "24-35", AND(Z1118&lt;51, Z1118&gt;35),"36-50", AND(Z1118&lt;66, Z1118&gt;50), "51-66", Z1118&gt;65, "66+", TRUE, "?")</f>
        <v>36-50</v>
      </c>
      <c r="AB1118" s="1">
        <v>2405</v>
      </c>
      <c r="AC1118" s="1">
        <v>0</v>
      </c>
      <c r="AD1118" s="1">
        <v>0</v>
      </c>
      <c r="AE1118" s="1">
        <v>0</v>
      </c>
      <c r="AF1118" s="1">
        <v>1</v>
      </c>
      <c r="AG1118" s="1">
        <v>0</v>
      </c>
      <c r="AH1118" s="1">
        <v>0</v>
      </c>
      <c r="AI1118" s="1">
        <v>1</v>
      </c>
      <c r="AJ1118" s="1">
        <v>0</v>
      </c>
      <c r="AK1118" s="1">
        <v>0</v>
      </c>
      <c r="AL1118" s="1">
        <v>247</v>
      </c>
      <c r="AM1118" s="2">
        <v>42444</v>
      </c>
      <c r="AN1118" t="str">
        <f t="shared" si="35"/>
        <v>53187,257,0.00483200782146013,1,0,66,211,2,30,7,7,10,2,4,1,6,5,0,0,0,0,0,0,0,50,36-50,2405,0,0,0,1,0,0,1,0,0,247,42444</v>
      </c>
    </row>
    <row r="1119" spans="1:40" ht="13" hidden="1" x14ac:dyDescent="0.15">
      <c r="A1119">
        <v>1567</v>
      </c>
      <c r="B1119" s="1">
        <v>54222</v>
      </c>
      <c r="C1119" s="1">
        <v>257</v>
      </c>
      <c r="D1119" s="4">
        <f t="shared" si="34"/>
        <v>4.7397735236619819E-3</v>
      </c>
      <c r="E1119" s="1">
        <v>0</v>
      </c>
      <c r="F1119" s="1">
        <v>1</v>
      </c>
      <c r="G1119" s="1">
        <v>98</v>
      </c>
      <c r="H1119" s="1">
        <v>199</v>
      </c>
      <c r="I1119" s="1">
        <v>12</v>
      </c>
      <c r="J1119" s="1">
        <v>31</v>
      </c>
      <c r="K1119" s="1">
        <v>3</v>
      </c>
      <c r="L1119" s="1">
        <v>12</v>
      </c>
      <c r="M1119" s="1">
        <v>7</v>
      </c>
      <c r="N1119" s="1">
        <v>1</v>
      </c>
      <c r="O1119" s="1">
        <v>3</v>
      </c>
      <c r="P1119" s="1">
        <v>3</v>
      </c>
      <c r="Q1119" s="1">
        <v>5</v>
      </c>
      <c r="R1119" s="1">
        <v>3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47</v>
      </c>
      <c r="AA1119" s="1" t="str" cm="1">
        <f t="array" ref="AA1119">_xlfn.IFS(AND(Z1119&lt;36, Z1119&gt;23), "24-35", AND(Z1119&lt;51, Z1119&gt;35),"36-50", AND(Z1119&lt;66, Z1119&gt;50), "51-66", Z1119&gt;65, "66+", TRUE, "?")</f>
        <v>36-50</v>
      </c>
      <c r="AB1119" s="1">
        <v>2279</v>
      </c>
      <c r="AC1119" s="1">
        <v>0</v>
      </c>
      <c r="AD1119" s="1">
        <v>1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1</v>
      </c>
      <c r="AL1119" s="1">
        <v>250</v>
      </c>
      <c r="AM1119" s="2">
        <v>42570</v>
      </c>
      <c r="AN1119" t="str">
        <f t="shared" si="35"/>
        <v>54222,257,0.00473977352366198,0,1,98,199,12,31,3,12,7,1,3,3,5,3,0,0,0,0,0,0,0,47,36-50,2279,0,1,0,0,0,0,0,0,1,250,42570</v>
      </c>
    </row>
    <row r="1120" spans="1:40" ht="13" hidden="1" x14ac:dyDescent="0.15">
      <c r="A1120">
        <v>1623</v>
      </c>
      <c r="B1120" s="1">
        <v>28973</v>
      </c>
      <c r="C1120" s="1">
        <v>257</v>
      </c>
      <c r="D1120" s="4">
        <f t="shared" si="34"/>
        <v>8.8703275463362444E-3</v>
      </c>
      <c r="E1120" s="1">
        <v>0</v>
      </c>
      <c r="F1120" s="1">
        <v>0</v>
      </c>
      <c r="G1120" s="1">
        <v>59</v>
      </c>
      <c r="H1120" s="1">
        <v>206</v>
      </c>
      <c r="I1120" s="1">
        <v>0</v>
      </c>
      <c r="J1120" s="1">
        <v>46</v>
      </c>
      <c r="K1120" s="1">
        <v>3</v>
      </c>
      <c r="L1120" s="1">
        <v>2</v>
      </c>
      <c r="M1120" s="1">
        <v>12</v>
      </c>
      <c r="N1120" s="1">
        <v>2</v>
      </c>
      <c r="O1120" s="1">
        <v>5</v>
      </c>
      <c r="P1120" s="1">
        <v>1</v>
      </c>
      <c r="Q1120" s="1">
        <v>5</v>
      </c>
      <c r="R1120" s="1">
        <v>8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43</v>
      </c>
      <c r="AA1120" s="1" t="str" cm="1">
        <f t="array" ref="AA1120">_xlfn.IFS(AND(Z1120&lt;36, Z1120&gt;23), "24-35", AND(Z1120&lt;51, Z1120&gt;35),"36-50", AND(Z1120&lt;66, Z1120&gt;50), "51-66", Z1120&gt;65, "66+", TRUE, "?")</f>
        <v>36-50</v>
      </c>
      <c r="AB1120" s="1">
        <v>2783</v>
      </c>
      <c r="AC1120" s="1">
        <v>0</v>
      </c>
      <c r="AD1120" s="1">
        <v>1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1</v>
      </c>
      <c r="AL1120" s="1">
        <v>245</v>
      </c>
      <c r="AM1120" s="2">
        <v>42066</v>
      </c>
      <c r="AN1120" t="str">
        <f t="shared" si="35"/>
        <v>28973,257,0.00887032754633624,0,0,59,206,0,46,3,2,12,2,5,1,5,8,0,0,0,0,0,0,0,43,36-50,2783,0,1,0,0,0,0,0,0,1,245,42066</v>
      </c>
    </row>
    <row r="1121" spans="1:40" ht="13" hidden="1" x14ac:dyDescent="0.15">
      <c r="A1121">
        <v>121</v>
      </c>
      <c r="B1121" s="1">
        <v>41551</v>
      </c>
      <c r="C1121" s="1">
        <v>256</v>
      </c>
      <c r="D1121" s="4">
        <f t="shared" si="34"/>
        <v>6.1611032225457867E-3</v>
      </c>
      <c r="E1121" s="1">
        <v>1</v>
      </c>
      <c r="F1121" s="1">
        <v>1</v>
      </c>
      <c r="G1121" s="1">
        <v>51</v>
      </c>
      <c r="H1121" s="1">
        <v>220</v>
      </c>
      <c r="I1121" s="1">
        <v>0</v>
      </c>
      <c r="J1121" s="1">
        <v>33</v>
      </c>
      <c r="K1121" s="1">
        <v>3</v>
      </c>
      <c r="L1121" s="1">
        <v>0</v>
      </c>
      <c r="M1121" s="1">
        <v>23</v>
      </c>
      <c r="N1121" s="1">
        <v>5</v>
      </c>
      <c r="O1121" s="1">
        <v>5</v>
      </c>
      <c r="P1121" s="1">
        <v>1</v>
      </c>
      <c r="Q1121" s="1">
        <v>5</v>
      </c>
      <c r="R1121" s="1">
        <v>8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56</v>
      </c>
      <c r="AA1121" s="1" t="str" cm="1">
        <f t="array" ref="AA1121">_xlfn.IFS(AND(Z1121&lt;36, Z1121&gt;23), "24-35", AND(Z1121&lt;51, Z1121&gt;35),"36-50", AND(Z1121&lt;66, Z1121&gt;50), "51-66", Z1121&gt;65, "66+", TRUE, "?")</f>
        <v>51-66</v>
      </c>
      <c r="AB1121" s="1">
        <v>2478</v>
      </c>
      <c r="AC1121" s="1">
        <v>0</v>
      </c>
      <c r="AD1121" s="1">
        <v>1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1</v>
      </c>
      <c r="AL1121" s="1">
        <v>233</v>
      </c>
      <c r="AM1121" s="2">
        <v>42371</v>
      </c>
      <c r="AN1121" t="str">
        <f t="shared" si="35"/>
        <v>41551,256,0.00616110322254579,1,1,51,220,0,33,3,0,23,5,5,1,5,8,0,0,0,0,0,0,0,56,51-66,2478,0,1,0,0,0,0,0,0,1,233,42371</v>
      </c>
    </row>
    <row r="1122" spans="1:40" ht="13" hidden="1" x14ac:dyDescent="0.15">
      <c r="A1122">
        <v>577</v>
      </c>
      <c r="B1122" s="1">
        <v>45006</v>
      </c>
      <c r="C1122" s="1">
        <v>256</v>
      </c>
      <c r="D1122" s="4">
        <f t="shared" si="34"/>
        <v>5.68813047149269E-3</v>
      </c>
      <c r="E1122" s="1">
        <v>0</v>
      </c>
      <c r="F1122" s="1">
        <v>0</v>
      </c>
      <c r="G1122" s="1">
        <v>90</v>
      </c>
      <c r="H1122" s="1">
        <v>162</v>
      </c>
      <c r="I1122" s="1">
        <v>25</v>
      </c>
      <c r="J1122" s="1">
        <v>53</v>
      </c>
      <c r="K1122" s="1">
        <v>16</v>
      </c>
      <c r="L1122" s="1">
        <v>0</v>
      </c>
      <c r="M1122" s="1">
        <v>10</v>
      </c>
      <c r="N1122" s="1">
        <v>1</v>
      </c>
      <c r="O1122" s="1">
        <v>3</v>
      </c>
      <c r="P1122" s="1">
        <v>1</v>
      </c>
      <c r="Q1122" s="1">
        <v>7</v>
      </c>
      <c r="R1122" s="1">
        <v>3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76</v>
      </c>
      <c r="AA1122" s="1" t="str" cm="1">
        <f t="array" ref="AA1122">_xlfn.IFS(AND(Z1122&lt;36, Z1122&gt;23), "24-35", AND(Z1122&lt;51, Z1122&gt;35),"36-50", AND(Z1122&lt;66, Z1122&gt;50), "51-66", Z1122&gt;65, "66+", TRUE, "?")</f>
        <v>66+</v>
      </c>
      <c r="AB1122" s="1">
        <v>2505</v>
      </c>
      <c r="AC1122" s="1">
        <v>0</v>
      </c>
      <c r="AD1122" s="1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0</v>
      </c>
      <c r="AJ1122" s="1">
        <v>1</v>
      </c>
      <c r="AK1122" s="1">
        <v>0</v>
      </c>
      <c r="AL1122" s="1">
        <v>246</v>
      </c>
      <c r="AM1122" s="2">
        <v>42344</v>
      </c>
      <c r="AN1122" t="str">
        <f t="shared" si="35"/>
        <v>45006,256,0.00568813047149269,0,0,90,162,25,53,16,0,10,1,3,1,7,3,0,0,0,0,0,0,0,76,66+,2505,0,0,0,0,1,0,0,1,0,246,42344</v>
      </c>
    </row>
    <row r="1123" spans="1:40" ht="13" hidden="1" x14ac:dyDescent="0.15">
      <c r="A1123">
        <v>1451</v>
      </c>
      <c r="B1123" s="1">
        <v>38201</v>
      </c>
      <c r="C1123" s="1">
        <v>256</v>
      </c>
      <c r="D1123" s="4">
        <f t="shared" si="34"/>
        <v>6.7013952514332082E-3</v>
      </c>
      <c r="E1123" s="1">
        <v>0</v>
      </c>
      <c r="F1123" s="1">
        <v>1</v>
      </c>
      <c r="G1123" s="1">
        <v>19</v>
      </c>
      <c r="H1123" s="1">
        <v>233</v>
      </c>
      <c r="I1123" s="1">
        <v>0</v>
      </c>
      <c r="J1123" s="1">
        <v>23</v>
      </c>
      <c r="K1123" s="1">
        <v>0</v>
      </c>
      <c r="L1123" s="1">
        <v>0</v>
      </c>
      <c r="M1123" s="1">
        <v>12</v>
      </c>
      <c r="N1123" s="1">
        <v>4</v>
      </c>
      <c r="O1123" s="1">
        <v>5</v>
      </c>
      <c r="P1123" s="1">
        <v>1</v>
      </c>
      <c r="Q1123" s="1">
        <v>5</v>
      </c>
      <c r="R1123" s="1">
        <v>8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60</v>
      </c>
      <c r="AA1123" s="1" t="str" cm="1">
        <f t="array" ref="AA1123">_xlfn.IFS(AND(Z1123&lt;36, Z1123&gt;23), "24-35", AND(Z1123&lt;51, Z1123&gt;35),"36-50", AND(Z1123&lt;66, Z1123&gt;50), "51-66", Z1123&gt;65, "66+", TRUE, "?")</f>
        <v>51-66</v>
      </c>
      <c r="AB1123" s="1">
        <v>2616</v>
      </c>
      <c r="AC1123" s="1">
        <v>0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0</v>
      </c>
      <c r="AJ1123" s="1">
        <v>0</v>
      </c>
      <c r="AK1123" s="1">
        <v>1</v>
      </c>
      <c r="AL1123" s="1">
        <v>244</v>
      </c>
      <c r="AM1123" s="2">
        <v>42233</v>
      </c>
      <c r="AN1123" t="str">
        <f t="shared" si="35"/>
        <v>38201,256,0.00670139525143321,0,1,19,233,0,23,0,0,12,4,5,1,5,8,0,0,0,0,0,0,0,60,51-66,2616,0,0,0,1,0,0,0,0,1,244,42233</v>
      </c>
    </row>
    <row r="1124" spans="1:40" ht="13" hidden="1" x14ac:dyDescent="0.15">
      <c r="A1124">
        <v>1462</v>
      </c>
      <c r="B1124" s="1">
        <v>61482</v>
      </c>
      <c r="C1124" s="1">
        <v>256</v>
      </c>
      <c r="D1124" s="4">
        <f t="shared" si="34"/>
        <v>4.1638203051299564E-3</v>
      </c>
      <c r="E1124" s="1">
        <v>0</v>
      </c>
      <c r="F1124" s="1">
        <v>0</v>
      </c>
      <c r="G1124" s="1">
        <v>39</v>
      </c>
      <c r="H1124" s="1">
        <v>48</v>
      </c>
      <c r="I1124" s="1">
        <v>58</v>
      </c>
      <c r="J1124" s="1">
        <v>68</v>
      </c>
      <c r="K1124" s="1">
        <v>16</v>
      </c>
      <c r="L1124" s="1">
        <v>66</v>
      </c>
      <c r="M1124" s="1">
        <v>43</v>
      </c>
      <c r="N1124" s="1">
        <v>1</v>
      </c>
      <c r="O1124" s="1">
        <v>3</v>
      </c>
      <c r="P1124" s="1">
        <v>2</v>
      </c>
      <c r="Q1124" s="1">
        <v>6</v>
      </c>
      <c r="R1124" s="1">
        <v>2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55</v>
      </c>
      <c r="AA1124" s="1" t="str" cm="1">
        <f t="array" ref="AA1124">_xlfn.IFS(AND(Z1124&lt;36, Z1124&gt;23), "24-35", AND(Z1124&lt;51, Z1124&gt;35),"36-50", AND(Z1124&lt;66, Z1124&gt;50), "51-66", Z1124&gt;65, "66+", TRUE, "?")</f>
        <v>51-66</v>
      </c>
      <c r="AB1124" s="1">
        <v>2161</v>
      </c>
      <c r="AC1124" s="1">
        <v>0</v>
      </c>
      <c r="AD1124" s="1">
        <v>1</v>
      </c>
      <c r="AE1124" s="1">
        <v>0</v>
      </c>
      <c r="AF1124" s="1">
        <v>0</v>
      </c>
      <c r="AG1124" s="1">
        <v>0</v>
      </c>
      <c r="AH1124" s="1">
        <v>0</v>
      </c>
      <c r="AI1124" s="1">
        <v>1</v>
      </c>
      <c r="AJ1124" s="1">
        <v>0</v>
      </c>
      <c r="AK1124" s="1">
        <v>0</v>
      </c>
      <c r="AL1124" s="1">
        <v>213</v>
      </c>
      <c r="AM1124" s="2">
        <v>42688</v>
      </c>
      <c r="AN1124" t="str">
        <f t="shared" si="35"/>
        <v>61482,256,0.00416382030512996,0,0,39,48,58,68,16,66,43,1,3,2,6,2,0,0,0,0,0,0,0,55,51-66,2161,0,1,0,0,0,0,1,0,0,213,42688</v>
      </c>
    </row>
    <row r="1125" spans="1:40" ht="13" hidden="1" x14ac:dyDescent="0.15">
      <c r="A1125">
        <v>992</v>
      </c>
      <c r="B1125" s="1">
        <v>42557</v>
      </c>
      <c r="C1125" s="1">
        <v>255</v>
      </c>
      <c r="D1125" s="4">
        <f t="shared" si="34"/>
        <v>5.9919637192471275E-3</v>
      </c>
      <c r="E1125" s="1">
        <v>0</v>
      </c>
      <c r="F1125" s="1">
        <v>1</v>
      </c>
      <c r="G1125" s="1">
        <v>98</v>
      </c>
      <c r="H1125" s="1">
        <v>192</v>
      </c>
      <c r="I1125" s="1">
        <v>5</v>
      </c>
      <c r="J1125" s="1">
        <v>53</v>
      </c>
      <c r="K1125" s="1">
        <v>0</v>
      </c>
      <c r="L1125" s="1">
        <v>5</v>
      </c>
      <c r="M1125" s="1">
        <v>15</v>
      </c>
      <c r="N1125" s="1">
        <v>4</v>
      </c>
      <c r="O1125" s="1">
        <v>6</v>
      </c>
      <c r="P1125" s="1">
        <v>1</v>
      </c>
      <c r="Q1125" s="1">
        <v>4</v>
      </c>
      <c r="R1125" s="1">
        <v>8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46</v>
      </c>
      <c r="AA1125" s="1" t="str" cm="1">
        <f t="array" ref="AA1125">_xlfn.IFS(AND(Z1125&lt;36, Z1125&gt;23), "24-35", AND(Z1125&lt;51, Z1125&gt;35),"36-50", AND(Z1125&lt;66, Z1125&gt;50), "51-66", Z1125&gt;65, "66+", TRUE, "?")</f>
        <v>36-50</v>
      </c>
      <c r="AB1125" s="1">
        <v>2828</v>
      </c>
      <c r="AC1125" s="1">
        <v>0</v>
      </c>
      <c r="AD1125" s="1">
        <v>1</v>
      </c>
      <c r="AE1125" s="1">
        <v>0</v>
      </c>
      <c r="AF1125" s="1">
        <v>0</v>
      </c>
      <c r="AG1125" s="1">
        <v>0</v>
      </c>
      <c r="AH1125" s="1">
        <v>0</v>
      </c>
      <c r="AI1125" s="1">
        <v>1</v>
      </c>
      <c r="AJ1125" s="1">
        <v>0</v>
      </c>
      <c r="AK1125" s="1">
        <v>0</v>
      </c>
      <c r="AL1125" s="1">
        <v>240</v>
      </c>
      <c r="AM1125" s="2">
        <v>42021</v>
      </c>
      <c r="AN1125" t="str">
        <f t="shared" si="35"/>
        <v>42557,255,0.00599196371924713,0,1,98,192,5,53,0,5,15,4,6,1,4,8,0,0,0,0,0,0,0,46,36-50,2828,0,1,0,0,0,0,1,0,0,240,42021</v>
      </c>
    </row>
    <row r="1126" spans="1:40" ht="13" x14ac:dyDescent="0.15">
      <c r="A1126">
        <v>1547</v>
      </c>
      <c r="B1126" s="1">
        <v>43776</v>
      </c>
      <c r="C1126" s="1">
        <v>255</v>
      </c>
      <c r="D1126" s="4">
        <f t="shared" si="34"/>
        <v>5.8251096491228069E-3</v>
      </c>
      <c r="E1126" s="1">
        <v>1</v>
      </c>
      <c r="F1126" s="1">
        <v>1</v>
      </c>
      <c r="G1126" s="1">
        <v>9</v>
      </c>
      <c r="H1126" s="1">
        <v>177</v>
      </c>
      <c r="I1126" s="1">
        <v>2</v>
      </c>
      <c r="J1126" s="1">
        <v>71</v>
      </c>
      <c r="K1126" s="1">
        <v>3</v>
      </c>
      <c r="L1126" s="1">
        <v>2</v>
      </c>
      <c r="M1126" s="1">
        <v>20</v>
      </c>
      <c r="N1126" s="1">
        <v>6</v>
      </c>
      <c r="O1126" s="1">
        <v>5</v>
      </c>
      <c r="P1126" s="1">
        <v>2</v>
      </c>
      <c r="Q1126" s="1">
        <v>4</v>
      </c>
      <c r="R1126" s="1">
        <v>8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1</v>
      </c>
      <c r="Z1126" s="1">
        <v>68</v>
      </c>
      <c r="AA1126" s="1" t="str" cm="1">
        <f t="array" ref="AA1126">_xlfn.IFS(AND(Z1126&lt;36, Z1126&gt;23), "24-35", AND(Z1126&lt;51, Z1126&gt;35),"36-50", AND(Z1126&lt;66, Z1126&gt;50), "51-66", Z1126&gt;65, "66+", TRUE, "?")</f>
        <v>66+</v>
      </c>
      <c r="AB1126" s="1">
        <v>2670</v>
      </c>
      <c r="AC1126" s="1">
        <v>0</v>
      </c>
      <c r="AD1126" s="1">
        <v>0</v>
      </c>
      <c r="AE1126" s="1">
        <v>0</v>
      </c>
      <c r="AF1126" s="1">
        <v>1</v>
      </c>
      <c r="AG1126" s="1">
        <v>0</v>
      </c>
      <c r="AH1126" s="1">
        <v>0</v>
      </c>
      <c r="AI1126" s="1">
        <v>0</v>
      </c>
      <c r="AJ1126" s="1">
        <v>1</v>
      </c>
      <c r="AK1126" s="1">
        <v>0</v>
      </c>
      <c r="AL1126" s="1">
        <v>235</v>
      </c>
      <c r="AM1126" s="2">
        <v>42179</v>
      </c>
      <c r="AN1126" t="str">
        <f t="shared" si="35"/>
        <v>43776,255,0.00582510964912281,1,1,9,177,2,71,3,2,20,6,5,2,4,8,0,0,0,0,0,0,1,68,66+,2670,0,0,0,1,0,0,0,1,0,235,42179</v>
      </c>
    </row>
    <row r="1127" spans="1:40" ht="13" x14ac:dyDescent="0.15">
      <c r="A1127">
        <v>1562</v>
      </c>
      <c r="B1127" s="1">
        <v>37929</v>
      </c>
      <c r="C1127" s="1">
        <v>255</v>
      </c>
      <c r="D1127" s="4">
        <f t="shared" si="34"/>
        <v>6.7230878747132801E-3</v>
      </c>
      <c r="E1127" s="1">
        <v>0</v>
      </c>
      <c r="F1127" s="1">
        <v>0</v>
      </c>
      <c r="G1127" s="1">
        <v>49</v>
      </c>
      <c r="H1127" s="1">
        <v>202</v>
      </c>
      <c r="I1127" s="1">
        <v>2</v>
      </c>
      <c r="J1127" s="1">
        <v>46</v>
      </c>
      <c r="K1127" s="1">
        <v>3</v>
      </c>
      <c r="L1127" s="1">
        <v>2</v>
      </c>
      <c r="M1127" s="1">
        <v>10</v>
      </c>
      <c r="N1127" s="1">
        <v>2</v>
      </c>
      <c r="O1127" s="1">
        <v>4</v>
      </c>
      <c r="P1127" s="1">
        <v>2</v>
      </c>
      <c r="Q1127" s="1">
        <v>5</v>
      </c>
      <c r="R1127" s="1">
        <v>7</v>
      </c>
      <c r="S1127" s="1">
        <v>1</v>
      </c>
      <c r="T1127" s="1">
        <v>0</v>
      </c>
      <c r="U1127" s="1">
        <v>0</v>
      </c>
      <c r="V1127" s="1">
        <v>1</v>
      </c>
      <c r="W1127" s="1">
        <v>0</v>
      </c>
      <c r="X1127" s="1">
        <v>0</v>
      </c>
      <c r="Y1127" s="1">
        <v>1</v>
      </c>
      <c r="Z1127" s="1">
        <v>35</v>
      </c>
      <c r="AA1127" s="1" t="str" cm="1">
        <f t="array" ref="AA1127">_xlfn.IFS(AND(Z1127&lt;36, Z1127&gt;23), "24-35", AND(Z1127&lt;51, Z1127&gt;35),"36-50", AND(Z1127&lt;66, Z1127&gt;50), "51-66", Z1127&gt;65, "66+", TRUE, "?")</f>
        <v>24-35</v>
      </c>
      <c r="AB1127" s="1">
        <v>2493</v>
      </c>
      <c r="AC1127" s="1">
        <v>0</v>
      </c>
      <c r="AD1127" s="1">
        <v>0</v>
      </c>
      <c r="AE1127" s="1">
        <v>1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1</v>
      </c>
      <c r="AL1127" s="1">
        <v>245</v>
      </c>
      <c r="AM1127" s="2">
        <v>42356</v>
      </c>
      <c r="AN1127" t="str">
        <f t="shared" si="35"/>
        <v>37929,255,0.00672308787471328,0,0,49,202,2,46,3,2,10,2,4,2,5,7,1,0,0,1,0,0,1,35,24-35,2493,0,0,1,0,0,0,0,0,1,245,42356</v>
      </c>
    </row>
    <row r="1128" spans="1:40" ht="13" hidden="1" x14ac:dyDescent="0.15">
      <c r="A1128">
        <v>1674</v>
      </c>
      <c r="B1128" s="1">
        <v>47743</v>
      </c>
      <c r="C1128" s="1">
        <v>255</v>
      </c>
      <c r="D1128" s="4">
        <f t="shared" si="34"/>
        <v>5.3410971241857445E-3</v>
      </c>
      <c r="E1128" s="1">
        <v>0</v>
      </c>
      <c r="F1128" s="1">
        <v>1</v>
      </c>
      <c r="G1128" s="1">
        <v>56</v>
      </c>
      <c r="H1128" s="1">
        <v>198</v>
      </c>
      <c r="I1128" s="1">
        <v>2</v>
      </c>
      <c r="J1128" s="1">
        <v>43</v>
      </c>
      <c r="K1128" s="1">
        <v>0</v>
      </c>
      <c r="L1128" s="1">
        <v>12</v>
      </c>
      <c r="M1128" s="1">
        <v>20</v>
      </c>
      <c r="N1128" s="1">
        <v>3</v>
      </c>
      <c r="O1128" s="1">
        <v>4</v>
      </c>
      <c r="P1128" s="1">
        <v>1</v>
      </c>
      <c r="Q1128" s="1">
        <v>6</v>
      </c>
      <c r="R1128" s="1">
        <v>6</v>
      </c>
      <c r="S1128" s="1">
        <v>0</v>
      </c>
      <c r="T1128" s="1">
        <v>0</v>
      </c>
      <c r="U1128" s="1">
        <v>0</v>
      </c>
      <c r="V1128" s="1">
        <v>1</v>
      </c>
      <c r="W1128" s="1">
        <v>0</v>
      </c>
      <c r="X1128" s="1">
        <v>0</v>
      </c>
      <c r="Y1128" s="1">
        <v>0</v>
      </c>
      <c r="Z1128" s="1">
        <v>63</v>
      </c>
      <c r="AA1128" s="1" t="str" cm="1">
        <f t="array" ref="AA1128">_xlfn.IFS(AND(Z1128&lt;36, Z1128&gt;23), "24-35", AND(Z1128&lt;51, Z1128&gt;35),"36-50", AND(Z1128&lt;66, Z1128&gt;50), "51-66", Z1128&gt;65, "66+", TRUE, "?")</f>
        <v>51-66</v>
      </c>
      <c r="AB1128" s="1">
        <v>2623</v>
      </c>
      <c r="AC1128" s="1">
        <v>0</v>
      </c>
      <c r="AD1128" s="1">
        <v>1</v>
      </c>
      <c r="AE1128" s="1">
        <v>0</v>
      </c>
      <c r="AF1128" s="1">
        <v>0</v>
      </c>
      <c r="AG1128" s="1">
        <v>0</v>
      </c>
      <c r="AH1128" s="1">
        <v>0</v>
      </c>
      <c r="AI1128" s="1">
        <v>1</v>
      </c>
      <c r="AJ1128" s="1">
        <v>0</v>
      </c>
      <c r="AK1128" s="1">
        <v>0</v>
      </c>
      <c r="AL1128" s="1">
        <v>235</v>
      </c>
      <c r="AM1128" s="2">
        <v>42226</v>
      </c>
      <c r="AN1128" t="str">
        <f t="shared" si="35"/>
        <v>47743,255,0.00534109712418574,0,1,56,198,2,43,0,12,20,3,4,1,6,6,0,0,0,1,0,0,0,63,51-66,2623,0,1,0,0,0,0,1,0,0,235,42226</v>
      </c>
    </row>
    <row r="1129" spans="1:40" ht="13" hidden="1" x14ac:dyDescent="0.15">
      <c r="A1129">
        <v>194</v>
      </c>
      <c r="B1129" s="1">
        <v>44377</v>
      </c>
      <c r="C1129" s="1">
        <v>254</v>
      </c>
      <c r="D1129" s="4">
        <f t="shared" si="34"/>
        <v>5.7236856930391869E-3</v>
      </c>
      <c r="E1129" s="1">
        <v>1</v>
      </c>
      <c r="F1129" s="1">
        <v>1</v>
      </c>
      <c r="G1129" s="1">
        <v>70</v>
      </c>
      <c r="H1129" s="1">
        <v>224</v>
      </c>
      <c r="I1129" s="1">
        <v>0</v>
      </c>
      <c r="J1129" s="1">
        <v>30</v>
      </c>
      <c r="K1129" s="1">
        <v>0</v>
      </c>
      <c r="L1129" s="1">
        <v>0</v>
      </c>
      <c r="M1129" s="1">
        <v>10</v>
      </c>
      <c r="N1129" s="1">
        <v>8</v>
      </c>
      <c r="O1129" s="1">
        <v>5</v>
      </c>
      <c r="P1129" s="1">
        <v>1</v>
      </c>
      <c r="Q1129" s="1">
        <v>5</v>
      </c>
      <c r="R1129" s="1">
        <v>8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52</v>
      </c>
      <c r="AA1129" s="1" t="str" cm="1">
        <f t="array" ref="AA1129">_xlfn.IFS(AND(Z1129&lt;36, Z1129&gt;23), "24-35", AND(Z1129&lt;51, Z1129&gt;35),"36-50", AND(Z1129&lt;66, Z1129&gt;50), "51-66", Z1129&gt;65, "66+", TRUE, "?")</f>
        <v>51-66</v>
      </c>
      <c r="AB1129" s="1">
        <v>2791</v>
      </c>
      <c r="AC1129" s="1">
        <v>0</v>
      </c>
      <c r="AD1129" s="1">
        <v>1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1</v>
      </c>
      <c r="AL1129" s="1">
        <v>244</v>
      </c>
      <c r="AM1129" s="2">
        <v>42058</v>
      </c>
      <c r="AN1129" t="str">
        <f t="shared" si="35"/>
        <v>44377,254,0.00572368569303919,1,1,70,224,0,30,0,0,10,8,5,1,5,8,0,0,0,0,0,0,0,52,51-66,2791,0,1,0,0,0,0,0,0,1,244,42058</v>
      </c>
    </row>
    <row r="1130" spans="1:40" ht="13" hidden="1" x14ac:dyDescent="0.15">
      <c r="A1130">
        <v>685</v>
      </c>
      <c r="B1130" s="1">
        <v>45072</v>
      </c>
      <c r="C1130" s="1">
        <v>254</v>
      </c>
      <c r="D1130" s="4">
        <f t="shared" si="34"/>
        <v>5.6354277600283989E-3</v>
      </c>
      <c r="E1130" s="1">
        <v>1</v>
      </c>
      <c r="F1130" s="1">
        <v>2</v>
      </c>
      <c r="G1130" s="1">
        <v>74</v>
      </c>
      <c r="H1130" s="1">
        <v>144</v>
      </c>
      <c r="I1130" s="1">
        <v>2</v>
      </c>
      <c r="J1130" s="1">
        <v>99</v>
      </c>
      <c r="K1130" s="1">
        <v>7</v>
      </c>
      <c r="L1130" s="1">
        <v>2</v>
      </c>
      <c r="M1130" s="1">
        <v>30</v>
      </c>
      <c r="N1130" s="1">
        <v>5</v>
      </c>
      <c r="O1130" s="1">
        <v>6</v>
      </c>
      <c r="P1130" s="1">
        <v>1</v>
      </c>
      <c r="Q1130" s="1">
        <v>4</v>
      </c>
      <c r="R1130" s="1">
        <v>8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72</v>
      </c>
      <c r="AA1130" s="1" t="str" cm="1">
        <f t="array" ref="AA1130">_xlfn.IFS(AND(Z1130&lt;36, Z1130&gt;23), "24-35", AND(Z1130&lt;51, Z1130&gt;35),"36-50", AND(Z1130&lt;66, Z1130&gt;50), "51-66", Z1130&gt;65, "66+", TRUE, "?")</f>
        <v>66+</v>
      </c>
      <c r="AB1130" s="1">
        <v>2415</v>
      </c>
      <c r="AC1130" s="1">
        <v>1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1</v>
      </c>
      <c r="AL1130" s="1">
        <v>224</v>
      </c>
      <c r="AM1130" s="2">
        <v>42434</v>
      </c>
      <c r="AN1130" t="str">
        <f t="shared" si="35"/>
        <v>45072,254,0.0056354277600284,1,2,74,144,2,99,7,2,30,5,6,1,4,8,0,0,0,0,0,0,0,72,66+,2415,1,0,0,0,0,0,0,0,1,224,42434</v>
      </c>
    </row>
    <row r="1131" spans="1:40" ht="13" hidden="1" x14ac:dyDescent="0.15">
      <c r="A1131">
        <v>850</v>
      </c>
      <c r="B1131" s="1">
        <v>58917</v>
      </c>
      <c r="C1131" s="1">
        <v>254</v>
      </c>
      <c r="D1131" s="4">
        <f t="shared" si="34"/>
        <v>4.3111495833121167E-3</v>
      </c>
      <c r="E1131" s="1">
        <v>1</v>
      </c>
      <c r="F1131" s="1">
        <v>2</v>
      </c>
      <c r="G1131" s="1">
        <v>10</v>
      </c>
      <c r="H1131" s="1">
        <v>151</v>
      </c>
      <c r="I1131" s="1">
        <v>7</v>
      </c>
      <c r="J1131" s="1">
        <v>89</v>
      </c>
      <c r="K1131" s="1">
        <v>0</v>
      </c>
      <c r="L1131" s="1">
        <v>7</v>
      </c>
      <c r="M1131" s="1">
        <v>28</v>
      </c>
      <c r="N1131" s="1">
        <v>5</v>
      </c>
      <c r="O1131" s="1">
        <v>4</v>
      </c>
      <c r="P1131" s="1">
        <v>1</v>
      </c>
      <c r="Q1131" s="1">
        <v>6</v>
      </c>
      <c r="R1131" s="1">
        <v>5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51</v>
      </c>
      <c r="AA1131" s="1" t="str" cm="1">
        <f t="array" ref="AA1131">_xlfn.IFS(AND(Z1131&lt;36, Z1131&gt;23), "24-35", AND(Z1131&lt;51, Z1131&gt;35),"36-50", AND(Z1131&lt;66, Z1131&gt;50), "51-66", Z1131&gt;65, "66+", TRUE, "?")</f>
        <v>51-66</v>
      </c>
      <c r="AB1131" s="1">
        <v>2621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1</v>
      </c>
      <c r="AJ1131" s="1">
        <v>0</v>
      </c>
      <c r="AK1131" s="1">
        <v>0</v>
      </c>
      <c r="AL1131" s="1">
        <v>226</v>
      </c>
      <c r="AM1131" s="2">
        <v>42228</v>
      </c>
      <c r="AN1131" t="str">
        <f t="shared" si="35"/>
        <v>58917,254,0.00431114958331212,1,2,10,151,7,89,0,7,28,5,4,1,6,5,0,0,0,0,0,0,0,51,51-66,2621,0,0,0,1,0,0,1,0,0,226,42228</v>
      </c>
    </row>
    <row r="1132" spans="1:40" ht="13" hidden="1" x14ac:dyDescent="0.15">
      <c r="A1132">
        <v>1295</v>
      </c>
      <c r="B1132" s="1">
        <v>53761</v>
      </c>
      <c r="C1132" s="1">
        <v>254</v>
      </c>
      <c r="D1132" s="4">
        <f t="shared" si="34"/>
        <v>4.7246144974981861E-3</v>
      </c>
      <c r="E1132" s="1">
        <v>1</v>
      </c>
      <c r="F1132" s="1">
        <v>1</v>
      </c>
      <c r="G1132" s="1">
        <v>7</v>
      </c>
      <c r="H1132" s="1">
        <v>158</v>
      </c>
      <c r="I1132" s="1">
        <v>0</v>
      </c>
      <c r="J1132" s="1">
        <v>76</v>
      </c>
      <c r="K1132" s="1">
        <v>13</v>
      </c>
      <c r="L1132" s="1">
        <v>7</v>
      </c>
      <c r="M1132" s="1">
        <v>71</v>
      </c>
      <c r="N1132" s="1">
        <v>6</v>
      </c>
      <c r="O1132" s="1">
        <v>4</v>
      </c>
      <c r="P1132" s="1">
        <v>4</v>
      </c>
      <c r="Q1132" s="1">
        <v>3</v>
      </c>
      <c r="R1132" s="1">
        <v>5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48</v>
      </c>
      <c r="AA1132" s="1" t="str" cm="1">
        <f t="array" ref="AA1132">_xlfn.IFS(AND(Z1132&lt;36, Z1132&gt;23), "24-35", AND(Z1132&lt;51, Z1132&gt;35),"36-50", AND(Z1132&lt;66, Z1132&gt;50), "51-66", Z1132&gt;65, "66+", TRUE, "?")</f>
        <v>36-50</v>
      </c>
      <c r="AB1132" s="1">
        <v>2420</v>
      </c>
      <c r="AC1132" s="1">
        <v>0</v>
      </c>
      <c r="AD1132" s="1">
        <v>1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1</v>
      </c>
      <c r="AK1132" s="1">
        <v>0</v>
      </c>
      <c r="AL1132" s="1">
        <v>183</v>
      </c>
      <c r="AM1132" s="2">
        <v>42429</v>
      </c>
      <c r="AN1132" t="str">
        <f t="shared" si="35"/>
        <v>53761,254,0.00472461449749819,1,1,7,158,0,76,13,7,71,6,4,4,3,5,0,0,0,0,0,0,0,48,36-50,2420,0,1,0,0,0,0,0,1,0,183,42429</v>
      </c>
    </row>
    <row r="1133" spans="1:40" ht="13" hidden="1" x14ac:dyDescent="0.15">
      <c r="A1133">
        <v>1304</v>
      </c>
      <c r="B1133" s="1">
        <v>60544</v>
      </c>
      <c r="C1133" s="1">
        <v>254</v>
      </c>
      <c r="D1133" s="4">
        <f t="shared" si="34"/>
        <v>4.1952959830866806E-3</v>
      </c>
      <c r="E1133" s="1">
        <v>1</v>
      </c>
      <c r="F1133" s="1">
        <v>1</v>
      </c>
      <c r="G1133" s="1">
        <v>92</v>
      </c>
      <c r="H1133" s="1">
        <v>201</v>
      </c>
      <c r="I1133" s="1">
        <v>2</v>
      </c>
      <c r="J1133" s="1">
        <v>43</v>
      </c>
      <c r="K1133" s="1">
        <v>3</v>
      </c>
      <c r="L1133" s="1">
        <v>5</v>
      </c>
      <c r="M1133" s="1">
        <v>35</v>
      </c>
      <c r="N1133" s="1">
        <v>4</v>
      </c>
      <c r="O1133" s="1">
        <v>5</v>
      </c>
      <c r="P1133" s="1">
        <v>1</v>
      </c>
      <c r="Q1133" s="1">
        <v>5</v>
      </c>
      <c r="R1133" s="1">
        <v>6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59</v>
      </c>
      <c r="AA1133" s="1" t="str" cm="1">
        <f t="array" ref="AA1133">_xlfn.IFS(AND(Z1133&lt;36, Z1133&gt;23), "24-35", AND(Z1133&lt;51, Z1133&gt;35),"36-50", AND(Z1133&lt;66, Z1133&gt;50), "51-66", Z1133&gt;65, "66+", TRUE, "?")</f>
        <v>51-66</v>
      </c>
      <c r="AB1133" s="1">
        <v>2832</v>
      </c>
      <c r="AC1133" s="1">
        <v>0</v>
      </c>
      <c r="AD1133" s="1">
        <v>1</v>
      </c>
      <c r="AE1133" s="1">
        <v>0</v>
      </c>
      <c r="AF1133" s="1">
        <v>0</v>
      </c>
      <c r="AG1133" s="1">
        <v>0</v>
      </c>
      <c r="AH1133" s="1">
        <v>0</v>
      </c>
      <c r="AI1133" s="1">
        <v>1</v>
      </c>
      <c r="AJ1133" s="1">
        <v>0</v>
      </c>
      <c r="AK1133" s="1">
        <v>0</v>
      </c>
      <c r="AL1133" s="1">
        <v>219</v>
      </c>
      <c r="AM1133" s="2">
        <v>42017</v>
      </c>
      <c r="AN1133" t="str">
        <f t="shared" si="35"/>
        <v>60544,254,0.00419529598308668,1,1,92,201,2,43,3,5,35,4,5,1,5,6,0,0,0,0,0,0,0,59,51-66,2832,0,1,0,0,0,0,1,0,0,219,42017</v>
      </c>
    </row>
    <row r="1134" spans="1:40" ht="13" hidden="1" x14ac:dyDescent="0.15">
      <c r="A1134">
        <v>1381</v>
      </c>
      <c r="B1134" s="1">
        <v>42873</v>
      </c>
      <c r="C1134" s="1">
        <v>254</v>
      </c>
      <c r="D1134" s="4">
        <f t="shared" si="34"/>
        <v>5.9244746110605744E-3</v>
      </c>
      <c r="E1134" s="1">
        <v>1</v>
      </c>
      <c r="F1134" s="1">
        <v>1</v>
      </c>
      <c r="G1134" s="1">
        <v>11</v>
      </c>
      <c r="H1134" s="1">
        <v>209</v>
      </c>
      <c r="I1134" s="1">
        <v>0</v>
      </c>
      <c r="J1134" s="1">
        <v>40</v>
      </c>
      <c r="K1134" s="1">
        <v>3</v>
      </c>
      <c r="L1134" s="1">
        <v>2</v>
      </c>
      <c r="M1134" s="1">
        <v>15</v>
      </c>
      <c r="N1134" s="1">
        <v>4</v>
      </c>
      <c r="O1134" s="1">
        <v>6</v>
      </c>
      <c r="P1134" s="1">
        <v>1</v>
      </c>
      <c r="Q1134" s="1">
        <v>4</v>
      </c>
      <c r="R1134" s="1">
        <v>8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70</v>
      </c>
      <c r="AA1134" s="1" t="str" cm="1">
        <f t="array" ref="AA1134">_xlfn.IFS(AND(Z1134&lt;36, Z1134&gt;23), "24-35", AND(Z1134&lt;51, Z1134&gt;35),"36-50", AND(Z1134&lt;66, Z1134&gt;50), "51-66", Z1134&gt;65, "66+", TRUE, "?")</f>
        <v>66+</v>
      </c>
      <c r="AB1134" s="1">
        <v>2683</v>
      </c>
      <c r="AC1134" s="1">
        <v>1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1</v>
      </c>
      <c r="AL1134" s="1">
        <v>239</v>
      </c>
      <c r="AM1134" s="2">
        <v>42166</v>
      </c>
      <c r="AN1134" t="str">
        <f t="shared" si="35"/>
        <v>42873,254,0.00592447461106057,1,1,11,209,0,40,3,2,15,4,6,1,4,8,0,0,0,0,0,0,0,70,66+,2683,1,0,0,0,0,0,0,0,1,239,42166</v>
      </c>
    </row>
    <row r="1135" spans="1:40" ht="13" hidden="1" x14ac:dyDescent="0.15">
      <c r="A1135">
        <v>993</v>
      </c>
      <c r="B1135" s="1">
        <v>53312</v>
      </c>
      <c r="C1135" s="1">
        <v>253</v>
      </c>
      <c r="D1135" s="4">
        <f t="shared" si="34"/>
        <v>4.7456482593037216E-3</v>
      </c>
      <c r="E1135" s="1">
        <v>0</v>
      </c>
      <c r="F1135" s="1">
        <v>0</v>
      </c>
      <c r="G1135" s="1">
        <v>32</v>
      </c>
      <c r="H1135" s="1">
        <v>241</v>
      </c>
      <c r="I1135" s="1">
        <v>0</v>
      </c>
      <c r="J1135" s="1">
        <v>12</v>
      </c>
      <c r="K1135" s="1">
        <v>0</v>
      </c>
      <c r="L1135" s="1">
        <v>0</v>
      </c>
      <c r="M1135" s="1">
        <v>25</v>
      </c>
      <c r="N1135" s="1">
        <v>1</v>
      </c>
      <c r="O1135" s="1">
        <v>5</v>
      </c>
      <c r="P1135" s="1">
        <v>1</v>
      </c>
      <c r="Q1135" s="1">
        <v>5</v>
      </c>
      <c r="R1135" s="1">
        <v>7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69</v>
      </c>
      <c r="AA1135" s="1" t="str" cm="1">
        <f t="array" ref="AA1135">_xlfn.IFS(AND(Z1135&lt;36, Z1135&gt;23), "24-35", AND(Z1135&lt;51, Z1135&gt;35),"36-50", AND(Z1135&lt;66, Z1135&gt;50), "51-66", Z1135&gt;65, "66+", TRUE, "?")</f>
        <v>66+</v>
      </c>
      <c r="AB1135" s="1">
        <v>2483</v>
      </c>
      <c r="AC1135" s="1">
        <v>0</v>
      </c>
      <c r="AD1135" s="1">
        <v>1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1</v>
      </c>
      <c r="AL1135" s="1">
        <v>228</v>
      </c>
      <c r="AM1135" s="2">
        <v>42366</v>
      </c>
      <c r="AN1135" t="str">
        <f t="shared" si="35"/>
        <v>53312,253,0.00474564825930372,0,0,32,241,0,12,0,0,25,1,5,1,5,7,0,0,0,0,0,0,0,69,66+,2483,0,1,0,0,0,0,0,0,1,228,42366</v>
      </c>
    </row>
    <row r="1136" spans="1:40" ht="13" hidden="1" x14ac:dyDescent="0.15">
      <c r="A1136">
        <v>950</v>
      </c>
      <c r="B1136" s="1">
        <v>30168</v>
      </c>
      <c r="C1136" s="1">
        <v>252</v>
      </c>
      <c r="D1136" s="4">
        <f t="shared" si="34"/>
        <v>8.3532219570405727E-3</v>
      </c>
      <c r="E1136" s="1">
        <v>1</v>
      </c>
      <c r="F1136" s="1">
        <v>0</v>
      </c>
      <c r="G1136" s="1">
        <v>51</v>
      </c>
      <c r="H1136" s="1">
        <v>154</v>
      </c>
      <c r="I1136" s="1">
        <v>20</v>
      </c>
      <c r="J1136" s="1">
        <v>66</v>
      </c>
      <c r="K1136" s="1">
        <v>0</v>
      </c>
      <c r="L1136" s="1">
        <v>12</v>
      </c>
      <c r="M1136" s="1">
        <v>27</v>
      </c>
      <c r="N1136" s="1">
        <v>7</v>
      </c>
      <c r="O1136" s="1">
        <v>6</v>
      </c>
      <c r="P1136" s="1">
        <v>1</v>
      </c>
      <c r="Q1136" s="1">
        <v>4</v>
      </c>
      <c r="R1136" s="1">
        <v>9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42</v>
      </c>
      <c r="AA1136" s="1" t="str" cm="1">
        <f t="array" ref="AA1136">_xlfn.IFS(AND(Z1136&lt;36, Z1136&gt;23), "24-35", AND(Z1136&lt;51, Z1136&gt;35),"36-50", AND(Z1136&lt;66, Z1136&gt;50), "51-66", Z1136&gt;65, "66+", TRUE, "?")</f>
        <v>36-50</v>
      </c>
      <c r="AB1136" s="1">
        <v>2638</v>
      </c>
      <c r="AC1136" s="1">
        <v>0</v>
      </c>
      <c r="AD1136" s="1">
        <v>0</v>
      </c>
      <c r="AE1136" s="1">
        <v>1</v>
      </c>
      <c r="AF1136" s="1">
        <v>0</v>
      </c>
      <c r="AG1136" s="1">
        <v>0</v>
      </c>
      <c r="AH1136" s="1">
        <v>0</v>
      </c>
      <c r="AI1136" s="1">
        <v>1</v>
      </c>
      <c r="AJ1136" s="1">
        <v>0</v>
      </c>
      <c r="AK1136" s="1">
        <v>0</v>
      </c>
      <c r="AL1136" s="1">
        <v>225</v>
      </c>
      <c r="AM1136" s="2">
        <v>42211</v>
      </c>
      <c r="AN1136" t="str">
        <f t="shared" si="35"/>
        <v>30168,252,0.00835322195704057,1,0,51,154,20,66,0,12,27,7,6,1,4,9,0,0,0,0,0,0,0,42,36-50,2638,0,0,1,0,0,0,1,0,0,225,42211</v>
      </c>
    </row>
    <row r="1137" spans="1:40" ht="13" x14ac:dyDescent="0.15">
      <c r="A1137">
        <v>1568</v>
      </c>
      <c r="B1137" s="1">
        <v>42586</v>
      </c>
      <c r="C1137" s="1">
        <v>252</v>
      </c>
      <c r="D1137" s="4">
        <f t="shared" si="34"/>
        <v>5.9174376555675571E-3</v>
      </c>
      <c r="E1137" s="1">
        <v>1</v>
      </c>
      <c r="F1137" s="1">
        <v>1</v>
      </c>
      <c r="G1137" s="1">
        <v>7</v>
      </c>
      <c r="H1137" s="1">
        <v>194</v>
      </c>
      <c r="I1137" s="1">
        <v>2</v>
      </c>
      <c r="J1137" s="1">
        <v>56</v>
      </c>
      <c r="K1137" s="1">
        <v>0</v>
      </c>
      <c r="L1137" s="1">
        <v>0</v>
      </c>
      <c r="M1137" s="1">
        <v>0</v>
      </c>
      <c r="N1137" s="1">
        <v>5</v>
      </c>
      <c r="O1137" s="1">
        <v>4</v>
      </c>
      <c r="P1137" s="1">
        <v>1</v>
      </c>
      <c r="Q1137" s="1">
        <v>6</v>
      </c>
      <c r="R1137" s="1">
        <v>8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1</v>
      </c>
      <c r="Z1137" s="1">
        <v>65</v>
      </c>
      <c r="AA1137" s="1" t="str" cm="1">
        <f t="array" ref="AA1137">_xlfn.IFS(AND(Z1137&lt;36, Z1137&gt;23), "24-35", AND(Z1137&lt;51, Z1137&gt;35),"36-50", AND(Z1137&lt;66, Z1137&gt;50), "51-66", Z1137&gt;65, "66+", TRUE, "?")</f>
        <v>51-66</v>
      </c>
      <c r="AB1137" s="1">
        <v>2767</v>
      </c>
      <c r="AC1137" s="1">
        <v>0</v>
      </c>
      <c r="AD1137" s="1">
        <v>0</v>
      </c>
      <c r="AE1137" s="1">
        <v>0</v>
      </c>
      <c r="AF1137" s="1">
        <v>1</v>
      </c>
      <c r="AG1137" s="1">
        <v>0</v>
      </c>
      <c r="AH1137" s="1">
        <v>0</v>
      </c>
      <c r="AI1137" s="1">
        <v>1</v>
      </c>
      <c r="AJ1137" s="1">
        <v>0</v>
      </c>
      <c r="AK1137" s="1">
        <v>0</v>
      </c>
      <c r="AL1137" s="1">
        <v>252</v>
      </c>
      <c r="AM1137" s="2">
        <v>42082</v>
      </c>
      <c r="AN1137" t="str">
        <f t="shared" si="35"/>
        <v>42586,252,0.00591743765556756,1,1,7,194,2,56,0,0,0,5,4,1,6,8,0,0,0,0,0,0,1,65,51-66,2767,0,0,0,1,0,0,1,0,0,252,42082</v>
      </c>
    </row>
    <row r="1138" spans="1:40" ht="13" hidden="1" x14ac:dyDescent="0.15">
      <c r="A1138">
        <v>833</v>
      </c>
      <c r="B1138" s="1">
        <v>46231</v>
      </c>
      <c r="C1138" s="1">
        <v>251</v>
      </c>
      <c r="D1138" s="4">
        <f t="shared" si="34"/>
        <v>5.4292574246717568E-3</v>
      </c>
      <c r="E1138" s="1">
        <v>2</v>
      </c>
      <c r="F1138" s="1">
        <v>1</v>
      </c>
      <c r="G1138" s="1">
        <v>87</v>
      </c>
      <c r="H1138" s="1">
        <v>189</v>
      </c>
      <c r="I1138" s="1">
        <v>2</v>
      </c>
      <c r="J1138" s="1">
        <v>55</v>
      </c>
      <c r="K1138" s="1">
        <v>0</v>
      </c>
      <c r="L1138" s="1">
        <v>5</v>
      </c>
      <c r="M1138" s="1">
        <v>12</v>
      </c>
      <c r="N1138" s="1">
        <v>4</v>
      </c>
      <c r="O1138" s="1">
        <v>6</v>
      </c>
      <c r="P1138" s="1">
        <v>1</v>
      </c>
      <c r="Q1138" s="1">
        <v>4</v>
      </c>
      <c r="R1138" s="1">
        <v>9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67</v>
      </c>
      <c r="AA1138" s="1" t="str" cm="1">
        <f t="array" ref="AA1138">_xlfn.IFS(AND(Z1138&lt;36, Z1138&gt;23), "24-35", AND(Z1138&lt;51, Z1138&gt;35),"36-50", AND(Z1138&lt;66, Z1138&gt;50), "51-66", Z1138&gt;65, "66+", TRUE, "?")</f>
        <v>66+</v>
      </c>
      <c r="AB1138" s="1">
        <v>2739</v>
      </c>
      <c r="AC1138" s="1">
        <v>0</v>
      </c>
      <c r="AD1138" s="1">
        <v>0</v>
      </c>
      <c r="AE1138" s="1">
        <v>1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1</v>
      </c>
      <c r="AL1138" s="1">
        <v>239</v>
      </c>
      <c r="AM1138" s="2">
        <v>42110</v>
      </c>
      <c r="AN1138" t="str">
        <f t="shared" si="35"/>
        <v>46231,251,0.00542925742467176,2,1,87,189,2,55,0,5,12,4,6,1,4,9,0,0,0,0,0,0,0,67,66+,2739,0,0,1,0,0,0,0,0,1,239,42110</v>
      </c>
    </row>
    <row r="1139" spans="1:40" ht="13" hidden="1" x14ac:dyDescent="0.15">
      <c r="A1139">
        <v>192</v>
      </c>
      <c r="B1139" s="1">
        <v>46097</v>
      </c>
      <c r="C1139" s="1">
        <v>233</v>
      </c>
      <c r="D1139" s="4">
        <f t="shared" si="34"/>
        <v>5.0545588650020611E-3</v>
      </c>
      <c r="E1139" s="1">
        <v>0</v>
      </c>
      <c r="F1139" s="1">
        <v>1</v>
      </c>
      <c r="G1139" s="1">
        <v>11</v>
      </c>
      <c r="H1139" s="1">
        <v>72</v>
      </c>
      <c r="I1139" s="1">
        <v>24</v>
      </c>
      <c r="J1139" s="1">
        <v>68</v>
      </c>
      <c r="K1139" s="1">
        <v>65</v>
      </c>
      <c r="L1139" s="1">
        <v>4</v>
      </c>
      <c r="M1139" s="1">
        <v>8</v>
      </c>
      <c r="N1139" s="1">
        <v>5</v>
      </c>
      <c r="O1139" s="1">
        <v>3</v>
      </c>
      <c r="P1139" s="1">
        <v>1</v>
      </c>
      <c r="Q1139" s="1">
        <v>6</v>
      </c>
      <c r="R1139" s="1">
        <v>4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64</v>
      </c>
      <c r="AA1139" s="1" t="str" cm="1">
        <f t="array" ref="AA1139">_xlfn.IFS(AND(Z1139&lt;36, Z1139&gt;23), "24-35", AND(Z1139&lt;51, Z1139&gt;35),"36-50", AND(Z1139&lt;66, Z1139&gt;50), "51-66", Z1139&gt;65, "66+", TRUE, "?")</f>
        <v>51-66</v>
      </c>
      <c r="AB1139" s="1">
        <v>2614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</v>
      </c>
      <c r="AJ1139" s="1">
        <v>0</v>
      </c>
      <c r="AK1139" s="1">
        <v>0</v>
      </c>
      <c r="AL1139" s="1">
        <v>225</v>
      </c>
      <c r="AM1139" s="2">
        <v>42235</v>
      </c>
      <c r="AN1139" t="str">
        <f t="shared" si="35"/>
        <v>46097,233,0.00505455886500206,0,1,11,72,24,68,65,4,8,5,3,1,6,4,0,0,0,0,0,0,0,64,51-66,2614,0,0,0,1,0,0,1,0,0,225,42235</v>
      </c>
    </row>
    <row r="1140" spans="1:40" ht="13" hidden="1" x14ac:dyDescent="0.15">
      <c r="A1140">
        <v>376</v>
      </c>
      <c r="B1140" s="1">
        <v>30507</v>
      </c>
      <c r="C1140" s="1">
        <v>233</v>
      </c>
      <c r="D1140" s="4">
        <f t="shared" si="34"/>
        <v>7.6375913724718919E-3</v>
      </c>
      <c r="E1140" s="1">
        <v>0</v>
      </c>
      <c r="F1140" s="1">
        <v>0</v>
      </c>
      <c r="G1140" s="1">
        <v>29</v>
      </c>
      <c r="H1140" s="1">
        <v>65</v>
      </c>
      <c r="I1140" s="1">
        <v>36</v>
      </c>
      <c r="J1140" s="1">
        <v>74</v>
      </c>
      <c r="K1140" s="1">
        <v>38</v>
      </c>
      <c r="L1140" s="1">
        <v>20</v>
      </c>
      <c r="M1140" s="1">
        <v>110</v>
      </c>
      <c r="N1140" s="1">
        <v>1</v>
      </c>
      <c r="O1140" s="1">
        <v>5</v>
      </c>
      <c r="P1140" s="1">
        <v>1</v>
      </c>
      <c r="Q1140" s="1">
        <v>4</v>
      </c>
      <c r="R1140" s="1">
        <v>7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60</v>
      </c>
      <c r="AA1140" s="1" t="str" cm="1">
        <f t="array" ref="AA1140">_xlfn.IFS(AND(Z1140&lt;36, Z1140&gt;23), "24-35", AND(Z1140&lt;51, Z1140&gt;35),"36-50", AND(Z1140&lt;66, Z1140&gt;50), "51-66", Z1140&gt;65, "66+", TRUE, "?")</f>
        <v>51-66</v>
      </c>
      <c r="AB1140" s="1">
        <v>2634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</v>
      </c>
      <c r="AJ1140" s="1">
        <v>0</v>
      </c>
      <c r="AK1140" s="1">
        <v>0</v>
      </c>
      <c r="AL1140" s="1">
        <v>123</v>
      </c>
      <c r="AM1140" s="2">
        <v>42215</v>
      </c>
      <c r="AN1140" t="str">
        <f t="shared" si="35"/>
        <v>30507,233,0.00763759137247189,0,0,29,65,36,74,38,20,110,1,5,1,4,7,0,0,0,0,0,0,0,60,51-66,2634,0,0,0,1,0,0,1,0,0,123,42215</v>
      </c>
    </row>
    <row r="1141" spans="1:40" ht="13" hidden="1" x14ac:dyDescent="0.15">
      <c r="A1141">
        <v>30</v>
      </c>
      <c r="B1141" s="1">
        <v>38620</v>
      </c>
      <c r="C1141" s="1">
        <v>229</v>
      </c>
      <c r="D1141" s="4">
        <f t="shared" si="34"/>
        <v>5.9295701708959089E-3</v>
      </c>
      <c r="E1141" s="1">
        <v>0</v>
      </c>
      <c r="F1141" s="1">
        <v>0</v>
      </c>
      <c r="G1141" s="1">
        <v>56</v>
      </c>
      <c r="H1141" s="1">
        <v>112</v>
      </c>
      <c r="I1141" s="1">
        <v>17</v>
      </c>
      <c r="J1141" s="1">
        <v>44</v>
      </c>
      <c r="K1141" s="1">
        <v>34</v>
      </c>
      <c r="L1141" s="1">
        <v>22</v>
      </c>
      <c r="M1141" s="1">
        <v>89</v>
      </c>
      <c r="N1141" s="1">
        <v>1</v>
      </c>
      <c r="O1141" s="1">
        <v>2</v>
      </c>
      <c r="P1141" s="1">
        <v>5</v>
      </c>
      <c r="Q1141" s="1">
        <v>3</v>
      </c>
      <c r="R1141" s="1">
        <v>3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57</v>
      </c>
      <c r="AA1141" s="1" t="str" cm="1">
        <f t="array" ref="AA1141">_xlfn.IFS(AND(Z1141&lt;36, Z1141&gt;23), "24-35", AND(Z1141&lt;51, Z1141&gt;35),"36-50", AND(Z1141&lt;66, Z1141&gt;50), "51-66", Z1141&gt;65, "66+", TRUE, "?")</f>
        <v>51-66</v>
      </c>
      <c r="AB1141" s="1">
        <v>2573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0</v>
      </c>
      <c r="AI1141" s="1">
        <v>0</v>
      </c>
      <c r="AJ1141" s="1">
        <v>1</v>
      </c>
      <c r="AK1141" s="1">
        <v>0</v>
      </c>
      <c r="AL1141" s="1">
        <v>140</v>
      </c>
      <c r="AM1141" s="2">
        <v>42276</v>
      </c>
      <c r="AN1141" t="str">
        <f t="shared" si="35"/>
        <v>38620,229,0.00592957017089591,0,0,56,112,17,44,34,22,89,1,2,5,3,3,0,0,0,0,0,0,0,57,51-66,2573,0,0,0,1,0,0,0,1,0,140,42276</v>
      </c>
    </row>
    <row r="1142" spans="1:40" ht="13" hidden="1" x14ac:dyDescent="0.15">
      <c r="A1142">
        <v>669</v>
      </c>
      <c r="B1142" s="1">
        <v>50272</v>
      </c>
      <c r="C1142" s="1">
        <v>229</v>
      </c>
      <c r="D1142" s="4">
        <f t="shared" si="34"/>
        <v>4.5552196053469125E-3</v>
      </c>
      <c r="E1142" s="1">
        <v>1</v>
      </c>
      <c r="F1142" s="1">
        <v>0</v>
      </c>
      <c r="G1142" s="1">
        <v>75</v>
      </c>
      <c r="H1142" s="1">
        <v>99</v>
      </c>
      <c r="I1142" s="1">
        <v>13</v>
      </c>
      <c r="J1142" s="1">
        <v>66</v>
      </c>
      <c r="K1142" s="1">
        <v>43</v>
      </c>
      <c r="L1142" s="1">
        <v>8</v>
      </c>
      <c r="M1142" s="1">
        <v>4</v>
      </c>
      <c r="N1142" s="1">
        <v>3</v>
      </c>
      <c r="O1142" s="1">
        <v>4</v>
      </c>
      <c r="P1142" s="1">
        <v>1</v>
      </c>
      <c r="Q1142" s="1">
        <v>5</v>
      </c>
      <c r="R1142" s="1">
        <v>7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38</v>
      </c>
      <c r="AA1142" s="1" t="str" cm="1">
        <f t="array" ref="AA1142">_xlfn.IFS(AND(Z1142&lt;36, Z1142&gt;23), "24-35", AND(Z1142&lt;51, Z1142&gt;35),"36-50", AND(Z1142&lt;66, Z1142&gt;50), "51-66", Z1142&gt;65, "66+", TRUE, "?")</f>
        <v>36-50</v>
      </c>
      <c r="AB1142" s="1">
        <v>2485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1</v>
      </c>
      <c r="AJ1142" s="1">
        <v>0</v>
      </c>
      <c r="AK1142" s="1">
        <v>0</v>
      </c>
      <c r="AL1142" s="1">
        <v>225</v>
      </c>
      <c r="AM1142" s="2">
        <v>42364</v>
      </c>
      <c r="AN1142" t="str">
        <f t="shared" si="35"/>
        <v>50272,229,0.00455521960534691,1,0,75,99,13,66,43,8,4,3,4,1,5,7,0,0,0,0,0,0,0,38,36-50,2485,0,0,0,1,0,0,1,0,0,225,42364</v>
      </c>
    </row>
    <row r="1143" spans="1:40" ht="13" hidden="1" x14ac:dyDescent="0.15">
      <c r="A1143">
        <v>1536</v>
      </c>
      <c r="B1143" s="1">
        <v>27573</v>
      </c>
      <c r="C1143" s="1">
        <v>229</v>
      </c>
      <c r="D1143" s="4">
        <f t="shared" si="34"/>
        <v>8.3052261270083055E-3</v>
      </c>
      <c r="E1143" s="1">
        <v>1</v>
      </c>
      <c r="F1143" s="1">
        <v>0</v>
      </c>
      <c r="G1143" s="1">
        <v>45</v>
      </c>
      <c r="H1143" s="1">
        <v>50</v>
      </c>
      <c r="I1143" s="1">
        <v>15</v>
      </c>
      <c r="J1143" s="1">
        <v>110</v>
      </c>
      <c r="K1143" s="1">
        <v>39</v>
      </c>
      <c r="L1143" s="1">
        <v>15</v>
      </c>
      <c r="M1143" s="1">
        <v>15</v>
      </c>
      <c r="N1143" s="1">
        <v>4</v>
      </c>
      <c r="O1143" s="1">
        <v>5</v>
      </c>
      <c r="P1143" s="1">
        <v>1</v>
      </c>
      <c r="Q1143" s="1">
        <v>4</v>
      </c>
      <c r="R1143" s="1">
        <v>8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45</v>
      </c>
      <c r="AA1143" s="1" t="str" cm="1">
        <f t="array" ref="AA1143">_xlfn.IFS(AND(Z1143&lt;36, Z1143&gt;23), "24-35", AND(Z1143&lt;51, Z1143&gt;35),"36-50", AND(Z1143&lt;66, Z1143&gt;50), "51-66", Z1143&gt;65, "66+", TRUE, "?")</f>
        <v>36-50</v>
      </c>
      <c r="AB1143" s="1">
        <v>2620</v>
      </c>
      <c r="AC1143" s="1">
        <v>0</v>
      </c>
      <c r="AD1143" s="1">
        <v>1</v>
      </c>
      <c r="AE1143" s="1">
        <v>0</v>
      </c>
      <c r="AF1143" s="1">
        <v>0</v>
      </c>
      <c r="AG1143" s="1">
        <v>0</v>
      </c>
      <c r="AH1143" s="1">
        <v>0</v>
      </c>
      <c r="AI1143" s="1">
        <v>1</v>
      </c>
      <c r="AJ1143" s="1">
        <v>0</v>
      </c>
      <c r="AK1143" s="1">
        <v>0</v>
      </c>
      <c r="AL1143" s="1">
        <v>214</v>
      </c>
      <c r="AM1143" s="2">
        <v>42229</v>
      </c>
      <c r="AN1143" t="str">
        <f t="shared" si="35"/>
        <v>27573,229,0.00830522612700831,1,0,45,50,15,110,39,15,15,4,5,1,4,8,0,0,0,0,0,0,0,45,36-50,2620,0,1,0,0,0,0,1,0,0,214,42229</v>
      </c>
    </row>
    <row r="1144" spans="1:40" ht="13" hidden="1" x14ac:dyDescent="0.15">
      <c r="A1144">
        <v>576</v>
      </c>
      <c r="B1144" s="1">
        <v>26877</v>
      </c>
      <c r="C1144" s="1">
        <v>228</v>
      </c>
      <c r="D1144" s="4">
        <f t="shared" si="34"/>
        <v>8.4830896305391219E-3</v>
      </c>
      <c r="E1144" s="1">
        <v>0</v>
      </c>
      <c r="F1144" s="1">
        <v>0</v>
      </c>
      <c r="G1144" s="1">
        <v>74</v>
      </c>
      <c r="H1144" s="1">
        <v>101</v>
      </c>
      <c r="I1144" s="1">
        <v>13</v>
      </c>
      <c r="J1144" s="1">
        <v>76</v>
      </c>
      <c r="K1144" s="1">
        <v>20</v>
      </c>
      <c r="L1144" s="1">
        <v>18</v>
      </c>
      <c r="M1144" s="1">
        <v>40</v>
      </c>
      <c r="N1144" s="1">
        <v>2</v>
      </c>
      <c r="O1144" s="1">
        <v>3</v>
      </c>
      <c r="P1144" s="1">
        <v>1</v>
      </c>
      <c r="Q1144" s="1">
        <v>6</v>
      </c>
      <c r="R1144" s="1">
        <v>6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51</v>
      </c>
      <c r="AA1144" s="1" t="str" cm="1">
        <f t="array" ref="AA1144">_xlfn.IFS(AND(Z1144&lt;36, Z1144&gt;23), "24-35", AND(Z1144&lt;51, Z1144&gt;35),"36-50", AND(Z1144&lt;66, Z1144&gt;50), "51-66", Z1144&gt;65, "66+", TRUE, "?")</f>
        <v>51-66</v>
      </c>
      <c r="AB1144" s="1">
        <v>2473</v>
      </c>
      <c r="AC1144" s="1">
        <v>0</v>
      </c>
      <c r="AD1144" s="1">
        <v>0</v>
      </c>
      <c r="AE1144" s="1">
        <v>1</v>
      </c>
      <c r="AF1144" s="1">
        <v>0</v>
      </c>
      <c r="AG1144" s="1">
        <v>0</v>
      </c>
      <c r="AH1144" s="1">
        <v>0</v>
      </c>
      <c r="AI1144" s="1">
        <v>0</v>
      </c>
      <c r="AJ1144" s="1">
        <v>1</v>
      </c>
      <c r="AK1144" s="1">
        <v>0</v>
      </c>
      <c r="AL1144" s="1">
        <v>188</v>
      </c>
      <c r="AM1144" s="2">
        <v>42376</v>
      </c>
      <c r="AN1144" t="str">
        <f t="shared" si="35"/>
        <v>26877,228,0.00848308963053912,0,0,74,101,13,76,20,18,40,2,3,1,6,6,0,0,0,0,0,0,0,51,51-66,2473,0,0,1,0,0,0,0,1,0,188,42376</v>
      </c>
    </row>
    <row r="1145" spans="1:40" ht="13" hidden="1" x14ac:dyDescent="0.15">
      <c r="A1145">
        <v>287</v>
      </c>
      <c r="B1145" s="1">
        <v>42670</v>
      </c>
      <c r="C1145" s="1">
        <v>226</v>
      </c>
      <c r="D1145" s="4">
        <f t="shared" si="34"/>
        <v>5.2964612139676584E-3</v>
      </c>
      <c r="E1145" s="1">
        <v>0</v>
      </c>
      <c r="F1145" s="1">
        <v>0</v>
      </c>
      <c r="G1145" s="1">
        <v>12</v>
      </c>
      <c r="H1145" s="1">
        <v>154</v>
      </c>
      <c r="I1145" s="1">
        <v>2</v>
      </c>
      <c r="J1145" s="1">
        <v>46</v>
      </c>
      <c r="K1145" s="1">
        <v>20</v>
      </c>
      <c r="L1145" s="1">
        <v>4</v>
      </c>
      <c r="M1145" s="1">
        <v>15</v>
      </c>
      <c r="N1145" s="1">
        <v>1</v>
      </c>
      <c r="O1145" s="1">
        <v>4</v>
      </c>
      <c r="P1145" s="1">
        <v>2</v>
      </c>
      <c r="Q1145" s="1">
        <v>4</v>
      </c>
      <c r="R1145" s="1">
        <v>4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28</v>
      </c>
      <c r="AA1145" s="1" t="str" cm="1">
        <f t="array" ref="AA1145">_xlfn.IFS(AND(Z1145&lt;36, Z1145&gt;23), "24-35", AND(Z1145&lt;51, Z1145&gt;35),"36-50", AND(Z1145&lt;66, Z1145&gt;50), "51-66", Z1145&gt;65, "66+", TRUE, "?")</f>
        <v>24-35</v>
      </c>
      <c r="AB1145" s="1">
        <v>2587</v>
      </c>
      <c r="AC1145" s="1">
        <v>0</v>
      </c>
      <c r="AD1145" s="1">
        <v>0</v>
      </c>
      <c r="AE1145" s="1">
        <v>0</v>
      </c>
      <c r="AF1145" s="1">
        <v>1</v>
      </c>
      <c r="AG1145" s="1">
        <v>0</v>
      </c>
      <c r="AH1145" s="1">
        <v>0</v>
      </c>
      <c r="AI1145" s="1">
        <v>0</v>
      </c>
      <c r="AJ1145" s="1">
        <v>1</v>
      </c>
      <c r="AK1145" s="1">
        <v>0</v>
      </c>
      <c r="AL1145" s="1">
        <v>211</v>
      </c>
      <c r="AM1145" s="2">
        <v>42262</v>
      </c>
      <c r="AN1145" t="str">
        <f t="shared" si="35"/>
        <v>42670,226,0.00529646121396766,0,0,12,154,2,46,20,4,15,1,4,2,4,4,0,0,0,0,0,0,0,28,24-35,2587,0,0,0,1,0,0,0,1,0,211,42262</v>
      </c>
    </row>
    <row r="1146" spans="1:40" ht="13" hidden="1" x14ac:dyDescent="0.15">
      <c r="A1146">
        <v>507</v>
      </c>
      <c r="B1146" s="1">
        <v>57247</v>
      </c>
      <c r="C1146" s="1">
        <v>226</v>
      </c>
      <c r="D1146" s="4">
        <f t="shared" si="34"/>
        <v>3.9478051251593971E-3</v>
      </c>
      <c r="E1146" s="1">
        <v>0</v>
      </c>
      <c r="F1146" s="1">
        <v>1</v>
      </c>
      <c r="G1146" s="1">
        <v>50</v>
      </c>
      <c r="H1146" s="1">
        <v>99</v>
      </c>
      <c r="I1146" s="1">
        <v>4</v>
      </c>
      <c r="J1146" s="1">
        <v>32</v>
      </c>
      <c r="K1146" s="1">
        <v>37</v>
      </c>
      <c r="L1146" s="1">
        <v>54</v>
      </c>
      <c r="M1146" s="1">
        <v>6</v>
      </c>
      <c r="N1146" s="1">
        <v>2</v>
      </c>
      <c r="O1146" s="1">
        <v>2</v>
      </c>
      <c r="P1146" s="1">
        <v>1</v>
      </c>
      <c r="Q1146" s="1">
        <v>7</v>
      </c>
      <c r="R1146" s="1">
        <v>2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68</v>
      </c>
      <c r="AA1146" s="1" t="str" cm="1">
        <f t="array" ref="AA1146">_xlfn.IFS(AND(Z1146&lt;36, Z1146&gt;23), "24-35", AND(Z1146&lt;51, Z1146&gt;35),"36-50", AND(Z1146&lt;66, Z1146&gt;50), "51-66", Z1146&gt;65, "66+", TRUE, "?")</f>
        <v>66+</v>
      </c>
      <c r="AB1146" s="1">
        <v>2484</v>
      </c>
      <c r="AC1146" s="1">
        <v>0</v>
      </c>
      <c r="AD1146" s="1">
        <v>0</v>
      </c>
      <c r="AE1146" s="1">
        <v>0</v>
      </c>
      <c r="AF1146" s="1">
        <v>1</v>
      </c>
      <c r="AG1146" s="1">
        <v>0</v>
      </c>
      <c r="AH1146" s="1">
        <v>1</v>
      </c>
      <c r="AI1146" s="1">
        <v>0</v>
      </c>
      <c r="AJ1146" s="1">
        <v>0</v>
      </c>
      <c r="AK1146" s="1">
        <v>0</v>
      </c>
      <c r="AL1146" s="1">
        <v>220</v>
      </c>
      <c r="AM1146" s="2">
        <v>42365</v>
      </c>
      <c r="AN1146" t="str">
        <f t="shared" si="35"/>
        <v>57247,226,0.0039478051251594,0,1,50,99,4,32,37,54,6,2,2,1,7,2,0,0,0,0,0,0,0,68,66+,2484,0,0,0,1,0,1,0,0,0,220,42365</v>
      </c>
    </row>
    <row r="1147" spans="1:40" ht="13" hidden="1" x14ac:dyDescent="0.15">
      <c r="A1147">
        <v>523</v>
      </c>
      <c r="B1147" s="1">
        <v>43462</v>
      </c>
      <c r="C1147" s="1">
        <v>225</v>
      </c>
      <c r="D1147" s="4">
        <f t="shared" si="34"/>
        <v>5.1769361741291244E-3</v>
      </c>
      <c r="E1147" s="1">
        <v>1</v>
      </c>
      <c r="F1147" s="1">
        <v>1</v>
      </c>
      <c r="G1147" s="1">
        <v>50</v>
      </c>
      <c r="H1147" s="1">
        <v>90</v>
      </c>
      <c r="I1147" s="1">
        <v>17</v>
      </c>
      <c r="J1147" s="1">
        <v>97</v>
      </c>
      <c r="K1147" s="1">
        <v>15</v>
      </c>
      <c r="L1147" s="1">
        <v>6</v>
      </c>
      <c r="M1147" s="1">
        <v>15</v>
      </c>
      <c r="N1147" s="1">
        <v>6</v>
      </c>
      <c r="O1147" s="1">
        <v>4</v>
      </c>
      <c r="P1147" s="1">
        <v>1</v>
      </c>
      <c r="Q1147" s="1">
        <v>5</v>
      </c>
      <c r="R1147" s="1">
        <v>8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68</v>
      </c>
      <c r="AA1147" s="1" t="str" cm="1">
        <f t="array" ref="AA1147">_xlfn.IFS(AND(Z1147&lt;36, Z1147&gt;23), "24-35", AND(Z1147&lt;51, Z1147&gt;35),"36-50", AND(Z1147&lt;66, Z1147&gt;50), "51-66", Z1147&gt;65, "66+", TRUE, "?")</f>
        <v>66+</v>
      </c>
      <c r="AB1147" s="1">
        <v>2814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1</v>
      </c>
      <c r="AJ1147" s="1">
        <v>0</v>
      </c>
      <c r="AK1147" s="1">
        <v>0</v>
      </c>
      <c r="AL1147" s="1">
        <v>210</v>
      </c>
      <c r="AM1147" s="2">
        <v>42035</v>
      </c>
      <c r="AN1147" t="str">
        <f t="shared" si="35"/>
        <v>43462,225,0.00517693617412912,1,1,50,90,17,97,15,6,15,6,4,1,5,8,0,0,0,0,0,0,0,68,66+,2814,0,0,0,1,0,0,1,0,0,210,42035</v>
      </c>
    </row>
    <row r="1148" spans="1:40" ht="13" hidden="1" x14ac:dyDescent="0.15">
      <c r="A1148">
        <v>533</v>
      </c>
      <c r="B1148" s="1">
        <v>52157</v>
      </c>
      <c r="C1148" s="1">
        <v>225</v>
      </c>
      <c r="D1148" s="4">
        <f t="shared" si="34"/>
        <v>4.313898422071822E-3</v>
      </c>
      <c r="E1148" s="1">
        <v>0</v>
      </c>
      <c r="F1148" s="1">
        <v>1</v>
      </c>
      <c r="G1148" s="1">
        <v>48</v>
      </c>
      <c r="H1148" s="1">
        <v>189</v>
      </c>
      <c r="I1148" s="1">
        <v>2</v>
      </c>
      <c r="J1148" s="1">
        <v>29</v>
      </c>
      <c r="K1148" s="1">
        <v>3</v>
      </c>
      <c r="L1148" s="1">
        <v>2</v>
      </c>
      <c r="M1148" s="1">
        <v>40</v>
      </c>
      <c r="N1148" s="1">
        <v>2</v>
      </c>
      <c r="O1148" s="1">
        <v>3</v>
      </c>
      <c r="P1148" s="1">
        <v>2</v>
      </c>
      <c r="Q1148" s="1">
        <v>5</v>
      </c>
      <c r="R1148" s="1">
        <v>4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70</v>
      </c>
      <c r="AA1148" s="1" t="str" cm="1">
        <f t="array" ref="AA1148">_xlfn.IFS(AND(Z1148&lt;36, Z1148&gt;23), "24-35", AND(Z1148&lt;51, Z1148&gt;35),"36-50", AND(Z1148&lt;66, Z1148&gt;50), "51-66", Z1148&gt;65, "66+", TRUE, "?")</f>
        <v>66+</v>
      </c>
      <c r="AB1148" s="1">
        <v>2181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0</v>
      </c>
      <c r="AI1148" s="1">
        <v>0</v>
      </c>
      <c r="AJ1148" s="1">
        <v>0</v>
      </c>
      <c r="AK1148" s="1">
        <v>1</v>
      </c>
      <c r="AL1148" s="1">
        <v>185</v>
      </c>
      <c r="AM1148" s="2">
        <v>42668</v>
      </c>
      <c r="AN1148" t="str">
        <f t="shared" si="35"/>
        <v>52157,225,0.00431389842207182,0,1,48,189,2,29,3,2,40,2,3,2,5,4,0,0,0,0,0,0,0,70,66+,2181,0,0,0,1,0,0,0,0,1,185,42668</v>
      </c>
    </row>
    <row r="1149" spans="1:40" ht="13" hidden="1" x14ac:dyDescent="0.15">
      <c r="A1149">
        <v>955</v>
      </c>
      <c r="B1149" s="1">
        <v>54165</v>
      </c>
      <c r="C1149" s="1">
        <v>225</v>
      </c>
      <c r="D1149" s="4">
        <f t="shared" si="34"/>
        <v>4.1539739684297982E-3</v>
      </c>
      <c r="E1149" s="1">
        <v>0</v>
      </c>
      <c r="F1149" s="1">
        <v>0</v>
      </c>
      <c r="G1149" s="1">
        <v>72</v>
      </c>
      <c r="H1149" s="1">
        <v>127</v>
      </c>
      <c r="I1149" s="1">
        <v>4</v>
      </c>
      <c r="J1149" s="1">
        <v>73</v>
      </c>
      <c r="K1149" s="1">
        <v>15</v>
      </c>
      <c r="L1149" s="1">
        <v>6</v>
      </c>
      <c r="M1149" s="1">
        <v>11</v>
      </c>
      <c r="N1149" s="1">
        <v>1</v>
      </c>
      <c r="O1149" s="1">
        <v>2</v>
      </c>
      <c r="P1149" s="1">
        <v>1</v>
      </c>
      <c r="Q1149" s="1">
        <v>7</v>
      </c>
      <c r="R1149" s="1">
        <v>2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51</v>
      </c>
      <c r="AA1149" s="1" t="str" cm="1">
        <f t="array" ref="AA1149">_xlfn.IFS(AND(Z1149&lt;36, Z1149&gt;23), "24-35", AND(Z1149&lt;51, Z1149&gt;35),"36-50", AND(Z1149&lt;66, Z1149&gt;50), "51-66", Z1149&gt;65, "66+", TRUE, "?")</f>
        <v>51-66</v>
      </c>
      <c r="AB1149" s="1">
        <v>2556</v>
      </c>
      <c r="AC1149" s="1">
        <v>0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1</v>
      </c>
      <c r="AJ1149" s="1">
        <v>0</v>
      </c>
      <c r="AK1149" s="1">
        <v>0</v>
      </c>
      <c r="AL1149" s="1">
        <v>214</v>
      </c>
      <c r="AM1149" s="2">
        <v>42293</v>
      </c>
      <c r="AN1149" t="str">
        <f t="shared" si="35"/>
        <v>54165,225,0.0041539739684298,0,0,72,127,4,73,15,6,11,1,2,1,7,2,0,0,0,0,0,0,0,51,51-66,2556,0,0,0,1,0,0,1,0,0,214,42293</v>
      </c>
    </row>
    <row r="1150" spans="1:40" ht="13" hidden="1" x14ac:dyDescent="0.15">
      <c r="A1150">
        <v>607</v>
      </c>
      <c r="B1150" s="1">
        <v>46463</v>
      </c>
      <c r="C1150" s="1">
        <v>224</v>
      </c>
      <c r="D1150" s="4">
        <f t="shared" si="34"/>
        <v>4.8210403977358325E-3</v>
      </c>
      <c r="E1150" s="1">
        <v>1</v>
      </c>
      <c r="F1150" s="1">
        <v>1</v>
      </c>
      <c r="G1150" s="1">
        <v>56</v>
      </c>
      <c r="H1150" s="1">
        <v>163</v>
      </c>
      <c r="I1150" s="1">
        <v>2</v>
      </c>
      <c r="J1150" s="1">
        <v>40</v>
      </c>
      <c r="K1150" s="1">
        <v>8</v>
      </c>
      <c r="L1150" s="1">
        <v>11</v>
      </c>
      <c r="M1150" s="1">
        <v>11</v>
      </c>
      <c r="N1150" s="1">
        <v>7</v>
      </c>
      <c r="O1150" s="1">
        <v>3</v>
      </c>
      <c r="P1150" s="1">
        <v>1</v>
      </c>
      <c r="Q1150" s="1">
        <v>6</v>
      </c>
      <c r="R1150" s="1">
        <v>6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49</v>
      </c>
      <c r="AA1150" s="1" t="str" cm="1">
        <f t="array" ref="AA1150">_xlfn.IFS(AND(Z1150&lt;36, Z1150&gt;23), "24-35", AND(Z1150&lt;51, Z1150&gt;35),"36-50", AND(Z1150&lt;66, Z1150&gt;50), "51-66", Z1150&gt;65, "66+", TRUE, "?")</f>
        <v>36-50</v>
      </c>
      <c r="AB1150" s="1">
        <v>2474</v>
      </c>
      <c r="AC1150" s="1">
        <v>0</v>
      </c>
      <c r="AD1150" s="1">
        <v>1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1</v>
      </c>
      <c r="AL1150" s="1">
        <v>213</v>
      </c>
      <c r="AM1150" s="2">
        <v>42375</v>
      </c>
      <c r="AN1150" t="str">
        <f t="shared" si="35"/>
        <v>46463,224,0.00482104039773583,1,1,56,163,2,40,8,11,11,7,3,1,6,6,0,0,0,0,0,0,0,49,36-50,2474,0,1,0,0,0,0,0,0,1,213,42375</v>
      </c>
    </row>
    <row r="1151" spans="1:40" ht="13" hidden="1" x14ac:dyDescent="0.15">
      <c r="A1151">
        <v>1084</v>
      </c>
      <c r="B1151" s="1">
        <v>54197</v>
      </c>
      <c r="C1151" s="1">
        <v>224</v>
      </c>
      <c r="D1151" s="4">
        <f t="shared" si="34"/>
        <v>4.1330700961307821E-3</v>
      </c>
      <c r="E1151" s="1">
        <v>0</v>
      </c>
      <c r="F1151" s="1">
        <v>1</v>
      </c>
      <c r="G1151" s="1">
        <v>16</v>
      </c>
      <c r="H1151" s="1">
        <v>162</v>
      </c>
      <c r="I1151" s="1">
        <v>6</v>
      </c>
      <c r="J1151" s="1">
        <v>37</v>
      </c>
      <c r="K1151" s="1">
        <v>6</v>
      </c>
      <c r="L1151" s="1">
        <v>13</v>
      </c>
      <c r="M1151" s="1">
        <v>13</v>
      </c>
      <c r="N1151" s="1">
        <v>2</v>
      </c>
      <c r="O1151" s="1">
        <v>1</v>
      </c>
      <c r="P1151" s="1">
        <v>3</v>
      </c>
      <c r="Q1151" s="1">
        <v>6</v>
      </c>
      <c r="R1151" s="1">
        <v>1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60</v>
      </c>
      <c r="AA1151" s="1" t="str" cm="1">
        <f t="array" ref="AA1151">_xlfn.IFS(AND(Z1151&lt;36, Z1151&gt;23), "24-35", AND(Z1151&lt;51, Z1151&gt;35),"36-50", AND(Z1151&lt;66, Z1151&gt;50), "51-66", Z1151&gt;65, "66+", TRUE, "?")</f>
        <v>51-66</v>
      </c>
      <c r="AB1151" s="1">
        <v>2246</v>
      </c>
      <c r="AC1151" s="1">
        <v>0</v>
      </c>
      <c r="AD1151" s="1">
        <v>1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1</v>
      </c>
      <c r="AK1151" s="1">
        <v>0</v>
      </c>
      <c r="AL1151" s="1">
        <v>211</v>
      </c>
      <c r="AM1151" s="2">
        <v>42603</v>
      </c>
      <c r="AN1151" t="str">
        <f t="shared" si="35"/>
        <v>54197,224,0.00413307009613078,0,1,16,162,6,37,6,13,13,2,1,3,6,1,0,0,0,0,0,0,0,60,51-66,2246,0,1,0,0,0,0,0,1,0,211,42603</v>
      </c>
    </row>
    <row r="1152" spans="1:40" ht="13" hidden="1" x14ac:dyDescent="0.15">
      <c r="A1152">
        <v>1109</v>
      </c>
      <c r="B1152" s="1">
        <v>43140</v>
      </c>
      <c r="C1152" s="1">
        <v>224</v>
      </c>
      <c r="D1152" s="4">
        <f t="shared" si="34"/>
        <v>5.1923968474733425E-3</v>
      </c>
      <c r="E1152" s="1">
        <v>0</v>
      </c>
      <c r="F1152" s="1">
        <v>1</v>
      </c>
      <c r="G1152" s="1">
        <v>68</v>
      </c>
      <c r="H1152" s="1">
        <v>134</v>
      </c>
      <c r="I1152" s="1">
        <v>8</v>
      </c>
      <c r="J1152" s="1">
        <v>76</v>
      </c>
      <c r="K1152" s="1">
        <v>6</v>
      </c>
      <c r="L1152" s="1">
        <v>0</v>
      </c>
      <c r="M1152" s="1">
        <v>11</v>
      </c>
      <c r="N1152" s="1">
        <v>1</v>
      </c>
      <c r="O1152" s="1">
        <v>4</v>
      </c>
      <c r="P1152" s="1">
        <v>1</v>
      </c>
      <c r="Q1152" s="1">
        <v>5</v>
      </c>
      <c r="R1152" s="1">
        <v>6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63</v>
      </c>
      <c r="AA1152" s="1" t="str" cm="1">
        <f t="array" ref="AA1152">_xlfn.IFS(AND(Z1152&lt;36, Z1152&gt;23), "24-35", AND(Z1152&lt;51, Z1152&gt;35),"36-50", AND(Z1152&lt;66, Z1152&gt;50), "51-66", Z1152&gt;65, "66+", TRUE, "?")</f>
        <v>51-66</v>
      </c>
      <c r="AB1152" s="1">
        <v>2699</v>
      </c>
      <c r="AC1152" s="1">
        <v>0</v>
      </c>
      <c r="AD1152" s="1">
        <v>1</v>
      </c>
      <c r="AE1152" s="1">
        <v>0</v>
      </c>
      <c r="AF1152" s="1">
        <v>0</v>
      </c>
      <c r="AG1152" s="1">
        <v>0</v>
      </c>
      <c r="AH1152" s="1">
        <v>0</v>
      </c>
      <c r="AI1152" s="1">
        <v>1</v>
      </c>
      <c r="AJ1152" s="1">
        <v>0</v>
      </c>
      <c r="AK1152" s="1">
        <v>0</v>
      </c>
      <c r="AL1152" s="1">
        <v>213</v>
      </c>
      <c r="AM1152" s="2">
        <v>42150</v>
      </c>
      <c r="AN1152" t="str">
        <f t="shared" si="35"/>
        <v>43140,224,0.00519239684747334,0,1,68,134,8,76,6,0,11,1,4,1,5,6,0,0,0,0,0,0,0,63,51-66,2699,0,1,0,0,0,0,1,0,0,213,42150</v>
      </c>
    </row>
    <row r="1153" spans="1:40" ht="13" hidden="1" x14ac:dyDescent="0.15">
      <c r="A1153">
        <v>1402</v>
      </c>
      <c r="B1153" s="1">
        <v>51766</v>
      </c>
      <c r="C1153" s="1">
        <v>224</v>
      </c>
      <c r="D1153" s="4">
        <f t="shared" si="34"/>
        <v>4.327164548159023E-3</v>
      </c>
      <c r="E1153" s="1">
        <v>1</v>
      </c>
      <c r="F1153" s="1">
        <v>0</v>
      </c>
      <c r="G1153" s="1">
        <v>74</v>
      </c>
      <c r="H1153" s="1">
        <v>60</v>
      </c>
      <c r="I1153" s="1">
        <v>51</v>
      </c>
      <c r="J1153" s="1">
        <v>87</v>
      </c>
      <c r="K1153" s="1">
        <v>6</v>
      </c>
      <c r="L1153" s="1">
        <v>20</v>
      </c>
      <c r="M1153" s="1">
        <v>51</v>
      </c>
      <c r="N1153" s="1">
        <v>2</v>
      </c>
      <c r="O1153" s="1">
        <v>4</v>
      </c>
      <c r="P1153" s="1">
        <v>2</v>
      </c>
      <c r="Q1153" s="1">
        <v>4</v>
      </c>
      <c r="R1153" s="1">
        <v>5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40</v>
      </c>
      <c r="AA1153" s="1" t="str" cm="1">
        <f t="array" ref="AA1153">_xlfn.IFS(AND(Z1153&lt;36, Z1153&gt;23), "24-35", AND(Z1153&lt;51, Z1153&gt;35),"36-50", AND(Z1153&lt;66, Z1153&gt;50), "51-66", Z1153&gt;65, "66+", TRUE, "?")</f>
        <v>36-50</v>
      </c>
      <c r="AB1153" s="1">
        <v>2269</v>
      </c>
      <c r="AC1153" s="1">
        <v>0</v>
      </c>
      <c r="AD1153" s="1">
        <v>0</v>
      </c>
      <c r="AE1153" s="1">
        <v>1</v>
      </c>
      <c r="AF1153" s="1">
        <v>0</v>
      </c>
      <c r="AG1153" s="1">
        <v>0</v>
      </c>
      <c r="AH1153" s="1">
        <v>0</v>
      </c>
      <c r="AI1153" s="1">
        <v>1</v>
      </c>
      <c r="AJ1153" s="1">
        <v>0</v>
      </c>
      <c r="AK1153" s="1">
        <v>0</v>
      </c>
      <c r="AL1153" s="1">
        <v>173</v>
      </c>
      <c r="AM1153" s="2">
        <v>42580</v>
      </c>
      <c r="AN1153" t="str">
        <f t="shared" si="35"/>
        <v>51766,224,0.00432716454815902,1,0,74,60,51,87,6,20,51,2,4,2,4,5,0,0,0,0,0,0,0,40,36-50,2269,0,0,1,0,0,0,1,0,0,173,42580</v>
      </c>
    </row>
    <row r="1154" spans="1:40" ht="13" hidden="1" x14ac:dyDescent="0.15">
      <c r="A1154">
        <v>1493</v>
      </c>
      <c r="B1154" s="1">
        <v>54549</v>
      </c>
      <c r="C1154" s="1">
        <v>224</v>
      </c>
      <c r="D1154" s="4">
        <f t="shared" ref="D1154:D1217" si="36">C1154/B1154</f>
        <v>4.1063997506828719E-3</v>
      </c>
      <c r="E1154" s="1">
        <v>0</v>
      </c>
      <c r="F1154" s="1">
        <v>1</v>
      </c>
      <c r="G1154" s="1">
        <v>8</v>
      </c>
      <c r="H1154" s="1">
        <v>216</v>
      </c>
      <c r="I1154" s="1">
        <v>2</v>
      </c>
      <c r="J1154" s="1">
        <v>6</v>
      </c>
      <c r="K1154" s="1">
        <v>0</v>
      </c>
      <c r="L1154" s="1">
        <v>0</v>
      </c>
      <c r="M1154" s="1">
        <v>9</v>
      </c>
      <c r="N1154" s="1">
        <v>2</v>
      </c>
      <c r="O1154" s="1">
        <v>5</v>
      </c>
      <c r="P1154" s="1">
        <v>1</v>
      </c>
      <c r="Q1154" s="1">
        <v>4</v>
      </c>
      <c r="R1154" s="1">
        <v>7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68</v>
      </c>
      <c r="AA1154" s="1" t="str" cm="1">
        <f t="array" ref="AA1154">_xlfn.IFS(AND(Z1154&lt;36, Z1154&gt;23), "24-35", AND(Z1154&lt;51, Z1154&gt;35),"36-50", AND(Z1154&lt;66, Z1154&gt;50), "51-66", Z1154&gt;65, "66+", TRUE, "?")</f>
        <v>66+</v>
      </c>
      <c r="AB1154" s="1">
        <v>2277</v>
      </c>
      <c r="AC1154" s="1">
        <v>0</v>
      </c>
      <c r="AD1154" s="1">
        <v>1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1</v>
      </c>
      <c r="AL1154" s="1">
        <v>215</v>
      </c>
      <c r="AM1154" s="2">
        <v>42572</v>
      </c>
      <c r="AN1154" t="str">
        <f t="shared" ref="AN1154:AN1217" si="37">_xlfn.TEXTJOIN(",",TRUE,B1154:AM1154)</f>
        <v>54549,224,0.00410639975068287,0,1,8,216,2,6,0,0,9,2,5,1,4,7,0,0,0,0,0,0,0,68,66+,2277,0,1,0,0,0,0,0,0,1,215,42572</v>
      </c>
    </row>
    <row r="1155" spans="1:40" ht="13" x14ac:dyDescent="0.15">
      <c r="A1155">
        <v>1576</v>
      </c>
      <c r="B1155" s="1">
        <v>32233</v>
      </c>
      <c r="C1155" s="1">
        <v>224</v>
      </c>
      <c r="D1155" s="4">
        <f t="shared" si="36"/>
        <v>6.9493996835541215E-3</v>
      </c>
      <c r="E1155" s="1">
        <v>1</v>
      </c>
      <c r="F1155" s="1">
        <v>0</v>
      </c>
      <c r="G1155" s="1">
        <v>26</v>
      </c>
      <c r="H1155" s="1">
        <v>138</v>
      </c>
      <c r="I1155" s="1">
        <v>15</v>
      </c>
      <c r="J1155" s="1">
        <v>35</v>
      </c>
      <c r="K1155" s="1">
        <v>25</v>
      </c>
      <c r="L1155" s="1">
        <v>11</v>
      </c>
      <c r="M1155" s="1">
        <v>72</v>
      </c>
      <c r="N1155" s="1">
        <v>2</v>
      </c>
      <c r="O1155" s="1">
        <v>6</v>
      </c>
      <c r="P1155" s="1">
        <v>2</v>
      </c>
      <c r="Q1155" s="1">
        <v>2</v>
      </c>
      <c r="R1155" s="1">
        <v>9</v>
      </c>
      <c r="S1155" s="1">
        <v>0</v>
      </c>
      <c r="T1155" s="1">
        <v>0</v>
      </c>
      <c r="U1155" s="1">
        <v>1</v>
      </c>
      <c r="V1155" s="1">
        <v>0</v>
      </c>
      <c r="W1155" s="1">
        <v>0</v>
      </c>
      <c r="X1155" s="1">
        <v>0</v>
      </c>
      <c r="Y1155" s="1">
        <v>1</v>
      </c>
      <c r="Z1155" s="1">
        <v>46</v>
      </c>
      <c r="AA1155" s="1" t="str" cm="1">
        <f t="array" ref="AA1155">_xlfn.IFS(AND(Z1155&lt;36, Z1155&gt;23), "24-35", AND(Z1155&lt;51, Z1155&gt;35),"36-50", AND(Z1155&lt;66, Z1155&gt;50), "51-66", Z1155&gt;65, "66+", TRUE, "?")</f>
        <v>36-50</v>
      </c>
      <c r="AB1155" s="1">
        <v>2838</v>
      </c>
      <c r="AC1155" s="1">
        <v>0</v>
      </c>
      <c r="AD1155" s="1">
        <v>0</v>
      </c>
      <c r="AE1155" s="1">
        <v>1</v>
      </c>
      <c r="AF1155" s="1">
        <v>0</v>
      </c>
      <c r="AG1155" s="1">
        <v>0</v>
      </c>
      <c r="AH1155" s="1">
        <v>0</v>
      </c>
      <c r="AI1155" s="1">
        <v>1</v>
      </c>
      <c r="AJ1155" s="1">
        <v>0</v>
      </c>
      <c r="AK1155" s="1">
        <v>0</v>
      </c>
      <c r="AL1155" s="1">
        <v>152</v>
      </c>
      <c r="AM1155" s="2">
        <v>42011</v>
      </c>
      <c r="AN1155" t="str">
        <f t="shared" si="37"/>
        <v>32233,224,0.00694939968355412,1,0,26,138,15,35,25,11,72,2,6,2,2,9,0,0,1,0,0,0,1,46,36-50,2838,0,0,1,0,0,0,1,0,0,152,42011</v>
      </c>
    </row>
    <row r="1156" spans="1:40" ht="13" hidden="1" x14ac:dyDescent="0.15">
      <c r="A1156">
        <v>547</v>
      </c>
      <c r="B1156" s="1">
        <v>54603</v>
      </c>
      <c r="C1156" s="1">
        <v>223</v>
      </c>
      <c r="D1156" s="4">
        <f t="shared" si="36"/>
        <v>4.084024687288244E-3</v>
      </c>
      <c r="E1156" s="1">
        <v>1</v>
      </c>
      <c r="F1156" s="1">
        <v>1</v>
      </c>
      <c r="G1156" s="1">
        <v>85</v>
      </c>
      <c r="H1156" s="1">
        <v>145</v>
      </c>
      <c r="I1156" s="1">
        <v>13</v>
      </c>
      <c r="J1156" s="1">
        <v>46</v>
      </c>
      <c r="K1156" s="1">
        <v>17</v>
      </c>
      <c r="L1156" s="1">
        <v>2</v>
      </c>
      <c r="M1156" s="1">
        <v>4</v>
      </c>
      <c r="N1156" s="1">
        <v>6</v>
      </c>
      <c r="O1156" s="1">
        <v>4</v>
      </c>
      <c r="P1156" s="1">
        <v>2</v>
      </c>
      <c r="Q1156" s="1">
        <v>4</v>
      </c>
      <c r="R1156" s="1">
        <v>7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64</v>
      </c>
      <c r="AA1156" s="1" t="str" cm="1">
        <f t="array" ref="AA1156">_xlfn.IFS(AND(Z1156&lt;36, Z1156&gt;23), "24-35", AND(Z1156&lt;51, Z1156&gt;35),"36-50", AND(Z1156&lt;66, Z1156&gt;50), "51-66", Z1156&gt;65, "66+", TRUE, "?")</f>
        <v>51-66</v>
      </c>
      <c r="AB1156" s="1">
        <v>2514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0</v>
      </c>
      <c r="AI1156" s="1">
        <v>0</v>
      </c>
      <c r="AJ1156" s="1">
        <v>1</v>
      </c>
      <c r="AK1156" s="1">
        <v>0</v>
      </c>
      <c r="AL1156" s="1">
        <v>219</v>
      </c>
      <c r="AM1156" s="2">
        <v>42335</v>
      </c>
      <c r="AN1156" t="str">
        <f t="shared" si="37"/>
        <v>54603,223,0.00408402468728824,1,1,85,145,13,46,17,2,4,6,4,2,4,7,0,0,0,0,0,0,0,64,51-66,2514,0,0,0,1,0,0,0,1,0,219,42335</v>
      </c>
    </row>
    <row r="1157" spans="1:40" ht="13" hidden="1" x14ac:dyDescent="0.15">
      <c r="A1157">
        <v>502</v>
      </c>
      <c r="B1157" s="1">
        <v>65316</v>
      </c>
      <c r="C1157" s="1">
        <v>222</v>
      </c>
      <c r="D1157" s="4">
        <f t="shared" si="36"/>
        <v>3.3988609222855041E-3</v>
      </c>
      <c r="E1157" s="1">
        <v>1</v>
      </c>
      <c r="F1157" s="1">
        <v>1</v>
      </c>
      <c r="G1157" s="1">
        <v>65</v>
      </c>
      <c r="H1157" s="1">
        <v>112</v>
      </c>
      <c r="I1157" s="1">
        <v>6</v>
      </c>
      <c r="J1157" s="1">
        <v>92</v>
      </c>
      <c r="K1157" s="1">
        <v>3</v>
      </c>
      <c r="L1157" s="1">
        <v>9</v>
      </c>
      <c r="M1157" s="1">
        <v>38</v>
      </c>
      <c r="N1157" s="1">
        <v>2</v>
      </c>
      <c r="O1157" s="1">
        <v>3</v>
      </c>
      <c r="P1157" s="1">
        <v>2</v>
      </c>
      <c r="Q1157" s="1">
        <v>5</v>
      </c>
      <c r="R1157" s="1">
        <v>4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58</v>
      </c>
      <c r="AA1157" s="1" t="str" cm="1">
        <f t="array" ref="AA1157">_xlfn.IFS(AND(Z1157&lt;36, Z1157&gt;23), "24-35", AND(Z1157&lt;51, Z1157&gt;35),"36-50", AND(Z1157&lt;66, Z1157&gt;50), "51-66", Z1157&gt;65, "66+", TRUE, "?")</f>
        <v>51-66</v>
      </c>
      <c r="AB1157" s="1">
        <v>2590</v>
      </c>
      <c r="AC1157" s="1">
        <v>0</v>
      </c>
      <c r="AD1157" s="1">
        <v>1</v>
      </c>
      <c r="AE1157" s="1">
        <v>0</v>
      </c>
      <c r="AF1157" s="1">
        <v>0</v>
      </c>
      <c r="AG1157" s="1">
        <v>0</v>
      </c>
      <c r="AH1157" s="1">
        <v>0</v>
      </c>
      <c r="AI1157" s="1">
        <v>1</v>
      </c>
      <c r="AJ1157" s="1">
        <v>0</v>
      </c>
      <c r="AK1157" s="1">
        <v>0</v>
      </c>
      <c r="AL1157" s="1">
        <v>184</v>
      </c>
      <c r="AM1157" s="2">
        <v>42259</v>
      </c>
      <c r="AN1157" t="str">
        <f t="shared" si="37"/>
        <v>65316,222,0.0033988609222855,1,1,65,112,6,92,3,9,38,2,3,2,5,4,0,0,0,0,0,0,0,58,51-66,2590,0,1,0,0,0,0,1,0,0,184,42259</v>
      </c>
    </row>
    <row r="1158" spans="1:40" ht="13" hidden="1" x14ac:dyDescent="0.15">
      <c r="A1158">
        <v>1631</v>
      </c>
      <c r="B1158" s="1">
        <v>46904</v>
      </c>
      <c r="C1158" s="1">
        <v>222</v>
      </c>
      <c r="D1158" s="4">
        <f t="shared" si="36"/>
        <v>4.7330718062425382E-3</v>
      </c>
      <c r="E1158" s="1">
        <v>1</v>
      </c>
      <c r="F1158" s="1">
        <v>1</v>
      </c>
      <c r="G1158" s="1">
        <v>20</v>
      </c>
      <c r="H1158" s="1">
        <v>153</v>
      </c>
      <c r="I1158" s="1">
        <v>4</v>
      </c>
      <c r="J1158" s="1">
        <v>56</v>
      </c>
      <c r="K1158" s="1">
        <v>0</v>
      </c>
      <c r="L1158" s="1">
        <v>9</v>
      </c>
      <c r="M1158" s="1">
        <v>31</v>
      </c>
      <c r="N1158" s="1">
        <v>4</v>
      </c>
      <c r="O1158" s="1">
        <v>5</v>
      </c>
      <c r="P1158" s="1">
        <v>1</v>
      </c>
      <c r="Q1158" s="1">
        <v>4</v>
      </c>
      <c r="R1158" s="1">
        <v>8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53</v>
      </c>
      <c r="AA1158" s="1" t="str" cm="1">
        <f t="array" ref="AA1158">_xlfn.IFS(AND(Z1158&lt;36, Z1158&gt;23), "24-35", AND(Z1158&lt;51, Z1158&gt;35),"36-50", AND(Z1158&lt;66, Z1158&gt;50), "51-66", Z1158&gt;65, "66+", TRUE, "?")</f>
        <v>51-66</v>
      </c>
      <c r="AB1158" s="1">
        <v>2762</v>
      </c>
      <c r="AC1158" s="1">
        <v>0</v>
      </c>
      <c r="AD1158" s="1">
        <v>0</v>
      </c>
      <c r="AE1158" s="1">
        <v>1</v>
      </c>
      <c r="AF1158" s="1">
        <v>0</v>
      </c>
      <c r="AG1158" s="1">
        <v>0</v>
      </c>
      <c r="AH1158" s="1">
        <v>0</v>
      </c>
      <c r="AI1158" s="1">
        <v>1</v>
      </c>
      <c r="AJ1158" s="1">
        <v>0</v>
      </c>
      <c r="AK1158" s="1">
        <v>0</v>
      </c>
      <c r="AL1158" s="1">
        <v>191</v>
      </c>
      <c r="AM1158" s="2">
        <v>42087</v>
      </c>
      <c r="AN1158" t="str">
        <f t="shared" si="37"/>
        <v>46904,222,0.00473307180624254,1,1,20,153,4,56,0,9,31,4,5,1,4,8,0,0,0,0,0,0,0,53,51-66,2762,0,0,1,0,0,0,1,0,0,191,42087</v>
      </c>
    </row>
    <row r="1159" spans="1:40" ht="13" hidden="1" x14ac:dyDescent="0.15">
      <c r="A1159">
        <v>281</v>
      </c>
      <c r="B1159" s="1">
        <v>39747</v>
      </c>
      <c r="C1159" s="1">
        <v>221</v>
      </c>
      <c r="D1159" s="4">
        <f t="shared" si="36"/>
        <v>5.5601680629984657E-3</v>
      </c>
      <c r="E1159" s="1">
        <v>1</v>
      </c>
      <c r="F1159" s="1">
        <v>0</v>
      </c>
      <c r="G1159" s="1">
        <v>43</v>
      </c>
      <c r="H1159" s="1">
        <v>80</v>
      </c>
      <c r="I1159" s="1">
        <v>15</v>
      </c>
      <c r="J1159" s="1">
        <v>93</v>
      </c>
      <c r="K1159" s="1">
        <v>20</v>
      </c>
      <c r="L1159" s="1">
        <v>13</v>
      </c>
      <c r="M1159" s="1">
        <v>52</v>
      </c>
      <c r="N1159" s="1">
        <v>3</v>
      </c>
      <c r="O1159" s="1">
        <v>5</v>
      </c>
      <c r="P1159" s="1">
        <v>1</v>
      </c>
      <c r="Q1159" s="1">
        <v>4</v>
      </c>
      <c r="R1159" s="1">
        <v>8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32</v>
      </c>
      <c r="AA1159" s="1" t="str" cm="1">
        <f t="array" ref="AA1159">_xlfn.IFS(AND(Z1159&lt;36, Z1159&gt;23), "24-35", AND(Z1159&lt;51, Z1159&gt;35),"36-50", AND(Z1159&lt;66, Z1159&gt;50), "51-66", Z1159&gt;65, "66+", TRUE, "?")</f>
        <v>24-35</v>
      </c>
      <c r="AB1159" s="1">
        <v>2236</v>
      </c>
      <c r="AC1159" s="1">
        <v>0</v>
      </c>
      <c r="AD1159" s="1">
        <v>0</v>
      </c>
      <c r="AE1159" s="1">
        <v>1</v>
      </c>
      <c r="AF1159" s="1">
        <v>0</v>
      </c>
      <c r="AG1159" s="1">
        <v>0</v>
      </c>
      <c r="AH1159" s="1">
        <v>0</v>
      </c>
      <c r="AI1159" s="1">
        <v>1</v>
      </c>
      <c r="AJ1159" s="1">
        <v>0</v>
      </c>
      <c r="AK1159" s="1">
        <v>0</v>
      </c>
      <c r="AL1159" s="1">
        <v>169</v>
      </c>
      <c r="AM1159" s="2">
        <v>42613</v>
      </c>
      <c r="AN1159" t="str">
        <f t="shared" si="37"/>
        <v>39747,221,0.00556016806299847,1,0,43,80,15,93,20,13,52,3,5,1,4,8,0,0,0,0,0,0,0,32,24-35,2236,0,0,1,0,0,0,1,0,0,169,42613</v>
      </c>
    </row>
    <row r="1160" spans="1:40" ht="13" hidden="1" x14ac:dyDescent="0.15">
      <c r="A1160">
        <v>1103</v>
      </c>
      <c r="B1160" s="1">
        <v>47353</v>
      </c>
      <c r="C1160" s="1">
        <v>221</v>
      </c>
      <c r="D1160" s="4">
        <f t="shared" si="36"/>
        <v>4.6670749477329843E-3</v>
      </c>
      <c r="E1160" s="1">
        <v>0</v>
      </c>
      <c r="F1160" s="1">
        <v>1</v>
      </c>
      <c r="G1160" s="1">
        <v>93</v>
      </c>
      <c r="H1160" s="1">
        <v>184</v>
      </c>
      <c r="I1160" s="1">
        <v>2</v>
      </c>
      <c r="J1160" s="1">
        <v>19</v>
      </c>
      <c r="K1160" s="1">
        <v>8</v>
      </c>
      <c r="L1160" s="1">
        <v>8</v>
      </c>
      <c r="M1160" s="1">
        <v>4</v>
      </c>
      <c r="N1160" s="1">
        <v>3</v>
      </c>
      <c r="O1160" s="1">
        <v>2</v>
      </c>
      <c r="P1160" s="1">
        <v>2</v>
      </c>
      <c r="Q1160" s="1">
        <v>6</v>
      </c>
      <c r="R1160" s="1">
        <v>5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60</v>
      </c>
      <c r="AA1160" s="1" t="str" cm="1">
        <f t="array" ref="AA1160">_xlfn.IFS(AND(Z1160&lt;36, Z1160&gt;23), "24-35", AND(Z1160&lt;51, Z1160&gt;35),"36-50", AND(Z1160&lt;66, Z1160&gt;50), "51-66", Z1160&gt;65, "66+", TRUE, "?")</f>
        <v>51-66</v>
      </c>
      <c r="AB1160" s="1">
        <v>2387</v>
      </c>
      <c r="AC1160" s="1">
        <v>0</v>
      </c>
      <c r="AD1160" s="1">
        <v>1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1</v>
      </c>
      <c r="AK1160" s="1">
        <v>0</v>
      </c>
      <c r="AL1160" s="1">
        <v>217</v>
      </c>
      <c r="AM1160" s="2">
        <v>42462</v>
      </c>
      <c r="AN1160" t="str">
        <f t="shared" si="37"/>
        <v>47353,221,0.00466707494773298,0,1,93,184,2,19,8,8,4,3,2,2,6,5,0,0,0,0,0,0,0,60,51-66,2387,0,1,0,0,0,0,0,1,0,217,42462</v>
      </c>
    </row>
    <row r="1161" spans="1:40" ht="13" hidden="1" x14ac:dyDescent="0.15">
      <c r="A1161">
        <v>1139</v>
      </c>
      <c r="B1161" s="1">
        <v>56721</v>
      </c>
      <c r="C1161" s="1">
        <v>221</v>
      </c>
      <c r="D1161" s="4">
        <f t="shared" si="36"/>
        <v>3.896264170236773E-3</v>
      </c>
      <c r="E1161" s="1">
        <v>1</v>
      </c>
      <c r="F1161" s="1">
        <v>1</v>
      </c>
      <c r="G1161" s="1">
        <v>64</v>
      </c>
      <c r="H1161" s="1">
        <v>157</v>
      </c>
      <c r="I1161" s="1">
        <v>6</v>
      </c>
      <c r="J1161" s="1">
        <v>39</v>
      </c>
      <c r="K1161" s="1">
        <v>6</v>
      </c>
      <c r="L1161" s="1">
        <v>13</v>
      </c>
      <c r="M1161" s="1">
        <v>75</v>
      </c>
      <c r="N1161" s="1">
        <v>5</v>
      </c>
      <c r="O1161" s="1">
        <v>4</v>
      </c>
      <c r="P1161" s="1">
        <v>1</v>
      </c>
      <c r="Q1161" s="1">
        <v>5</v>
      </c>
      <c r="R1161" s="1">
        <v>6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48</v>
      </c>
      <c r="AA1161" s="1" t="str" cm="1">
        <f t="array" ref="AA1161">_xlfn.IFS(AND(Z1161&lt;36, Z1161&gt;23), "24-35", AND(Z1161&lt;51, Z1161&gt;35),"36-50", AND(Z1161&lt;66, Z1161&gt;50), "51-66", Z1161&gt;65, "66+", TRUE, "?")</f>
        <v>36-50</v>
      </c>
      <c r="AB1161" s="1">
        <v>2765</v>
      </c>
      <c r="AC1161" s="1">
        <v>0</v>
      </c>
      <c r="AD1161" s="1">
        <v>1</v>
      </c>
      <c r="AE1161" s="1">
        <v>0</v>
      </c>
      <c r="AF1161" s="1">
        <v>0</v>
      </c>
      <c r="AG1161" s="1">
        <v>0</v>
      </c>
      <c r="AH1161" s="1">
        <v>0</v>
      </c>
      <c r="AI1161" s="1">
        <v>1</v>
      </c>
      <c r="AJ1161" s="1">
        <v>0</v>
      </c>
      <c r="AK1161" s="1">
        <v>0</v>
      </c>
      <c r="AL1161" s="1">
        <v>146</v>
      </c>
      <c r="AM1161" s="2">
        <v>42084</v>
      </c>
      <c r="AN1161" t="str">
        <f t="shared" si="37"/>
        <v>56721,221,0.00389626417023677,1,1,64,157,6,39,6,13,75,5,4,1,5,6,0,0,0,0,0,0,0,48,36-50,2765,0,1,0,0,0,0,1,0,0,146,42084</v>
      </c>
    </row>
    <row r="1162" spans="1:40" ht="13" hidden="1" x14ac:dyDescent="0.15">
      <c r="A1162">
        <v>1267</v>
      </c>
      <c r="B1162" s="1">
        <v>69139</v>
      </c>
      <c r="C1162" s="1">
        <v>221</v>
      </c>
      <c r="D1162" s="4">
        <f t="shared" si="36"/>
        <v>3.1964593066142119E-3</v>
      </c>
      <c r="E1162" s="1">
        <v>0</v>
      </c>
      <c r="F1162" s="1">
        <v>1</v>
      </c>
      <c r="G1162" s="1">
        <v>23</v>
      </c>
      <c r="H1162" s="1">
        <v>86</v>
      </c>
      <c r="I1162" s="1">
        <v>12</v>
      </c>
      <c r="J1162" s="1">
        <v>75</v>
      </c>
      <c r="K1162" s="1">
        <v>33</v>
      </c>
      <c r="L1162" s="1">
        <v>15</v>
      </c>
      <c r="M1162" s="1">
        <v>6</v>
      </c>
      <c r="N1162" s="1">
        <v>1</v>
      </c>
      <c r="O1162" s="1">
        <v>4</v>
      </c>
      <c r="P1162" s="1">
        <v>1</v>
      </c>
      <c r="Q1162" s="1">
        <v>5</v>
      </c>
      <c r="R1162" s="1">
        <v>4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55</v>
      </c>
      <c r="AA1162" s="1" t="str" cm="1">
        <f t="array" ref="AA1162">_xlfn.IFS(AND(Z1162&lt;36, Z1162&gt;23), "24-35", AND(Z1162&lt;51, Z1162&gt;35),"36-50", AND(Z1162&lt;66, Z1162&gt;50), "51-66", Z1162&gt;65, "66+", TRUE, "?")</f>
        <v>51-66</v>
      </c>
      <c r="AB1162" s="1">
        <v>2312</v>
      </c>
      <c r="AC1162" s="1">
        <v>0</v>
      </c>
      <c r="AD1162" s="1">
        <v>1</v>
      </c>
      <c r="AE1162" s="1">
        <v>0</v>
      </c>
      <c r="AF1162" s="1">
        <v>0</v>
      </c>
      <c r="AG1162" s="1">
        <v>0</v>
      </c>
      <c r="AH1162" s="1">
        <v>0</v>
      </c>
      <c r="AI1162" s="1">
        <v>1</v>
      </c>
      <c r="AJ1162" s="1">
        <v>0</v>
      </c>
      <c r="AK1162" s="1">
        <v>0</v>
      </c>
      <c r="AL1162" s="1">
        <v>215</v>
      </c>
      <c r="AM1162" s="2">
        <v>42537</v>
      </c>
      <c r="AN1162" t="str">
        <f t="shared" si="37"/>
        <v>69139,221,0.00319645930661421,0,1,23,86,12,75,33,15,6,1,4,1,5,4,0,0,0,0,0,0,0,55,51-66,2312,0,1,0,0,0,0,1,0,0,215,42537</v>
      </c>
    </row>
    <row r="1163" spans="1:40" ht="13" hidden="1" x14ac:dyDescent="0.15">
      <c r="A1163">
        <v>1281</v>
      </c>
      <c r="B1163" s="1">
        <v>67267</v>
      </c>
      <c r="C1163" s="1">
        <v>221</v>
      </c>
      <c r="D1163" s="4">
        <f t="shared" si="36"/>
        <v>3.2854148393714599E-3</v>
      </c>
      <c r="E1163" s="1">
        <v>0</v>
      </c>
      <c r="F1163" s="1">
        <v>1</v>
      </c>
      <c r="G1163" s="1">
        <v>0</v>
      </c>
      <c r="H1163" s="1">
        <v>134</v>
      </c>
      <c r="I1163" s="1">
        <v>11</v>
      </c>
      <c r="J1163" s="1">
        <v>59</v>
      </c>
      <c r="K1163" s="1">
        <v>15</v>
      </c>
      <c r="L1163" s="1">
        <v>2</v>
      </c>
      <c r="M1163" s="1">
        <v>30</v>
      </c>
      <c r="N1163" s="1">
        <v>1</v>
      </c>
      <c r="O1163" s="1">
        <v>3</v>
      </c>
      <c r="P1163" s="1">
        <v>2</v>
      </c>
      <c r="Q1163" s="1">
        <v>5</v>
      </c>
      <c r="R1163" s="1">
        <v>2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62</v>
      </c>
      <c r="AA1163" s="1" t="str" cm="1">
        <f t="array" ref="AA1163">_xlfn.IFS(AND(Z1163&lt;36, Z1163&gt;23), "24-35", AND(Z1163&lt;51, Z1163&gt;35),"36-50", AND(Z1163&lt;66, Z1163&gt;50), "51-66", Z1163&gt;65, "66+", TRUE, "?")</f>
        <v>51-66</v>
      </c>
      <c r="AB1163" s="1">
        <v>2206</v>
      </c>
      <c r="AC1163" s="1">
        <v>0</v>
      </c>
      <c r="AD1163" s="1">
        <v>1</v>
      </c>
      <c r="AE1163" s="1">
        <v>0</v>
      </c>
      <c r="AF1163" s="1">
        <v>0</v>
      </c>
      <c r="AG1163" s="1">
        <v>0</v>
      </c>
      <c r="AH1163" s="1">
        <v>0</v>
      </c>
      <c r="AI1163" s="1">
        <v>1</v>
      </c>
      <c r="AJ1163" s="1">
        <v>0</v>
      </c>
      <c r="AK1163" s="1">
        <v>0</v>
      </c>
      <c r="AL1163" s="1">
        <v>191</v>
      </c>
      <c r="AM1163" s="2">
        <v>42643</v>
      </c>
      <c r="AN1163" t="str">
        <f t="shared" si="37"/>
        <v>67267,221,0.00328541483937146,0,1,0,134,11,59,15,2,30,1,3,2,5,2,0,0,0,0,0,0,0,62,51-66,2206,0,1,0,0,0,0,1,0,0,191,42643</v>
      </c>
    </row>
    <row r="1164" spans="1:40" ht="13" x14ac:dyDescent="0.15">
      <c r="A1164">
        <v>1578</v>
      </c>
      <c r="B1164" s="1">
        <v>47175</v>
      </c>
      <c r="C1164" s="1">
        <v>221</v>
      </c>
      <c r="D1164" s="4">
        <f t="shared" si="36"/>
        <v>4.6846846846846845E-3</v>
      </c>
      <c r="E1164" s="1">
        <v>1</v>
      </c>
      <c r="F1164" s="1">
        <v>1</v>
      </c>
      <c r="G1164" s="1">
        <v>81</v>
      </c>
      <c r="H1164" s="1">
        <v>167</v>
      </c>
      <c r="I1164" s="1">
        <v>2</v>
      </c>
      <c r="J1164" s="1">
        <v>44</v>
      </c>
      <c r="K1164" s="1">
        <v>6</v>
      </c>
      <c r="L1164" s="1">
        <v>2</v>
      </c>
      <c r="M1164" s="1">
        <v>19</v>
      </c>
      <c r="N1164" s="1">
        <v>7</v>
      </c>
      <c r="O1164" s="1">
        <v>4</v>
      </c>
      <c r="P1164" s="1">
        <v>2</v>
      </c>
      <c r="Q1164" s="1">
        <v>4</v>
      </c>
      <c r="R1164" s="1">
        <v>8</v>
      </c>
      <c r="S1164" s="1">
        <v>0</v>
      </c>
      <c r="T1164" s="1">
        <v>0</v>
      </c>
      <c r="U1164" s="1">
        <v>1</v>
      </c>
      <c r="V1164" s="1">
        <v>0</v>
      </c>
      <c r="W1164" s="1">
        <v>0</v>
      </c>
      <c r="X1164" s="1">
        <v>0</v>
      </c>
      <c r="Y1164" s="1">
        <v>1</v>
      </c>
      <c r="Z1164" s="1">
        <v>58</v>
      </c>
      <c r="AA1164" s="1" t="str" cm="1">
        <f t="array" ref="AA1164">_xlfn.IFS(AND(Z1164&lt;36, Z1164&gt;23), "24-35", AND(Z1164&lt;51, Z1164&gt;35),"36-50", AND(Z1164&lt;66, Z1164&gt;50), "51-66", Z1164&gt;65, "66+", TRUE, "?")</f>
        <v>51-66</v>
      </c>
      <c r="AB1164" s="1">
        <v>2768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0</v>
      </c>
      <c r="AJ1164" s="1">
        <v>1</v>
      </c>
      <c r="AK1164" s="1">
        <v>0</v>
      </c>
      <c r="AL1164" s="1">
        <v>202</v>
      </c>
      <c r="AM1164" s="2">
        <v>42081</v>
      </c>
      <c r="AN1164" t="str">
        <f t="shared" si="37"/>
        <v>47175,221,0.00468468468468468,1,1,81,167,2,44,6,2,19,7,4,2,4,8,0,0,1,0,0,0,1,58,51-66,2768,0,0,0,1,0,0,0,1,0,202,42081</v>
      </c>
    </row>
    <row r="1165" spans="1:40" ht="13" hidden="1" x14ac:dyDescent="0.15">
      <c r="A1165">
        <v>1729</v>
      </c>
      <c r="B1165" s="1">
        <v>49160</v>
      </c>
      <c r="C1165" s="1">
        <v>221</v>
      </c>
      <c r="D1165" s="4">
        <f t="shared" si="36"/>
        <v>4.4955248169243284E-3</v>
      </c>
      <c r="E1165" s="1">
        <v>0</v>
      </c>
      <c r="F1165" s="1">
        <v>1</v>
      </c>
      <c r="G1165" s="1">
        <v>29</v>
      </c>
      <c r="H1165" s="1">
        <v>122</v>
      </c>
      <c r="I1165" s="1">
        <v>21</v>
      </c>
      <c r="J1165" s="1">
        <v>43</v>
      </c>
      <c r="K1165" s="1">
        <v>25</v>
      </c>
      <c r="L1165" s="1">
        <v>10</v>
      </c>
      <c r="M1165" s="1">
        <v>15</v>
      </c>
      <c r="N1165" s="1">
        <v>2</v>
      </c>
      <c r="O1165" s="1">
        <v>3</v>
      </c>
      <c r="P1165" s="1">
        <v>1</v>
      </c>
      <c r="Q1165" s="1">
        <v>6</v>
      </c>
      <c r="R1165" s="1">
        <v>6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71</v>
      </c>
      <c r="AA1165" s="1" t="str" cm="1">
        <f t="array" ref="AA1165">_xlfn.IFS(AND(Z1165&lt;36, Z1165&gt;23), "24-35", AND(Z1165&lt;51, Z1165&gt;35),"36-50", AND(Z1165&lt;66, Z1165&gt;50), "51-66", Z1165&gt;65, "66+", TRUE, "?")</f>
        <v>66+</v>
      </c>
      <c r="AB1165" s="1">
        <v>2411</v>
      </c>
      <c r="AC1165" s="1">
        <v>1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1</v>
      </c>
      <c r="AJ1165" s="1">
        <v>0</v>
      </c>
      <c r="AK1165" s="1">
        <v>0</v>
      </c>
      <c r="AL1165" s="1">
        <v>206</v>
      </c>
      <c r="AM1165" s="2">
        <v>42438</v>
      </c>
      <c r="AN1165" t="str">
        <f t="shared" si="37"/>
        <v>49160,221,0.00449552481692433,0,1,29,122,21,43,25,10,15,2,3,1,6,6,0,0,0,0,0,0,0,71,66+,2411,1,0,0,0,0,0,1,0,0,206,42438</v>
      </c>
    </row>
    <row r="1166" spans="1:40" ht="13" hidden="1" x14ac:dyDescent="0.15">
      <c r="A1166">
        <v>1808</v>
      </c>
      <c r="B1166" s="1">
        <v>57113</v>
      </c>
      <c r="C1166" s="1">
        <v>221</v>
      </c>
      <c r="D1166" s="4">
        <f t="shared" si="36"/>
        <v>3.8695218251536428E-3</v>
      </c>
      <c r="E1166" s="1">
        <v>1</v>
      </c>
      <c r="F1166" s="1">
        <v>1</v>
      </c>
      <c r="G1166" s="1">
        <v>45</v>
      </c>
      <c r="H1166" s="1">
        <v>182</v>
      </c>
      <c r="I1166" s="1">
        <v>4</v>
      </c>
      <c r="J1166" s="1">
        <v>33</v>
      </c>
      <c r="K1166" s="1">
        <v>0</v>
      </c>
      <c r="L1166" s="1">
        <v>2</v>
      </c>
      <c r="M1166" s="1">
        <v>42</v>
      </c>
      <c r="N1166" s="1">
        <v>6</v>
      </c>
      <c r="O1166" s="1">
        <v>4</v>
      </c>
      <c r="P1166" s="1">
        <v>1</v>
      </c>
      <c r="Q1166" s="1">
        <v>5</v>
      </c>
      <c r="R1166" s="1">
        <v>7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42</v>
      </c>
      <c r="AA1166" s="1" t="str" cm="1">
        <f t="array" ref="AA1166">_xlfn.IFS(AND(Z1166&lt;36, Z1166&gt;23), "24-35", AND(Z1166&lt;51, Z1166&gt;35),"36-50", AND(Z1166&lt;66, Z1166&gt;50), "51-66", Z1166&gt;65, "66+", TRUE, "?")</f>
        <v>36-50</v>
      </c>
      <c r="AB1166" s="1">
        <v>2667</v>
      </c>
      <c r="AC1166" s="1">
        <v>0</v>
      </c>
      <c r="AD1166" s="1">
        <v>1</v>
      </c>
      <c r="AE1166" s="1">
        <v>0</v>
      </c>
      <c r="AF1166" s="1">
        <v>0</v>
      </c>
      <c r="AG1166" s="1">
        <v>0</v>
      </c>
      <c r="AH1166" s="1">
        <v>0</v>
      </c>
      <c r="AI1166" s="1">
        <v>1</v>
      </c>
      <c r="AJ1166" s="1">
        <v>0</v>
      </c>
      <c r="AK1166" s="1">
        <v>0</v>
      </c>
      <c r="AL1166" s="1">
        <v>179</v>
      </c>
      <c r="AM1166" s="2">
        <v>42182</v>
      </c>
      <c r="AN1166" t="str">
        <f t="shared" si="37"/>
        <v>57113,221,0.00386952182515364,1,1,45,182,4,33,0,2,42,6,4,1,5,7,0,0,0,0,0,0,0,42,36-50,2667,0,1,0,0,0,0,1,0,0,179,42182</v>
      </c>
    </row>
    <row r="1167" spans="1:40" ht="13" hidden="1" x14ac:dyDescent="0.15">
      <c r="A1167">
        <v>1934</v>
      </c>
      <c r="B1167" s="1">
        <v>40590</v>
      </c>
      <c r="C1167" s="1">
        <v>221</v>
      </c>
      <c r="D1167" s="4">
        <f t="shared" si="36"/>
        <v>5.4446908105444695E-3</v>
      </c>
      <c r="E1167" s="1">
        <v>1</v>
      </c>
      <c r="F1167" s="1">
        <v>1</v>
      </c>
      <c r="G1167" s="1">
        <v>30</v>
      </c>
      <c r="H1167" s="1">
        <v>154</v>
      </c>
      <c r="I1167" s="1">
        <v>0</v>
      </c>
      <c r="J1167" s="1">
        <v>50</v>
      </c>
      <c r="K1167" s="1">
        <v>6</v>
      </c>
      <c r="L1167" s="1">
        <v>11</v>
      </c>
      <c r="M1167" s="1">
        <v>37</v>
      </c>
      <c r="N1167" s="1">
        <v>5</v>
      </c>
      <c r="O1167" s="1">
        <v>3</v>
      </c>
      <c r="P1167" s="1">
        <v>4</v>
      </c>
      <c r="Q1167" s="1">
        <v>3</v>
      </c>
      <c r="R1167" s="1">
        <v>6</v>
      </c>
      <c r="S1167" s="1">
        <v>0</v>
      </c>
      <c r="T1167" s="1">
        <v>0</v>
      </c>
      <c r="U1167" s="1">
        <v>1</v>
      </c>
      <c r="V1167" s="1">
        <v>0</v>
      </c>
      <c r="W1167" s="1">
        <v>0</v>
      </c>
      <c r="X1167" s="1">
        <v>0</v>
      </c>
      <c r="Y1167" s="1">
        <v>0</v>
      </c>
      <c r="Z1167" s="1">
        <v>51</v>
      </c>
      <c r="AA1167" s="1" t="str" cm="1">
        <f t="array" ref="AA1167">_xlfn.IFS(AND(Z1167&lt;36, Z1167&gt;23), "24-35", AND(Z1167&lt;51, Z1167&gt;35),"36-50", AND(Z1167&lt;66, Z1167&gt;50), "51-66", Z1167&gt;65, "66+", TRUE, "?")</f>
        <v>51-66</v>
      </c>
      <c r="AB1167" s="1">
        <v>2429</v>
      </c>
      <c r="AC1167" s="1">
        <v>0</v>
      </c>
      <c r="AD1167" s="1">
        <v>0</v>
      </c>
      <c r="AE1167" s="1">
        <v>0</v>
      </c>
      <c r="AF1167" s="1">
        <v>0</v>
      </c>
      <c r="AG1167" s="1">
        <v>1</v>
      </c>
      <c r="AH1167" s="1">
        <v>0</v>
      </c>
      <c r="AI1167" s="1">
        <v>1</v>
      </c>
      <c r="AJ1167" s="1">
        <v>0</v>
      </c>
      <c r="AK1167" s="1">
        <v>0</v>
      </c>
      <c r="AL1167" s="1">
        <v>184</v>
      </c>
      <c r="AM1167" s="2">
        <v>42420</v>
      </c>
      <c r="AN1167" t="str">
        <f t="shared" si="37"/>
        <v>40590,221,0.00544469081054447,1,1,30,154,0,50,6,11,37,5,3,4,3,6,0,0,1,0,0,0,0,51,51-66,2429,0,0,0,0,1,0,1,0,0,184,42420</v>
      </c>
    </row>
    <row r="1168" spans="1:40" ht="13" hidden="1" x14ac:dyDescent="0.15">
      <c r="A1168">
        <v>1282</v>
      </c>
      <c r="B1168" s="1">
        <v>57338</v>
      </c>
      <c r="C1168" s="1">
        <v>220</v>
      </c>
      <c r="D1168" s="4">
        <f t="shared" si="36"/>
        <v>3.8368969967560781E-3</v>
      </c>
      <c r="E1168" s="1">
        <v>0</v>
      </c>
      <c r="F1168" s="1">
        <v>1</v>
      </c>
      <c r="G1168" s="1">
        <v>96</v>
      </c>
      <c r="H1168" s="1">
        <v>143</v>
      </c>
      <c r="I1168" s="1">
        <v>6</v>
      </c>
      <c r="J1168" s="1">
        <v>52</v>
      </c>
      <c r="K1168" s="1">
        <v>11</v>
      </c>
      <c r="L1168" s="1">
        <v>8</v>
      </c>
      <c r="M1168" s="1">
        <v>17</v>
      </c>
      <c r="N1168" s="1">
        <v>2</v>
      </c>
      <c r="O1168" s="1">
        <v>4</v>
      </c>
      <c r="P1168" s="1">
        <v>1</v>
      </c>
      <c r="Q1168" s="1">
        <v>5</v>
      </c>
      <c r="R1168" s="1">
        <v>5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45</v>
      </c>
      <c r="AA1168" s="1" t="str" cm="1">
        <f t="array" ref="AA1168">_xlfn.IFS(AND(Z1168&lt;36, Z1168&gt;23), "24-35", AND(Z1168&lt;51, Z1168&gt;35),"36-50", AND(Z1168&lt;66, Z1168&gt;50), "51-66", Z1168&gt;65, "66+", TRUE, "?")</f>
        <v>36-50</v>
      </c>
      <c r="AB1168" s="1">
        <v>2220</v>
      </c>
      <c r="AC1168" s="1">
        <v>0</v>
      </c>
      <c r="AD1168" s="1">
        <v>0</v>
      </c>
      <c r="AE1168" s="1">
        <v>1</v>
      </c>
      <c r="AF1168" s="1">
        <v>0</v>
      </c>
      <c r="AG1168" s="1">
        <v>0</v>
      </c>
      <c r="AH1168" s="1">
        <v>0</v>
      </c>
      <c r="AI1168" s="1">
        <v>1</v>
      </c>
      <c r="AJ1168" s="1">
        <v>0</v>
      </c>
      <c r="AK1168" s="1">
        <v>0</v>
      </c>
      <c r="AL1168" s="1">
        <v>203</v>
      </c>
      <c r="AM1168" s="2">
        <v>42629</v>
      </c>
      <c r="AN1168" t="str">
        <f t="shared" si="37"/>
        <v>57338,220,0.00383689699675608,0,1,96,143,6,52,11,8,17,2,4,1,5,5,0,0,0,0,0,0,0,45,36-50,2220,0,0,1,0,0,0,1,0,0,203,42629</v>
      </c>
    </row>
    <row r="1169" spans="1:40" ht="13" hidden="1" x14ac:dyDescent="0.15">
      <c r="A1169">
        <v>1498</v>
      </c>
      <c r="B1169" s="1">
        <v>42731</v>
      </c>
      <c r="C1169" s="1">
        <v>220</v>
      </c>
      <c r="D1169" s="4">
        <f t="shared" si="36"/>
        <v>5.1484870468746346E-3</v>
      </c>
      <c r="E1169" s="1">
        <v>1</v>
      </c>
      <c r="F1169" s="1">
        <v>0</v>
      </c>
      <c r="G1169" s="1">
        <v>64</v>
      </c>
      <c r="H1169" s="1">
        <v>159</v>
      </c>
      <c r="I1169" s="1">
        <v>2</v>
      </c>
      <c r="J1169" s="1">
        <v>51</v>
      </c>
      <c r="K1169" s="1">
        <v>6</v>
      </c>
      <c r="L1169" s="1">
        <v>2</v>
      </c>
      <c r="M1169" s="1">
        <v>24</v>
      </c>
      <c r="N1169" s="1">
        <v>3</v>
      </c>
      <c r="O1169" s="1">
        <v>4</v>
      </c>
      <c r="P1169" s="1">
        <v>1</v>
      </c>
      <c r="Q1169" s="1">
        <v>5</v>
      </c>
      <c r="R1169" s="1">
        <v>5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51</v>
      </c>
      <c r="AA1169" s="1" t="str" cm="1">
        <f t="array" ref="AA1169">_xlfn.IFS(AND(Z1169&lt;36, Z1169&gt;23), "24-35", AND(Z1169&lt;51, Z1169&gt;35),"36-50", AND(Z1169&lt;66, Z1169&gt;50), "51-66", Z1169&gt;65, "66+", TRUE, "?")</f>
        <v>51-66</v>
      </c>
      <c r="AB1169" s="1">
        <v>2410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0</v>
      </c>
      <c r="AI1169" s="1">
        <v>0</v>
      </c>
      <c r="AJ1169" s="1">
        <v>0</v>
      </c>
      <c r="AK1169" s="1">
        <v>1</v>
      </c>
      <c r="AL1169" s="1">
        <v>196</v>
      </c>
      <c r="AM1169" s="2">
        <v>42439</v>
      </c>
      <c r="AN1169" t="str">
        <f t="shared" si="37"/>
        <v>42731,220,0.00514848704687463,1,0,64,159,2,51,6,2,24,3,4,1,5,5,0,0,0,0,0,0,0,51,51-66,2410,0,0,0,1,0,0,0,0,1,196,42439</v>
      </c>
    </row>
    <row r="1170" spans="1:40" ht="13" hidden="1" x14ac:dyDescent="0.15">
      <c r="A1170">
        <v>1902</v>
      </c>
      <c r="B1170" s="1">
        <v>54252</v>
      </c>
      <c r="C1170" s="1">
        <v>220</v>
      </c>
      <c r="D1170" s="4">
        <f t="shared" si="36"/>
        <v>4.0551500405515001E-3</v>
      </c>
      <c r="E1170" s="1">
        <v>1</v>
      </c>
      <c r="F1170" s="1">
        <v>1</v>
      </c>
      <c r="G1170" s="1">
        <v>25</v>
      </c>
      <c r="H1170" s="1">
        <v>178</v>
      </c>
      <c r="I1170" s="1">
        <v>4</v>
      </c>
      <c r="J1170" s="1">
        <v>26</v>
      </c>
      <c r="K1170" s="1">
        <v>8</v>
      </c>
      <c r="L1170" s="1">
        <v>4</v>
      </c>
      <c r="M1170" s="1">
        <v>44</v>
      </c>
      <c r="N1170" s="1">
        <v>5</v>
      </c>
      <c r="O1170" s="1">
        <v>4</v>
      </c>
      <c r="P1170" s="1">
        <v>1</v>
      </c>
      <c r="Q1170" s="1">
        <v>5</v>
      </c>
      <c r="R1170" s="1">
        <v>6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64</v>
      </c>
      <c r="AA1170" s="1" t="str" cm="1">
        <f t="array" ref="AA1170">_xlfn.IFS(AND(Z1170&lt;36, Z1170&gt;23), "24-35", AND(Z1170&lt;51, Z1170&gt;35),"36-50", AND(Z1170&lt;66, Z1170&gt;50), "51-66", Z1170&gt;65, "66+", TRUE, "?")</f>
        <v>51-66</v>
      </c>
      <c r="AB1170" s="1">
        <v>2556</v>
      </c>
      <c r="AC1170" s="1">
        <v>0</v>
      </c>
      <c r="AD1170" s="1">
        <v>0</v>
      </c>
      <c r="AE1170" s="1">
        <v>1</v>
      </c>
      <c r="AF1170" s="1">
        <v>0</v>
      </c>
      <c r="AG1170" s="1">
        <v>0</v>
      </c>
      <c r="AH1170" s="1">
        <v>0</v>
      </c>
      <c r="AI1170" s="1">
        <v>1</v>
      </c>
      <c r="AJ1170" s="1">
        <v>0</v>
      </c>
      <c r="AK1170" s="1">
        <v>0</v>
      </c>
      <c r="AL1170" s="1">
        <v>176</v>
      </c>
      <c r="AM1170" s="2">
        <v>42293</v>
      </c>
      <c r="AN1170" t="str">
        <f t="shared" si="37"/>
        <v>54252,220,0.0040551500405515,1,1,25,178,4,26,8,4,44,5,4,1,5,6,0,0,0,0,0,0,0,64,51-66,2556,0,0,1,0,0,0,1,0,0,176,42293</v>
      </c>
    </row>
    <row r="1171" spans="1:40" ht="13" hidden="1" x14ac:dyDescent="0.15">
      <c r="A1171">
        <v>200</v>
      </c>
      <c r="B1171" s="1">
        <v>44551</v>
      </c>
      <c r="C1171" s="1">
        <v>219</v>
      </c>
      <c r="D1171" s="4">
        <f t="shared" si="36"/>
        <v>4.9157145743080966E-3</v>
      </c>
      <c r="E1171" s="1">
        <v>0</v>
      </c>
      <c r="F1171" s="1">
        <v>1</v>
      </c>
      <c r="G1171" s="1">
        <v>24</v>
      </c>
      <c r="H1171" s="1">
        <v>182</v>
      </c>
      <c r="I1171" s="1">
        <v>4</v>
      </c>
      <c r="J1171" s="1">
        <v>33</v>
      </c>
      <c r="K1171" s="1">
        <v>0</v>
      </c>
      <c r="L1171" s="1">
        <v>0</v>
      </c>
      <c r="M1171" s="1">
        <v>66</v>
      </c>
      <c r="N1171" s="1">
        <v>2</v>
      </c>
      <c r="O1171" s="1">
        <v>4</v>
      </c>
      <c r="P1171" s="1">
        <v>1</v>
      </c>
      <c r="Q1171" s="1">
        <v>5</v>
      </c>
      <c r="R1171" s="1">
        <v>7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66</v>
      </c>
      <c r="AA1171" s="1" t="str" cm="1">
        <f t="array" ref="AA1171">_xlfn.IFS(AND(Z1171&lt;36, Z1171&gt;23), "24-35", AND(Z1171&lt;51, Z1171&gt;35),"36-50", AND(Z1171&lt;66, Z1171&gt;50), "51-66", Z1171&gt;65, "66+", TRUE, "?")</f>
        <v>66+</v>
      </c>
      <c r="AB1171" s="1">
        <v>2461</v>
      </c>
      <c r="AC1171" s="1">
        <v>0</v>
      </c>
      <c r="AD1171" s="1">
        <v>0</v>
      </c>
      <c r="AE1171" s="1">
        <v>0</v>
      </c>
      <c r="AF1171" s="1">
        <v>0</v>
      </c>
      <c r="AG1171" s="1">
        <v>1</v>
      </c>
      <c r="AH1171" s="1">
        <v>0</v>
      </c>
      <c r="AI1171" s="1">
        <v>0</v>
      </c>
      <c r="AJ1171" s="1">
        <v>1</v>
      </c>
      <c r="AK1171" s="1">
        <v>0</v>
      </c>
      <c r="AL1171" s="1">
        <v>153</v>
      </c>
      <c r="AM1171" s="2">
        <v>42388</v>
      </c>
      <c r="AN1171" t="str">
        <f t="shared" si="37"/>
        <v>44551,219,0.0049157145743081,0,1,24,182,4,33,0,0,66,2,4,1,5,7,0,0,0,0,0,0,0,66,66+,2461,0,0,0,0,1,0,0,1,0,153,42388</v>
      </c>
    </row>
    <row r="1172" spans="1:40" ht="13" hidden="1" x14ac:dyDescent="0.15">
      <c r="A1172">
        <v>1463</v>
      </c>
      <c r="B1172" s="1">
        <v>34968</v>
      </c>
      <c r="C1172" s="1">
        <v>219</v>
      </c>
      <c r="D1172" s="4">
        <f t="shared" si="36"/>
        <v>6.2628689087165408E-3</v>
      </c>
      <c r="E1172" s="1">
        <v>1</v>
      </c>
      <c r="F1172" s="1">
        <v>0</v>
      </c>
      <c r="G1172" s="1">
        <v>11</v>
      </c>
      <c r="H1172" s="1">
        <v>158</v>
      </c>
      <c r="I1172" s="1">
        <v>6</v>
      </c>
      <c r="J1172" s="1">
        <v>45</v>
      </c>
      <c r="K1172" s="1">
        <v>8</v>
      </c>
      <c r="L1172" s="1">
        <v>2</v>
      </c>
      <c r="M1172" s="1">
        <v>2</v>
      </c>
      <c r="N1172" s="1">
        <v>7</v>
      </c>
      <c r="O1172" s="1">
        <v>3</v>
      </c>
      <c r="P1172" s="1">
        <v>2</v>
      </c>
      <c r="Q1172" s="1">
        <v>5</v>
      </c>
      <c r="R1172" s="1">
        <v>7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40</v>
      </c>
      <c r="AA1172" s="1" t="str" cm="1">
        <f t="array" ref="AA1172">_xlfn.IFS(AND(Z1172&lt;36, Z1172&gt;23), "24-35", AND(Z1172&lt;51, Z1172&gt;35),"36-50", AND(Z1172&lt;66, Z1172&gt;50), "51-66", Z1172&gt;65, "66+", TRUE, "?")</f>
        <v>36-50</v>
      </c>
      <c r="AB1172" s="1">
        <v>2604</v>
      </c>
      <c r="AC1172" s="1">
        <v>0</v>
      </c>
      <c r="AD1172" s="1">
        <v>1</v>
      </c>
      <c r="AE1172" s="1">
        <v>0</v>
      </c>
      <c r="AF1172" s="1">
        <v>0</v>
      </c>
      <c r="AG1172" s="1">
        <v>0</v>
      </c>
      <c r="AH1172" s="1">
        <v>0</v>
      </c>
      <c r="AI1172" s="1">
        <v>1</v>
      </c>
      <c r="AJ1172" s="1">
        <v>0</v>
      </c>
      <c r="AK1172" s="1">
        <v>0</v>
      </c>
      <c r="AL1172" s="1">
        <v>217</v>
      </c>
      <c r="AM1172" s="2">
        <v>42245</v>
      </c>
      <c r="AN1172" t="str">
        <f t="shared" si="37"/>
        <v>34968,219,0.00626286890871654,1,0,11,158,6,45,8,2,2,7,3,2,5,7,0,0,0,0,0,0,0,40,36-50,2604,0,1,0,0,0,0,1,0,0,217,42245</v>
      </c>
    </row>
    <row r="1173" spans="1:40" ht="13" x14ac:dyDescent="0.15">
      <c r="A1173">
        <v>1579</v>
      </c>
      <c r="B1173" s="1">
        <v>42207</v>
      </c>
      <c r="C1173" s="1">
        <v>219</v>
      </c>
      <c r="D1173" s="4">
        <f t="shared" si="36"/>
        <v>5.1887127727628119E-3</v>
      </c>
      <c r="E1173" s="1">
        <v>1</v>
      </c>
      <c r="F1173" s="1">
        <v>0</v>
      </c>
      <c r="G1173" s="1">
        <v>71</v>
      </c>
      <c r="H1173" s="1">
        <v>116</v>
      </c>
      <c r="I1173" s="1">
        <v>11</v>
      </c>
      <c r="J1173" s="1">
        <v>72</v>
      </c>
      <c r="K1173" s="1">
        <v>3</v>
      </c>
      <c r="L1173" s="1">
        <v>17</v>
      </c>
      <c r="M1173" s="1">
        <v>46</v>
      </c>
      <c r="N1173" s="1">
        <v>4</v>
      </c>
      <c r="O1173" s="1">
        <v>4</v>
      </c>
      <c r="P1173" s="1">
        <v>1</v>
      </c>
      <c r="Q1173" s="1">
        <v>5</v>
      </c>
      <c r="R1173" s="1">
        <v>6</v>
      </c>
      <c r="S1173" s="1">
        <v>0</v>
      </c>
      <c r="T1173" s="1">
        <v>0</v>
      </c>
      <c r="U1173" s="1">
        <v>1</v>
      </c>
      <c r="V1173" s="1">
        <v>0</v>
      </c>
      <c r="W1173" s="1">
        <v>0</v>
      </c>
      <c r="X1173" s="1">
        <v>0</v>
      </c>
      <c r="Y1173" s="1">
        <v>1</v>
      </c>
      <c r="Z1173" s="1">
        <v>36</v>
      </c>
      <c r="AA1173" s="1" t="str" cm="1">
        <f t="array" ref="AA1173">_xlfn.IFS(AND(Z1173&lt;36, Z1173&gt;23), "24-35", AND(Z1173&lt;51, Z1173&gt;35),"36-50", AND(Z1173&lt;66, Z1173&gt;50), "51-66", Z1173&gt;65, "66+", TRUE, "?")</f>
        <v>36-50</v>
      </c>
      <c r="AB1173" s="1">
        <v>2613</v>
      </c>
      <c r="AC1173" s="1">
        <v>0</v>
      </c>
      <c r="AD1173" s="1">
        <v>1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1</v>
      </c>
      <c r="AK1173" s="1">
        <v>0</v>
      </c>
      <c r="AL1173" s="1">
        <v>173</v>
      </c>
      <c r="AM1173" s="2">
        <v>42236</v>
      </c>
      <c r="AN1173" t="str">
        <f t="shared" si="37"/>
        <v>42207,219,0.00518871277276281,1,0,71,116,11,72,3,17,46,4,4,1,5,6,0,0,1,0,0,0,1,36,36-50,2613,0,1,0,0,0,0,0,1,0,173,42236</v>
      </c>
    </row>
    <row r="1174" spans="1:40" ht="13" hidden="1" x14ac:dyDescent="0.15">
      <c r="A1174">
        <v>1910</v>
      </c>
      <c r="B1174" s="1">
        <v>48150</v>
      </c>
      <c r="C1174" s="1">
        <v>219</v>
      </c>
      <c r="D1174" s="4">
        <f t="shared" si="36"/>
        <v>4.5482866043613703E-3</v>
      </c>
      <c r="E1174" s="1">
        <v>0</v>
      </c>
      <c r="F1174" s="1">
        <v>1</v>
      </c>
      <c r="G1174" s="1">
        <v>24</v>
      </c>
      <c r="H1174" s="1">
        <v>173</v>
      </c>
      <c r="I1174" s="1">
        <v>2</v>
      </c>
      <c r="J1174" s="1">
        <v>39</v>
      </c>
      <c r="K1174" s="1">
        <v>3</v>
      </c>
      <c r="L1174" s="1">
        <v>2</v>
      </c>
      <c r="M1174" s="1">
        <v>47</v>
      </c>
      <c r="N1174" s="1">
        <v>3</v>
      </c>
      <c r="O1174" s="1">
        <v>5</v>
      </c>
      <c r="P1174" s="1">
        <v>1</v>
      </c>
      <c r="Q1174" s="1">
        <v>4</v>
      </c>
      <c r="R1174" s="1">
        <v>7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71</v>
      </c>
      <c r="AA1174" s="1" t="str" cm="1">
        <f t="array" ref="AA1174">_xlfn.IFS(AND(Z1174&lt;36, Z1174&gt;23), "24-35", AND(Z1174&lt;51, Z1174&gt;35),"36-50", AND(Z1174&lt;66, Z1174&gt;50), "51-66", Z1174&gt;65, "66+", TRUE, "?")</f>
        <v>66+</v>
      </c>
      <c r="AB1174" s="1">
        <v>2545</v>
      </c>
      <c r="AC1174" s="1">
        <v>0</v>
      </c>
      <c r="AD1174" s="1">
        <v>1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1</v>
      </c>
      <c r="AK1174" s="1">
        <v>0</v>
      </c>
      <c r="AL1174" s="1">
        <v>172</v>
      </c>
      <c r="AM1174" s="2">
        <v>42304</v>
      </c>
      <c r="AN1174" t="str">
        <f t="shared" si="37"/>
        <v>48150,219,0.00454828660436137,0,1,24,173,2,39,3,2,47,3,5,1,4,7,0,0,0,0,0,0,0,71,66+,2545,0,1,0,0,0,0,0,1,0,172,42304</v>
      </c>
    </row>
    <row r="1175" spans="1:40" ht="13" hidden="1" x14ac:dyDescent="0.15">
      <c r="A1175">
        <v>253</v>
      </c>
      <c r="B1175" s="1">
        <v>61905</v>
      </c>
      <c r="C1175" s="1">
        <v>218</v>
      </c>
      <c r="D1175" s="4">
        <f t="shared" si="36"/>
        <v>3.5215249172118571E-3</v>
      </c>
      <c r="E1175" s="1">
        <v>0</v>
      </c>
      <c r="F1175" s="1">
        <v>1</v>
      </c>
      <c r="G1175" s="1">
        <v>2</v>
      </c>
      <c r="H1175" s="1">
        <v>167</v>
      </c>
      <c r="I1175" s="1">
        <v>0</v>
      </c>
      <c r="J1175" s="1">
        <v>43</v>
      </c>
      <c r="K1175" s="1">
        <v>6</v>
      </c>
      <c r="L1175" s="1">
        <v>2</v>
      </c>
      <c r="M1175" s="1">
        <v>13</v>
      </c>
      <c r="N1175" s="1">
        <v>2</v>
      </c>
      <c r="O1175" s="1">
        <v>4</v>
      </c>
      <c r="P1175" s="1">
        <v>2</v>
      </c>
      <c r="Q1175" s="1">
        <v>4</v>
      </c>
      <c r="R1175" s="1">
        <v>5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45</v>
      </c>
      <c r="AA1175" s="1" t="str" cm="1">
        <f t="array" ref="AA1175">_xlfn.IFS(AND(Z1175&lt;36, Z1175&gt;23), "24-35", AND(Z1175&lt;51, Z1175&gt;35),"36-50", AND(Z1175&lt;66, Z1175&gt;50), "51-66", Z1175&gt;65, "66+", TRUE, "?")</f>
        <v>36-50</v>
      </c>
      <c r="AB1175" s="1">
        <v>2304</v>
      </c>
      <c r="AC1175" s="1">
        <v>0</v>
      </c>
      <c r="AD1175" s="1">
        <v>0</v>
      </c>
      <c r="AE1175" s="1">
        <v>0</v>
      </c>
      <c r="AF1175" s="1">
        <v>1</v>
      </c>
      <c r="AG1175" s="1">
        <v>0</v>
      </c>
      <c r="AH1175" s="1">
        <v>0</v>
      </c>
      <c r="AI1175" s="1">
        <v>0</v>
      </c>
      <c r="AJ1175" s="1">
        <v>0</v>
      </c>
      <c r="AK1175" s="1">
        <v>1</v>
      </c>
      <c r="AL1175" s="1">
        <v>205</v>
      </c>
      <c r="AM1175" s="2">
        <v>42545</v>
      </c>
      <c r="AN1175" t="str">
        <f t="shared" si="37"/>
        <v>61905,218,0.00352152491721186,0,1,2,167,0,43,6,2,13,2,4,2,4,5,0,0,0,0,0,0,0,45,36-50,2304,0,0,0,1,0,0,0,0,1,205,42545</v>
      </c>
    </row>
    <row r="1176" spans="1:40" ht="13" hidden="1" x14ac:dyDescent="0.15">
      <c r="A1176">
        <v>291</v>
      </c>
      <c r="B1176" s="1">
        <v>54198</v>
      </c>
      <c r="C1176" s="1">
        <v>218</v>
      </c>
      <c r="D1176" s="4">
        <f t="shared" si="36"/>
        <v>4.0222886453374664E-3</v>
      </c>
      <c r="E1176" s="1">
        <v>1</v>
      </c>
      <c r="F1176" s="1">
        <v>1</v>
      </c>
      <c r="G1176" s="1">
        <v>13</v>
      </c>
      <c r="H1176" s="1">
        <v>185</v>
      </c>
      <c r="I1176" s="1">
        <v>0</v>
      </c>
      <c r="J1176" s="1">
        <v>28</v>
      </c>
      <c r="K1176" s="1">
        <v>3</v>
      </c>
      <c r="L1176" s="1">
        <v>2</v>
      </c>
      <c r="M1176" s="1">
        <v>17</v>
      </c>
      <c r="N1176" s="1">
        <v>6</v>
      </c>
      <c r="O1176" s="1">
        <v>3</v>
      </c>
      <c r="P1176" s="1">
        <v>1</v>
      </c>
      <c r="Q1176" s="1">
        <v>6</v>
      </c>
      <c r="R1176" s="1">
        <v>4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54</v>
      </c>
      <c r="AA1176" s="1" t="str" cm="1">
        <f t="array" ref="AA1176">_xlfn.IFS(AND(Z1176&lt;36, Z1176&gt;23), "24-35", AND(Z1176&lt;51, Z1176&gt;35),"36-50", AND(Z1176&lt;66, Z1176&gt;50), "51-66", Z1176&gt;65, "66+", TRUE, "?")</f>
        <v>51-66</v>
      </c>
      <c r="AB1176" s="1">
        <v>2353</v>
      </c>
      <c r="AC1176" s="1">
        <v>0</v>
      </c>
      <c r="AD1176" s="1">
        <v>1</v>
      </c>
      <c r="AE1176" s="1">
        <v>0</v>
      </c>
      <c r="AF1176" s="1">
        <v>0</v>
      </c>
      <c r="AG1176" s="1">
        <v>0</v>
      </c>
      <c r="AH1176" s="1">
        <v>0</v>
      </c>
      <c r="AI1176" s="1">
        <v>1</v>
      </c>
      <c r="AJ1176" s="1">
        <v>0</v>
      </c>
      <c r="AK1176" s="1">
        <v>0</v>
      </c>
      <c r="AL1176" s="1">
        <v>201</v>
      </c>
      <c r="AM1176" s="2">
        <v>42496</v>
      </c>
      <c r="AN1176" t="str">
        <f t="shared" si="37"/>
        <v>54198,218,0.00402228864533747,1,1,13,185,0,28,3,2,17,6,3,1,6,4,0,0,0,0,0,0,0,54,51-66,2353,0,1,0,0,0,0,1,0,0,201,42496</v>
      </c>
    </row>
    <row r="1177" spans="1:40" ht="13" hidden="1" x14ac:dyDescent="0.15">
      <c r="A1177">
        <v>364</v>
      </c>
      <c r="B1177" s="1">
        <v>62499</v>
      </c>
      <c r="C1177" s="1">
        <v>218</v>
      </c>
      <c r="D1177" s="4">
        <f t="shared" si="36"/>
        <v>3.4880558088929421E-3</v>
      </c>
      <c r="E1177" s="1">
        <v>1</v>
      </c>
      <c r="F1177" s="1">
        <v>0</v>
      </c>
      <c r="G1177" s="1">
        <v>0</v>
      </c>
      <c r="H1177" s="1">
        <v>140</v>
      </c>
      <c r="I1177" s="1">
        <v>4</v>
      </c>
      <c r="J1177" s="1">
        <v>61</v>
      </c>
      <c r="K1177" s="1">
        <v>0</v>
      </c>
      <c r="L1177" s="1">
        <v>13</v>
      </c>
      <c r="M1177" s="1">
        <v>4</v>
      </c>
      <c r="N1177" s="1">
        <v>2</v>
      </c>
      <c r="O1177" s="1">
        <v>3</v>
      </c>
      <c r="P1177" s="1">
        <v>1</v>
      </c>
      <c r="Q1177" s="1">
        <v>6</v>
      </c>
      <c r="R1177" s="1">
        <v>4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41</v>
      </c>
      <c r="AA1177" s="1" t="str" cm="1">
        <f t="array" ref="AA1177">_xlfn.IFS(AND(Z1177&lt;36, Z1177&gt;23), "24-35", AND(Z1177&lt;51, Z1177&gt;35),"36-50", AND(Z1177&lt;66, Z1177&gt;50), "51-66", Z1177&gt;65, "66+", TRUE, "?")</f>
        <v>36-50</v>
      </c>
      <c r="AB1177" s="1">
        <v>2361</v>
      </c>
      <c r="AC1177" s="1">
        <v>0</v>
      </c>
      <c r="AD1177" s="1">
        <v>0</v>
      </c>
      <c r="AE1177" s="1">
        <v>0</v>
      </c>
      <c r="AF1177" s="1">
        <v>1</v>
      </c>
      <c r="AG1177" s="1">
        <v>0</v>
      </c>
      <c r="AH1177" s="1">
        <v>0</v>
      </c>
      <c r="AI1177" s="1">
        <v>0</v>
      </c>
      <c r="AJ1177" s="1">
        <v>1</v>
      </c>
      <c r="AK1177" s="1">
        <v>0</v>
      </c>
      <c r="AL1177" s="1">
        <v>214</v>
      </c>
      <c r="AM1177" s="2">
        <v>42488</v>
      </c>
      <c r="AN1177" t="str">
        <f t="shared" si="37"/>
        <v>62499,218,0.00348805580889294,1,0,0,140,4,61,0,13,4,2,3,1,6,4,0,0,0,0,0,0,0,41,36-50,2361,0,0,0,1,0,0,0,1,0,214,42488</v>
      </c>
    </row>
    <row r="1178" spans="1:40" ht="13" hidden="1" x14ac:dyDescent="0.15">
      <c r="A1178">
        <v>26</v>
      </c>
      <c r="B1178" s="1">
        <v>53359</v>
      </c>
      <c r="C1178" s="1">
        <v>216</v>
      </c>
      <c r="D1178" s="4">
        <f t="shared" si="36"/>
        <v>4.0480518750351394E-3</v>
      </c>
      <c r="E1178" s="1">
        <v>1</v>
      </c>
      <c r="F1178" s="1">
        <v>1</v>
      </c>
      <c r="G1178" s="1">
        <v>4</v>
      </c>
      <c r="H1178" s="1">
        <v>173</v>
      </c>
      <c r="I1178" s="1">
        <v>4</v>
      </c>
      <c r="J1178" s="1">
        <v>30</v>
      </c>
      <c r="K1178" s="1">
        <v>3</v>
      </c>
      <c r="L1178" s="1">
        <v>6</v>
      </c>
      <c r="M1178" s="1">
        <v>41</v>
      </c>
      <c r="N1178" s="1">
        <v>4</v>
      </c>
      <c r="O1178" s="1">
        <v>5</v>
      </c>
      <c r="P1178" s="1">
        <v>1</v>
      </c>
      <c r="Q1178" s="1">
        <v>4</v>
      </c>
      <c r="R1178" s="1">
        <v>7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44</v>
      </c>
      <c r="AA1178" s="1" t="str" cm="1">
        <f t="array" ref="AA1178">_xlfn.IFS(AND(Z1178&lt;36, Z1178&gt;23), "24-35", AND(Z1178&lt;51, Z1178&gt;35),"36-50", AND(Z1178&lt;66, Z1178&gt;50), "51-66", Z1178&gt;65, "66+", TRUE, "?")</f>
        <v>36-50</v>
      </c>
      <c r="AB1178" s="1">
        <v>2557</v>
      </c>
      <c r="AC1178" s="1">
        <v>0</v>
      </c>
      <c r="AD1178" s="1">
        <v>1</v>
      </c>
      <c r="AE1178" s="1">
        <v>0</v>
      </c>
      <c r="AF1178" s="1">
        <v>0</v>
      </c>
      <c r="AG1178" s="1">
        <v>0</v>
      </c>
      <c r="AH1178" s="1">
        <v>0</v>
      </c>
      <c r="AI1178" s="1">
        <v>1</v>
      </c>
      <c r="AJ1178" s="1">
        <v>0</v>
      </c>
      <c r="AK1178" s="1">
        <v>0</v>
      </c>
      <c r="AL1178" s="1">
        <v>175</v>
      </c>
      <c r="AM1178" s="2">
        <v>42292</v>
      </c>
      <c r="AN1178" t="str">
        <f t="shared" si="37"/>
        <v>53359,216,0.00404805187503514,1,1,4,173,4,30,3,6,41,4,5,1,4,7,0,0,0,0,0,0,0,44,36-50,2557,0,1,0,0,0,0,1,0,0,175,42292</v>
      </c>
    </row>
    <row r="1179" spans="1:40" ht="13" hidden="1" x14ac:dyDescent="0.15">
      <c r="A1179">
        <v>345</v>
      </c>
      <c r="B1179" s="1">
        <v>48178</v>
      </c>
      <c r="C1179" s="1">
        <v>216</v>
      </c>
      <c r="D1179" s="4">
        <f t="shared" si="36"/>
        <v>4.4833741541782553E-3</v>
      </c>
      <c r="E1179" s="1">
        <v>1</v>
      </c>
      <c r="F1179" s="1">
        <v>1</v>
      </c>
      <c r="G1179" s="1">
        <v>69</v>
      </c>
      <c r="H1179" s="1">
        <v>159</v>
      </c>
      <c r="I1179" s="1">
        <v>4</v>
      </c>
      <c r="J1179" s="1">
        <v>45</v>
      </c>
      <c r="K1179" s="1">
        <v>6</v>
      </c>
      <c r="L1179" s="1">
        <v>2</v>
      </c>
      <c r="M1179" s="1">
        <v>38</v>
      </c>
      <c r="N1179" s="1">
        <v>6</v>
      </c>
      <c r="O1179" s="1">
        <v>5</v>
      </c>
      <c r="P1179" s="1">
        <v>1</v>
      </c>
      <c r="Q1179" s="1">
        <v>4</v>
      </c>
      <c r="R1179" s="1">
        <v>8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45</v>
      </c>
      <c r="AA1179" s="1" t="str" cm="1">
        <f t="array" ref="AA1179">_xlfn.IFS(AND(Z1179&lt;36, Z1179&gt;23), "24-35", AND(Z1179&lt;51, Z1179&gt;35),"36-50", AND(Z1179&lt;66, Z1179&gt;50), "51-66", Z1179&gt;65, "66+", TRUE, "?")</f>
        <v>36-50</v>
      </c>
      <c r="AB1179" s="1">
        <v>2768</v>
      </c>
      <c r="AC1179" s="1">
        <v>0</v>
      </c>
      <c r="AD1179" s="1">
        <v>1</v>
      </c>
      <c r="AE1179" s="1">
        <v>0</v>
      </c>
      <c r="AF1179" s="1">
        <v>0</v>
      </c>
      <c r="AG1179" s="1">
        <v>0</v>
      </c>
      <c r="AH1179" s="1">
        <v>0</v>
      </c>
      <c r="AI1179" s="1">
        <v>1</v>
      </c>
      <c r="AJ1179" s="1">
        <v>0</v>
      </c>
      <c r="AK1179" s="1">
        <v>0</v>
      </c>
      <c r="AL1179" s="1">
        <v>178</v>
      </c>
      <c r="AM1179" s="2">
        <v>42081</v>
      </c>
      <c r="AN1179" t="str">
        <f t="shared" si="37"/>
        <v>48178,216,0.00448337415417826,1,1,69,159,4,45,6,2,38,6,5,1,4,8,0,0,0,0,0,0,0,45,36-50,2768,0,1,0,0,0,0,1,0,0,178,42081</v>
      </c>
    </row>
    <row r="1180" spans="1:40" ht="13" hidden="1" x14ac:dyDescent="0.15">
      <c r="A1180">
        <v>608</v>
      </c>
      <c r="B1180" s="1">
        <v>55282</v>
      </c>
      <c r="C1180" s="1">
        <v>216</v>
      </c>
      <c r="D1180" s="4">
        <f t="shared" si="36"/>
        <v>3.9072392460475381E-3</v>
      </c>
      <c r="E1180" s="1">
        <v>1</v>
      </c>
      <c r="F1180" s="1">
        <v>0</v>
      </c>
      <c r="G1180" s="1">
        <v>9</v>
      </c>
      <c r="H1180" s="1">
        <v>125</v>
      </c>
      <c r="I1180" s="1">
        <v>6</v>
      </c>
      <c r="J1180" s="1">
        <v>73</v>
      </c>
      <c r="K1180" s="1">
        <v>8</v>
      </c>
      <c r="L1180" s="1">
        <v>4</v>
      </c>
      <c r="M1180" s="1">
        <v>19</v>
      </c>
      <c r="N1180" s="1">
        <v>1</v>
      </c>
      <c r="O1180" s="1">
        <v>3</v>
      </c>
      <c r="P1180" s="1">
        <v>1</v>
      </c>
      <c r="Q1180" s="1">
        <v>6</v>
      </c>
      <c r="R1180" s="1">
        <v>4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50</v>
      </c>
      <c r="AA1180" s="1" t="str" cm="1">
        <f t="array" ref="AA1180">_xlfn.IFS(AND(Z1180&lt;36, Z1180&gt;23), "24-35", AND(Z1180&lt;51, Z1180&gt;35),"36-50", AND(Z1180&lt;66, Z1180&gt;50), "51-66", Z1180&gt;65, "66+", TRUE, "?")</f>
        <v>36-50</v>
      </c>
      <c r="AB1180" s="1">
        <v>2357</v>
      </c>
      <c r="AC1180" s="1">
        <v>1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1</v>
      </c>
      <c r="AK1180" s="1">
        <v>0</v>
      </c>
      <c r="AL1180" s="1">
        <v>197</v>
      </c>
      <c r="AM1180" s="2">
        <v>42492</v>
      </c>
      <c r="AN1180" t="str">
        <f t="shared" si="37"/>
        <v>55282,216,0.00390723924604754,1,0,9,125,6,73,8,4,19,1,3,1,6,4,0,0,0,0,0,0,0,50,36-50,2357,1,0,0,0,0,0,0,1,0,197,42492</v>
      </c>
    </row>
    <row r="1181" spans="1:40" ht="13" hidden="1" x14ac:dyDescent="0.15">
      <c r="A1181">
        <v>640</v>
      </c>
      <c r="B1181" s="1">
        <v>38946</v>
      </c>
      <c r="C1181" s="1">
        <v>216</v>
      </c>
      <c r="D1181" s="4">
        <f t="shared" si="36"/>
        <v>5.5461408103527959E-3</v>
      </c>
      <c r="E1181" s="1">
        <v>0</v>
      </c>
      <c r="F1181" s="1">
        <v>1</v>
      </c>
      <c r="G1181" s="1">
        <v>84</v>
      </c>
      <c r="H1181" s="1">
        <v>116</v>
      </c>
      <c r="I1181" s="1">
        <v>6</v>
      </c>
      <c r="J1181" s="1">
        <v>82</v>
      </c>
      <c r="K1181" s="1">
        <v>6</v>
      </c>
      <c r="L1181" s="1">
        <v>6</v>
      </c>
      <c r="M1181" s="1">
        <v>41</v>
      </c>
      <c r="N1181" s="1">
        <v>2</v>
      </c>
      <c r="O1181" s="1">
        <v>3</v>
      </c>
      <c r="P1181" s="1">
        <v>1</v>
      </c>
      <c r="Q1181" s="1">
        <v>6</v>
      </c>
      <c r="R1181" s="1">
        <v>5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65</v>
      </c>
      <c r="AA1181" s="1" t="str" cm="1">
        <f t="array" ref="AA1181">_xlfn.IFS(AND(Z1181&lt;36, Z1181&gt;23), "24-35", AND(Z1181&lt;51, Z1181&gt;35),"36-50", AND(Z1181&lt;66, Z1181&gt;50), "51-66", Z1181&gt;65, "66+", TRUE, "?")</f>
        <v>51-66</v>
      </c>
      <c r="AB1181" s="1">
        <v>2407</v>
      </c>
      <c r="AC1181" s="1">
        <v>0</v>
      </c>
      <c r="AD1181" s="1">
        <v>0</v>
      </c>
      <c r="AE1181" s="1">
        <v>0</v>
      </c>
      <c r="AF1181" s="1">
        <v>1</v>
      </c>
      <c r="AG1181" s="1">
        <v>0</v>
      </c>
      <c r="AH1181" s="1">
        <v>0</v>
      </c>
      <c r="AI1181" s="1">
        <v>1</v>
      </c>
      <c r="AJ1181" s="1">
        <v>0</v>
      </c>
      <c r="AK1181" s="1">
        <v>0</v>
      </c>
      <c r="AL1181" s="1">
        <v>175</v>
      </c>
      <c r="AM1181" s="2">
        <v>42442</v>
      </c>
      <c r="AN1181" t="str">
        <f t="shared" si="37"/>
        <v>38946,216,0.0055461408103528,0,1,84,116,6,82,6,6,41,2,3,1,6,5,0,0,0,0,0,0,0,65,51-66,2407,0,0,0,1,0,0,1,0,0,175,42442</v>
      </c>
    </row>
    <row r="1182" spans="1:40" ht="13" hidden="1" x14ac:dyDescent="0.15">
      <c r="A1182">
        <v>907</v>
      </c>
      <c r="B1182" s="1">
        <v>50183</v>
      </c>
      <c r="C1182" s="1">
        <v>216</v>
      </c>
      <c r="D1182" s="4">
        <f t="shared" si="36"/>
        <v>4.304246457963852E-3</v>
      </c>
      <c r="E1182" s="1">
        <v>1</v>
      </c>
      <c r="F1182" s="1">
        <v>1</v>
      </c>
      <c r="G1182" s="1">
        <v>47</v>
      </c>
      <c r="H1182" s="1">
        <v>97</v>
      </c>
      <c r="I1182" s="1">
        <v>12</v>
      </c>
      <c r="J1182" s="1">
        <v>84</v>
      </c>
      <c r="K1182" s="1">
        <v>13</v>
      </c>
      <c r="L1182" s="1">
        <v>10</v>
      </c>
      <c r="M1182" s="1">
        <v>15</v>
      </c>
      <c r="N1182" s="1">
        <v>7</v>
      </c>
      <c r="O1182" s="1">
        <v>3</v>
      </c>
      <c r="P1182" s="1">
        <v>1</v>
      </c>
      <c r="Q1182" s="1">
        <v>6</v>
      </c>
      <c r="R1182" s="1">
        <v>5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40</v>
      </c>
      <c r="AA1182" s="1" t="str" cm="1">
        <f t="array" ref="AA1182">_xlfn.IFS(AND(Z1182&lt;36, Z1182&gt;23), "24-35", AND(Z1182&lt;51, Z1182&gt;35),"36-50", AND(Z1182&lt;66, Z1182&gt;50), "51-66", Z1182&gt;65, "66+", TRUE, "?")</f>
        <v>36-50</v>
      </c>
      <c r="AB1182" s="1">
        <v>2163</v>
      </c>
      <c r="AC1182" s="1">
        <v>0</v>
      </c>
      <c r="AD1182" s="1">
        <v>1</v>
      </c>
      <c r="AE1182" s="1">
        <v>0</v>
      </c>
      <c r="AF1182" s="1">
        <v>0</v>
      </c>
      <c r="AG1182" s="1">
        <v>0</v>
      </c>
      <c r="AH1182" s="1">
        <v>0</v>
      </c>
      <c r="AI1182" s="1">
        <v>1</v>
      </c>
      <c r="AJ1182" s="1">
        <v>0</v>
      </c>
      <c r="AK1182" s="1">
        <v>0</v>
      </c>
      <c r="AL1182" s="1">
        <v>201</v>
      </c>
      <c r="AM1182" s="2">
        <v>42686</v>
      </c>
      <c r="AN1182" t="str">
        <f t="shared" si="37"/>
        <v>50183,216,0.00430424645796385,1,1,47,97,12,84,13,10,15,7,3,1,6,5,0,0,0,0,0,0,0,40,36-50,2163,0,1,0,0,0,0,1,0,0,201,42686</v>
      </c>
    </row>
    <row r="1183" spans="1:40" ht="13" hidden="1" x14ac:dyDescent="0.15">
      <c r="A1183">
        <v>1093</v>
      </c>
      <c r="B1183" s="1">
        <v>40344</v>
      </c>
      <c r="C1183" s="1">
        <v>216</v>
      </c>
      <c r="D1183" s="4">
        <f t="shared" si="36"/>
        <v>5.353955978584176E-3</v>
      </c>
      <c r="E1183" s="1">
        <v>0</v>
      </c>
      <c r="F1183" s="1">
        <v>1</v>
      </c>
      <c r="G1183" s="1">
        <v>48</v>
      </c>
      <c r="H1183" s="1">
        <v>210</v>
      </c>
      <c r="I1183" s="1">
        <v>0</v>
      </c>
      <c r="J1183" s="1">
        <v>6</v>
      </c>
      <c r="K1183" s="1">
        <v>0</v>
      </c>
      <c r="L1183" s="1">
        <v>0</v>
      </c>
      <c r="M1183" s="1">
        <v>2</v>
      </c>
      <c r="N1183" s="1">
        <v>2</v>
      </c>
      <c r="O1183" s="1">
        <v>4</v>
      </c>
      <c r="P1183" s="1">
        <v>1</v>
      </c>
      <c r="Q1183" s="1">
        <v>5</v>
      </c>
      <c r="R1183" s="1">
        <v>7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46</v>
      </c>
      <c r="AA1183" s="1" t="str" cm="1">
        <f t="array" ref="AA1183">_xlfn.IFS(AND(Z1183&lt;36, Z1183&gt;23), "24-35", AND(Z1183&lt;51, Z1183&gt;35),"36-50", AND(Z1183&lt;66, Z1183&gt;50), "51-66", Z1183&gt;65, "66+", TRUE, "?")</f>
        <v>36-50</v>
      </c>
      <c r="AB1183" s="1">
        <v>2418</v>
      </c>
      <c r="AC1183" s="1">
        <v>0</v>
      </c>
      <c r="AD1183" s="1">
        <v>1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1</v>
      </c>
      <c r="AL1183" s="1">
        <v>214</v>
      </c>
      <c r="AM1183" s="2">
        <v>42431</v>
      </c>
      <c r="AN1183" t="str">
        <f t="shared" si="37"/>
        <v>40344,216,0.00535395597858418,0,1,48,210,0,6,0,0,2,2,4,1,5,7,0,0,0,0,0,0,0,46,36-50,2418,0,1,0,0,0,0,0,0,1,214,42431</v>
      </c>
    </row>
    <row r="1184" spans="1:40" ht="13" x14ac:dyDescent="0.15">
      <c r="A1184">
        <v>1581</v>
      </c>
      <c r="B1184" s="1">
        <v>38808</v>
      </c>
      <c r="C1184" s="1">
        <v>216</v>
      </c>
      <c r="D1184" s="4">
        <f t="shared" si="36"/>
        <v>5.5658627087198514E-3</v>
      </c>
      <c r="E1184" s="1">
        <v>1</v>
      </c>
      <c r="F1184" s="1">
        <v>0</v>
      </c>
      <c r="G1184" s="1">
        <v>21</v>
      </c>
      <c r="H1184" s="1">
        <v>125</v>
      </c>
      <c r="I1184" s="1">
        <v>17</v>
      </c>
      <c r="J1184" s="1">
        <v>52</v>
      </c>
      <c r="K1184" s="1">
        <v>3</v>
      </c>
      <c r="L1184" s="1">
        <v>19</v>
      </c>
      <c r="M1184" s="1">
        <v>30</v>
      </c>
      <c r="N1184" s="1">
        <v>4</v>
      </c>
      <c r="O1184" s="1">
        <v>5</v>
      </c>
      <c r="P1184" s="1">
        <v>1</v>
      </c>
      <c r="Q1184" s="1">
        <v>4</v>
      </c>
      <c r="R1184" s="1">
        <v>8</v>
      </c>
      <c r="S1184" s="1">
        <v>0</v>
      </c>
      <c r="T1184" s="1">
        <v>0</v>
      </c>
      <c r="U1184" s="1">
        <v>1</v>
      </c>
      <c r="V1184" s="1">
        <v>0</v>
      </c>
      <c r="W1184" s="1">
        <v>0</v>
      </c>
      <c r="X1184" s="1">
        <v>0</v>
      </c>
      <c r="Y1184" s="1">
        <v>1</v>
      </c>
      <c r="Z1184" s="1">
        <v>48</v>
      </c>
      <c r="AA1184" s="1" t="str" cm="1">
        <f t="array" ref="AA1184">_xlfn.IFS(AND(Z1184&lt;36, Z1184&gt;23), "24-35", AND(Z1184&lt;51, Z1184&gt;35),"36-50", AND(Z1184&lt;66, Z1184&gt;50), "51-66", Z1184&gt;65, "66+", TRUE, "?")</f>
        <v>36-50</v>
      </c>
      <c r="AB1184" s="1">
        <v>2831</v>
      </c>
      <c r="AC1184" s="1">
        <v>0</v>
      </c>
      <c r="AD1184" s="1">
        <v>0</v>
      </c>
      <c r="AE1184" s="1">
        <v>1</v>
      </c>
      <c r="AF1184" s="1">
        <v>0</v>
      </c>
      <c r="AG1184" s="1">
        <v>0</v>
      </c>
      <c r="AH1184" s="1">
        <v>0</v>
      </c>
      <c r="AI1184" s="1">
        <v>1</v>
      </c>
      <c r="AJ1184" s="1">
        <v>0</v>
      </c>
      <c r="AK1184" s="1">
        <v>0</v>
      </c>
      <c r="AL1184" s="1">
        <v>186</v>
      </c>
      <c r="AM1184" s="2">
        <v>42018</v>
      </c>
      <c r="AN1184" t="str">
        <f t="shared" si="37"/>
        <v>38808,216,0.00556586270871985,1,0,21,125,17,52,3,19,30,4,5,1,4,8,0,0,1,0,0,0,1,48,36-50,2831,0,0,1,0,0,0,1,0,0,186,42018</v>
      </c>
    </row>
    <row r="1185" spans="1:40" ht="13" hidden="1" x14ac:dyDescent="0.15">
      <c r="A1185">
        <v>548</v>
      </c>
      <c r="B1185" s="1">
        <v>45207</v>
      </c>
      <c r="C1185" s="1">
        <v>213</v>
      </c>
      <c r="D1185" s="4">
        <f t="shared" si="36"/>
        <v>4.7116596987192248E-3</v>
      </c>
      <c r="E1185" s="1">
        <v>1</v>
      </c>
      <c r="F1185" s="1">
        <v>1</v>
      </c>
      <c r="G1185" s="1">
        <v>64</v>
      </c>
      <c r="H1185" s="1">
        <v>203</v>
      </c>
      <c r="I1185" s="1">
        <v>0</v>
      </c>
      <c r="J1185" s="1">
        <v>10</v>
      </c>
      <c r="K1185" s="1">
        <v>0</v>
      </c>
      <c r="L1185" s="1">
        <v>0</v>
      </c>
      <c r="M1185" s="1">
        <v>2</v>
      </c>
      <c r="N1185" s="1">
        <v>5</v>
      </c>
      <c r="O1185" s="1">
        <v>3</v>
      </c>
      <c r="P1185" s="1">
        <v>1</v>
      </c>
      <c r="Q1185" s="1">
        <v>6</v>
      </c>
      <c r="R1185" s="1">
        <v>6</v>
      </c>
      <c r="S1185" s="1">
        <v>0</v>
      </c>
      <c r="T1185" s="1">
        <v>0</v>
      </c>
      <c r="U1185" s="1">
        <v>0</v>
      </c>
      <c r="V1185" s="1">
        <v>1</v>
      </c>
      <c r="W1185" s="1">
        <v>0</v>
      </c>
      <c r="X1185" s="1">
        <v>0</v>
      </c>
      <c r="Y1185" s="1">
        <v>0</v>
      </c>
      <c r="Z1185" s="1">
        <v>46</v>
      </c>
      <c r="AA1185" s="1" t="str" cm="1">
        <f t="array" ref="AA1185">_xlfn.IFS(AND(Z1185&lt;36, Z1185&gt;23), "24-35", AND(Z1185&lt;51, Z1185&gt;35),"36-50", AND(Z1185&lt;66, Z1185&gt;50), "51-66", Z1185&gt;65, "66+", TRUE, "?")</f>
        <v>36-50</v>
      </c>
      <c r="AB1185" s="1">
        <v>2755</v>
      </c>
      <c r="AC1185" s="1">
        <v>0</v>
      </c>
      <c r="AD1185" s="1">
        <v>1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1</v>
      </c>
      <c r="AL1185" s="1">
        <v>211</v>
      </c>
      <c r="AM1185" s="2">
        <v>42094</v>
      </c>
      <c r="AN1185" t="str">
        <f t="shared" si="37"/>
        <v>45207,213,0.00471165969871922,1,1,64,203,0,10,0,0,2,5,3,1,6,6,0,0,0,1,0,0,0,46,36-50,2755,0,1,0,0,0,0,0,0,1,211,42094</v>
      </c>
    </row>
    <row r="1186" spans="1:40" ht="13" hidden="1" x14ac:dyDescent="0.15">
      <c r="A1186">
        <v>131</v>
      </c>
      <c r="B1186" s="1">
        <v>41883</v>
      </c>
      <c r="C1186" s="1">
        <v>196</v>
      </c>
      <c r="D1186" s="4">
        <f t="shared" si="36"/>
        <v>4.6797029821168496E-3</v>
      </c>
      <c r="E1186" s="1">
        <v>1</v>
      </c>
      <c r="F1186" s="1">
        <v>0</v>
      </c>
      <c r="G1186" s="1">
        <v>13</v>
      </c>
      <c r="H1186" s="1">
        <v>32</v>
      </c>
      <c r="I1186" s="1">
        <v>34</v>
      </c>
      <c r="J1186" s="1">
        <v>41</v>
      </c>
      <c r="K1186" s="1">
        <v>73</v>
      </c>
      <c r="L1186" s="1">
        <v>16</v>
      </c>
      <c r="M1186" s="1">
        <v>116</v>
      </c>
      <c r="N1186" s="1">
        <v>3</v>
      </c>
      <c r="O1186" s="1">
        <v>4</v>
      </c>
      <c r="P1186" s="1">
        <v>2</v>
      </c>
      <c r="Q1186" s="1">
        <v>3</v>
      </c>
      <c r="R1186" s="1">
        <v>7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32</v>
      </c>
      <c r="AA1186" s="1" t="str" cm="1">
        <f t="array" ref="AA1186">_xlfn.IFS(AND(Z1186&lt;36, Z1186&gt;23), "24-35", AND(Z1186&lt;51, Z1186&gt;35),"36-50", AND(Z1186&lt;66, Z1186&gt;50), "51-66", Z1186&gt;65, "66+", TRUE, "?")</f>
        <v>24-35</v>
      </c>
      <c r="AB1186" s="1">
        <v>2626</v>
      </c>
      <c r="AC1186" s="1">
        <v>0</v>
      </c>
      <c r="AD1186" s="1">
        <v>0</v>
      </c>
      <c r="AE1186" s="1">
        <v>0</v>
      </c>
      <c r="AF1186" s="1">
        <v>1</v>
      </c>
      <c r="AG1186" s="1">
        <v>0</v>
      </c>
      <c r="AH1186" s="1">
        <v>0</v>
      </c>
      <c r="AI1186" s="1">
        <v>1</v>
      </c>
      <c r="AJ1186" s="1">
        <v>0</v>
      </c>
      <c r="AK1186" s="1">
        <v>0</v>
      </c>
      <c r="AL1186" s="1">
        <v>80</v>
      </c>
      <c r="AM1186" s="2">
        <v>42223</v>
      </c>
      <c r="AN1186" t="str">
        <f t="shared" si="37"/>
        <v>41883,196,0.00467970298211685,1,0,13,32,34,41,73,16,116,3,4,2,3,7,0,0,0,0,0,0,0,32,24-35,2626,0,0,0,1,0,0,1,0,0,80,42223</v>
      </c>
    </row>
    <row r="1187" spans="1:40" ht="13" hidden="1" x14ac:dyDescent="0.15">
      <c r="A1187">
        <v>1492</v>
      </c>
      <c r="B1187" s="1">
        <v>54414</v>
      </c>
      <c r="C1187" s="1">
        <v>193</v>
      </c>
      <c r="D1187" s="4">
        <f t="shared" si="36"/>
        <v>3.5468813173080457E-3</v>
      </c>
      <c r="E1187" s="1">
        <v>1</v>
      </c>
      <c r="F1187" s="1">
        <v>1</v>
      </c>
      <c r="G1187" s="1">
        <v>49</v>
      </c>
      <c r="H1187" s="1">
        <v>109</v>
      </c>
      <c r="I1187" s="1">
        <v>18</v>
      </c>
      <c r="J1187" s="1">
        <v>16</v>
      </c>
      <c r="K1187" s="1">
        <v>24</v>
      </c>
      <c r="L1187" s="1">
        <v>26</v>
      </c>
      <c r="M1187" s="1">
        <v>18</v>
      </c>
      <c r="N1187" s="1">
        <v>4</v>
      </c>
      <c r="O1187" s="1">
        <v>3</v>
      </c>
      <c r="P1187" s="1">
        <v>1</v>
      </c>
      <c r="Q1187" s="1">
        <v>5</v>
      </c>
      <c r="R1187" s="1">
        <v>4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57</v>
      </c>
      <c r="AA1187" s="1" t="str" cm="1">
        <f t="array" ref="AA1187">_xlfn.IFS(AND(Z1187&lt;36, Z1187&gt;23), "24-35", AND(Z1187&lt;51, Z1187&gt;35),"36-50", AND(Z1187&lt;66, Z1187&gt;50), "51-66", Z1187&gt;65, "66+", TRUE, "?")</f>
        <v>51-66</v>
      </c>
      <c r="AB1187" s="1">
        <v>2681</v>
      </c>
      <c r="AC1187" s="1">
        <v>0</v>
      </c>
      <c r="AD1187" s="1">
        <v>0</v>
      </c>
      <c r="AE1187" s="1">
        <v>0</v>
      </c>
      <c r="AF1187" s="1">
        <v>1</v>
      </c>
      <c r="AG1187" s="1">
        <v>0</v>
      </c>
      <c r="AH1187" s="1">
        <v>0</v>
      </c>
      <c r="AI1187" s="1">
        <v>1</v>
      </c>
      <c r="AJ1187" s="1">
        <v>0</v>
      </c>
      <c r="AK1187" s="1">
        <v>0</v>
      </c>
      <c r="AL1187" s="1">
        <v>175</v>
      </c>
      <c r="AM1187" s="2">
        <v>42168</v>
      </c>
      <c r="AN1187" t="str">
        <f t="shared" si="37"/>
        <v>54414,193,0.00354688131730805,1,1,49,109,18,16,24,26,18,4,3,1,5,4,0,0,0,0,0,0,0,57,51-66,2681,0,0,0,1,0,0,1,0,0,175,42168</v>
      </c>
    </row>
    <row r="1188" spans="1:40" ht="13" hidden="1" x14ac:dyDescent="0.15">
      <c r="A1188">
        <v>459</v>
      </c>
      <c r="B1188" s="1">
        <v>28457</v>
      </c>
      <c r="C1188" s="1">
        <v>191</v>
      </c>
      <c r="D1188" s="4">
        <f t="shared" si="36"/>
        <v>6.7118810837403804E-3</v>
      </c>
      <c r="E1188" s="1">
        <v>0</v>
      </c>
      <c r="F1188" s="1">
        <v>0</v>
      </c>
      <c r="G1188" s="1">
        <v>96</v>
      </c>
      <c r="H1188" s="1">
        <v>24</v>
      </c>
      <c r="I1188" s="1">
        <v>1</v>
      </c>
      <c r="J1188" s="1">
        <v>108</v>
      </c>
      <c r="K1188" s="1">
        <v>29</v>
      </c>
      <c r="L1188" s="1">
        <v>29</v>
      </c>
      <c r="M1188" s="1">
        <v>14</v>
      </c>
      <c r="N1188" s="1">
        <v>1</v>
      </c>
      <c r="O1188" s="1">
        <v>4</v>
      </c>
      <c r="P1188" s="1">
        <v>1</v>
      </c>
      <c r="Q1188" s="1">
        <v>4</v>
      </c>
      <c r="R1188" s="1">
        <v>8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68</v>
      </c>
      <c r="AA1188" s="1" t="str" cm="1">
        <f t="array" ref="AA1188">_xlfn.IFS(AND(Z1188&lt;36, Z1188&gt;23), "24-35", AND(Z1188&lt;51, Z1188&gt;35),"36-50", AND(Z1188&lt;66, Z1188&gt;50), "51-66", Z1188&gt;65, "66+", TRUE, "?")</f>
        <v>66+</v>
      </c>
      <c r="AB1188" s="1">
        <v>2768</v>
      </c>
      <c r="AC1188" s="1">
        <v>0</v>
      </c>
      <c r="AD1188" s="1">
        <v>0</v>
      </c>
      <c r="AE1188" s="1">
        <v>0</v>
      </c>
      <c r="AF1188" s="1">
        <v>0</v>
      </c>
      <c r="AG1188" s="1">
        <v>1</v>
      </c>
      <c r="AH1188" s="1">
        <v>1</v>
      </c>
      <c r="AI1188" s="1">
        <v>0</v>
      </c>
      <c r="AJ1188" s="1">
        <v>0</v>
      </c>
      <c r="AK1188" s="1">
        <v>0</v>
      </c>
      <c r="AL1188" s="1">
        <v>177</v>
      </c>
      <c r="AM1188" s="2">
        <v>42081</v>
      </c>
      <c r="AN1188" t="str">
        <f t="shared" si="37"/>
        <v>28457,191,0.00671188108374038,0,0,96,24,1,108,29,29,14,1,4,1,4,8,0,0,0,0,0,0,0,68,66+,2768,0,0,0,0,1,1,0,0,0,177,42081</v>
      </c>
    </row>
    <row r="1189" spans="1:40" ht="13" hidden="1" x14ac:dyDescent="0.15">
      <c r="A1189">
        <v>648</v>
      </c>
      <c r="B1189" s="1">
        <v>42315</v>
      </c>
      <c r="C1189" s="1">
        <v>190</v>
      </c>
      <c r="D1189" s="4">
        <f t="shared" si="36"/>
        <v>4.4901335223915869E-3</v>
      </c>
      <c r="E1189" s="1">
        <v>0</v>
      </c>
      <c r="F1189" s="1">
        <v>1</v>
      </c>
      <c r="G1189" s="1">
        <v>90</v>
      </c>
      <c r="H1189" s="1">
        <v>67</v>
      </c>
      <c r="I1189" s="1">
        <v>15</v>
      </c>
      <c r="J1189" s="1">
        <v>80</v>
      </c>
      <c r="K1189" s="1">
        <v>17</v>
      </c>
      <c r="L1189" s="1">
        <v>11</v>
      </c>
      <c r="M1189" s="1">
        <v>80</v>
      </c>
      <c r="N1189" s="1">
        <v>3</v>
      </c>
      <c r="O1189" s="1">
        <v>1</v>
      </c>
      <c r="P1189" s="1">
        <v>4</v>
      </c>
      <c r="Q1189" s="1">
        <v>4</v>
      </c>
      <c r="R1189" s="1">
        <v>3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62</v>
      </c>
      <c r="AA1189" s="1" t="str" cm="1">
        <f t="array" ref="AA1189">_xlfn.IFS(AND(Z1189&lt;36, Z1189&gt;23), "24-35", AND(Z1189&lt;51, Z1189&gt;35),"36-50", AND(Z1189&lt;66, Z1189&gt;50), "51-66", Z1189&gt;65, "66+", TRUE, "?")</f>
        <v>51-66</v>
      </c>
      <c r="AB1189" s="1">
        <v>2511</v>
      </c>
      <c r="AC1189" s="1">
        <v>0</v>
      </c>
      <c r="AD1189" s="1">
        <v>0</v>
      </c>
      <c r="AE1189" s="1">
        <v>0</v>
      </c>
      <c r="AF1189" s="1">
        <v>1</v>
      </c>
      <c r="AG1189" s="1">
        <v>0</v>
      </c>
      <c r="AH1189" s="1">
        <v>0</v>
      </c>
      <c r="AI1189" s="1">
        <v>0</v>
      </c>
      <c r="AJ1189" s="1">
        <v>1</v>
      </c>
      <c r="AK1189" s="1">
        <v>0</v>
      </c>
      <c r="AL1189" s="1">
        <v>110</v>
      </c>
      <c r="AM1189" s="2">
        <v>42338</v>
      </c>
      <c r="AN1189" t="str">
        <f t="shared" si="37"/>
        <v>42315,190,0.00449013352239159,0,1,90,67,15,80,17,11,80,3,1,4,4,3,0,0,0,0,0,0,0,62,51-66,2511,0,0,0,1,0,0,0,1,0,110,42338</v>
      </c>
    </row>
    <row r="1190" spans="1:40" ht="13" hidden="1" x14ac:dyDescent="0.15">
      <c r="A1190">
        <v>1524</v>
      </c>
      <c r="B1190" s="1">
        <v>34916</v>
      </c>
      <c r="C1190" s="1">
        <v>189</v>
      </c>
      <c r="D1190" s="4">
        <f t="shared" si="36"/>
        <v>5.41299117882919E-3</v>
      </c>
      <c r="E1190" s="1">
        <v>2</v>
      </c>
      <c r="F1190" s="1">
        <v>0</v>
      </c>
      <c r="G1190" s="1">
        <v>89</v>
      </c>
      <c r="H1190" s="1">
        <v>51</v>
      </c>
      <c r="I1190" s="1">
        <v>23</v>
      </c>
      <c r="J1190" s="1">
        <v>82</v>
      </c>
      <c r="K1190" s="1">
        <v>33</v>
      </c>
      <c r="L1190" s="1">
        <v>0</v>
      </c>
      <c r="M1190" s="1">
        <v>42</v>
      </c>
      <c r="N1190" s="1">
        <v>4</v>
      </c>
      <c r="O1190" s="1">
        <v>5</v>
      </c>
      <c r="P1190" s="1">
        <v>1</v>
      </c>
      <c r="Q1190" s="1">
        <v>3</v>
      </c>
      <c r="R1190" s="1">
        <v>9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52</v>
      </c>
      <c r="AA1190" s="1" t="str" cm="1">
        <f t="array" ref="AA1190">_xlfn.IFS(AND(Z1190&lt;36, Z1190&gt;23), "24-35", AND(Z1190&lt;51, Z1190&gt;35),"36-50", AND(Z1190&lt;66, Z1190&gt;50), "51-66", Z1190&gt;65, "66+", TRUE, "?")</f>
        <v>51-66</v>
      </c>
      <c r="AB1190" s="1">
        <v>2569</v>
      </c>
      <c r="AC1190" s="1">
        <v>0</v>
      </c>
      <c r="AD1190" s="1">
        <v>0</v>
      </c>
      <c r="AE1190" s="1">
        <v>0</v>
      </c>
      <c r="AF1190" s="1">
        <v>1</v>
      </c>
      <c r="AG1190" s="1">
        <v>0</v>
      </c>
      <c r="AH1190" s="1">
        <v>0</v>
      </c>
      <c r="AI1190" s="1">
        <v>1</v>
      </c>
      <c r="AJ1190" s="1">
        <v>0</v>
      </c>
      <c r="AK1190" s="1">
        <v>0</v>
      </c>
      <c r="AL1190" s="1">
        <v>147</v>
      </c>
      <c r="AM1190" s="2">
        <v>42280</v>
      </c>
      <c r="AN1190" t="str">
        <f t="shared" si="37"/>
        <v>34916,189,0.00541299117882919,2,0,89,51,23,82,33,0,42,4,5,1,3,9,0,0,0,0,0,0,0,52,51-66,2569,0,0,0,1,0,0,1,0,0,147,42280</v>
      </c>
    </row>
    <row r="1191" spans="1:40" ht="13" hidden="1" x14ac:dyDescent="0.15">
      <c r="A1191">
        <v>593</v>
      </c>
      <c r="B1191" s="1">
        <v>28769</v>
      </c>
      <c r="C1191" s="1">
        <v>188</v>
      </c>
      <c r="D1191" s="4">
        <f t="shared" si="36"/>
        <v>6.5348117765650525E-3</v>
      </c>
      <c r="E1191" s="1">
        <v>1</v>
      </c>
      <c r="F1191" s="1">
        <v>0</v>
      </c>
      <c r="G1191" s="1">
        <v>76</v>
      </c>
      <c r="H1191" s="1">
        <v>41</v>
      </c>
      <c r="I1191" s="1">
        <v>5</v>
      </c>
      <c r="J1191" s="1">
        <v>129</v>
      </c>
      <c r="K1191" s="1">
        <v>10</v>
      </c>
      <c r="L1191" s="1">
        <v>3</v>
      </c>
      <c r="M1191" s="1">
        <v>3</v>
      </c>
      <c r="N1191" s="1">
        <v>3</v>
      </c>
      <c r="O1191" s="1">
        <v>4</v>
      </c>
      <c r="P1191" s="1">
        <v>1</v>
      </c>
      <c r="Q1191" s="1">
        <v>4</v>
      </c>
      <c r="R1191" s="1">
        <v>9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43</v>
      </c>
      <c r="AA1191" s="1" t="str" cm="1">
        <f t="array" ref="AA1191">_xlfn.IFS(AND(Z1191&lt;36, Z1191&gt;23), "24-35", AND(Z1191&lt;51, Z1191&gt;35),"36-50", AND(Z1191&lt;66, Z1191&gt;50), "51-66", Z1191&gt;65, "66+", TRUE, "?")</f>
        <v>36-50</v>
      </c>
      <c r="AB1191" s="1">
        <v>2717</v>
      </c>
      <c r="AC1191" s="1">
        <v>0</v>
      </c>
      <c r="AD1191" s="1">
        <v>0</v>
      </c>
      <c r="AE1191" s="1">
        <v>1</v>
      </c>
      <c r="AF1191" s="1">
        <v>0</v>
      </c>
      <c r="AG1191" s="1">
        <v>0</v>
      </c>
      <c r="AH1191" s="1">
        <v>0</v>
      </c>
      <c r="AI1191" s="1">
        <v>1</v>
      </c>
      <c r="AJ1191" s="1">
        <v>0</v>
      </c>
      <c r="AK1191" s="1">
        <v>0</v>
      </c>
      <c r="AL1191" s="1">
        <v>185</v>
      </c>
      <c r="AM1191" s="2">
        <v>42132</v>
      </c>
      <c r="AN1191" t="str">
        <f t="shared" si="37"/>
        <v>28769,188,0.00653481177656505,1,0,76,41,5,129,10,3,3,3,4,1,4,9,0,0,0,0,0,0,0,43,36-50,2717,0,0,1,0,0,0,1,0,0,185,42132</v>
      </c>
    </row>
    <row r="1192" spans="1:40" ht="13" hidden="1" x14ac:dyDescent="0.15">
      <c r="A1192">
        <v>1636</v>
      </c>
      <c r="B1192" s="1">
        <v>34074</v>
      </c>
      <c r="C1192" s="1">
        <v>188</v>
      </c>
      <c r="D1192" s="4">
        <f t="shared" si="36"/>
        <v>5.5174032987028235E-3</v>
      </c>
      <c r="E1192" s="1">
        <v>1</v>
      </c>
      <c r="F1192" s="1">
        <v>1</v>
      </c>
      <c r="G1192" s="1">
        <v>69</v>
      </c>
      <c r="H1192" s="1">
        <v>135</v>
      </c>
      <c r="I1192" s="1">
        <v>1</v>
      </c>
      <c r="J1192" s="1">
        <v>41</v>
      </c>
      <c r="K1192" s="1">
        <v>10</v>
      </c>
      <c r="L1192" s="1">
        <v>1</v>
      </c>
      <c r="M1192" s="1">
        <v>67</v>
      </c>
      <c r="N1192" s="1">
        <v>5</v>
      </c>
      <c r="O1192" s="1">
        <v>3</v>
      </c>
      <c r="P1192" s="1">
        <v>3</v>
      </c>
      <c r="Q1192" s="1">
        <v>3</v>
      </c>
      <c r="R1192" s="1">
        <v>6</v>
      </c>
      <c r="S1192" s="1">
        <v>0</v>
      </c>
      <c r="T1192" s="1">
        <v>0</v>
      </c>
      <c r="U1192" s="1">
        <v>1</v>
      </c>
      <c r="V1192" s="1">
        <v>0</v>
      </c>
      <c r="W1192" s="1">
        <v>0</v>
      </c>
      <c r="X1192" s="1">
        <v>0</v>
      </c>
      <c r="Y1192" s="1">
        <v>0</v>
      </c>
      <c r="Z1192" s="1">
        <v>68</v>
      </c>
      <c r="AA1192" s="1" t="str" cm="1">
        <f t="array" ref="AA1192">_xlfn.IFS(AND(Z1192&lt;36, Z1192&gt;23), "24-35", AND(Z1192&lt;51, Z1192&gt;35),"36-50", AND(Z1192&lt;66, Z1192&gt;50), "51-66", Z1192&gt;65, "66+", TRUE, "?")</f>
        <v>66+</v>
      </c>
      <c r="AB1192" s="1">
        <v>2510</v>
      </c>
      <c r="AC1192" s="1">
        <v>0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1</v>
      </c>
      <c r="AJ1192" s="1">
        <v>0</v>
      </c>
      <c r="AK1192" s="1">
        <v>0</v>
      </c>
      <c r="AL1192" s="1">
        <v>121</v>
      </c>
      <c r="AM1192" s="2">
        <v>42339</v>
      </c>
      <c r="AN1192" t="str">
        <f t="shared" si="37"/>
        <v>34074,188,0.00551740329870282,1,1,69,135,1,41,10,1,67,5,3,3,3,6,0,0,1,0,0,0,0,68,66+,2510,0,0,0,1,0,0,1,0,0,121,42339</v>
      </c>
    </row>
    <row r="1193" spans="1:40" ht="13" hidden="1" x14ac:dyDescent="0.15">
      <c r="A1193">
        <v>81</v>
      </c>
      <c r="B1193" s="1">
        <v>54178</v>
      </c>
      <c r="C1193" s="1">
        <v>187</v>
      </c>
      <c r="D1193" s="4">
        <f t="shared" si="36"/>
        <v>3.4515855144154452E-3</v>
      </c>
      <c r="E1193" s="1">
        <v>0</v>
      </c>
      <c r="F1193" s="1">
        <v>1</v>
      </c>
      <c r="G1193" s="1">
        <v>79</v>
      </c>
      <c r="H1193" s="1">
        <v>135</v>
      </c>
      <c r="I1193" s="1">
        <v>9</v>
      </c>
      <c r="J1193" s="1">
        <v>39</v>
      </c>
      <c r="K1193" s="1">
        <v>4</v>
      </c>
      <c r="L1193" s="1">
        <v>0</v>
      </c>
      <c r="M1193" s="1">
        <v>7</v>
      </c>
      <c r="N1193" s="1">
        <v>1</v>
      </c>
      <c r="O1193" s="1">
        <v>2</v>
      </c>
      <c r="P1193" s="1">
        <v>2</v>
      </c>
      <c r="Q1193" s="1">
        <v>5</v>
      </c>
      <c r="R1193" s="1">
        <v>2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53</v>
      </c>
      <c r="AA1193" s="1" t="str" cm="1">
        <f t="array" ref="AA1193">_xlfn.IFS(AND(Z1193&lt;36, Z1193&gt;23), "24-35", AND(Z1193&lt;51, Z1193&gt;35),"36-50", AND(Z1193&lt;66, Z1193&gt;50), "51-66", Z1193&gt;65, "66+", TRUE, "?")</f>
        <v>51-66</v>
      </c>
      <c r="AB1193" s="1">
        <v>2318</v>
      </c>
      <c r="AC1193" s="1">
        <v>0</v>
      </c>
      <c r="AD1193" s="1">
        <v>0</v>
      </c>
      <c r="AE1193" s="1">
        <v>0</v>
      </c>
      <c r="AF1193" s="1">
        <v>1</v>
      </c>
      <c r="AG1193" s="1">
        <v>0</v>
      </c>
      <c r="AH1193" s="1">
        <v>0</v>
      </c>
      <c r="AI1193" s="1">
        <v>1</v>
      </c>
      <c r="AJ1193" s="1">
        <v>0</v>
      </c>
      <c r="AK1193" s="1">
        <v>0</v>
      </c>
      <c r="AL1193" s="1">
        <v>180</v>
      </c>
      <c r="AM1193" s="2">
        <v>42531</v>
      </c>
      <c r="AN1193" t="str">
        <f t="shared" si="37"/>
        <v>54178,187,0.00345158551441545,0,1,79,135,9,39,4,0,7,1,2,2,5,2,0,0,0,0,0,0,0,53,51-66,2318,0,0,0,1,0,0,1,0,0,180,42531</v>
      </c>
    </row>
    <row r="1194" spans="1:40" ht="13" hidden="1" x14ac:dyDescent="0.15">
      <c r="A1194">
        <v>855</v>
      </c>
      <c r="B1194" s="1">
        <v>45921</v>
      </c>
      <c r="C1194" s="1">
        <v>187</v>
      </c>
      <c r="D1194" s="4">
        <f t="shared" si="36"/>
        <v>4.0722109710154396E-3</v>
      </c>
      <c r="E1194" s="1">
        <v>0</v>
      </c>
      <c r="F1194" s="1">
        <v>0</v>
      </c>
      <c r="G1194" s="1">
        <v>23</v>
      </c>
      <c r="H1194" s="1">
        <v>102</v>
      </c>
      <c r="I1194" s="1">
        <v>9</v>
      </c>
      <c r="J1194" s="1">
        <v>49</v>
      </c>
      <c r="K1194" s="1">
        <v>24</v>
      </c>
      <c r="L1194" s="1">
        <v>3</v>
      </c>
      <c r="M1194" s="1">
        <v>12</v>
      </c>
      <c r="N1194" s="1">
        <v>1</v>
      </c>
      <c r="O1194" s="1">
        <v>2</v>
      </c>
      <c r="P1194" s="1">
        <v>1</v>
      </c>
      <c r="Q1194" s="1">
        <v>6</v>
      </c>
      <c r="R1194" s="1">
        <v>4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34</v>
      </c>
      <c r="AA1194" s="1" t="str" cm="1">
        <f t="array" ref="AA1194">_xlfn.IFS(AND(Z1194&lt;36, Z1194&gt;23), "24-35", AND(Z1194&lt;51, Z1194&gt;35),"36-50", AND(Z1194&lt;66, Z1194&gt;50), "51-66", Z1194&gt;65, "66+", TRUE, "?")</f>
        <v>24-35</v>
      </c>
      <c r="AB1194" s="1">
        <v>2270</v>
      </c>
      <c r="AC1194" s="1">
        <v>0</v>
      </c>
      <c r="AD1194" s="1">
        <v>1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1</v>
      </c>
      <c r="AL1194" s="1">
        <v>175</v>
      </c>
      <c r="AM1194" s="2">
        <v>42579</v>
      </c>
      <c r="AN1194" t="str">
        <f t="shared" si="37"/>
        <v>45921,187,0.00407221097101544,0,0,23,102,9,49,24,3,12,1,2,1,6,4,0,0,0,0,0,0,0,34,24-35,2270,0,1,0,0,0,0,0,0,1,175,42579</v>
      </c>
    </row>
    <row r="1195" spans="1:40" ht="13" hidden="1" x14ac:dyDescent="0.15">
      <c r="A1195">
        <v>234</v>
      </c>
      <c r="B1195" s="1">
        <v>26490</v>
      </c>
      <c r="C1195" s="1">
        <v>185</v>
      </c>
      <c r="D1195" s="4">
        <f t="shared" si="36"/>
        <v>6.9837674594186482E-3</v>
      </c>
      <c r="E1195" s="1">
        <v>0</v>
      </c>
      <c r="F1195" s="1">
        <v>0</v>
      </c>
      <c r="G1195" s="1">
        <v>92</v>
      </c>
      <c r="H1195" s="1">
        <v>45</v>
      </c>
      <c r="I1195" s="1">
        <v>47</v>
      </c>
      <c r="J1195" s="1">
        <v>52</v>
      </c>
      <c r="K1195" s="1">
        <v>21</v>
      </c>
      <c r="L1195" s="1">
        <v>20</v>
      </c>
      <c r="M1195" s="1">
        <v>25</v>
      </c>
      <c r="N1195" s="1">
        <v>2</v>
      </c>
      <c r="O1195" s="1">
        <v>3</v>
      </c>
      <c r="P1195" s="1">
        <v>1</v>
      </c>
      <c r="Q1195" s="1">
        <v>5</v>
      </c>
      <c r="R1195" s="1">
        <v>6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62</v>
      </c>
      <c r="AA1195" s="1" t="str" cm="1">
        <f t="array" ref="AA1195">_xlfn.IFS(AND(Z1195&lt;36, Z1195&gt;23), "24-35", AND(Z1195&lt;51, Z1195&gt;35),"36-50", AND(Z1195&lt;66, Z1195&gt;50), "51-66", Z1195&gt;65, "66+", TRUE, "?")</f>
        <v>51-66</v>
      </c>
      <c r="AB1195" s="1">
        <v>2804</v>
      </c>
      <c r="AC1195" s="1">
        <v>0</v>
      </c>
      <c r="AD1195" s="1">
        <v>0</v>
      </c>
      <c r="AE1195" s="1">
        <v>0</v>
      </c>
      <c r="AF1195" s="1">
        <v>1</v>
      </c>
      <c r="AG1195" s="1">
        <v>0</v>
      </c>
      <c r="AH1195" s="1">
        <v>1</v>
      </c>
      <c r="AI1195" s="1">
        <v>0</v>
      </c>
      <c r="AJ1195" s="1">
        <v>0</v>
      </c>
      <c r="AK1195" s="1">
        <v>0</v>
      </c>
      <c r="AL1195" s="1">
        <v>160</v>
      </c>
      <c r="AM1195" s="2">
        <v>42045</v>
      </c>
      <c r="AN1195" t="str">
        <f t="shared" si="37"/>
        <v>26490,185,0.00698376745941865,0,0,92,45,47,52,21,20,25,2,3,1,5,6,0,0,0,0,0,0,0,62,51-66,2804,0,0,0,1,0,1,0,0,0,160,42045</v>
      </c>
    </row>
    <row r="1196" spans="1:40" ht="13" hidden="1" x14ac:dyDescent="0.15">
      <c r="A1196">
        <v>366</v>
      </c>
      <c r="B1196" s="1">
        <v>51012</v>
      </c>
      <c r="C1196" s="1">
        <v>185</v>
      </c>
      <c r="D1196" s="4">
        <f t="shared" si="36"/>
        <v>3.6265976632949108E-3</v>
      </c>
      <c r="E1196" s="1">
        <v>0</v>
      </c>
      <c r="F1196" s="1">
        <v>0</v>
      </c>
      <c r="G1196" s="1">
        <v>86</v>
      </c>
      <c r="H1196" s="1">
        <v>102</v>
      </c>
      <c r="I1196" s="1">
        <v>9</v>
      </c>
      <c r="J1196" s="1">
        <v>63</v>
      </c>
      <c r="K1196" s="1">
        <v>2</v>
      </c>
      <c r="L1196" s="1">
        <v>9</v>
      </c>
      <c r="M1196" s="1">
        <v>24</v>
      </c>
      <c r="N1196" s="1">
        <v>1</v>
      </c>
      <c r="O1196" s="1">
        <v>4</v>
      </c>
      <c r="P1196" s="1">
        <v>1</v>
      </c>
      <c r="Q1196" s="1">
        <v>4</v>
      </c>
      <c r="R1196" s="1">
        <v>6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74</v>
      </c>
      <c r="AA1196" s="1" t="str" cm="1">
        <f t="array" ref="AA1196">_xlfn.IFS(AND(Z1196&lt;36, Z1196&gt;23), "24-35", AND(Z1196&lt;51, Z1196&gt;35),"36-50", AND(Z1196&lt;66, Z1196&gt;50), "51-66", Z1196&gt;65, "66+", TRUE, "?")</f>
        <v>66+</v>
      </c>
      <c r="AB1196" s="1">
        <v>2596</v>
      </c>
      <c r="AC1196" s="1">
        <v>0</v>
      </c>
      <c r="AD1196" s="1">
        <v>1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1</v>
      </c>
      <c r="AL1196" s="1">
        <v>161</v>
      </c>
      <c r="AM1196" s="2">
        <v>42253</v>
      </c>
      <c r="AN1196" t="str">
        <f t="shared" si="37"/>
        <v>51012,185,0.00362659766329491,0,0,86,102,9,63,2,9,24,1,4,1,4,6,0,0,0,0,0,0,0,74,66+,2596,0,1,0,0,0,0,0,0,1,161,42253</v>
      </c>
    </row>
    <row r="1197" spans="1:40" ht="13" hidden="1" x14ac:dyDescent="0.15">
      <c r="A1197">
        <v>479</v>
      </c>
      <c r="B1197" s="1">
        <v>39665</v>
      </c>
      <c r="C1197" s="1">
        <v>185</v>
      </c>
      <c r="D1197" s="4">
        <f t="shared" si="36"/>
        <v>4.6640615151897135E-3</v>
      </c>
      <c r="E1197" s="1">
        <v>1</v>
      </c>
      <c r="F1197" s="1">
        <v>0</v>
      </c>
      <c r="G1197" s="1">
        <v>97</v>
      </c>
      <c r="H1197" s="1">
        <v>127</v>
      </c>
      <c r="I1197" s="1">
        <v>1</v>
      </c>
      <c r="J1197" s="1">
        <v>56</v>
      </c>
      <c r="K1197" s="1">
        <v>0</v>
      </c>
      <c r="L1197" s="1">
        <v>1</v>
      </c>
      <c r="M1197" s="1">
        <v>31</v>
      </c>
      <c r="N1197" s="1">
        <v>3</v>
      </c>
      <c r="O1197" s="1">
        <v>4</v>
      </c>
      <c r="P1197" s="1">
        <v>2</v>
      </c>
      <c r="Q1197" s="1">
        <v>3</v>
      </c>
      <c r="R1197" s="1">
        <v>7</v>
      </c>
      <c r="S1197" s="1">
        <v>0</v>
      </c>
      <c r="T1197" s="1">
        <v>0</v>
      </c>
      <c r="U1197" s="1">
        <v>1</v>
      </c>
      <c r="V1197" s="1">
        <v>0</v>
      </c>
      <c r="W1197" s="1">
        <v>0</v>
      </c>
      <c r="X1197" s="1">
        <v>0</v>
      </c>
      <c r="Y1197" s="1">
        <v>0</v>
      </c>
      <c r="Z1197" s="1">
        <v>39</v>
      </c>
      <c r="AA1197" s="1" t="str" cm="1">
        <f t="array" ref="AA1197">_xlfn.IFS(AND(Z1197&lt;36, Z1197&gt;23), "24-35", AND(Z1197&lt;51, Z1197&gt;35),"36-50", AND(Z1197&lt;66, Z1197&gt;50), "51-66", Z1197&gt;65, "66+", TRUE, "?")</f>
        <v>36-50</v>
      </c>
      <c r="AB1197" s="1">
        <v>2559</v>
      </c>
      <c r="AC1197" s="1">
        <v>0</v>
      </c>
      <c r="AD1197" s="1">
        <v>0</v>
      </c>
      <c r="AE1197" s="1">
        <v>0</v>
      </c>
      <c r="AF1197" s="1">
        <v>1</v>
      </c>
      <c r="AG1197" s="1">
        <v>0</v>
      </c>
      <c r="AH1197" s="1">
        <v>0</v>
      </c>
      <c r="AI1197" s="1">
        <v>0</v>
      </c>
      <c r="AJ1197" s="1">
        <v>0</v>
      </c>
      <c r="AK1197" s="1">
        <v>1</v>
      </c>
      <c r="AL1197" s="1">
        <v>154</v>
      </c>
      <c r="AM1197" s="2">
        <v>42290</v>
      </c>
      <c r="AN1197" t="str">
        <f t="shared" si="37"/>
        <v>39665,185,0.00466406151518971,1,0,97,127,1,56,0,1,31,3,4,2,3,7,0,0,1,0,0,0,0,39,36-50,2559,0,0,0,1,0,0,0,0,1,154,42290</v>
      </c>
    </row>
    <row r="1198" spans="1:40" ht="13" hidden="1" x14ac:dyDescent="0.15">
      <c r="A1198">
        <v>1670</v>
      </c>
      <c r="B1198" s="1">
        <v>48186</v>
      </c>
      <c r="C1198" s="1">
        <v>185</v>
      </c>
      <c r="D1198" s="4">
        <f t="shared" si="36"/>
        <v>3.8392894201635329E-3</v>
      </c>
      <c r="E1198" s="1">
        <v>1</v>
      </c>
      <c r="F1198" s="1">
        <v>0</v>
      </c>
      <c r="G1198" s="1">
        <v>39</v>
      </c>
      <c r="H1198" s="1">
        <v>97</v>
      </c>
      <c r="I1198" s="1">
        <v>3</v>
      </c>
      <c r="J1198" s="1">
        <v>66</v>
      </c>
      <c r="K1198" s="1">
        <v>12</v>
      </c>
      <c r="L1198" s="1">
        <v>7</v>
      </c>
      <c r="M1198" s="1">
        <v>34</v>
      </c>
      <c r="N1198" s="1">
        <v>3</v>
      </c>
      <c r="O1198" s="1">
        <v>4</v>
      </c>
      <c r="P1198" s="1">
        <v>1</v>
      </c>
      <c r="Q1198" s="1">
        <v>4</v>
      </c>
      <c r="R1198" s="1">
        <v>7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46</v>
      </c>
      <c r="AA1198" s="1" t="str" cm="1">
        <f t="array" ref="AA1198">_xlfn.IFS(AND(Z1198&lt;36, Z1198&gt;23), "24-35", AND(Z1198&lt;51, Z1198&gt;35),"36-50", AND(Z1198&lt;66, Z1198&gt;50), "51-66", Z1198&gt;65, "66+", TRUE, "?")</f>
        <v>36-50</v>
      </c>
      <c r="AB1198" s="1">
        <v>2260</v>
      </c>
      <c r="AC1198" s="1">
        <v>0</v>
      </c>
      <c r="AD1198" s="1">
        <v>0</v>
      </c>
      <c r="AE1198" s="1">
        <v>0</v>
      </c>
      <c r="AF1198" s="1">
        <v>1</v>
      </c>
      <c r="AG1198" s="1">
        <v>0</v>
      </c>
      <c r="AH1198" s="1">
        <v>0</v>
      </c>
      <c r="AI1198" s="1">
        <v>1</v>
      </c>
      <c r="AJ1198" s="1">
        <v>0</v>
      </c>
      <c r="AK1198" s="1">
        <v>0</v>
      </c>
      <c r="AL1198" s="1">
        <v>151</v>
      </c>
      <c r="AM1198" s="2">
        <v>42589</v>
      </c>
      <c r="AN1198" t="str">
        <f t="shared" si="37"/>
        <v>48186,185,0.00383928942016353,1,0,39,97,3,66,12,7,34,3,4,1,4,7,0,0,0,0,0,0,0,46,36-50,2260,0,0,0,1,0,0,1,0,0,151,42589</v>
      </c>
    </row>
    <row r="1199" spans="1:40" ht="13" hidden="1" x14ac:dyDescent="0.15">
      <c r="A1199">
        <v>164</v>
      </c>
      <c r="B1199" s="1">
        <v>51650</v>
      </c>
      <c r="C1199" s="1">
        <v>184</v>
      </c>
      <c r="D1199" s="4">
        <f t="shared" si="36"/>
        <v>3.5624394966118104E-3</v>
      </c>
      <c r="E1199" s="1">
        <v>0</v>
      </c>
      <c r="F1199" s="1">
        <v>1</v>
      </c>
      <c r="G1199" s="1">
        <v>81</v>
      </c>
      <c r="H1199" s="1">
        <v>152</v>
      </c>
      <c r="I1199" s="1">
        <v>3</v>
      </c>
      <c r="J1199" s="1">
        <v>22</v>
      </c>
      <c r="K1199" s="1">
        <v>2</v>
      </c>
      <c r="L1199" s="1">
        <v>5</v>
      </c>
      <c r="M1199" s="1">
        <v>7</v>
      </c>
      <c r="N1199" s="1">
        <v>1</v>
      </c>
      <c r="O1199" s="1">
        <v>4</v>
      </c>
      <c r="P1199" s="1">
        <v>1</v>
      </c>
      <c r="Q1199" s="1">
        <v>4</v>
      </c>
      <c r="R1199" s="1">
        <v>5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44</v>
      </c>
      <c r="AA1199" s="1" t="str" cm="1">
        <f t="array" ref="AA1199">_xlfn.IFS(AND(Z1199&lt;36, Z1199&gt;23), "24-35", AND(Z1199&lt;51, Z1199&gt;35),"36-50", AND(Z1199&lt;66, Z1199&gt;50), "51-66", Z1199&gt;65, "66+", TRUE, "?")</f>
        <v>36-50</v>
      </c>
      <c r="AB1199" s="1">
        <v>2208</v>
      </c>
      <c r="AC1199" s="1">
        <v>0</v>
      </c>
      <c r="AD1199" s="1">
        <v>1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1</v>
      </c>
      <c r="AL1199" s="1">
        <v>177</v>
      </c>
      <c r="AM1199" s="2">
        <v>42641</v>
      </c>
      <c r="AN1199" t="str">
        <f t="shared" si="37"/>
        <v>51650,184,0.00356243949661181,0,1,81,152,3,22,2,5,7,1,4,1,4,5,0,0,0,0,0,0,0,44,36-50,2208,0,1,0,0,0,0,0,0,1,177,42641</v>
      </c>
    </row>
    <row r="1200" spans="1:40" ht="13" hidden="1" x14ac:dyDescent="0.15">
      <c r="A1200">
        <v>1290</v>
      </c>
      <c r="B1200" s="1">
        <v>46390</v>
      </c>
      <c r="C1200" s="1">
        <v>184</v>
      </c>
      <c r="D1200" s="4">
        <f t="shared" si="36"/>
        <v>3.9663720629446002E-3</v>
      </c>
      <c r="E1200" s="1">
        <v>0</v>
      </c>
      <c r="F1200" s="1">
        <v>1</v>
      </c>
      <c r="G1200" s="1">
        <v>56</v>
      </c>
      <c r="H1200" s="1">
        <v>95</v>
      </c>
      <c r="I1200" s="1">
        <v>14</v>
      </c>
      <c r="J1200" s="1">
        <v>64</v>
      </c>
      <c r="K1200" s="1">
        <v>2</v>
      </c>
      <c r="L1200" s="1">
        <v>9</v>
      </c>
      <c r="M1200" s="1">
        <v>38</v>
      </c>
      <c r="N1200" s="1">
        <v>1</v>
      </c>
      <c r="O1200" s="1">
        <v>4</v>
      </c>
      <c r="P1200" s="1">
        <v>2</v>
      </c>
      <c r="Q1200" s="1">
        <v>3</v>
      </c>
      <c r="R1200" s="1">
        <v>7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65</v>
      </c>
      <c r="AA1200" s="1" t="str" cm="1">
        <f t="array" ref="AA1200">_xlfn.IFS(AND(Z1200&lt;36, Z1200&gt;23), "24-35", AND(Z1200&lt;51, Z1200&gt;35),"36-50", AND(Z1200&lt;66, Z1200&gt;50), "51-66", Z1200&gt;65, "66+", TRUE, "?")</f>
        <v>51-66</v>
      </c>
      <c r="AB1200" s="1">
        <v>2214</v>
      </c>
      <c r="AC1200" s="1">
        <v>1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1</v>
      </c>
      <c r="AK1200" s="1">
        <v>0</v>
      </c>
      <c r="AL1200" s="1">
        <v>146</v>
      </c>
      <c r="AM1200" s="2">
        <v>42635</v>
      </c>
      <c r="AN1200" t="str">
        <f t="shared" si="37"/>
        <v>46390,184,0.0039663720629446,0,1,56,95,14,64,2,9,38,1,4,2,3,7,0,0,0,0,0,0,0,65,51-66,2214,1,0,0,0,0,0,0,1,0,146,42635</v>
      </c>
    </row>
    <row r="1201" spans="1:40" ht="13" hidden="1" x14ac:dyDescent="0.15">
      <c r="A1201">
        <v>1346</v>
      </c>
      <c r="B1201" s="1">
        <v>46053</v>
      </c>
      <c r="C1201" s="1">
        <v>184</v>
      </c>
      <c r="D1201" s="4">
        <f t="shared" si="36"/>
        <v>3.9953966082557054E-3</v>
      </c>
      <c r="E1201" s="1">
        <v>1</v>
      </c>
      <c r="F1201" s="1">
        <v>0</v>
      </c>
      <c r="G1201" s="1">
        <v>46</v>
      </c>
      <c r="H1201" s="1">
        <v>56</v>
      </c>
      <c r="I1201" s="1">
        <v>10</v>
      </c>
      <c r="J1201" s="1">
        <v>92</v>
      </c>
      <c r="K1201" s="1">
        <v>19</v>
      </c>
      <c r="L1201" s="1">
        <v>7</v>
      </c>
      <c r="M1201" s="1">
        <v>25</v>
      </c>
      <c r="N1201" s="1">
        <v>3</v>
      </c>
      <c r="O1201" s="1">
        <v>3</v>
      </c>
      <c r="P1201" s="1">
        <v>2</v>
      </c>
      <c r="Q1201" s="1">
        <v>4</v>
      </c>
      <c r="R1201" s="1">
        <v>5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48</v>
      </c>
      <c r="AA1201" s="1" t="str" cm="1">
        <f t="array" ref="AA1201">_xlfn.IFS(AND(Z1201&lt;36, Z1201&gt;23), "24-35", AND(Z1201&lt;51, Z1201&gt;35),"36-50", AND(Z1201&lt;66, Z1201&gt;50), "51-66", Z1201&gt;65, "66+", TRUE, "?")</f>
        <v>36-50</v>
      </c>
      <c r="AB1201" s="1">
        <v>2656</v>
      </c>
      <c r="AC1201" s="1">
        <v>0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1</v>
      </c>
      <c r="AJ1201" s="1">
        <v>0</v>
      </c>
      <c r="AK1201" s="1">
        <v>0</v>
      </c>
      <c r="AL1201" s="1">
        <v>159</v>
      </c>
      <c r="AM1201" s="2">
        <v>42193</v>
      </c>
      <c r="AN1201" t="str">
        <f t="shared" si="37"/>
        <v>46053,184,0.00399539660825571,1,0,46,56,10,92,19,7,25,3,3,2,4,5,0,0,0,0,0,0,0,48,36-50,2656,0,0,0,1,0,0,1,0,0,159,42193</v>
      </c>
    </row>
    <row r="1202" spans="1:40" ht="13" x14ac:dyDescent="0.15">
      <c r="A1202">
        <v>1582</v>
      </c>
      <c r="B1202" s="1">
        <v>46854</v>
      </c>
      <c r="C1202" s="1">
        <v>184</v>
      </c>
      <c r="D1202" s="4">
        <f t="shared" si="36"/>
        <v>3.927092670849874E-3</v>
      </c>
      <c r="E1202" s="1">
        <v>1</v>
      </c>
      <c r="F1202" s="1">
        <v>1</v>
      </c>
      <c r="G1202" s="1">
        <v>81</v>
      </c>
      <c r="H1202" s="1">
        <v>96</v>
      </c>
      <c r="I1202" s="1">
        <v>1</v>
      </c>
      <c r="J1202" s="1">
        <v>79</v>
      </c>
      <c r="K1202" s="1">
        <v>7</v>
      </c>
      <c r="L1202" s="1">
        <v>1</v>
      </c>
      <c r="M1202" s="1">
        <v>79</v>
      </c>
      <c r="N1202" s="1">
        <v>6</v>
      </c>
      <c r="O1202" s="1">
        <v>5</v>
      </c>
      <c r="P1202" s="1">
        <v>1</v>
      </c>
      <c r="Q1202" s="1">
        <v>3</v>
      </c>
      <c r="R1202" s="1">
        <v>8</v>
      </c>
      <c r="S1202" s="1">
        <v>0</v>
      </c>
      <c r="T1202" s="1">
        <v>0</v>
      </c>
      <c r="U1202" s="1">
        <v>1</v>
      </c>
      <c r="V1202" s="1">
        <v>0</v>
      </c>
      <c r="W1202" s="1">
        <v>0</v>
      </c>
      <c r="X1202" s="1">
        <v>0</v>
      </c>
      <c r="Y1202" s="1">
        <v>1</v>
      </c>
      <c r="Z1202" s="1">
        <v>47</v>
      </c>
      <c r="AA1202" s="1" t="str" cm="1">
        <f t="array" ref="AA1202">_xlfn.IFS(AND(Z1202&lt;36, Z1202&gt;23), "24-35", AND(Z1202&lt;51, Z1202&gt;35),"36-50", AND(Z1202&lt;66, Z1202&gt;50), "51-66", Z1202&gt;65, "66+", TRUE, "?")</f>
        <v>36-50</v>
      </c>
      <c r="AB1202" s="1">
        <v>2249</v>
      </c>
      <c r="AC1202" s="1">
        <v>0</v>
      </c>
      <c r="AD1202" s="1">
        <v>0</v>
      </c>
      <c r="AE1202" s="1">
        <v>1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1</v>
      </c>
      <c r="AL1202" s="1">
        <v>105</v>
      </c>
      <c r="AM1202" s="2">
        <v>42600</v>
      </c>
      <c r="AN1202" t="str">
        <f t="shared" si="37"/>
        <v>46854,184,0.00392709267084987,1,1,81,96,1,79,7,1,79,6,5,1,3,8,0,0,1,0,0,0,1,47,36-50,2249,0,0,1,0,0,0,0,0,1,105,42600</v>
      </c>
    </row>
    <row r="1203" spans="1:40" ht="13" hidden="1" x14ac:dyDescent="0.15">
      <c r="A1203">
        <v>1668</v>
      </c>
      <c r="B1203" s="1">
        <v>44911</v>
      </c>
      <c r="C1203" s="1">
        <v>184</v>
      </c>
      <c r="D1203" s="4">
        <f t="shared" si="36"/>
        <v>4.0969918282826034E-3</v>
      </c>
      <c r="E1203" s="1">
        <v>0</v>
      </c>
      <c r="F1203" s="1">
        <v>1</v>
      </c>
      <c r="G1203" s="1">
        <v>11</v>
      </c>
      <c r="H1203" s="1">
        <v>159</v>
      </c>
      <c r="I1203" s="1">
        <v>0</v>
      </c>
      <c r="J1203" s="1">
        <v>22</v>
      </c>
      <c r="K1203" s="1">
        <v>2</v>
      </c>
      <c r="L1203" s="1">
        <v>1</v>
      </c>
      <c r="M1203" s="1">
        <v>31</v>
      </c>
      <c r="N1203" s="1">
        <v>3</v>
      </c>
      <c r="O1203" s="1">
        <v>4</v>
      </c>
      <c r="P1203" s="1">
        <v>1</v>
      </c>
      <c r="Q1203" s="1">
        <v>4</v>
      </c>
      <c r="R1203" s="1">
        <v>7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61</v>
      </c>
      <c r="AA1203" s="1" t="str" cm="1">
        <f t="array" ref="AA1203">_xlfn.IFS(AND(Z1203&lt;36, Z1203&gt;23), "24-35", AND(Z1203&lt;51, Z1203&gt;35),"36-50", AND(Z1203&lt;66, Z1203&gt;50), "51-66", Z1203&gt;65, "66+", TRUE, "?")</f>
        <v>51-66</v>
      </c>
      <c r="AB1203" s="1">
        <v>2630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1</v>
      </c>
      <c r="AJ1203" s="1">
        <v>0</v>
      </c>
      <c r="AK1203" s="1">
        <v>0</v>
      </c>
      <c r="AL1203" s="1">
        <v>153</v>
      </c>
      <c r="AM1203" s="2">
        <v>42219</v>
      </c>
      <c r="AN1203" t="str">
        <f t="shared" si="37"/>
        <v>44911,184,0.0040969918282826,0,1,11,159,0,22,2,1,31,3,4,1,4,7,0,0,0,0,0,0,0,61,51-66,2630,0,0,0,1,0,0,1,0,0,153,42219</v>
      </c>
    </row>
    <row r="1204" spans="1:40" ht="13" hidden="1" x14ac:dyDescent="0.15">
      <c r="A1204">
        <v>716</v>
      </c>
      <c r="B1204" s="1">
        <v>48726</v>
      </c>
      <c r="C1204" s="1">
        <v>183</v>
      </c>
      <c r="D1204" s="4">
        <f t="shared" si="36"/>
        <v>3.7556951114394777E-3</v>
      </c>
      <c r="E1204" s="1">
        <v>0</v>
      </c>
      <c r="F1204" s="1">
        <v>1</v>
      </c>
      <c r="G1204" s="1">
        <v>90</v>
      </c>
      <c r="H1204" s="1">
        <v>138</v>
      </c>
      <c r="I1204" s="1">
        <v>3</v>
      </c>
      <c r="J1204" s="1">
        <v>38</v>
      </c>
      <c r="K1204" s="1">
        <v>4</v>
      </c>
      <c r="L1204" s="1">
        <v>0</v>
      </c>
      <c r="M1204" s="1">
        <v>59</v>
      </c>
      <c r="N1204" s="1">
        <v>3</v>
      </c>
      <c r="O1204" s="1">
        <v>3</v>
      </c>
      <c r="P1204" s="1">
        <v>2</v>
      </c>
      <c r="Q1204" s="1">
        <v>4</v>
      </c>
      <c r="R1204" s="1">
        <v>6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65</v>
      </c>
      <c r="AA1204" s="1" t="str" cm="1">
        <f t="array" ref="AA1204">_xlfn.IFS(AND(Z1204&lt;36, Z1204&gt;23), "24-35", AND(Z1204&lt;51, Z1204&gt;35),"36-50", AND(Z1204&lt;66, Z1204&gt;50), "51-66", Z1204&gt;65, "66+", TRUE, "?")</f>
        <v>51-66</v>
      </c>
      <c r="AB1204" s="1">
        <v>2587</v>
      </c>
      <c r="AC1204" s="1">
        <v>0</v>
      </c>
      <c r="AD1204" s="1">
        <v>1</v>
      </c>
      <c r="AE1204" s="1">
        <v>0</v>
      </c>
      <c r="AF1204" s="1">
        <v>0</v>
      </c>
      <c r="AG1204" s="1">
        <v>0</v>
      </c>
      <c r="AH1204" s="1">
        <v>0</v>
      </c>
      <c r="AI1204" s="1">
        <v>1</v>
      </c>
      <c r="AJ1204" s="1">
        <v>0</v>
      </c>
      <c r="AK1204" s="1">
        <v>0</v>
      </c>
      <c r="AL1204" s="1">
        <v>124</v>
      </c>
      <c r="AM1204" s="2">
        <v>42262</v>
      </c>
      <c r="AN1204" t="str">
        <f t="shared" si="37"/>
        <v>48726,183,0.00375569511143948,0,1,90,138,3,38,4,0,59,3,3,2,4,6,0,0,0,0,0,0,0,65,51-66,2587,0,1,0,0,0,0,1,0,0,124,42262</v>
      </c>
    </row>
    <row r="1205" spans="1:40" ht="13" hidden="1" x14ac:dyDescent="0.15">
      <c r="A1205">
        <v>847</v>
      </c>
      <c r="B1205" s="1">
        <v>54137</v>
      </c>
      <c r="C1205" s="1">
        <v>183</v>
      </c>
      <c r="D1205" s="4">
        <f t="shared" si="36"/>
        <v>3.3803129098398509E-3</v>
      </c>
      <c r="E1205" s="1">
        <v>0</v>
      </c>
      <c r="F1205" s="1">
        <v>1</v>
      </c>
      <c r="G1205" s="1">
        <v>46</v>
      </c>
      <c r="H1205" s="1">
        <v>171</v>
      </c>
      <c r="I1205" s="1">
        <v>0</v>
      </c>
      <c r="J1205" s="1">
        <v>11</v>
      </c>
      <c r="K1205" s="1">
        <v>0</v>
      </c>
      <c r="L1205" s="1">
        <v>1</v>
      </c>
      <c r="M1205" s="1">
        <v>20</v>
      </c>
      <c r="N1205" s="1">
        <v>2</v>
      </c>
      <c r="O1205" s="1">
        <v>4</v>
      </c>
      <c r="P1205" s="1">
        <v>1</v>
      </c>
      <c r="Q1205" s="1">
        <v>4</v>
      </c>
      <c r="R1205" s="1">
        <v>6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50</v>
      </c>
      <c r="AA1205" s="1" t="str" cm="1">
        <f t="array" ref="AA1205">_xlfn.IFS(AND(Z1205&lt;36, Z1205&gt;23), "24-35", AND(Z1205&lt;51, Z1205&gt;35),"36-50", AND(Z1205&lt;66, Z1205&gt;50), "51-66", Z1205&gt;65, "66+", TRUE, "?")</f>
        <v>36-50</v>
      </c>
      <c r="AB1205" s="1">
        <v>2476</v>
      </c>
      <c r="AC1205" s="1">
        <v>1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1</v>
      </c>
      <c r="AJ1205" s="1">
        <v>0</v>
      </c>
      <c r="AK1205" s="1">
        <v>0</v>
      </c>
      <c r="AL1205" s="1">
        <v>163</v>
      </c>
      <c r="AM1205" s="2">
        <v>42373</v>
      </c>
      <c r="AN1205" t="str">
        <f t="shared" si="37"/>
        <v>54137,183,0.00338031290983985,0,1,46,171,0,11,0,1,20,2,4,1,4,6,0,0,0,0,0,0,0,50,36-50,2476,1,0,0,0,0,0,1,0,0,163,42373</v>
      </c>
    </row>
    <row r="1206" spans="1:40" ht="13" hidden="1" x14ac:dyDescent="0.15">
      <c r="A1206">
        <v>205</v>
      </c>
      <c r="B1206" s="1">
        <v>30732</v>
      </c>
      <c r="C1206" s="1">
        <v>182</v>
      </c>
      <c r="D1206" s="4">
        <f t="shared" si="36"/>
        <v>5.9221658206429781E-3</v>
      </c>
      <c r="E1206" s="1">
        <v>1</v>
      </c>
      <c r="F1206" s="1">
        <v>0</v>
      </c>
      <c r="G1206" s="1">
        <v>44</v>
      </c>
      <c r="H1206" s="1">
        <v>155</v>
      </c>
      <c r="I1206" s="1">
        <v>1</v>
      </c>
      <c r="J1206" s="1">
        <v>25</v>
      </c>
      <c r="K1206" s="1">
        <v>0</v>
      </c>
      <c r="L1206" s="1">
        <v>1</v>
      </c>
      <c r="M1206" s="1">
        <v>3</v>
      </c>
      <c r="N1206" s="1">
        <v>4</v>
      </c>
      <c r="O1206" s="1">
        <v>4</v>
      </c>
      <c r="P1206" s="1">
        <v>1</v>
      </c>
      <c r="Q1206" s="1">
        <v>4</v>
      </c>
      <c r="R1206" s="1">
        <v>8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40</v>
      </c>
      <c r="AA1206" s="1" t="str" cm="1">
        <f t="array" ref="AA1206">_xlfn.IFS(AND(Z1206&lt;36, Z1206&gt;23), "24-35", AND(Z1206&lt;51, Z1206&gt;35),"36-50", AND(Z1206&lt;66, Z1206&gt;50), "51-66", Z1206&gt;65, "66+", TRUE, "?")</f>
        <v>36-50</v>
      </c>
      <c r="AB1206" s="1">
        <v>2699</v>
      </c>
      <c r="AC1206" s="1">
        <v>0</v>
      </c>
      <c r="AD1206" s="1">
        <v>1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1</v>
      </c>
      <c r="AL1206" s="1">
        <v>179</v>
      </c>
      <c r="AM1206" s="2">
        <v>42150</v>
      </c>
      <c r="AN1206" t="str">
        <f t="shared" si="37"/>
        <v>30732,182,0.00592216582064298,1,0,44,155,1,25,0,1,3,4,4,1,4,8,0,0,0,0,0,0,0,40,36-50,2699,0,1,0,0,0,0,0,0,1,179,42150</v>
      </c>
    </row>
    <row r="1207" spans="1:40" ht="13" hidden="1" x14ac:dyDescent="0.15">
      <c r="A1207">
        <v>417</v>
      </c>
      <c r="B1207" s="1">
        <v>42618</v>
      </c>
      <c r="C1207" s="1">
        <v>182</v>
      </c>
      <c r="D1207" s="4">
        <f t="shared" si="36"/>
        <v>4.2704960345393969E-3</v>
      </c>
      <c r="E1207" s="1">
        <v>1</v>
      </c>
      <c r="F1207" s="1">
        <v>0</v>
      </c>
      <c r="G1207" s="1">
        <v>92</v>
      </c>
      <c r="H1207" s="1">
        <v>76</v>
      </c>
      <c r="I1207" s="1">
        <v>14</v>
      </c>
      <c r="J1207" s="1">
        <v>74</v>
      </c>
      <c r="K1207" s="1">
        <v>13</v>
      </c>
      <c r="L1207" s="1">
        <v>5</v>
      </c>
      <c r="M1207" s="1">
        <v>10</v>
      </c>
      <c r="N1207" s="1">
        <v>2</v>
      </c>
      <c r="O1207" s="1">
        <v>5</v>
      </c>
      <c r="P1207" s="1">
        <v>0</v>
      </c>
      <c r="Q1207" s="1">
        <v>4</v>
      </c>
      <c r="R1207" s="1">
        <v>8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48</v>
      </c>
      <c r="AA1207" s="1" t="str" cm="1">
        <f t="array" ref="AA1207">_xlfn.IFS(AND(Z1207&lt;36, Z1207&gt;23), "24-35", AND(Z1207&lt;51, Z1207&gt;35),"36-50", AND(Z1207&lt;66, Z1207&gt;50), "51-66", Z1207&gt;65, "66+", TRUE, "?")</f>
        <v>36-50</v>
      </c>
      <c r="AB1207" s="1">
        <v>2422</v>
      </c>
      <c r="AC1207" s="1">
        <v>1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1</v>
      </c>
      <c r="AK1207" s="1">
        <v>0</v>
      </c>
      <c r="AL1207" s="1">
        <v>172</v>
      </c>
      <c r="AM1207" s="2">
        <v>42427</v>
      </c>
      <c r="AN1207" t="str">
        <f t="shared" si="37"/>
        <v>42618,182,0.0042704960345394,1,0,92,76,14,74,13,5,10,2,5,0,4,8,0,0,0,0,0,0,0,48,36-50,2422,1,0,0,0,0,0,0,1,0,172,42427</v>
      </c>
    </row>
    <row r="1208" spans="1:40" ht="13" hidden="1" x14ac:dyDescent="0.15">
      <c r="A1208">
        <v>510</v>
      </c>
      <c r="B1208" s="1">
        <v>43638</v>
      </c>
      <c r="C1208" s="1">
        <v>182</v>
      </c>
      <c r="D1208" s="4">
        <f t="shared" si="36"/>
        <v>4.1706769329483478E-3</v>
      </c>
      <c r="E1208" s="1">
        <v>0</v>
      </c>
      <c r="F1208" s="1">
        <v>1</v>
      </c>
      <c r="G1208" s="1">
        <v>37</v>
      </c>
      <c r="H1208" s="1">
        <v>63</v>
      </c>
      <c r="I1208" s="1">
        <v>10</v>
      </c>
      <c r="J1208" s="1">
        <v>83</v>
      </c>
      <c r="K1208" s="1">
        <v>7</v>
      </c>
      <c r="L1208" s="1">
        <v>19</v>
      </c>
      <c r="M1208" s="1">
        <v>19</v>
      </c>
      <c r="N1208" s="1">
        <v>2</v>
      </c>
      <c r="O1208" s="1">
        <v>4</v>
      </c>
      <c r="P1208" s="1">
        <v>1</v>
      </c>
      <c r="Q1208" s="1">
        <v>4</v>
      </c>
      <c r="R1208" s="1">
        <v>7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51</v>
      </c>
      <c r="AA1208" s="1" t="str" cm="1">
        <f t="array" ref="AA1208">_xlfn.IFS(AND(Z1208&lt;36, Z1208&gt;23), "24-35", AND(Z1208&lt;51, Z1208&gt;35),"36-50", AND(Z1208&lt;66, Z1208&gt;50), "51-66", Z1208&gt;65, "66+", TRUE, "?")</f>
        <v>51-66</v>
      </c>
      <c r="AB1208" s="1">
        <v>2851</v>
      </c>
      <c r="AC1208" s="1">
        <v>0</v>
      </c>
      <c r="AD1208" s="1">
        <v>0</v>
      </c>
      <c r="AE1208" s="1">
        <v>0</v>
      </c>
      <c r="AF1208" s="1">
        <v>0</v>
      </c>
      <c r="AG1208" s="1">
        <v>1</v>
      </c>
      <c r="AH1208" s="1">
        <v>0</v>
      </c>
      <c r="AI1208" s="1">
        <v>1</v>
      </c>
      <c r="AJ1208" s="1">
        <v>0</v>
      </c>
      <c r="AK1208" s="1">
        <v>0</v>
      </c>
      <c r="AL1208" s="1">
        <v>163</v>
      </c>
      <c r="AM1208" s="2">
        <v>41998</v>
      </c>
      <c r="AN1208" t="str">
        <f t="shared" si="37"/>
        <v>43638,182,0.00417067693294835,0,1,37,63,10,83,7,19,19,2,4,1,4,7,0,0,0,0,0,0,0,51,51-66,2851,0,0,0,0,1,0,1,0,0,163,41998</v>
      </c>
    </row>
    <row r="1209" spans="1:40" ht="13" hidden="1" x14ac:dyDescent="0.15">
      <c r="A1209">
        <v>660</v>
      </c>
      <c r="B1209" s="1">
        <v>41335</v>
      </c>
      <c r="C1209" s="1">
        <v>182</v>
      </c>
      <c r="D1209" s="4">
        <f t="shared" si="36"/>
        <v>4.4030482641828957E-3</v>
      </c>
      <c r="E1209" s="1">
        <v>1</v>
      </c>
      <c r="F1209" s="1">
        <v>0</v>
      </c>
      <c r="G1209" s="1">
        <v>24</v>
      </c>
      <c r="H1209" s="1">
        <v>112</v>
      </c>
      <c r="I1209" s="1">
        <v>19</v>
      </c>
      <c r="J1209" s="1">
        <v>21</v>
      </c>
      <c r="K1209" s="1">
        <v>16</v>
      </c>
      <c r="L1209" s="1">
        <v>14</v>
      </c>
      <c r="M1209" s="1">
        <v>5</v>
      </c>
      <c r="N1209" s="1">
        <v>3</v>
      </c>
      <c r="O1209" s="1">
        <v>4</v>
      </c>
      <c r="P1209" s="1">
        <v>1</v>
      </c>
      <c r="Q1209" s="1">
        <v>4</v>
      </c>
      <c r="R1209" s="1">
        <v>7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52</v>
      </c>
      <c r="AA1209" s="1" t="str" cm="1">
        <f t="array" ref="AA1209">_xlfn.IFS(AND(Z1209&lt;36, Z1209&gt;23), "24-35", AND(Z1209&lt;51, Z1209&gt;35),"36-50", AND(Z1209&lt;66, Z1209&gt;50), "51-66", Z1209&gt;65, "66+", TRUE, "?")</f>
        <v>51-66</v>
      </c>
      <c r="AB1209" s="1">
        <v>2344</v>
      </c>
      <c r="AC1209" s="1">
        <v>1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1</v>
      </c>
      <c r="AK1209" s="1">
        <v>0</v>
      </c>
      <c r="AL1209" s="1">
        <v>177</v>
      </c>
      <c r="AM1209" s="2">
        <v>42505</v>
      </c>
      <c r="AN1209" t="str">
        <f t="shared" si="37"/>
        <v>41335,182,0.0044030482641829,1,0,24,112,19,21,16,14,5,3,4,1,4,7,0,0,0,0,0,0,0,52,51-66,2344,1,0,0,0,0,0,0,1,0,177,42505</v>
      </c>
    </row>
    <row r="1210" spans="1:40" ht="13" hidden="1" x14ac:dyDescent="0.15">
      <c r="A1210">
        <v>1154</v>
      </c>
      <c r="B1210" s="1">
        <v>44421</v>
      </c>
      <c r="C1210" s="1">
        <v>182</v>
      </c>
      <c r="D1210" s="4">
        <f t="shared" si="36"/>
        <v>4.097161252560726E-3</v>
      </c>
      <c r="E1210" s="1">
        <v>1</v>
      </c>
      <c r="F1210" s="1">
        <v>1</v>
      </c>
      <c r="G1210" s="1">
        <v>53</v>
      </c>
      <c r="H1210" s="1">
        <v>110</v>
      </c>
      <c r="I1210" s="1">
        <v>5</v>
      </c>
      <c r="J1210" s="1">
        <v>59</v>
      </c>
      <c r="K1210" s="1">
        <v>7</v>
      </c>
      <c r="L1210" s="1">
        <v>1</v>
      </c>
      <c r="M1210" s="1">
        <v>7</v>
      </c>
      <c r="N1210" s="1">
        <v>5</v>
      </c>
      <c r="O1210" s="1">
        <v>5</v>
      </c>
      <c r="P1210" s="1">
        <v>0</v>
      </c>
      <c r="Q1210" s="1">
        <v>4</v>
      </c>
      <c r="R1210" s="1">
        <v>8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49</v>
      </c>
      <c r="AA1210" s="1" t="str" cm="1">
        <f t="array" ref="AA1210">_xlfn.IFS(AND(Z1210&lt;36, Z1210&gt;23), "24-35", AND(Z1210&lt;51, Z1210&gt;35),"36-50", AND(Z1210&lt;66, Z1210&gt;50), "51-66", Z1210&gt;65, "66+", TRUE, "?")</f>
        <v>36-50</v>
      </c>
      <c r="AB1210" s="1">
        <v>2658</v>
      </c>
      <c r="AC1210" s="1">
        <v>1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1</v>
      </c>
      <c r="AJ1210" s="1">
        <v>0</v>
      </c>
      <c r="AK1210" s="1">
        <v>0</v>
      </c>
      <c r="AL1210" s="1">
        <v>175</v>
      </c>
      <c r="AM1210" s="2">
        <v>42191</v>
      </c>
      <c r="AN1210" t="str">
        <f t="shared" si="37"/>
        <v>44421,182,0.00409716125256073,1,1,53,110,5,59,7,1,7,5,5,0,4,8,0,0,0,0,0,0,0,49,36-50,2658,1,0,0,0,0,0,1,0,0,175,42191</v>
      </c>
    </row>
    <row r="1211" spans="1:40" ht="13" hidden="1" x14ac:dyDescent="0.15">
      <c r="A1211">
        <v>1188</v>
      </c>
      <c r="B1211" s="1">
        <v>45579</v>
      </c>
      <c r="C1211" s="1">
        <v>182</v>
      </c>
      <c r="D1211" s="4">
        <f t="shared" si="36"/>
        <v>3.9930669826016363E-3</v>
      </c>
      <c r="E1211" s="1">
        <v>0</v>
      </c>
      <c r="F1211" s="1">
        <v>1</v>
      </c>
      <c r="G1211" s="1">
        <v>10</v>
      </c>
      <c r="H1211" s="1">
        <v>145</v>
      </c>
      <c r="I1211" s="1">
        <v>1</v>
      </c>
      <c r="J1211" s="1">
        <v>33</v>
      </c>
      <c r="K1211" s="1">
        <v>2</v>
      </c>
      <c r="L1211" s="1">
        <v>1</v>
      </c>
      <c r="M1211" s="1">
        <v>1</v>
      </c>
      <c r="N1211" s="1">
        <v>1</v>
      </c>
      <c r="O1211" s="1">
        <v>4</v>
      </c>
      <c r="P1211" s="1">
        <v>1</v>
      </c>
      <c r="Q1211" s="1">
        <v>4</v>
      </c>
      <c r="R1211" s="1">
        <v>6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72</v>
      </c>
      <c r="AA1211" s="1" t="str" cm="1">
        <f t="array" ref="AA1211">_xlfn.IFS(AND(Z1211&lt;36, Z1211&gt;23), "24-35", AND(Z1211&lt;51, Z1211&gt;35),"36-50", AND(Z1211&lt;66, Z1211&gt;50), "51-66", Z1211&gt;65, "66+", TRUE, "?")</f>
        <v>66+</v>
      </c>
      <c r="AB1211" s="1">
        <v>2472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1</v>
      </c>
      <c r="AL1211" s="1">
        <v>181</v>
      </c>
      <c r="AM1211" s="2">
        <v>42377</v>
      </c>
      <c r="AN1211" t="str">
        <f t="shared" si="37"/>
        <v>45579,182,0.00399306698260164,0,1,10,145,1,33,2,1,1,1,4,1,4,6,0,0,0,0,0,0,0,72,66+,2472,0,1,0,0,0,0,0,0,1,181,42377</v>
      </c>
    </row>
    <row r="1212" spans="1:40" ht="13" hidden="1" x14ac:dyDescent="0.15">
      <c r="A1212">
        <v>1575</v>
      </c>
      <c r="B1212" s="1">
        <v>44392</v>
      </c>
      <c r="C1212" s="1">
        <v>182</v>
      </c>
      <c r="D1212" s="4">
        <f t="shared" si="36"/>
        <v>4.0998378086141646E-3</v>
      </c>
      <c r="E1212" s="1">
        <v>1</v>
      </c>
      <c r="F1212" s="1">
        <v>1</v>
      </c>
      <c r="G1212" s="1">
        <v>71</v>
      </c>
      <c r="H1212" s="1">
        <v>87</v>
      </c>
      <c r="I1212" s="1">
        <v>5</v>
      </c>
      <c r="J1212" s="1">
        <v>71</v>
      </c>
      <c r="K1212" s="1">
        <v>7</v>
      </c>
      <c r="L1212" s="1">
        <v>12</v>
      </c>
      <c r="M1212" s="1">
        <v>29</v>
      </c>
      <c r="N1212" s="1">
        <v>5</v>
      </c>
      <c r="O1212" s="1">
        <v>4</v>
      </c>
      <c r="P1212" s="1">
        <v>1</v>
      </c>
      <c r="Q1212" s="1">
        <v>4</v>
      </c>
      <c r="R1212" s="1">
        <v>7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46</v>
      </c>
      <c r="AA1212" s="1" t="str" cm="1">
        <f t="array" ref="AA1212">_xlfn.IFS(AND(Z1212&lt;36, Z1212&gt;23), "24-35", AND(Z1212&lt;51, Z1212&gt;35),"36-50", AND(Z1212&lt;66, Z1212&gt;50), "51-66", Z1212&gt;65, "66+", TRUE, "?")</f>
        <v>36-50</v>
      </c>
      <c r="AB1212" s="1">
        <v>2456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  <c r="AI1212" s="1">
        <v>1</v>
      </c>
      <c r="AJ1212" s="1">
        <v>0</v>
      </c>
      <c r="AK1212" s="1">
        <v>0</v>
      </c>
      <c r="AL1212" s="1">
        <v>153</v>
      </c>
      <c r="AM1212" s="2">
        <v>42393</v>
      </c>
      <c r="AN1212" t="str">
        <f t="shared" si="37"/>
        <v>44392,182,0.00409983780861416,1,1,71,87,5,71,7,12,29,5,4,1,4,7,0,0,0,0,0,0,0,46,36-50,2456,0,0,0,1,0,0,1,0,0,153,42393</v>
      </c>
    </row>
    <row r="1213" spans="1:40" ht="13" hidden="1" x14ac:dyDescent="0.15">
      <c r="A1213">
        <v>796</v>
      </c>
      <c r="B1213" s="1">
        <v>49980</v>
      </c>
      <c r="C1213" s="1">
        <v>181</v>
      </c>
      <c r="D1213" s="4">
        <f t="shared" si="36"/>
        <v>3.6214485794317727E-3</v>
      </c>
      <c r="E1213" s="1">
        <v>0</v>
      </c>
      <c r="F1213" s="1">
        <v>1</v>
      </c>
      <c r="G1213" s="1">
        <v>79</v>
      </c>
      <c r="H1213" s="1">
        <v>104</v>
      </c>
      <c r="I1213" s="1">
        <v>1</v>
      </c>
      <c r="J1213" s="1">
        <v>54</v>
      </c>
      <c r="K1213" s="1">
        <v>13</v>
      </c>
      <c r="L1213" s="1">
        <v>9</v>
      </c>
      <c r="M1213" s="1">
        <v>14</v>
      </c>
      <c r="N1213" s="1">
        <v>2</v>
      </c>
      <c r="O1213" s="1">
        <v>3</v>
      </c>
      <c r="P1213" s="1">
        <v>1</v>
      </c>
      <c r="Q1213" s="1">
        <v>5</v>
      </c>
      <c r="R1213" s="1">
        <v>5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57</v>
      </c>
      <c r="AA1213" s="1" t="str" cm="1">
        <f t="array" ref="AA1213">_xlfn.IFS(AND(Z1213&lt;36, Z1213&gt;23), "24-35", AND(Z1213&lt;51, Z1213&gt;35),"36-50", AND(Z1213&lt;66, Z1213&gt;50), "51-66", Z1213&gt;65, "66+", TRUE, "?")</f>
        <v>51-66</v>
      </c>
      <c r="AB1213" s="1">
        <v>2408</v>
      </c>
      <c r="AC1213" s="1">
        <v>0</v>
      </c>
      <c r="AD1213" s="1">
        <v>0</v>
      </c>
      <c r="AE1213" s="1">
        <v>1</v>
      </c>
      <c r="AF1213" s="1">
        <v>0</v>
      </c>
      <c r="AG1213" s="1">
        <v>0</v>
      </c>
      <c r="AH1213" s="1">
        <v>0</v>
      </c>
      <c r="AI1213" s="1">
        <v>1</v>
      </c>
      <c r="AJ1213" s="1">
        <v>0</v>
      </c>
      <c r="AK1213" s="1">
        <v>0</v>
      </c>
      <c r="AL1213" s="1">
        <v>167</v>
      </c>
      <c r="AM1213" s="2">
        <v>42441</v>
      </c>
      <c r="AN1213" t="str">
        <f t="shared" si="37"/>
        <v>49980,181,0.00362144857943177,0,1,79,104,1,54,13,9,14,2,3,1,5,5,0,0,0,0,0,0,0,57,51-66,2408,0,0,1,0,0,0,1,0,0,167,42441</v>
      </c>
    </row>
    <row r="1214" spans="1:40" ht="13" hidden="1" x14ac:dyDescent="0.15">
      <c r="A1214">
        <v>1128</v>
      </c>
      <c r="B1214" s="1">
        <v>51412</v>
      </c>
      <c r="C1214" s="1">
        <v>181</v>
      </c>
      <c r="D1214" s="4">
        <f t="shared" si="36"/>
        <v>3.5205788531860265E-3</v>
      </c>
      <c r="E1214" s="1">
        <v>0</v>
      </c>
      <c r="F1214" s="1">
        <v>1</v>
      </c>
      <c r="G1214" s="1">
        <v>42</v>
      </c>
      <c r="H1214" s="1">
        <v>140</v>
      </c>
      <c r="I1214" s="1">
        <v>3</v>
      </c>
      <c r="J1214" s="1">
        <v>29</v>
      </c>
      <c r="K1214" s="1">
        <v>4</v>
      </c>
      <c r="L1214" s="1">
        <v>5</v>
      </c>
      <c r="M1214" s="1">
        <v>14</v>
      </c>
      <c r="N1214" s="1">
        <v>2</v>
      </c>
      <c r="O1214" s="1">
        <v>3</v>
      </c>
      <c r="P1214" s="1">
        <v>2</v>
      </c>
      <c r="Q1214" s="1">
        <v>4</v>
      </c>
      <c r="R1214" s="1">
        <v>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62</v>
      </c>
      <c r="AA1214" s="1" t="str" cm="1">
        <f t="array" ref="AA1214">_xlfn.IFS(AND(Z1214&lt;36, Z1214&gt;23), "24-35", AND(Z1214&lt;51, Z1214&gt;35),"36-50", AND(Z1214&lt;66, Z1214&gt;50), "51-66", Z1214&gt;65, "66+", TRUE, "?")</f>
        <v>51-66</v>
      </c>
      <c r="AB1214" s="1">
        <v>2339</v>
      </c>
      <c r="AC1214" s="1">
        <v>0</v>
      </c>
      <c r="AD1214" s="1">
        <v>1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1</v>
      </c>
      <c r="AK1214" s="1">
        <v>0</v>
      </c>
      <c r="AL1214" s="1">
        <v>167</v>
      </c>
      <c r="AM1214" s="2">
        <v>42510</v>
      </c>
      <c r="AN1214" t="str">
        <f t="shared" si="37"/>
        <v>51412,181,0.00352057885318603,0,1,42,140,3,29,4,5,14,2,3,2,4,4,0,0,0,0,0,0,0,62,51-66,2339,0,1,0,0,0,0,0,1,0,167,42510</v>
      </c>
    </row>
    <row r="1215" spans="1:40" ht="13" hidden="1" x14ac:dyDescent="0.15">
      <c r="A1215">
        <v>1318</v>
      </c>
      <c r="B1215" s="1">
        <v>51315</v>
      </c>
      <c r="C1215" s="1">
        <v>181</v>
      </c>
      <c r="D1215" s="4">
        <f t="shared" si="36"/>
        <v>3.5272337523141383E-3</v>
      </c>
      <c r="E1215" s="1">
        <v>0</v>
      </c>
      <c r="F1215" s="1">
        <v>0</v>
      </c>
      <c r="G1215" s="1">
        <v>45</v>
      </c>
      <c r="H1215" s="1">
        <v>68</v>
      </c>
      <c r="I1215" s="1">
        <v>28</v>
      </c>
      <c r="J1215" s="1">
        <v>39</v>
      </c>
      <c r="K1215" s="1">
        <v>16</v>
      </c>
      <c r="L1215" s="1">
        <v>30</v>
      </c>
      <c r="M1215" s="1">
        <v>41</v>
      </c>
      <c r="N1215" s="1">
        <v>1</v>
      </c>
      <c r="O1215" s="1">
        <v>2</v>
      </c>
      <c r="P1215" s="1">
        <v>2</v>
      </c>
      <c r="Q1215" s="1">
        <v>5</v>
      </c>
      <c r="R1215" s="1">
        <v>2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72</v>
      </c>
      <c r="AA1215" s="1" t="str" cm="1">
        <f t="array" ref="AA1215">_xlfn.IFS(AND(Z1215&lt;36, Z1215&gt;23), "24-35", AND(Z1215&lt;51, Z1215&gt;35),"36-50", AND(Z1215&lt;66, Z1215&gt;50), "51-66", Z1215&gt;65, "66+", TRUE, "?")</f>
        <v>66+</v>
      </c>
      <c r="AB1215" s="1">
        <v>2285</v>
      </c>
      <c r="AC1215" s="1">
        <v>0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1</v>
      </c>
      <c r="AJ1215" s="1">
        <v>0</v>
      </c>
      <c r="AK1215" s="1">
        <v>0</v>
      </c>
      <c r="AL1215" s="1">
        <v>140</v>
      </c>
      <c r="AM1215" s="2">
        <v>42564</v>
      </c>
      <c r="AN1215" t="str">
        <f t="shared" si="37"/>
        <v>51315,181,0.00352723375231414,0,0,45,68,28,39,16,30,41,1,2,2,5,2,0,0,0,0,0,0,0,72,66+,2285,0,0,0,1,0,0,1,0,0,140,42564</v>
      </c>
    </row>
    <row r="1216" spans="1:40" ht="13" hidden="1" x14ac:dyDescent="0.15">
      <c r="A1216">
        <v>1370</v>
      </c>
      <c r="B1216" s="1">
        <v>41020</v>
      </c>
      <c r="C1216" s="1">
        <v>181</v>
      </c>
      <c r="D1216" s="4">
        <f t="shared" si="36"/>
        <v>4.4124817162359822E-3</v>
      </c>
      <c r="E1216" s="1">
        <v>0</v>
      </c>
      <c r="F1216" s="1">
        <v>0</v>
      </c>
      <c r="G1216" s="1">
        <v>68</v>
      </c>
      <c r="H1216" s="1">
        <v>112</v>
      </c>
      <c r="I1216" s="1">
        <v>1</v>
      </c>
      <c r="J1216" s="1">
        <v>54</v>
      </c>
      <c r="K1216" s="1">
        <v>7</v>
      </c>
      <c r="L1216" s="1">
        <v>7</v>
      </c>
      <c r="M1216" s="1">
        <v>36</v>
      </c>
      <c r="N1216" s="1">
        <v>1</v>
      </c>
      <c r="O1216" s="1">
        <v>3</v>
      </c>
      <c r="P1216" s="1">
        <v>2</v>
      </c>
      <c r="Q1216" s="1">
        <v>4</v>
      </c>
      <c r="R1216" s="1">
        <v>3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33</v>
      </c>
      <c r="AA1216" s="1" t="str" cm="1">
        <f t="array" ref="AA1216">_xlfn.IFS(AND(Z1216&lt;36, Z1216&gt;23), "24-35", AND(Z1216&lt;51, Z1216&gt;35),"36-50", AND(Z1216&lt;66, Z1216&gt;50), "51-66", Z1216&gt;65, "66+", TRUE, "?")</f>
        <v>24-35</v>
      </c>
      <c r="AB1216" s="1">
        <v>2403</v>
      </c>
      <c r="AC1216" s="1">
        <v>0</v>
      </c>
      <c r="AD1216" s="1">
        <v>0</v>
      </c>
      <c r="AE1216" s="1">
        <v>1</v>
      </c>
      <c r="AF1216" s="1">
        <v>0</v>
      </c>
      <c r="AG1216" s="1">
        <v>0</v>
      </c>
      <c r="AH1216" s="1">
        <v>0</v>
      </c>
      <c r="AI1216" s="1">
        <v>0</v>
      </c>
      <c r="AJ1216" s="1">
        <v>1</v>
      </c>
      <c r="AK1216" s="1">
        <v>0</v>
      </c>
      <c r="AL1216" s="1">
        <v>145</v>
      </c>
      <c r="AM1216" s="2">
        <v>42446</v>
      </c>
      <c r="AN1216" t="str">
        <f t="shared" si="37"/>
        <v>41020,181,0.00441248171623598,0,0,68,112,1,54,7,7,36,1,3,2,4,3,0,0,0,0,0,0,0,33,24-35,2403,0,0,1,0,0,0,0,1,0,145,42446</v>
      </c>
    </row>
    <row r="1217" spans="1:40" ht="13" hidden="1" x14ac:dyDescent="0.15">
      <c r="A1217">
        <v>1995</v>
      </c>
      <c r="B1217" s="1">
        <v>35893</v>
      </c>
      <c r="C1217" s="1">
        <v>181</v>
      </c>
      <c r="D1217" s="4">
        <f t="shared" si="36"/>
        <v>5.042765998941298E-3</v>
      </c>
      <c r="E1217" s="1">
        <v>1</v>
      </c>
      <c r="F1217" s="1">
        <v>1</v>
      </c>
      <c r="G1217" s="1">
        <v>80</v>
      </c>
      <c r="H1217" s="1">
        <v>158</v>
      </c>
      <c r="I1217" s="1">
        <v>0</v>
      </c>
      <c r="J1217" s="1">
        <v>23</v>
      </c>
      <c r="K1217" s="1">
        <v>0</v>
      </c>
      <c r="L1217" s="1">
        <v>0</v>
      </c>
      <c r="M1217" s="1">
        <v>18</v>
      </c>
      <c r="N1217" s="1">
        <v>6</v>
      </c>
      <c r="O1217" s="1">
        <v>3</v>
      </c>
      <c r="P1217" s="1">
        <v>1</v>
      </c>
      <c r="Q1217" s="1">
        <v>5</v>
      </c>
      <c r="R1217" s="1">
        <v>8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52</v>
      </c>
      <c r="AA1217" s="1" t="str" cm="1">
        <f t="array" ref="AA1217">_xlfn.IFS(AND(Z1217&lt;36, Z1217&gt;23), "24-35", AND(Z1217&lt;51, Z1217&gt;35),"36-50", AND(Z1217&lt;66, Z1217&gt;50), "51-66", Z1217&gt;65, "66+", TRUE, "?")</f>
        <v>51-66</v>
      </c>
      <c r="AB1217" s="1">
        <v>2781</v>
      </c>
      <c r="AC1217" s="1">
        <v>0</v>
      </c>
      <c r="AD1217" s="1">
        <v>0</v>
      </c>
      <c r="AE1217" s="1">
        <v>1</v>
      </c>
      <c r="AF1217" s="1">
        <v>0</v>
      </c>
      <c r="AG1217" s="1">
        <v>0</v>
      </c>
      <c r="AH1217" s="1">
        <v>0</v>
      </c>
      <c r="AI1217" s="1">
        <v>1</v>
      </c>
      <c r="AJ1217" s="1">
        <v>0</v>
      </c>
      <c r="AK1217" s="1">
        <v>0</v>
      </c>
      <c r="AL1217" s="1">
        <v>163</v>
      </c>
      <c r="AM1217" s="2">
        <v>42068</v>
      </c>
      <c r="AN1217" t="str">
        <f t="shared" si="37"/>
        <v>35893,181,0.0050427659989413,1,1,80,158,0,23,0,0,18,6,3,1,5,8,0,0,0,0,0,0,0,52,51-66,2781,0,0,1,0,0,0,1,0,0,163,42068</v>
      </c>
    </row>
    <row r="1218" spans="1:40" ht="13" hidden="1" x14ac:dyDescent="0.15">
      <c r="A1218">
        <v>95</v>
      </c>
      <c r="B1218" s="1">
        <v>49096</v>
      </c>
      <c r="C1218" s="1">
        <v>180</v>
      </c>
      <c r="D1218" s="4">
        <f t="shared" ref="D1218:D1281" si="38">C1218/B1218</f>
        <v>3.6662864591820109E-3</v>
      </c>
      <c r="E1218" s="1">
        <v>1</v>
      </c>
      <c r="F1218" s="1">
        <v>1</v>
      </c>
      <c r="G1218" s="1">
        <v>15</v>
      </c>
      <c r="H1218" s="1">
        <v>144</v>
      </c>
      <c r="I1218" s="1">
        <v>1</v>
      </c>
      <c r="J1218" s="1">
        <v>32</v>
      </c>
      <c r="K1218" s="1">
        <v>2</v>
      </c>
      <c r="L1218" s="1">
        <v>1</v>
      </c>
      <c r="M1218" s="1">
        <v>7</v>
      </c>
      <c r="N1218" s="1">
        <v>4</v>
      </c>
      <c r="O1218" s="1">
        <v>4</v>
      </c>
      <c r="P1218" s="1">
        <v>1</v>
      </c>
      <c r="Q1218" s="1">
        <v>4</v>
      </c>
      <c r="R1218" s="1">
        <v>7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56</v>
      </c>
      <c r="AA1218" s="1" t="str" cm="1">
        <f t="array" ref="AA1218">_xlfn.IFS(AND(Z1218&lt;36, Z1218&gt;23), "24-35", AND(Z1218&lt;51, Z1218&gt;35),"36-50", AND(Z1218&lt;66, Z1218&gt;50), "51-66", Z1218&gt;65, "66+", TRUE, "?")</f>
        <v>51-66</v>
      </c>
      <c r="AB1218" s="1">
        <v>2437</v>
      </c>
      <c r="AC1218" s="1">
        <v>0</v>
      </c>
      <c r="AD1218" s="1">
        <v>1</v>
      </c>
      <c r="AE1218" s="1">
        <v>0</v>
      </c>
      <c r="AF1218" s="1">
        <v>0</v>
      </c>
      <c r="AG1218" s="1">
        <v>0</v>
      </c>
      <c r="AH1218" s="1">
        <v>0</v>
      </c>
      <c r="AI1218" s="1">
        <v>1</v>
      </c>
      <c r="AJ1218" s="1">
        <v>0</v>
      </c>
      <c r="AK1218" s="1">
        <v>0</v>
      </c>
      <c r="AL1218" s="1">
        <v>173</v>
      </c>
      <c r="AM1218" s="2">
        <v>42412</v>
      </c>
      <c r="AN1218" t="str">
        <f t="shared" ref="AN1218:AN1281" si="39">_xlfn.TEXTJOIN(",",TRUE,B1218:AM1218)</f>
        <v>49096,180,0.00366628645918201,1,1,15,144,1,32,2,1,7,4,4,1,4,7,0,0,0,0,0,0,0,56,51-66,2437,0,1,0,0,0,0,1,0,0,173,42412</v>
      </c>
    </row>
    <row r="1219" spans="1:40" ht="13" hidden="1" x14ac:dyDescent="0.15">
      <c r="A1219">
        <v>627</v>
      </c>
      <c r="B1219" s="1">
        <v>54690</v>
      </c>
      <c r="C1219" s="1">
        <v>180</v>
      </c>
      <c r="D1219" s="4">
        <f t="shared" si="38"/>
        <v>3.2912781130005485E-3</v>
      </c>
      <c r="E1219" s="1">
        <v>1</v>
      </c>
      <c r="F1219" s="1">
        <v>1</v>
      </c>
      <c r="G1219" s="1">
        <v>76</v>
      </c>
      <c r="H1219" s="1">
        <v>111</v>
      </c>
      <c r="I1219" s="1">
        <v>16</v>
      </c>
      <c r="J1219" s="1">
        <v>37</v>
      </c>
      <c r="K1219" s="1">
        <v>7</v>
      </c>
      <c r="L1219" s="1">
        <v>9</v>
      </c>
      <c r="M1219" s="1">
        <v>18</v>
      </c>
      <c r="N1219" s="1">
        <v>3</v>
      </c>
      <c r="O1219" s="1">
        <v>3</v>
      </c>
      <c r="P1219" s="1">
        <v>1</v>
      </c>
      <c r="Q1219" s="1">
        <v>5</v>
      </c>
      <c r="R1219" s="1">
        <v>3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49</v>
      </c>
      <c r="AA1219" s="1" t="str" cm="1">
        <f t="array" ref="AA1219">_xlfn.IFS(AND(Z1219&lt;36, Z1219&gt;23), "24-35", AND(Z1219&lt;51, Z1219&gt;35),"36-50", AND(Z1219&lt;66, Z1219&gt;50), "51-66", Z1219&gt;65, "66+", TRUE, "?")</f>
        <v>36-50</v>
      </c>
      <c r="AB1219" s="1">
        <v>2393</v>
      </c>
      <c r="AC1219" s="1">
        <v>0</v>
      </c>
      <c r="AD1219" s="1">
        <v>1</v>
      </c>
      <c r="AE1219" s="1">
        <v>0</v>
      </c>
      <c r="AF1219" s="1">
        <v>0</v>
      </c>
      <c r="AG1219" s="1">
        <v>0</v>
      </c>
      <c r="AH1219" s="1">
        <v>1</v>
      </c>
      <c r="AI1219" s="1">
        <v>0</v>
      </c>
      <c r="AJ1219" s="1">
        <v>0</v>
      </c>
      <c r="AK1219" s="1">
        <v>0</v>
      </c>
      <c r="AL1219" s="1">
        <v>162</v>
      </c>
      <c r="AM1219" s="2">
        <v>42456</v>
      </c>
      <c r="AN1219" t="str">
        <f t="shared" si="39"/>
        <v>54690,180,0.00329127811300055,1,1,76,111,16,37,7,9,18,3,3,1,5,3,0,0,0,0,0,0,0,49,36-50,2393,0,1,0,0,0,1,0,0,0,162,42456</v>
      </c>
    </row>
    <row r="1220" spans="1:40" ht="13" hidden="1" x14ac:dyDescent="0.15">
      <c r="A1220">
        <v>1864</v>
      </c>
      <c r="B1220" s="1">
        <v>43020</v>
      </c>
      <c r="C1220" s="1">
        <v>180</v>
      </c>
      <c r="D1220" s="4">
        <f t="shared" si="38"/>
        <v>4.1841004184100415E-3</v>
      </c>
      <c r="E1220" s="1">
        <v>1</v>
      </c>
      <c r="F1220" s="1">
        <v>0</v>
      </c>
      <c r="G1220" s="1">
        <v>79</v>
      </c>
      <c r="H1220" s="1">
        <v>45</v>
      </c>
      <c r="I1220" s="1">
        <v>7</v>
      </c>
      <c r="J1220" s="1">
        <v>99</v>
      </c>
      <c r="K1220" s="1">
        <v>4</v>
      </c>
      <c r="L1220" s="1">
        <v>25</v>
      </c>
      <c r="M1220" s="1">
        <v>43</v>
      </c>
      <c r="N1220" s="1">
        <v>3</v>
      </c>
      <c r="O1220" s="1">
        <v>4</v>
      </c>
      <c r="P1220" s="1">
        <v>1</v>
      </c>
      <c r="Q1220" s="1">
        <v>4</v>
      </c>
      <c r="R1220" s="1">
        <v>6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50</v>
      </c>
      <c r="AA1220" s="1" t="str" cm="1">
        <f t="array" ref="AA1220">_xlfn.IFS(AND(Z1220&lt;36, Z1220&gt;23), "24-35", AND(Z1220&lt;51, Z1220&gt;35),"36-50", AND(Z1220&lt;66, Z1220&gt;50), "51-66", Z1220&gt;65, "66+", TRUE, "?")</f>
        <v>36-50</v>
      </c>
      <c r="AB1220" s="1">
        <v>2370</v>
      </c>
      <c r="AC1220" s="1">
        <v>0</v>
      </c>
      <c r="AD1220" s="1">
        <v>0</v>
      </c>
      <c r="AE1220" s="1">
        <v>1</v>
      </c>
      <c r="AF1220" s="1">
        <v>0</v>
      </c>
      <c r="AG1220" s="1">
        <v>0</v>
      </c>
      <c r="AH1220" s="1">
        <v>0</v>
      </c>
      <c r="AI1220" s="1">
        <v>1</v>
      </c>
      <c r="AJ1220" s="1">
        <v>0</v>
      </c>
      <c r="AK1220" s="1">
        <v>0</v>
      </c>
      <c r="AL1220" s="1">
        <v>137</v>
      </c>
      <c r="AM1220" s="2">
        <v>42479</v>
      </c>
      <c r="AN1220" t="str">
        <f t="shared" si="39"/>
        <v>43020,180,0.00418410041841004,1,0,79,45,7,99,4,25,43,3,4,1,4,6,0,0,0,0,0,0,0,50,36-50,2370,0,0,1,0,0,0,1,0,0,137,42479</v>
      </c>
    </row>
    <row r="1221" spans="1:40" ht="13" hidden="1" x14ac:dyDescent="0.15">
      <c r="A1221">
        <v>1935</v>
      </c>
      <c r="B1221" s="1">
        <v>62637</v>
      </c>
      <c r="C1221" s="1">
        <v>180</v>
      </c>
      <c r="D1221" s="4">
        <f t="shared" si="38"/>
        <v>2.8737008477417499E-3</v>
      </c>
      <c r="E1221" s="1">
        <v>0</v>
      </c>
      <c r="F1221" s="1">
        <v>1</v>
      </c>
      <c r="G1221" s="1">
        <v>76</v>
      </c>
      <c r="H1221" s="1">
        <v>104</v>
      </c>
      <c r="I1221" s="1">
        <v>12</v>
      </c>
      <c r="J1221" s="1">
        <v>48</v>
      </c>
      <c r="K1221" s="1">
        <v>4</v>
      </c>
      <c r="L1221" s="1">
        <v>12</v>
      </c>
      <c r="M1221" s="1">
        <v>5</v>
      </c>
      <c r="N1221" s="1">
        <v>1</v>
      </c>
      <c r="O1221" s="1">
        <v>2</v>
      </c>
      <c r="P1221" s="1">
        <v>2</v>
      </c>
      <c r="Q1221" s="1">
        <v>5</v>
      </c>
      <c r="R1221" s="1">
        <v>2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66</v>
      </c>
      <c r="AA1221" s="1" t="str" cm="1">
        <f t="array" ref="AA1221">_xlfn.IFS(AND(Z1221&lt;36, Z1221&gt;23), "24-35", AND(Z1221&lt;51, Z1221&gt;35),"36-50", AND(Z1221&lt;66, Z1221&gt;50), "51-66", Z1221&gt;65, "66+", TRUE, "?")</f>
        <v>66+</v>
      </c>
      <c r="AB1221" s="1">
        <v>2279</v>
      </c>
      <c r="AC1221" s="1">
        <v>1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1</v>
      </c>
      <c r="AK1221" s="1">
        <v>0</v>
      </c>
      <c r="AL1221" s="1">
        <v>175</v>
      </c>
      <c r="AM1221" s="2">
        <v>42570</v>
      </c>
      <c r="AN1221" t="str">
        <f t="shared" si="39"/>
        <v>62637,180,0.00287370084774175,0,1,76,104,12,48,4,12,5,1,2,2,5,2,0,0,0,0,0,0,0,66,66+,2279,1,0,0,0,0,0,0,1,0,175,42570</v>
      </c>
    </row>
    <row r="1222" spans="1:40" ht="13" hidden="1" x14ac:dyDescent="0.15">
      <c r="A1222">
        <v>135</v>
      </c>
      <c r="B1222" s="1">
        <v>35688</v>
      </c>
      <c r="C1222" s="1">
        <v>179</v>
      </c>
      <c r="D1222" s="4">
        <f t="shared" si="38"/>
        <v>5.015691548980049E-3</v>
      </c>
      <c r="E1222" s="1">
        <v>2</v>
      </c>
      <c r="F1222" s="1">
        <v>1</v>
      </c>
      <c r="G1222" s="1">
        <v>94</v>
      </c>
      <c r="H1222" s="1">
        <v>73</v>
      </c>
      <c r="I1222" s="1">
        <v>3</v>
      </c>
      <c r="J1222" s="1">
        <v>90</v>
      </c>
      <c r="K1222" s="1">
        <v>12</v>
      </c>
      <c r="L1222" s="1">
        <v>1</v>
      </c>
      <c r="M1222" s="1">
        <v>32</v>
      </c>
      <c r="N1222" s="1">
        <v>7</v>
      </c>
      <c r="O1222" s="1">
        <v>4</v>
      </c>
      <c r="P1222" s="1">
        <v>1</v>
      </c>
      <c r="Q1222" s="1">
        <v>4</v>
      </c>
      <c r="R1222" s="1">
        <v>8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47</v>
      </c>
      <c r="AA1222" s="1" t="str" cm="1">
        <f t="array" ref="AA1222">_xlfn.IFS(AND(Z1222&lt;36, Z1222&gt;23), "24-35", AND(Z1222&lt;51, Z1222&gt;35),"36-50", AND(Z1222&lt;66, Z1222&gt;50), "51-66", Z1222&gt;65, "66+", TRUE, "?")</f>
        <v>36-50</v>
      </c>
      <c r="AB1222" s="1">
        <v>2835</v>
      </c>
      <c r="AC1222" s="1">
        <v>0</v>
      </c>
      <c r="AD1222" s="1">
        <v>1</v>
      </c>
      <c r="AE1222" s="1">
        <v>0</v>
      </c>
      <c r="AF1222" s="1">
        <v>0</v>
      </c>
      <c r="AG1222" s="1">
        <v>0</v>
      </c>
      <c r="AH1222" s="1">
        <v>1</v>
      </c>
      <c r="AI1222" s="1">
        <v>0</v>
      </c>
      <c r="AJ1222" s="1">
        <v>0</v>
      </c>
      <c r="AK1222" s="1">
        <v>0</v>
      </c>
      <c r="AL1222" s="1">
        <v>147</v>
      </c>
      <c r="AM1222" s="2">
        <v>42014</v>
      </c>
      <c r="AN1222" t="str">
        <f t="shared" si="39"/>
        <v>35688,179,0.00501569154898005,2,1,94,73,3,90,12,1,32,7,4,1,4,8,0,0,0,0,0,0,0,47,36-50,2835,0,1,0,0,0,1,0,0,0,147,42014</v>
      </c>
    </row>
    <row r="1223" spans="1:40" ht="13" hidden="1" x14ac:dyDescent="0.15">
      <c r="A1223">
        <v>979</v>
      </c>
      <c r="B1223" s="1">
        <v>8028</v>
      </c>
      <c r="C1223" s="1">
        <v>176</v>
      </c>
      <c r="D1223" s="4">
        <f t="shared" si="38"/>
        <v>2.1923268560039861E-2</v>
      </c>
      <c r="E1223" s="1">
        <v>0</v>
      </c>
      <c r="F1223" s="1">
        <v>0</v>
      </c>
      <c r="G1223" s="1">
        <v>62</v>
      </c>
      <c r="H1223" s="1">
        <v>73</v>
      </c>
      <c r="I1223" s="1">
        <v>18</v>
      </c>
      <c r="J1223" s="1">
        <v>66</v>
      </c>
      <c r="K1223" s="1">
        <v>7</v>
      </c>
      <c r="L1223" s="1">
        <v>12</v>
      </c>
      <c r="M1223" s="1">
        <v>2</v>
      </c>
      <c r="N1223" s="1">
        <v>15</v>
      </c>
      <c r="O1223" s="1">
        <v>0</v>
      </c>
      <c r="P1223" s="1">
        <v>1</v>
      </c>
      <c r="Q1223" s="1">
        <v>0</v>
      </c>
      <c r="R1223" s="1">
        <v>19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29</v>
      </c>
      <c r="AA1223" s="1" t="str" cm="1">
        <f t="array" ref="AA1223">_xlfn.IFS(AND(Z1223&lt;36, Z1223&gt;23), "24-35", AND(Z1223&lt;51, Z1223&gt;35),"36-50", AND(Z1223&lt;66, Z1223&gt;50), "51-66", Z1223&gt;65, "66+", TRUE, "?")</f>
        <v>24-35</v>
      </c>
      <c r="AB1223" s="1">
        <v>2808</v>
      </c>
      <c r="AC1223" s="1">
        <v>0</v>
      </c>
      <c r="AD1223" s="1">
        <v>0</v>
      </c>
      <c r="AE1223" s="1">
        <v>1</v>
      </c>
      <c r="AF1223" s="1">
        <v>0</v>
      </c>
      <c r="AG1223" s="1">
        <v>0</v>
      </c>
      <c r="AH1223" s="1">
        <v>0</v>
      </c>
      <c r="AI1223" s="1">
        <v>1</v>
      </c>
      <c r="AJ1223" s="1">
        <v>0</v>
      </c>
      <c r="AK1223" s="1">
        <v>0</v>
      </c>
      <c r="AL1223" s="1">
        <v>174</v>
      </c>
      <c r="AM1223" s="2">
        <v>42041</v>
      </c>
      <c r="AN1223" t="str">
        <f t="shared" si="39"/>
        <v>8028,176,0.0219232685600399,0,0,62,73,18,66,7,12,2,15,0,1,0,19,0,0,0,0,0,0,0,29,24-35,2808,0,0,1,0,0,0,1,0,0,174,42041</v>
      </c>
    </row>
    <row r="1224" spans="1:40" ht="13" hidden="1" x14ac:dyDescent="0.15">
      <c r="A1224">
        <v>820</v>
      </c>
      <c r="B1224" s="1">
        <v>42395</v>
      </c>
      <c r="C1224" s="1">
        <v>157</v>
      </c>
      <c r="D1224" s="4">
        <f t="shared" si="38"/>
        <v>3.7032668946809766E-3</v>
      </c>
      <c r="E1224" s="1">
        <v>1</v>
      </c>
      <c r="F1224" s="1">
        <v>1</v>
      </c>
      <c r="G1224" s="1">
        <v>35</v>
      </c>
      <c r="H1224" s="1">
        <v>48</v>
      </c>
      <c r="I1224" s="1">
        <v>13</v>
      </c>
      <c r="J1224" s="1">
        <v>57</v>
      </c>
      <c r="K1224" s="1">
        <v>24</v>
      </c>
      <c r="L1224" s="1">
        <v>15</v>
      </c>
      <c r="M1224" s="1">
        <v>25</v>
      </c>
      <c r="N1224" s="1">
        <v>4</v>
      </c>
      <c r="O1224" s="1">
        <v>3</v>
      </c>
      <c r="P1224" s="1">
        <v>1</v>
      </c>
      <c r="Q1224" s="1">
        <v>4</v>
      </c>
      <c r="R1224" s="1">
        <v>7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39</v>
      </c>
      <c r="AA1224" s="1" t="str" cm="1">
        <f t="array" ref="AA1224">_xlfn.IFS(AND(Z1224&lt;36, Z1224&gt;23), "24-35", AND(Z1224&lt;51, Z1224&gt;35),"36-50", AND(Z1224&lt;66, Z1224&gt;50), "51-66", Z1224&gt;65, "66+", TRUE, "?")</f>
        <v>36-50</v>
      </c>
      <c r="AB1224" s="1">
        <v>2245</v>
      </c>
      <c r="AC1224" s="1">
        <v>0</v>
      </c>
      <c r="AD1224" s="1">
        <v>0</v>
      </c>
      <c r="AE1224" s="1">
        <v>1</v>
      </c>
      <c r="AF1224" s="1">
        <v>0</v>
      </c>
      <c r="AG1224" s="1">
        <v>0</v>
      </c>
      <c r="AH1224" s="1">
        <v>1</v>
      </c>
      <c r="AI1224" s="1">
        <v>0</v>
      </c>
      <c r="AJ1224" s="1">
        <v>0</v>
      </c>
      <c r="AK1224" s="1">
        <v>0</v>
      </c>
      <c r="AL1224" s="1">
        <v>132</v>
      </c>
      <c r="AM1224" s="2">
        <v>42604</v>
      </c>
      <c r="AN1224" t="str">
        <f t="shared" si="39"/>
        <v>42395,157,0.00370326689468098,1,1,35,48,13,57,24,15,25,4,3,1,4,7,0,0,0,0,0,0,0,39,36-50,2245,0,0,1,0,0,1,0,0,0,132,42604</v>
      </c>
    </row>
    <row r="1225" spans="1:40" ht="13" x14ac:dyDescent="0.15">
      <c r="A1225">
        <v>1583</v>
      </c>
      <c r="B1225" s="1">
        <v>40442</v>
      </c>
      <c r="C1225" s="1">
        <v>156</v>
      </c>
      <c r="D1225" s="4">
        <f t="shared" si="38"/>
        <v>3.8573759952524604E-3</v>
      </c>
      <c r="E1225" s="1">
        <v>1</v>
      </c>
      <c r="F1225" s="1">
        <v>1</v>
      </c>
      <c r="G1225" s="1">
        <v>52</v>
      </c>
      <c r="H1225" s="1">
        <v>45</v>
      </c>
      <c r="I1225" s="1">
        <v>12</v>
      </c>
      <c r="J1225" s="1">
        <v>52</v>
      </c>
      <c r="K1225" s="1">
        <v>25</v>
      </c>
      <c r="L1225" s="1">
        <v>22</v>
      </c>
      <c r="M1225" s="1">
        <v>13</v>
      </c>
      <c r="N1225" s="1">
        <v>4</v>
      </c>
      <c r="O1225" s="1">
        <v>3</v>
      </c>
      <c r="P1225" s="1">
        <v>1</v>
      </c>
      <c r="Q1225" s="1">
        <v>4</v>
      </c>
      <c r="R1225" s="1">
        <v>7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1</v>
      </c>
      <c r="Z1225" s="1">
        <v>68</v>
      </c>
      <c r="AA1225" s="1" t="str" cm="1">
        <f t="array" ref="AA1225">_xlfn.IFS(AND(Z1225&lt;36, Z1225&gt;23), "24-35", AND(Z1225&lt;51, Z1225&gt;35),"36-50", AND(Z1225&lt;66, Z1225&gt;50), "51-66", Z1225&gt;65, "66+", TRUE, "?")</f>
        <v>66+</v>
      </c>
      <c r="AB1225" s="1">
        <v>2838</v>
      </c>
      <c r="AC1225" s="1">
        <v>0</v>
      </c>
      <c r="AD1225" s="1">
        <v>0</v>
      </c>
      <c r="AE1225" s="1">
        <v>0</v>
      </c>
      <c r="AF1225" s="1">
        <v>1</v>
      </c>
      <c r="AG1225" s="1">
        <v>0</v>
      </c>
      <c r="AH1225" s="1">
        <v>0</v>
      </c>
      <c r="AI1225" s="1">
        <v>0</v>
      </c>
      <c r="AJ1225" s="1">
        <v>1</v>
      </c>
      <c r="AK1225" s="1">
        <v>0</v>
      </c>
      <c r="AL1225" s="1">
        <v>143</v>
      </c>
      <c r="AM1225" s="2">
        <v>42011</v>
      </c>
      <c r="AN1225" t="str">
        <f t="shared" si="39"/>
        <v>40442,156,0.00385737599525246,1,1,52,45,12,52,25,22,13,4,3,1,4,7,0,0,0,0,0,0,1,68,66+,2838,0,0,0,1,0,0,0,1,0,143,42011</v>
      </c>
    </row>
    <row r="1226" spans="1:40" ht="13" hidden="1" x14ac:dyDescent="0.15">
      <c r="A1226">
        <v>472</v>
      </c>
      <c r="B1226" s="1">
        <v>24279</v>
      </c>
      <c r="C1226" s="1">
        <v>155</v>
      </c>
      <c r="D1226" s="4">
        <f t="shared" si="38"/>
        <v>6.3841179620247948E-3</v>
      </c>
      <c r="E1226" s="1">
        <v>0</v>
      </c>
      <c r="F1226" s="1">
        <v>0</v>
      </c>
      <c r="G1226" s="1">
        <v>6</v>
      </c>
      <c r="H1226" s="1">
        <v>16</v>
      </c>
      <c r="I1226" s="1">
        <v>36</v>
      </c>
      <c r="J1226" s="1">
        <v>21</v>
      </c>
      <c r="K1226" s="1">
        <v>20</v>
      </c>
      <c r="L1226" s="1">
        <v>62</v>
      </c>
      <c r="M1226" s="1">
        <v>108</v>
      </c>
      <c r="N1226" s="1">
        <v>1</v>
      </c>
      <c r="O1226" s="1">
        <v>4</v>
      </c>
      <c r="P1226" s="1">
        <v>1</v>
      </c>
      <c r="Q1226" s="1">
        <v>3</v>
      </c>
      <c r="R1226" s="1">
        <v>8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30</v>
      </c>
      <c r="AA1226" s="1" t="str" cm="1">
        <f t="array" ref="AA1226">_xlfn.IFS(AND(Z1226&lt;36, Z1226&gt;23), "24-35", AND(Z1226&lt;51, Z1226&gt;35),"36-50", AND(Z1226&lt;66, Z1226&gt;50), "51-66", Z1226&gt;65, "66+", TRUE, "?")</f>
        <v>24-35</v>
      </c>
      <c r="AB1226" s="1">
        <v>2706</v>
      </c>
      <c r="AC1226" s="1">
        <v>0</v>
      </c>
      <c r="AD1226" s="1">
        <v>1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47</v>
      </c>
      <c r="AM1226" s="2">
        <v>42143</v>
      </c>
      <c r="AN1226" t="str">
        <f t="shared" si="39"/>
        <v>24279,155,0.00638411796202479,0,0,6,16,36,21,20,62,108,1,4,1,3,8,0,0,0,0,0,0,0,30,24-35,2706,0,1,0,0,0,0,0,0,0,47,42143</v>
      </c>
    </row>
    <row r="1227" spans="1:40" ht="13" hidden="1" x14ac:dyDescent="0.15">
      <c r="A1227">
        <v>369</v>
      </c>
      <c r="B1227" s="1">
        <v>43824</v>
      </c>
      <c r="C1227" s="1">
        <v>154</v>
      </c>
      <c r="D1227" s="4">
        <f t="shared" si="38"/>
        <v>3.5140562248995983E-3</v>
      </c>
      <c r="E1227" s="1">
        <v>1</v>
      </c>
      <c r="F1227" s="1">
        <v>1</v>
      </c>
      <c r="G1227" s="1">
        <v>18</v>
      </c>
      <c r="H1227" s="1">
        <v>96</v>
      </c>
      <c r="I1227" s="1">
        <v>1</v>
      </c>
      <c r="J1227" s="1">
        <v>42</v>
      </c>
      <c r="K1227" s="1">
        <v>12</v>
      </c>
      <c r="L1227" s="1">
        <v>3</v>
      </c>
      <c r="M1227" s="1">
        <v>32</v>
      </c>
      <c r="N1227" s="1">
        <v>4</v>
      </c>
      <c r="O1227" s="1">
        <v>3</v>
      </c>
      <c r="P1227" s="1">
        <v>1</v>
      </c>
      <c r="Q1227" s="1">
        <v>4</v>
      </c>
      <c r="R1227" s="1">
        <v>8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49</v>
      </c>
      <c r="AA1227" s="1" t="str" cm="1">
        <f t="array" ref="AA1227">_xlfn.IFS(AND(Z1227&lt;36, Z1227&gt;23), "24-35", AND(Z1227&lt;51, Z1227&gt;35),"36-50", AND(Z1227&lt;66, Z1227&gt;50), "51-66", Z1227&gt;65, "66+", TRUE, "?")</f>
        <v>36-50</v>
      </c>
      <c r="AB1227" s="1">
        <v>2811</v>
      </c>
      <c r="AC1227" s="1">
        <v>0</v>
      </c>
      <c r="AD1227" s="1">
        <v>1</v>
      </c>
      <c r="AE1227" s="1">
        <v>0</v>
      </c>
      <c r="AF1227" s="1">
        <v>0</v>
      </c>
      <c r="AG1227" s="1">
        <v>0</v>
      </c>
      <c r="AH1227" s="1">
        <v>0</v>
      </c>
      <c r="AI1227" s="1">
        <v>1</v>
      </c>
      <c r="AJ1227" s="1">
        <v>0</v>
      </c>
      <c r="AK1227" s="1">
        <v>0</v>
      </c>
      <c r="AL1227" s="1">
        <v>122</v>
      </c>
      <c r="AM1227" s="2">
        <v>42038</v>
      </c>
      <c r="AN1227" t="str">
        <f t="shared" si="39"/>
        <v>43824,154,0.0035140562248996,1,1,18,96,1,42,12,3,32,4,3,1,4,8,0,0,0,0,0,0,0,49,36-50,2811,0,1,0,0,0,0,1,0,0,122,42038</v>
      </c>
    </row>
    <row r="1228" spans="1:40" ht="13" hidden="1" x14ac:dyDescent="0.15">
      <c r="A1228">
        <v>1316</v>
      </c>
      <c r="B1228" s="1">
        <v>34412</v>
      </c>
      <c r="C1228" s="1">
        <v>154</v>
      </c>
      <c r="D1228" s="4">
        <f t="shared" si="38"/>
        <v>4.4751830756712772E-3</v>
      </c>
      <c r="E1228" s="1">
        <v>1</v>
      </c>
      <c r="F1228" s="1">
        <v>0</v>
      </c>
      <c r="G1228" s="1">
        <v>62</v>
      </c>
      <c r="H1228" s="1">
        <v>52</v>
      </c>
      <c r="I1228" s="1">
        <v>12</v>
      </c>
      <c r="J1228" s="1">
        <v>50</v>
      </c>
      <c r="K1228" s="1">
        <v>4</v>
      </c>
      <c r="L1228" s="1">
        <v>36</v>
      </c>
      <c r="M1228" s="1">
        <v>55</v>
      </c>
      <c r="N1228" s="1">
        <v>3</v>
      </c>
      <c r="O1228" s="1">
        <v>5</v>
      </c>
      <c r="P1228" s="1">
        <v>0</v>
      </c>
      <c r="Q1228" s="1">
        <v>3</v>
      </c>
      <c r="R1228" s="1">
        <v>9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30</v>
      </c>
      <c r="AA1228" s="1" t="str" cm="1">
        <f t="array" ref="AA1228">_xlfn.IFS(AND(Z1228&lt;36, Z1228&gt;23), "24-35", AND(Z1228&lt;51, Z1228&gt;35),"36-50", AND(Z1228&lt;66, Z1228&gt;50), "51-66", Z1228&gt;65, "66+", TRUE, "?")</f>
        <v>24-35</v>
      </c>
      <c r="AB1228" s="1">
        <v>2660</v>
      </c>
      <c r="AC1228" s="1">
        <v>0</v>
      </c>
      <c r="AD1228" s="1">
        <v>0</v>
      </c>
      <c r="AE1228" s="1">
        <v>1</v>
      </c>
      <c r="AF1228" s="1">
        <v>0</v>
      </c>
      <c r="AG1228" s="1">
        <v>0</v>
      </c>
      <c r="AH1228" s="1">
        <v>0</v>
      </c>
      <c r="AI1228" s="1">
        <v>1</v>
      </c>
      <c r="AJ1228" s="1">
        <v>0</v>
      </c>
      <c r="AK1228" s="1">
        <v>0</v>
      </c>
      <c r="AL1228" s="1">
        <v>99</v>
      </c>
      <c r="AM1228" s="2">
        <v>42189</v>
      </c>
      <c r="AN1228" t="str">
        <f t="shared" si="39"/>
        <v>34412,154,0.00447518307567128,1,0,62,52,12,50,4,36,55,3,5,0,3,9,0,0,0,0,0,0,0,30,24-35,2660,0,0,1,0,0,0,1,0,0,99,42189</v>
      </c>
    </row>
    <row r="1229" spans="1:40" ht="13" x14ac:dyDescent="0.15">
      <c r="A1229">
        <v>1596</v>
      </c>
      <c r="B1229" s="1">
        <v>36145</v>
      </c>
      <c r="C1229" s="1">
        <v>154</v>
      </c>
      <c r="D1229" s="4">
        <f t="shared" si="38"/>
        <v>4.2606169594688065E-3</v>
      </c>
      <c r="E1229" s="1">
        <v>1</v>
      </c>
      <c r="F1229" s="1">
        <v>0</v>
      </c>
      <c r="G1229" s="1">
        <v>13</v>
      </c>
      <c r="H1229" s="1">
        <v>56</v>
      </c>
      <c r="I1229" s="1">
        <v>4</v>
      </c>
      <c r="J1229" s="1">
        <v>76</v>
      </c>
      <c r="K1229" s="1">
        <v>17</v>
      </c>
      <c r="L1229" s="1">
        <v>1</v>
      </c>
      <c r="M1229" s="1">
        <v>18</v>
      </c>
      <c r="N1229" s="1">
        <v>4</v>
      </c>
      <c r="O1229" s="1">
        <v>4</v>
      </c>
      <c r="P1229" s="1">
        <v>1</v>
      </c>
      <c r="Q1229" s="1">
        <v>3</v>
      </c>
      <c r="R1229" s="1">
        <v>9</v>
      </c>
      <c r="S1229" s="1">
        <v>0</v>
      </c>
      <c r="T1229" s="1">
        <v>0</v>
      </c>
      <c r="U1229" s="1">
        <v>1</v>
      </c>
      <c r="V1229" s="1">
        <v>0</v>
      </c>
      <c r="W1229" s="1">
        <v>0</v>
      </c>
      <c r="X1229" s="1">
        <v>0</v>
      </c>
      <c r="Y1229" s="1">
        <v>1</v>
      </c>
      <c r="Z1229" s="1">
        <v>35</v>
      </c>
      <c r="AA1229" s="1" t="str" cm="1">
        <f t="array" ref="AA1229">_xlfn.IFS(AND(Z1229&lt;36, Z1229&gt;23), "24-35", AND(Z1229&lt;51, Z1229&gt;35),"36-50", AND(Z1229&lt;66, Z1229&gt;50), "51-66", Z1229&gt;65, "66+", TRUE, "?")</f>
        <v>24-35</v>
      </c>
      <c r="AB1229" s="1">
        <v>2537</v>
      </c>
      <c r="AC1229" s="1">
        <v>0</v>
      </c>
      <c r="AD1229" s="1">
        <v>1</v>
      </c>
      <c r="AE1229" s="1">
        <v>0</v>
      </c>
      <c r="AF1229" s="1">
        <v>0</v>
      </c>
      <c r="AG1229" s="1">
        <v>0</v>
      </c>
      <c r="AH1229" s="1">
        <v>1</v>
      </c>
      <c r="AI1229" s="1">
        <v>0</v>
      </c>
      <c r="AJ1229" s="1">
        <v>0</v>
      </c>
      <c r="AK1229" s="1">
        <v>0</v>
      </c>
      <c r="AL1229" s="1">
        <v>136</v>
      </c>
      <c r="AM1229" s="2">
        <v>42312</v>
      </c>
      <c r="AN1229" t="str">
        <f t="shared" si="39"/>
        <v>36145,154,0.00426061695946881,1,0,13,56,4,76,17,1,18,4,4,1,3,9,0,0,1,0,0,0,1,35,24-35,2537,0,1,0,0,0,1,0,0,0,136,42312</v>
      </c>
    </row>
    <row r="1230" spans="1:40" ht="13" hidden="1" x14ac:dyDescent="0.15">
      <c r="A1230">
        <v>540</v>
      </c>
      <c r="B1230" s="1">
        <v>38593</v>
      </c>
      <c r="C1230" s="1">
        <v>153</v>
      </c>
      <c r="D1230" s="4">
        <f t="shared" si="38"/>
        <v>3.9644495115694553E-3</v>
      </c>
      <c r="E1230" s="1">
        <v>1</v>
      </c>
      <c r="F1230" s="1">
        <v>0</v>
      </c>
      <c r="G1230" s="1">
        <v>42</v>
      </c>
      <c r="H1230" s="1">
        <v>51</v>
      </c>
      <c r="I1230" s="1">
        <v>12</v>
      </c>
      <c r="J1230" s="1">
        <v>49</v>
      </c>
      <c r="K1230" s="1">
        <v>17</v>
      </c>
      <c r="L1230" s="1">
        <v>24</v>
      </c>
      <c r="M1230" s="1">
        <v>24</v>
      </c>
      <c r="N1230" s="1">
        <v>3</v>
      </c>
      <c r="O1230" s="1">
        <v>4</v>
      </c>
      <c r="P1230" s="1">
        <v>1</v>
      </c>
      <c r="Q1230" s="1">
        <v>3</v>
      </c>
      <c r="R1230" s="1">
        <v>8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42</v>
      </c>
      <c r="AA1230" s="1" t="str" cm="1">
        <f t="array" ref="AA1230">_xlfn.IFS(AND(Z1230&lt;36, Z1230&gt;23), "24-35", AND(Z1230&lt;51, Z1230&gt;35),"36-50", AND(Z1230&lt;66, Z1230&gt;50), "51-66", Z1230&gt;65, "66+", TRUE, "?")</f>
        <v>36-50</v>
      </c>
      <c r="AB1230" s="1">
        <v>2448</v>
      </c>
      <c r="AC1230" s="1">
        <v>0</v>
      </c>
      <c r="AD1230" s="1">
        <v>0</v>
      </c>
      <c r="AE1230" s="1">
        <v>1</v>
      </c>
      <c r="AF1230" s="1">
        <v>0</v>
      </c>
      <c r="AG1230" s="1">
        <v>0</v>
      </c>
      <c r="AH1230" s="1">
        <v>1</v>
      </c>
      <c r="AI1230" s="1">
        <v>0</v>
      </c>
      <c r="AJ1230" s="1">
        <v>0</v>
      </c>
      <c r="AK1230" s="1">
        <v>0</v>
      </c>
      <c r="AL1230" s="1">
        <v>129</v>
      </c>
      <c r="AM1230" s="2">
        <v>42401</v>
      </c>
      <c r="AN1230" t="str">
        <f t="shared" si="39"/>
        <v>38593,153,0.00396444951156946,1,0,42,51,12,49,17,24,24,3,4,1,3,8,0,0,0,0,0,0,0,42,36-50,2448,0,0,1,0,0,1,0,0,0,129,42401</v>
      </c>
    </row>
    <row r="1231" spans="1:40" ht="13" x14ac:dyDescent="0.15">
      <c r="A1231">
        <v>1597</v>
      </c>
      <c r="B1231" s="1">
        <v>44051</v>
      </c>
      <c r="C1231" s="1">
        <v>153</v>
      </c>
      <c r="D1231" s="4">
        <f t="shared" si="38"/>
        <v>3.4732469183446461E-3</v>
      </c>
      <c r="E1231" s="1">
        <v>1</v>
      </c>
      <c r="F1231" s="1">
        <v>1</v>
      </c>
      <c r="G1231" s="1">
        <v>20</v>
      </c>
      <c r="H1231" s="1">
        <v>79</v>
      </c>
      <c r="I1231" s="1">
        <v>7</v>
      </c>
      <c r="J1231" s="1">
        <v>58</v>
      </c>
      <c r="K1231" s="1">
        <v>6</v>
      </c>
      <c r="L1231" s="1">
        <v>3</v>
      </c>
      <c r="M1231" s="1">
        <v>18</v>
      </c>
      <c r="N1231" s="1">
        <v>4</v>
      </c>
      <c r="O1231" s="1">
        <v>3</v>
      </c>
      <c r="P1231" s="1">
        <v>1</v>
      </c>
      <c r="Q1231" s="1">
        <v>4</v>
      </c>
      <c r="R1231" s="1">
        <v>6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1</v>
      </c>
      <c r="Z1231" s="1">
        <v>47</v>
      </c>
      <c r="AA1231" s="1" t="str" cm="1">
        <f t="array" ref="AA1231">_xlfn.IFS(AND(Z1231&lt;36, Z1231&gt;23), "24-35", AND(Z1231&lt;51, Z1231&gt;35),"36-50", AND(Z1231&lt;66, Z1231&gt;50), "51-66", Z1231&gt;65, "66+", TRUE, "?")</f>
        <v>36-50</v>
      </c>
      <c r="AB1231" s="1">
        <v>2675</v>
      </c>
      <c r="AC1231" s="1">
        <v>1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1</v>
      </c>
      <c r="AK1231" s="1">
        <v>0</v>
      </c>
      <c r="AL1231" s="1">
        <v>135</v>
      </c>
      <c r="AM1231" s="2">
        <v>42174</v>
      </c>
      <c r="AN1231" t="str">
        <f t="shared" si="39"/>
        <v>44051,153,0.00347324691834465,1,1,20,79,7,58,6,3,18,4,3,1,4,6,0,0,0,0,0,0,1,47,36-50,2675,1,0,0,0,0,0,0,1,0,135,42174</v>
      </c>
    </row>
    <row r="1232" spans="1:40" ht="13" hidden="1" x14ac:dyDescent="0.15">
      <c r="A1232">
        <v>1813</v>
      </c>
      <c r="B1232" s="1">
        <v>39791</v>
      </c>
      <c r="C1232" s="1">
        <v>153</v>
      </c>
      <c r="D1232" s="4">
        <f t="shared" si="38"/>
        <v>3.8450905983765174E-3</v>
      </c>
      <c r="E1232" s="1">
        <v>0</v>
      </c>
      <c r="F1232" s="1">
        <v>1</v>
      </c>
      <c r="G1232" s="1">
        <v>89</v>
      </c>
      <c r="H1232" s="1">
        <v>85</v>
      </c>
      <c r="I1232" s="1">
        <v>15</v>
      </c>
      <c r="J1232" s="1">
        <v>27</v>
      </c>
      <c r="K1232" s="1">
        <v>13</v>
      </c>
      <c r="L1232" s="1">
        <v>13</v>
      </c>
      <c r="M1232" s="1">
        <v>21</v>
      </c>
      <c r="N1232" s="1">
        <v>2</v>
      </c>
      <c r="O1232" s="1">
        <v>3</v>
      </c>
      <c r="P1232" s="1">
        <v>1</v>
      </c>
      <c r="Q1232" s="1">
        <v>4</v>
      </c>
      <c r="R1232" s="1">
        <v>7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49</v>
      </c>
      <c r="AA1232" s="1" t="str" cm="1">
        <f t="array" ref="AA1232">_xlfn.IFS(AND(Z1232&lt;36, Z1232&gt;23), "24-35", AND(Z1232&lt;51, Z1232&gt;35),"36-50", AND(Z1232&lt;66, Z1232&gt;50), "51-66", Z1232&gt;65, "66+", TRUE, "?")</f>
        <v>36-50</v>
      </c>
      <c r="AB1232" s="1">
        <v>2617</v>
      </c>
      <c r="AC1232" s="1">
        <v>0</v>
      </c>
      <c r="AD1232" s="1">
        <v>1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1</v>
      </c>
      <c r="AK1232" s="1">
        <v>0</v>
      </c>
      <c r="AL1232" s="1">
        <v>132</v>
      </c>
      <c r="AM1232" s="2">
        <v>42232</v>
      </c>
      <c r="AN1232" t="str">
        <f t="shared" si="39"/>
        <v>39791,153,0.00384509059837652,0,1,89,85,15,27,13,13,21,2,3,1,4,7,0,0,0,0,0,0,0,49,36-50,2617,0,1,0,0,0,0,0,1,0,132,42232</v>
      </c>
    </row>
    <row r="1233" spans="1:40" ht="13" hidden="1" x14ac:dyDescent="0.15">
      <c r="A1233">
        <v>1832</v>
      </c>
      <c r="B1233" s="1">
        <v>39146</v>
      </c>
      <c r="C1233" s="1">
        <v>153</v>
      </c>
      <c r="D1233" s="4">
        <f t="shared" si="38"/>
        <v>3.9084453073110915E-3</v>
      </c>
      <c r="E1233" s="1">
        <v>1</v>
      </c>
      <c r="F1233" s="1">
        <v>0</v>
      </c>
      <c r="G1233" s="1">
        <v>1</v>
      </c>
      <c r="H1233" s="1">
        <v>94</v>
      </c>
      <c r="I1233" s="1">
        <v>1</v>
      </c>
      <c r="J1233" s="1">
        <v>33</v>
      </c>
      <c r="K1233" s="1">
        <v>13</v>
      </c>
      <c r="L1233" s="1">
        <v>12</v>
      </c>
      <c r="M1233" s="1">
        <v>12</v>
      </c>
      <c r="N1233" s="1">
        <v>3</v>
      </c>
      <c r="O1233" s="1">
        <v>4</v>
      </c>
      <c r="P1233" s="1">
        <v>0</v>
      </c>
      <c r="Q1233" s="1">
        <v>4</v>
      </c>
      <c r="R1233" s="1">
        <v>8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34</v>
      </c>
      <c r="AA1233" s="1" t="str" cm="1">
        <f t="array" ref="AA1233">_xlfn.IFS(AND(Z1233&lt;36, Z1233&gt;23), "24-35", AND(Z1233&lt;51, Z1233&gt;35),"36-50", AND(Z1233&lt;66, Z1233&gt;50), "51-66", Z1233&gt;65, "66+", TRUE, "?")</f>
        <v>24-35</v>
      </c>
      <c r="AB1233" s="1">
        <v>2659</v>
      </c>
      <c r="AC1233" s="1">
        <v>0</v>
      </c>
      <c r="AD1233" s="1">
        <v>0</v>
      </c>
      <c r="AE1233" s="1">
        <v>1</v>
      </c>
      <c r="AF1233" s="1">
        <v>0</v>
      </c>
      <c r="AG1233" s="1">
        <v>0</v>
      </c>
      <c r="AH1233" s="1">
        <v>0</v>
      </c>
      <c r="AI1233" s="1">
        <v>1</v>
      </c>
      <c r="AJ1233" s="1">
        <v>0</v>
      </c>
      <c r="AK1233" s="1">
        <v>0</v>
      </c>
      <c r="AL1233" s="1">
        <v>141</v>
      </c>
      <c r="AM1233" s="2">
        <v>42190</v>
      </c>
      <c r="AN1233" t="str">
        <f t="shared" si="39"/>
        <v>39146,153,0.00390844530731109,1,0,1,94,1,33,13,12,12,3,4,0,4,8,0,0,0,0,0,0,0,34,24-35,2659,0,0,1,0,0,0,1,0,0,141,42190</v>
      </c>
    </row>
    <row r="1234" spans="1:40" ht="13" hidden="1" x14ac:dyDescent="0.15">
      <c r="A1234">
        <v>413</v>
      </c>
      <c r="B1234" s="1">
        <v>56223</v>
      </c>
      <c r="C1234" s="1">
        <v>152</v>
      </c>
      <c r="D1234" s="4">
        <f t="shared" si="38"/>
        <v>2.7035199117798766E-3</v>
      </c>
      <c r="E1234" s="1">
        <v>0</v>
      </c>
      <c r="F1234" s="1">
        <v>1</v>
      </c>
      <c r="G1234" s="1">
        <v>72</v>
      </c>
      <c r="H1234" s="1">
        <v>77</v>
      </c>
      <c r="I1234" s="1">
        <v>28</v>
      </c>
      <c r="J1234" s="1">
        <v>31</v>
      </c>
      <c r="K1234" s="1">
        <v>16</v>
      </c>
      <c r="L1234" s="1">
        <v>0</v>
      </c>
      <c r="M1234" s="1">
        <v>4</v>
      </c>
      <c r="N1234" s="1">
        <v>2</v>
      </c>
      <c r="O1234" s="1">
        <v>2</v>
      </c>
      <c r="P1234" s="1">
        <v>1</v>
      </c>
      <c r="Q1234" s="1">
        <v>5</v>
      </c>
      <c r="R1234" s="1">
        <v>4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72</v>
      </c>
      <c r="AA1234" s="1" t="str" cm="1">
        <f t="array" ref="AA1234">_xlfn.IFS(AND(Z1234&lt;36, Z1234&gt;23), "24-35", AND(Z1234&lt;51, Z1234&gt;35),"36-50", AND(Z1234&lt;66, Z1234&gt;50), "51-66", Z1234&gt;65, "66+", TRUE, "?")</f>
        <v>66+</v>
      </c>
      <c r="AB1234" s="1">
        <v>2350</v>
      </c>
      <c r="AC1234" s="1">
        <v>0</v>
      </c>
      <c r="AD1234" s="1">
        <v>1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1</v>
      </c>
      <c r="AL1234" s="1">
        <v>148</v>
      </c>
      <c r="AM1234" s="2">
        <v>42499</v>
      </c>
      <c r="AN1234" t="str">
        <f t="shared" si="39"/>
        <v>56223,152,0.00270351991177988,0,1,72,77,28,31,16,0,4,2,2,1,5,4,0,0,0,0,0,0,0,72,66+,2350,0,1,0,0,0,0,0,0,1,148,42499</v>
      </c>
    </row>
    <row r="1235" spans="1:40" ht="13" hidden="1" x14ac:dyDescent="0.15">
      <c r="A1235">
        <v>544</v>
      </c>
      <c r="B1235" s="1">
        <v>51287</v>
      </c>
      <c r="C1235" s="1">
        <v>152</v>
      </c>
      <c r="D1235" s="4">
        <f t="shared" si="38"/>
        <v>2.9637140015988457E-3</v>
      </c>
      <c r="E1235" s="1">
        <v>1</v>
      </c>
      <c r="F1235" s="1">
        <v>1</v>
      </c>
      <c r="G1235" s="1">
        <v>10</v>
      </c>
      <c r="H1235" s="1">
        <v>117</v>
      </c>
      <c r="I1235" s="1">
        <v>0</v>
      </c>
      <c r="J1235" s="1">
        <v>22</v>
      </c>
      <c r="K1235" s="1">
        <v>13</v>
      </c>
      <c r="L1235" s="1">
        <v>0</v>
      </c>
      <c r="M1235" s="1">
        <v>30</v>
      </c>
      <c r="N1235" s="1">
        <v>3</v>
      </c>
      <c r="O1235" s="1">
        <v>4</v>
      </c>
      <c r="P1235" s="1">
        <v>1</v>
      </c>
      <c r="Q1235" s="1">
        <v>3</v>
      </c>
      <c r="R1235" s="1">
        <v>7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52</v>
      </c>
      <c r="AA1235" s="1" t="str" cm="1">
        <f t="array" ref="AA1235">_xlfn.IFS(AND(Z1235&lt;36, Z1235&gt;23), "24-35", AND(Z1235&lt;51, Z1235&gt;35),"36-50", AND(Z1235&lt;66, Z1235&gt;50), "51-66", Z1235&gt;65, "66+", TRUE, "?")</f>
        <v>51-66</v>
      </c>
      <c r="AB1235" s="1">
        <v>2248</v>
      </c>
      <c r="AC1235" s="1">
        <v>0</v>
      </c>
      <c r="AD1235" s="1">
        <v>1</v>
      </c>
      <c r="AE1235" s="1">
        <v>0</v>
      </c>
      <c r="AF1235" s="1">
        <v>0</v>
      </c>
      <c r="AG1235" s="1">
        <v>0</v>
      </c>
      <c r="AH1235" s="1">
        <v>0</v>
      </c>
      <c r="AI1235" s="1">
        <v>1</v>
      </c>
      <c r="AJ1235" s="1">
        <v>0</v>
      </c>
      <c r="AK1235" s="1">
        <v>0</v>
      </c>
      <c r="AL1235" s="1">
        <v>122</v>
      </c>
      <c r="AM1235" s="2">
        <v>42601</v>
      </c>
      <c r="AN1235" t="str">
        <f t="shared" si="39"/>
        <v>51287,152,0.00296371400159885,1,1,10,117,0,22,13,0,30,3,4,1,3,7,0,0,0,0,0,0,0,52,51-66,2248,0,1,0,0,0,0,1,0,0,122,42601</v>
      </c>
    </row>
    <row r="1236" spans="1:40" ht="13" hidden="1" x14ac:dyDescent="0.15">
      <c r="A1236">
        <v>1126</v>
      </c>
      <c r="B1236" s="1">
        <v>54809</v>
      </c>
      <c r="C1236" s="1">
        <v>152</v>
      </c>
      <c r="D1236" s="4">
        <f t="shared" si="38"/>
        <v>2.7732671641518729E-3</v>
      </c>
      <c r="E1236" s="1">
        <v>1</v>
      </c>
      <c r="F1236" s="1">
        <v>1</v>
      </c>
      <c r="G1236" s="1">
        <v>0</v>
      </c>
      <c r="H1236" s="1">
        <v>63</v>
      </c>
      <c r="I1236" s="1">
        <v>6</v>
      </c>
      <c r="J1236" s="1">
        <v>57</v>
      </c>
      <c r="K1236" s="1">
        <v>13</v>
      </c>
      <c r="L1236" s="1">
        <v>13</v>
      </c>
      <c r="M1236" s="1">
        <v>22</v>
      </c>
      <c r="N1236" s="1">
        <v>4</v>
      </c>
      <c r="O1236" s="1">
        <v>2</v>
      </c>
      <c r="P1236" s="1">
        <v>1</v>
      </c>
      <c r="Q1236" s="1">
        <v>5</v>
      </c>
      <c r="R1236" s="1">
        <v>4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43</v>
      </c>
      <c r="AA1236" s="1" t="str" cm="1">
        <f t="array" ref="AA1236">_xlfn.IFS(AND(Z1236&lt;36, Z1236&gt;23), "24-35", AND(Z1236&lt;51, Z1236&gt;35),"36-50", AND(Z1236&lt;66, Z1236&gt;50), "51-66", Z1236&gt;65, "66+", TRUE, "?")</f>
        <v>36-50</v>
      </c>
      <c r="AB1236" s="1">
        <v>2450</v>
      </c>
      <c r="AC1236" s="1">
        <v>0</v>
      </c>
      <c r="AD1236" s="1">
        <v>1</v>
      </c>
      <c r="AE1236" s="1">
        <v>0</v>
      </c>
      <c r="AF1236" s="1">
        <v>0</v>
      </c>
      <c r="AG1236" s="1">
        <v>0</v>
      </c>
      <c r="AH1236" s="1">
        <v>0</v>
      </c>
      <c r="AI1236" s="1">
        <v>1</v>
      </c>
      <c r="AJ1236" s="1">
        <v>0</v>
      </c>
      <c r="AK1236" s="1">
        <v>0</v>
      </c>
      <c r="AL1236" s="1">
        <v>130</v>
      </c>
      <c r="AM1236" s="2">
        <v>42399</v>
      </c>
      <c r="AN1236" t="str">
        <f t="shared" si="39"/>
        <v>54809,152,0.00277326716415187,1,1,0,63,6,57,13,13,22,4,2,1,5,4,0,0,0,0,0,0,0,43,36-50,2450,0,1,0,0,0,0,1,0,0,130,42399</v>
      </c>
    </row>
    <row r="1237" spans="1:40" ht="13" hidden="1" x14ac:dyDescent="0.15">
      <c r="A1237">
        <v>1243</v>
      </c>
      <c r="B1237" s="1">
        <v>45503</v>
      </c>
      <c r="C1237" s="1">
        <v>152</v>
      </c>
      <c r="D1237" s="4">
        <f t="shared" si="38"/>
        <v>3.3404390919280049E-3</v>
      </c>
      <c r="E1237" s="1">
        <v>1</v>
      </c>
      <c r="F1237" s="1">
        <v>0</v>
      </c>
      <c r="G1237" s="1">
        <v>54</v>
      </c>
      <c r="H1237" s="1">
        <v>97</v>
      </c>
      <c r="I1237" s="1">
        <v>4</v>
      </c>
      <c r="J1237" s="1">
        <v>44</v>
      </c>
      <c r="K1237" s="1">
        <v>6</v>
      </c>
      <c r="L1237" s="1">
        <v>1</v>
      </c>
      <c r="M1237" s="1">
        <v>18</v>
      </c>
      <c r="N1237" s="1">
        <v>1</v>
      </c>
      <c r="O1237" s="1">
        <v>3</v>
      </c>
      <c r="P1237" s="1">
        <v>1</v>
      </c>
      <c r="Q1237" s="1">
        <v>4</v>
      </c>
      <c r="R1237" s="1">
        <v>5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45</v>
      </c>
      <c r="AA1237" s="1" t="str" cm="1">
        <f t="array" ref="AA1237">_xlfn.IFS(AND(Z1237&lt;36, Z1237&gt;23), "24-35", AND(Z1237&lt;51, Z1237&gt;35),"36-50", AND(Z1237&lt;66, Z1237&gt;50), "51-66", Z1237&gt;65, "66+", TRUE, "?")</f>
        <v>36-50</v>
      </c>
      <c r="AB1237" s="1">
        <v>2436</v>
      </c>
      <c r="AC1237" s="1">
        <v>0</v>
      </c>
      <c r="AD1237" s="1">
        <v>1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1</v>
      </c>
      <c r="AL1237" s="1">
        <v>134</v>
      </c>
      <c r="AM1237" s="2">
        <v>42413</v>
      </c>
      <c r="AN1237" t="str">
        <f t="shared" si="39"/>
        <v>45503,152,0.003340439091928,1,0,54,97,4,44,6,1,18,1,3,1,4,5,0,0,0,0,0,0,0,45,36-50,2436,0,1,0,0,0,0,0,0,1,134,42413</v>
      </c>
    </row>
    <row r="1238" spans="1:40" ht="13" hidden="1" x14ac:dyDescent="0.15">
      <c r="A1238">
        <v>1594</v>
      </c>
      <c r="B1238" s="1">
        <v>55761</v>
      </c>
      <c r="C1238" s="1">
        <v>152</v>
      </c>
      <c r="D1238" s="4">
        <f t="shared" si="38"/>
        <v>2.7259195495059271E-3</v>
      </c>
      <c r="E1238" s="1">
        <v>0</v>
      </c>
      <c r="F1238" s="1">
        <v>1</v>
      </c>
      <c r="G1238" s="1">
        <v>97</v>
      </c>
      <c r="H1238" s="1">
        <v>136</v>
      </c>
      <c r="I1238" s="1">
        <v>1</v>
      </c>
      <c r="J1238" s="1">
        <v>12</v>
      </c>
      <c r="K1238" s="1">
        <v>0</v>
      </c>
      <c r="L1238" s="1">
        <v>3</v>
      </c>
      <c r="M1238" s="1">
        <v>32</v>
      </c>
      <c r="N1238" s="1">
        <v>2</v>
      </c>
      <c r="O1238" s="1">
        <v>4</v>
      </c>
      <c r="P1238" s="1">
        <v>1</v>
      </c>
      <c r="Q1238" s="1">
        <v>3</v>
      </c>
      <c r="R1238" s="1">
        <v>6</v>
      </c>
      <c r="S1238" s="1">
        <v>0</v>
      </c>
      <c r="T1238" s="1">
        <v>0</v>
      </c>
      <c r="U1238" s="1">
        <v>0</v>
      </c>
      <c r="V1238" s="1">
        <v>1</v>
      </c>
      <c r="W1238" s="1">
        <v>0</v>
      </c>
      <c r="X1238" s="1">
        <v>0</v>
      </c>
      <c r="Y1238" s="1">
        <v>0</v>
      </c>
      <c r="Z1238" s="1">
        <v>56</v>
      </c>
      <c r="AA1238" s="1" t="str" cm="1">
        <f t="array" ref="AA1238">_xlfn.IFS(AND(Z1238&lt;36, Z1238&gt;23), "24-35", AND(Z1238&lt;51, Z1238&gt;35),"36-50", AND(Z1238&lt;66, Z1238&gt;50), "51-66", Z1238&gt;65, "66+", TRUE, "?")</f>
        <v>51-66</v>
      </c>
      <c r="AB1238" s="1">
        <v>2225</v>
      </c>
      <c r="AC1238" s="1">
        <v>0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>
        <v>1</v>
      </c>
      <c r="AJ1238" s="1">
        <v>0</v>
      </c>
      <c r="AK1238" s="1">
        <v>0</v>
      </c>
      <c r="AL1238" s="1">
        <v>120</v>
      </c>
      <c r="AM1238" s="2">
        <v>42624</v>
      </c>
      <c r="AN1238" t="str">
        <f t="shared" si="39"/>
        <v>55761,152,0.00272591954950593,0,1,97,136,1,12,0,3,32,2,4,1,3,6,0,0,0,1,0,0,0,56,51-66,2225,0,0,0,1,0,0,1,0,0,120,42624</v>
      </c>
    </row>
    <row r="1239" spans="1:40" ht="13" x14ac:dyDescent="0.15">
      <c r="A1239">
        <v>1603</v>
      </c>
      <c r="B1239" s="1">
        <v>54809</v>
      </c>
      <c r="C1239" s="1">
        <v>152</v>
      </c>
      <c r="D1239" s="4">
        <f t="shared" si="38"/>
        <v>2.7732671641518729E-3</v>
      </c>
      <c r="E1239" s="1">
        <v>1</v>
      </c>
      <c r="F1239" s="1">
        <v>1</v>
      </c>
      <c r="G1239" s="1">
        <v>0</v>
      </c>
      <c r="H1239" s="1">
        <v>63</v>
      </c>
      <c r="I1239" s="1">
        <v>6</v>
      </c>
      <c r="J1239" s="1">
        <v>57</v>
      </c>
      <c r="K1239" s="1">
        <v>13</v>
      </c>
      <c r="L1239" s="1">
        <v>13</v>
      </c>
      <c r="M1239" s="1">
        <v>22</v>
      </c>
      <c r="N1239" s="1">
        <v>4</v>
      </c>
      <c r="O1239" s="1">
        <v>2</v>
      </c>
      <c r="P1239" s="1">
        <v>1</v>
      </c>
      <c r="Q1239" s="1">
        <v>5</v>
      </c>
      <c r="R1239" s="1">
        <v>4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1</v>
      </c>
      <c r="Z1239" s="1">
        <v>43</v>
      </c>
      <c r="AA1239" s="1" t="str" cm="1">
        <f t="array" ref="AA1239">_xlfn.IFS(AND(Z1239&lt;36, Z1239&gt;23), "24-35", AND(Z1239&lt;51, Z1239&gt;35),"36-50", AND(Z1239&lt;66, Z1239&gt;50), "51-66", Z1239&gt;65, "66+", TRUE, "?")</f>
        <v>36-50</v>
      </c>
      <c r="AB1239" s="1">
        <v>2450</v>
      </c>
      <c r="AC1239" s="1">
        <v>0</v>
      </c>
      <c r="AD1239" s="1">
        <v>1</v>
      </c>
      <c r="AE1239" s="1">
        <v>0</v>
      </c>
      <c r="AF1239" s="1">
        <v>0</v>
      </c>
      <c r="AG1239" s="1">
        <v>0</v>
      </c>
      <c r="AH1239" s="1">
        <v>0</v>
      </c>
      <c r="AI1239" s="1">
        <v>1</v>
      </c>
      <c r="AJ1239" s="1">
        <v>0</v>
      </c>
      <c r="AK1239" s="1">
        <v>0</v>
      </c>
      <c r="AL1239" s="1">
        <v>130</v>
      </c>
      <c r="AM1239" s="2">
        <v>42399</v>
      </c>
      <c r="AN1239" t="str">
        <f t="shared" si="39"/>
        <v>54809,152,0.00277326716415187,1,1,0,63,6,57,13,13,22,4,2,1,5,4,0,0,0,0,0,0,1,43,36-50,2450,0,1,0,0,0,0,1,0,0,130,42399</v>
      </c>
    </row>
    <row r="1240" spans="1:40" ht="13" hidden="1" x14ac:dyDescent="0.15">
      <c r="A1240">
        <v>1618</v>
      </c>
      <c r="B1240" s="1">
        <v>47808</v>
      </c>
      <c r="C1240" s="1">
        <v>152</v>
      </c>
      <c r="D1240" s="4">
        <f t="shared" si="38"/>
        <v>3.1793842034805891E-3</v>
      </c>
      <c r="E1240" s="1">
        <v>0</v>
      </c>
      <c r="F1240" s="1">
        <v>1</v>
      </c>
      <c r="G1240" s="1">
        <v>30</v>
      </c>
      <c r="H1240" s="1">
        <v>123</v>
      </c>
      <c r="I1240" s="1">
        <v>1</v>
      </c>
      <c r="J1240" s="1">
        <v>26</v>
      </c>
      <c r="K1240" s="1">
        <v>2</v>
      </c>
      <c r="L1240" s="1">
        <v>0</v>
      </c>
      <c r="M1240" s="1">
        <v>72</v>
      </c>
      <c r="N1240" s="1">
        <v>2</v>
      </c>
      <c r="O1240" s="1">
        <v>3</v>
      </c>
      <c r="P1240" s="1">
        <v>2</v>
      </c>
      <c r="Q1240" s="1">
        <v>3</v>
      </c>
      <c r="R1240" s="1">
        <v>7</v>
      </c>
      <c r="S1240" s="1">
        <v>0</v>
      </c>
      <c r="T1240" s="1">
        <v>0</v>
      </c>
      <c r="U1240" s="1">
        <v>1</v>
      </c>
      <c r="V1240" s="1">
        <v>0</v>
      </c>
      <c r="W1240" s="1">
        <v>0</v>
      </c>
      <c r="X1240" s="1">
        <v>0</v>
      </c>
      <c r="Y1240" s="1">
        <v>0</v>
      </c>
      <c r="Z1240" s="1">
        <v>45</v>
      </c>
      <c r="AA1240" s="1" t="str" cm="1">
        <f t="array" ref="AA1240">_xlfn.IFS(AND(Z1240&lt;36, Z1240&gt;23), "24-35", AND(Z1240&lt;51, Z1240&gt;35),"36-50", AND(Z1240&lt;66, Z1240&gt;50), "51-66", Z1240&gt;65, "66+", TRUE, "?")</f>
        <v>36-50</v>
      </c>
      <c r="AB1240" s="1">
        <v>2411</v>
      </c>
      <c r="AC1240" s="1">
        <v>0</v>
      </c>
      <c r="AD1240" s="1">
        <v>1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1</v>
      </c>
      <c r="AK1240" s="1">
        <v>0</v>
      </c>
      <c r="AL1240" s="1">
        <v>80</v>
      </c>
      <c r="AM1240" s="2">
        <v>42438</v>
      </c>
      <c r="AN1240" t="str">
        <f t="shared" si="39"/>
        <v>47808,152,0.00317938420348059,0,1,30,123,1,26,2,0,72,2,3,2,3,7,0,0,1,0,0,0,0,45,36-50,2411,0,1,0,0,0,0,0,1,0,80,42438</v>
      </c>
    </row>
    <row r="1241" spans="1:40" ht="13" hidden="1" x14ac:dyDescent="0.15">
      <c r="A1241">
        <v>1677</v>
      </c>
      <c r="B1241" s="1">
        <v>32313</v>
      </c>
      <c r="C1241" s="1">
        <v>152</v>
      </c>
      <c r="D1241" s="4">
        <f t="shared" si="38"/>
        <v>4.7039891065515423E-3</v>
      </c>
      <c r="E1241" s="1">
        <v>1</v>
      </c>
      <c r="F1241" s="1">
        <v>0</v>
      </c>
      <c r="G1241" s="1">
        <v>60</v>
      </c>
      <c r="H1241" s="1">
        <v>86</v>
      </c>
      <c r="I1241" s="1">
        <v>4</v>
      </c>
      <c r="J1241" s="1">
        <v>56</v>
      </c>
      <c r="K1241" s="1">
        <v>2</v>
      </c>
      <c r="L1241" s="1">
        <v>4</v>
      </c>
      <c r="M1241" s="1">
        <v>7</v>
      </c>
      <c r="N1241" s="1">
        <v>3</v>
      </c>
      <c r="O1241" s="1">
        <v>4</v>
      </c>
      <c r="P1241" s="1">
        <v>0</v>
      </c>
      <c r="Q1241" s="1">
        <v>4</v>
      </c>
      <c r="R1241" s="1">
        <v>9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38</v>
      </c>
      <c r="AA1241" s="1" t="str" cm="1">
        <f t="array" ref="AA1241">_xlfn.IFS(AND(Z1241&lt;36, Z1241&gt;23), "24-35", AND(Z1241&lt;51, Z1241&gt;35),"36-50", AND(Z1241&lt;66, Z1241&gt;50), "51-66", Z1241&gt;65, "66+", TRUE, "?")</f>
        <v>36-50</v>
      </c>
      <c r="AB1241" s="1">
        <v>2662</v>
      </c>
      <c r="AC1241" s="1">
        <v>0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0</v>
      </c>
      <c r="AJ1241" s="1">
        <v>0</v>
      </c>
      <c r="AK1241" s="1">
        <v>1</v>
      </c>
      <c r="AL1241" s="1">
        <v>145</v>
      </c>
      <c r="AM1241" s="2">
        <v>42187</v>
      </c>
      <c r="AN1241" t="str">
        <f t="shared" si="39"/>
        <v>32313,152,0.00470398910655154,1,0,60,86,4,56,2,4,7,3,4,0,4,9,0,0,0,0,0,0,0,38,36-50,2662,0,0,0,1,0,0,0,0,1,145,42187</v>
      </c>
    </row>
    <row r="1242" spans="1:40" ht="13" hidden="1" x14ac:dyDescent="0.15">
      <c r="A1242">
        <v>1116</v>
      </c>
      <c r="B1242" s="1">
        <v>31497</v>
      </c>
      <c r="C1242" s="1">
        <v>151</v>
      </c>
      <c r="D1242" s="4">
        <f t="shared" si="38"/>
        <v>4.7941073753055849E-3</v>
      </c>
      <c r="E1242" s="1">
        <v>0</v>
      </c>
      <c r="F1242" s="1">
        <v>1</v>
      </c>
      <c r="G1242" s="1">
        <v>22</v>
      </c>
      <c r="H1242" s="1">
        <v>108</v>
      </c>
      <c r="I1242" s="1">
        <v>1</v>
      </c>
      <c r="J1242" s="1">
        <v>28</v>
      </c>
      <c r="K1242" s="1">
        <v>13</v>
      </c>
      <c r="L1242" s="1">
        <v>1</v>
      </c>
      <c r="M1242" s="1">
        <v>4</v>
      </c>
      <c r="N1242" s="1">
        <v>2</v>
      </c>
      <c r="O1242" s="1">
        <v>3</v>
      </c>
      <c r="P1242" s="1">
        <v>1</v>
      </c>
      <c r="Q1242" s="1">
        <v>4</v>
      </c>
      <c r="R1242" s="1">
        <v>8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58</v>
      </c>
      <c r="AA1242" s="1" t="str" cm="1">
        <f t="array" ref="AA1242">_xlfn.IFS(AND(Z1242&lt;36, Z1242&gt;23), "24-35", AND(Z1242&lt;51, Z1242&gt;35),"36-50", AND(Z1242&lt;66, Z1242&gt;50), "51-66", Z1242&gt;65, "66+", TRUE, "?")</f>
        <v>51-66</v>
      </c>
      <c r="AB1242" s="1">
        <v>2729</v>
      </c>
      <c r="AC1242" s="1">
        <v>0</v>
      </c>
      <c r="AD1242" s="1">
        <v>0</v>
      </c>
      <c r="AE1242" s="1">
        <v>0</v>
      </c>
      <c r="AF1242" s="1">
        <v>1</v>
      </c>
      <c r="AG1242" s="1">
        <v>0</v>
      </c>
      <c r="AH1242" s="1">
        <v>0</v>
      </c>
      <c r="AI1242" s="1">
        <v>0</v>
      </c>
      <c r="AJ1242" s="1">
        <v>0</v>
      </c>
      <c r="AK1242" s="1">
        <v>1</v>
      </c>
      <c r="AL1242" s="1">
        <v>147</v>
      </c>
      <c r="AM1242" s="2">
        <v>42120</v>
      </c>
      <c r="AN1242" t="str">
        <f t="shared" si="39"/>
        <v>31497,151,0.00479410737530558,0,1,22,108,1,28,13,1,4,2,3,1,4,8,0,0,0,0,0,0,0,58,51-66,2729,0,0,0,1,0,0,0,0,1,147,42120</v>
      </c>
    </row>
    <row r="1243" spans="1:40" ht="13" hidden="1" x14ac:dyDescent="0.15">
      <c r="A1243">
        <v>1364</v>
      </c>
      <c r="B1243" s="1">
        <v>34380</v>
      </c>
      <c r="C1243" s="1">
        <v>151</v>
      </c>
      <c r="D1243" s="4">
        <f t="shared" si="38"/>
        <v>4.3920884235020361E-3</v>
      </c>
      <c r="E1243" s="1">
        <v>1</v>
      </c>
      <c r="F1243" s="1">
        <v>0</v>
      </c>
      <c r="G1243" s="1">
        <v>68</v>
      </c>
      <c r="H1243" s="1">
        <v>72</v>
      </c>
      <c r="I1243" s="1">
        <v>7</v>
      </c>
      <c r="J1243" s="1">
        <v>58</v>
      </c>
      <c r="K1243" s="1">
        <v>13</v>
      </c>
      <c r="L1243" s="1">
        <v>1</v>
      </c>
      <c r="M1243" s="1">
        <v>24</v>
      </c>
      <c r="N1243" s="1">
        <v>4</v>
      </c>
      <c r="O1243" s="1">
        <v>4</v>
      </c>
      <c r="P1243" s="1">
        <v>1</v>
      </c>
      <c r="Q1243" s="1">
        <v>3</v>
      </c>
      <c r="R1243" s="1">
        <v>8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43</v>
      </c>
      <c r="AA1243" s="1" t="str" cm="1">
        <f t="array" ref="AA1243">_xlfn.IFS(AND(Z1243&lt;36, Z1243&gt;23), "24-35", AND(Z1243&lt;51, Z1243&gt;35),"36-50", AND(Z1243&lt;66, Z1243&gt;50), "51-66", Z1243&gt;65, "66+", TRUE, "?")</f>
        <v>36-50</v>
      </c>
      <c r="AB1243" s="1">
        <v>2582</v>
      </c>
      <c r="AC1243" s="1">
        <v>0</v>
      </c>
      <c r="AD1243" s="1">
        <v>1</v>
      </c>
      <c r="AE1243" s="1">
        <v>0</v>
      </c>
      <c r="AF1243" s="1">
        <v>0</v>
      </c>
      <c r="AG1243" s="1">
        <v>0</v>
      </c>
      <c r="AH1243" s="1">
        <v>0</v>
      </c>
      <c r="AI1243" s="1">
        <v>1</v>
      </c>
      <c r="AJ1243" s="1">
        <v>0</v>
      </c>
      <c r="AK1243" s="1">
        <v>0</v>
      </c>
      <c r="AL1243" s="1">
        <v>127</v>
      </c>
      <c r="AM1243" s="2">
        <v>42267</v>
      </c>
      <c r="AN1243" t="str">
        <f t="shared" si="39"/>
        <v>34380,151,0.00439208842350204,1,0,68,72,7,58,13,1,24,4,4,1,3,8,0,0,0,0,0,0,0,43,36-50,2582,0,1,0,0,0,0,1,0,0,127,42267</v>
      </c>
    </row>
    <row r="1244" spans="1:40" ht="13" x14ac:dyDescent="0.15">
      <c r="A1244">
        <v>1608</v>
      </c>
      <c r="B1244" s="1">
        <v>52869</v>
      </c>
      <c r="C1244" s="1">
        <v>151</v>
      </c>
      <c r="D1244" s="4">
        <f t="shared" si="38"/>
        <v>2.8561160604513042E-3</v>
      </c>
      <c r="E1244" s="1">
        <v>1</v>
      </c>
      <c r="F1244" s="1">
        <v>1</v>
      </c>
      <c r="G1244" s="1">
        <v>40</v>
      </c>
      <c r="H1244" s="1">
        <v>84</v>
      </c>
      <c r="I1244" s="1">
        <v>3</v>
      </c>
      <c r="J1244" s="1">
        <v>61</v>
      </c>
      <c r="K1244" s="1">
        <v>2</v>
      </c>
      <c r="L1244" s="1">
        <v>1</v>
      </c>
      <c r="M1244" s="1">
        <v>21</v>
      </c>
      <c r="N1244" s="1">
        <v>3</v>
      </c>
      <c r="O1244" s="1">
        <v>3</v>
      </c>
      <c r="P1244" s="1">
        <v>1</v>
      </c>
      <c r="Q1244" s="1">
        <v>4</v>
      </c>
      <c r="R1244" s="1">
        <v>7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1</v>
      </c>
      <c r="Z1244" s="1">
        <v>66</v>
      </c>
      <c r="AA1244" s="1" t="str" cm="1">
        <f t="array" ref="AA1244">_xlfn.IFS(AND(Z1244&lt;36, Z1244&gt;23), "24-35", AND(Z1244&lt;51, Z1244&gt;35),"36-50", AND(Z1244&lt;66, Z1244&gt;50), "51-66", Z1244&gt;65, "66+", TRUE, "?")</f>
        <v>66+</v>
      </c>
      <c r="AB1244" s="1">
        <v>2781</v>
      </c>
      <c r="AC1244" s="1">
        <v>0</v>
      </c>
      <c r="AD1244" s="1">
        <v>1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1</v>
      </c>
      <c r="AL1244" s="1">
        <v>130</v>
      </c>
      <c r="AM1244" s="2">
        <v>42068</v>
      </c>
      <c r="AN1244" t="str">
        <f t="shared" si="39"/>
        <v>52869,151,0.0028561160604513,1,1,40,84,3,61,2,1,21,3,3,1,4,7,0,0,0,0,0,0,1,66,66+,2781,0,1,0,0,0,0,0,0,1,130,42068</v>
      </c>
    </row>
    <row r="1245" spans="1:40" ht="13" x14ac:dyDescent="0.15">
      <c r="A1245">
        <v>1605</v>
      </c>
      <c r="B1245" s="1">
        <v>39763</v>
      </c>
      <c r="C1245" s="1">
        <v>151</v>
      </c>
      <c r="D1245" s="4">
        <f t="shared" si="38"/>
        <v>3.7975001886175592E-3</v>
      </c>
      <c r="E1245" s="1">
        <v>1</v>
      </c>
      <c r="F1245" s="1">
        <v>0</v>
      </c>
      <c r="G1245" s="1">
        <v>9</v>
      </c>
      <c r="H1245" s="1">
        <v>80</v>
      </c>
      <c r="I1245" s="1">
        <v>1</v>
      </c>
      <c r="J1245" s="1">
        <v>60</v>
      </c>
      <c r="K1245" s="1">
        <v>4</v>
      </c>
      <c r="L1245" s="1">
        <v>6</v>
      </c>
      <c r="M1245" s="1">
        <v>16</v>
      </c>
      <c r="N1245" s="1">
        <v>2</v>
      </c>
      <c r="O1245" s="1">
        <v>5</v>
      </c>
      <c r="P1245" s="1">
        <v>1</v>
      </c>
      <c r="Q1245" s="1">
        <v>2</v>
      </c>
      <c r="R1245" s="1">
        <v>9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  <c r="Z1245" s="1">
        <v>49</v>
      </c>
      <c r="AA1245" s="1" t="str" cm="1">
        <f t="array" ref="AA1245">_xlfn.IFS(AND(Z1245&lt;36, Z1245&gt;23), "24-35", AND(Z1245&lt;51, Z1245&gt;35),"36-50", AND(Z1245&lt;66, Z1245&gt;50), "51-66", Z1245&gt;65, "66+", TRUE, "?")</f>
        <v>36-50</v>
      </c>
      <c r="AB1245" s="1">
        <v>2488</v>
      </c>
      <c r="AC1245" s="1">
        <v>0</v>
      </c>
      <c r="AD1245" s="1">
        <v>0</v>
      </c>
      <c r="AE1245" s="1">
        <v>1</v>
      </c>
      <c r="AF1245" s="1">
        <v>0</v>
      </c>
      <c r="AG1245" s="1">
        <v>0</v>
      </c>
      <c r="AH1245" s="1">
        <v>0</v>
      </c>
      <c r="AI1245" s="1">
        <v>0</v>
      </c>
      <c r="AJ1245" s="1">
        <v>1</v>
      </c>
      <c r="AK1245" s="1">
        <v>0</v>
      </c>
      <c r="AL1245" s="1">
        <v>135</v>
      </c>
      <c r="AM1245" s="2">
        <v>42361</v>
      </c>
      <c r="AN1245" t="str">
        <f t="shared" si="39"/>
        <v>39763,151,0.00379750018861756,1,0,9,80,1,60,4,6,16,2,5,1,2,9,0,0,0,0,0,0,1,49,36-50,2488,0,0,1,0,0,0,0,1,0,135,42361</v>
      </c>
    </row>
    <row r="1246" spans="1:40" ht="13" hidden="1" x14ac:dyDescent="0.15">
      <c r="A1246">
        <v>1775</v>
      </c>
      <c r="B1246" s="1">
        <v>51141</v>
      </c>
      <c r="C1246" s="1">
        <v>151</v>
      </c>
      <c r="D1246" s="4">
        <f t="shared" si="38"/>
        <v>2.9526211845681549E-3</v>
      </c>
      <c r="E1246" s="1">
        <v>0</v>
      </c>
      <c r="F1246" s="1">
        <v>0</v>
      </c>
      <c r="G1246" s="1">
        <v>96</v>
      </c>
      <c r="H1246" s="1">
        <v>144</v>
      </c>
      <c r="I1246" s="1">
        <v>0</v>
      </c>
      <c r="J1246" s="1">
        <v>7</v>
      </c>
      <c r="K1246" s="1">
        <v>0</v>
      </c>
      <c r="L1246" s="1">
        <v>0</v>
      </c>
      <c r="M1246" s="1">
        <v>6</v>
      </c>
      <c r="N1246" s="1">
        <v>1</v>
      </c>
      <c r="O1246" s="1">
        <v>3</v>
      </c>
      <c r="P1246" s="1">
        <v>1</v>
      </c>
      <c r="Q1246" s="1">
        <v>4</v>
      </c>
      <c r="R1246" s="1">
        <v>5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80</v>
      </c>
      <c r="AA1246" s="1" t="str" cm="1">
        <f t="array" ref="AA1246">_xlfn.IFS(AND(Z1246&lt;36, Z1246&gt;23), "24-35", AND(Z1246&lt;51, Z1246&gt;35),"36-50", AND(Z1246&lt;66, Z1246&gt;50), "51-66", Z1246&gt;65, "66+", TRUE, "?")</f>
        <v>66+</v>
      </c>
      <c r="AB1246" s="1">
        <v>2515</v>
      </c>
      <c r="AC1246" s="1">
        <v>0</v>
      </c>
      <c r="AD1246" s="1">
        <v>0</v>
      </c>
      <c r="AE1246" s="1">
        <v>1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1</v>
      </c>
      <c r="AL1246" s="1">
        <v>145</v>
      </c>
      <c r="AM1246" s="2">
        <v>42334</v>
      </c>
      <c r="AN1246" t="str">
        <f t="shared" si="39"/>
        <v>51141,151,0.00295262118456815,0,0,96,144,0,7,0,0,6,1,3,1,4,5,0,0,0,0,0,0,0,80,66+,2515,0,0,1,0,0,0,0,0,1,145,42334</v>
      </c>
    </row>
    <row r="1247" spans="1:40" ht="13" hidden="1" x14ac:dyDescent="0.15">
      <c r="A1247">
        <v>1865</v>
      </c>
      <c r="B1247" s="1">
        <v>53154</v>
      </c>
      <c r="C1247" s="1">
        <v>151</v>
      </c>
      <c r="D1247" s="4">
        <f t="shared" si="38"/>
        <v>2.8408021973887194E-3</v>
      </c>
      <c r="E1247" s="1">
        <v>0</v>
      </c>
      <c r="F1247" s="1">
        <v>1</v>
      </c>
      <c r="G1247" s="1">
        <v>50</v>
      </c>
      <c r="H1247" s="1">
        <v>129</v>
      </c>
      <c r="I1247" s="1">
        <v>0</v>
      </c>
      <c r="J1247" s="1">
        <v>21</v>
      </c>
      <c r="K1247" s="1">
        <v>0</v>
      </c>
      <c r="L1247" s="1">
        <v>1</v>
      </c>
      <c r="M1247" s="1">
        <v>7</v>
      </c>
      <c r="N1247" s="1">
        <v>1</v>
      </c>
      <c r="O1247" s="1">
        <v>3</v>
      </c>
      <c r="P1247" s="1">
        <v>1</v>
      </c>
      <c r="Q1247" s="1">
        <v>4</v>
      </c>
      <c r="R1247" s="1">
        <v>4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61</v>
      </c>
      <c r="AA1247" s="1" t="str" cm="1">
        <f t="array" ref="AA1247">_xlfn.IFS(AND(Z1247&lt;36, Z1247&gt;23), "24-35", AND(Z1247&lt;51, Z1247&gt;35),"36-50", AND(Z1247&lt;66, Z1247&gt;50), "51-66", Z1247&gt;65, "66+", TRUE, "?")</f>
        <v>51-66</v>
      </c>
      <c r="AB1247" s="1">
        <v>2179</v>
      </c>
      <c r="AC1247" s="1">
        <v>0</v>
      </c>
      <c r="AD1247" s="1">
        <v>1</v>
      </c>
      <c r="AE1247" s="1">
        <v>0</v>
      </c>
      <c r="AF1247" s="1">
        <v>0</v>
      </c>
      <c r="AG1247" s="1">
        <v>0</v>
      </c>
      <c r="AH1247" s="1">
        <v>0</v>
      </c>
      <c r="AI1247" s="1">
        <v>1</v>
      </c>
      <c r="AJ1247" s="1">
        <v>0</v>
      </c>
      <c r="AK1247" s="1">
        <v>0</v>
      </c>
      <c r="AL1247" s="1">
        <v>144</v>
      </c>
      <c r="AM1247" s="2">
        <v>42670</v>
      </c>
      <c r="AN1247" t="str">
        <f t="shared" si="39"/>
        <v>53154,151,0.00284080219738872,0,1,50,129,0,21,0,1,7,1,3,1,4,4,0,0,0,0,0,0,0,61,51-66,2179,0,1,0,0,0,0,1,0,0,144,42670</v>
      </c>
    </row>
    <row r="1248" spans="1:40" ht="13" hidden="1" x14ac:dyDescent="0.15">
      <c r="A1248">
        <v>207</v>
      </c>
      <c r="B1248" s="1">
        <v>42011</v>
      </c>
      <c r="C1248" s="1">
        <v>150</v>
      </c>
      <c r="D1248" s="4">
        <f t="shared" si="38"/>
        <v>3.570493442193711E-3</v>
      </c>
      <c r="E1248" s="1">
        <v>1</v>
      </c>
      <c r="F1248" s="1">
        <v>0</v>
      </c>
      <c r="G1248" s="1">
        <v>46</v>
      </c>
      <c r="H1248" s="1">
        <v>131</v>
      </c>
      <c r="I1248" s="1">
        <v>0</v>
      </c>
      <c r="J1248" s="1">
        <v>16</v>
      </c>
      <c r="K1248" s="1">
        <v>2</v>
      </c>
      <c r="L1248" s="1">
        <v>1</v>
      </c>
      <c r="M1248" s="1">
        <v>39</v>
      </c>
      <c r="N1248" s="1">
        <v>4</v>
      </c>
      <c r="O1248" s="1">
        <v>3</v>
      </c>
      <c r="P1248" s="1">
        <v>1</v>
      </c>
      <c r="Q1248" s="1">
        <v>4</v>
      </c>
      <c r="R1248" s="1">
        <v>8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42</v>
      </c>
      <c r="AA1248" s="1" t="str" cm="1">
        <f t="array" ref="AA1248">_xlfn.IFS(AND(Z1248&lt;36, Z1248&gt;23), "24-35", AND(Z1248&lt;51, Z1248&gt;35),"36-50", AND(Z1248&lt;66, Z1248&gt;50), "51-66", Z1248&gt;65, "66+", TRUE, "?")</f>
        <v>36-50</v>
      </c>
      <c r="AB1248" s="1">
        <v>2619</v>
      </c>
      <c r="AC1248" s="1">
        <v>0</v>
      </c>
      <c r="AD1248" s="1">
        <v>0</v>
      </c>
      <c r="AE1248" s="1">
        <v>0</v>
      </c>
      <c r="AF1248" s="1">
        <v>1</v>
      </c>
      <c r="AG1248" s="1">
        <v>0</v>
      </c>
      <c r="AH1248" s="1">
        <v>0</v>
      </c>
      <c r="AI1248" s="1">
        <v>1</v>
      </c>
      <c r="AJ1248" s="1">
        <v>0</v>
      </c>
      <c r="AK1248" s="1">
        <v>0</v>
      </c>
      <c r="AL1248" s="1">
        <v>111</v>
      </c>
      <c r="AM1248" s="2">
        <v>42230</v>
      </c>
      <c r="AN1248" t="str">
        <f t="shared" si="39"/>
        <v>42011,150,0.00357049344219371,1,0,46,131,0,16,2,1,39,4,3,1,4,8,0,0,0,0,0,0,0,42,36-50,2619,0,0,0,1,0,0,1,0,0,111,42230</v>
      </c>
    </row>
    <row r="1249" spans="1:40" ht="13" hidden="1" x14ac:dyDescent="0.15">
      <c r="A1249">
        <v>616</v>
      </c>
      <c r="B1249" s="1">
        <v>61278</v>
      </c>
      <c r="C1249" s="1">
        <v>150</v>
      </c>
      <c r="D1249" s="4">
        <f t="shared" si="38"/>
        <v>2.4478605698619407E-3</v>
      </c>
      <c r="E1249" s="1">
        <v>0</v>
      </c>
      <c r="F1249" s="1">
        <v>1</v>
      </c>
      <c r="G1249" s="1">
        <v>87</v>
      </c>
      <c r="H1249" s="1">
        <v>111</v>
      </c>
      <c r="I1249" s="1">
        <v>3</v>
      </c>
      <c r="J1249" s="1">
        <v>28</v>
      </c>
      <c r="K1249" s="1">
        <v>2</v>
      </c>
      <c r="L1249" s="1">
        <v>6</v>
      </c>
      <c r="M1249" s="1">
        <v>15</v>
      </c>
      <c r="N1249" s="1">
        <v>2</v>
      </c>
      <c r="O1249" s="1">
        <v>3</v>
      </c>
      <c r="P1249" s="1">
        <v>1</v>
      </c>
      <c r="Q1249" s="1">
        <v>4</v>
      </c>
      <c r="R1249" s="1">
        <v>6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67</v>
      </c>
      <c r="AA1249" s="1" t="str" cm="1">
        <f t="array" ref="AA1249">_xlfn.IFS(AND(Z1249&lt;36, Z1249&gt;23), "24-35", AND(Z1249&lt;51, Z1249&gt;35),"36-50", AND(Z1249&lt;66, Z1249&gt;50), "51-66", Z1249&gt;65, "66+", TRUE, "?")</f>
        <v>66+</v>
      </c>
      <c r="AB1249" s="1">
        <v>2335</v>
      </c>
      <c r="AC1249" s="1">
        <v>0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1</v>
      </c>
      <c r="AJ1249" s="1">
        <v>0</v>
      </c>
      <c r="AK1249" s="1">
        <v>0</v>
      </c>
      <c r="AL1249" s="1">
        <v>135</v>
      </c>
      <c r="AM1249" s="2">
        <v>42514</v>
      </c>
      <c r="AN1249" t="str">
        <f t="shared" si="39"/>
        <v>61278,150,0.00244786056986194,0,1,87,111,3,28,2,6,15,2,3,1,4,6,0,0,0,0,0,0,0,67,66+,2335,0,0,0,1,0,0,1,0,0,135,42514</v>
      </c>
    </row>
    <row r="1250" spans="1:40" ht="13" hidden="1" x14ac:dyDescent="0.15">
      <c r="A1250">
        <v>1121</v>
      </c>
      <c r="B1250" s="1">
        <v>62307</v>
      </c>
      <c r="C1250" s="1">
        <v>150</v>
      </c>
      <c r="D1250" s="4">
        <f t="shared" si="38"/>
        <v>2.4074341566758151E-3</v>
      </c>
      <c r="E1250" s="1">
        <v>0</v>
      </c>
      <c r="F1250" s="1">
        <v>1</v>
      </c>
      <c r="G1250" s="1">
        <v>94</v>
      </c>
      <c r="H1250" s="1">
        <v>87</v>
      </c>
      <c r="I1250" s="1">
        <v>13</v>
      </c>
      <c r="J1250" s="1">
        <v>34</v>
      </c>
      <c r="K1250" s="1">
        <v>10</v>
      </c>
      <c r="L1250" s="1">
        <v>6</v>
      </c>
      <c r="M1250" s="1">
        <v>10</v>
      </c>
      <c r="N1250" s="1">
        <v>1</v>
      </c>
      <c r="O1250" s="1">
        <v>4</v>
      </c>
      <c r="P1250" s="1">
        <v>0</v>
      </c>
      <c r="Q1250" s="1">
        <v>4</v>
      </c>
      <c r="R1250" s="1">
        <v>5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68</v>
      </c>
      <c r="AA1250" s="1" t="str" cm="1">
        <f t="array" ref="AA1250">_xlfn.IFS(AND(Z1250&lt;36, Z1250&gt;23), "24-35", AND(Z1250&lt;51, Z1250&gt;35),"36-50", AND(Z1250&lt;66, Z1250&gt;50), "51-66", Z1250&gt;65, "66+", TRUE, "?")</f>
        <v>66+</v>
      </c>
      <c r="AB1250" s="1">
        <v>2291</v>
      </c>
      <c r="AC1250" s="1">
        <v>0</v>
      </c>
      <c r="AD1250" s="1">
        <v>0</v>
      </c>
      <c r="AE1250" s="1">
        <v>1</v>
      </c>
      <c r="AF1250" s="1">
        <v>0</v>
      </c>
      <c r="AG1250" s="1">
        <v>0</v>
      </c>
      <c r="AH1250" s="1">
        <v>0</v>
      </c>
      <c r="AI1250" s="1">
        <v>1</v>
      </c>
      <c r="AJ1250" s="1">
        <v>0</v>
      </c>
      <c r="AK1250" s="1">
        <v>0</v>
      </c>
      <c r="AL1250" s="1">
        <v>140</v>
      </c>
      <c r="AM1250" s="2">
        <v>42558</v>
      </c>
      <c r="AN1250" t="str">
        <f t="shared" si="39"/>
        <v>62307,150,0.00240743415667582,0,1,94,87,13,34,10,6,10,1,4,0,4,5,0,0,0,0,0,0,0,68,66+,2291,0,0,1,0,0,0,1,0,0,140,42558</v>
      </c>
    </row>
    <row r="1251" spans="1:40" ht="13" hidden="1" x14ac:dyDescent="0.15">
      <c r="A1251">
        <v>1213</v>
      </c>
      <c r="B1251" s="1">
        <v>60033</v>
      </c>
      <c r="C1251" s="1">
        <v>150</v>
      </c>
      <c r="D1251" s="4">
        <f t="shared" si="38"/>
        <v>2.498625755834291E-3</v>
      </c>
      <c r="E1251" s="1">
        <v>0</v>
      </c>
      <c r="F1251" s="1">
        <v>1</v>
      </c>
      <c r="G1251" s="1">
        <v>28</v>
      </c>
      <c r="H1251" s="1">
        <v>62</v>
      </c>
      <c r="I1251" s="1">
        <v>1</v>
      </c>
      <c r="J1251" s="1">
        <v>57</v>
      </c>
      <c r="K1251" s="1">
        <v>19</v>
      </c>
      <c r="L1251" s="1">
        <v>11</v>
      </c>
      <c r="M1251" s="1">
        <v>48</v>
      </c>
      <c r="N1251" s="1">
        <v>2</v>
      </c>
      <c r="O1251" s="1">
        <v>2</v>
      </c>
      <c r="P1251" s="1">
        <v>1</v>
      </c>
      <c r="Q1251" s="1">
        <v>5</v>
      </c>
      <c r="R1251" s="1">
        <v>2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66</v>
      </c>
      <c r="AA1251" s="1" t="str" cm="1">
        <f t="array" ref="AA1251">_xlfn.IFS(AND(Z1251&lt;36, Z1251&gt;23), "24-35", AND(Z1251&lt;51, Z1251&gt;35),"36-50", AND(Z1251&lt;66, Z1251&gt;50), "51-66", Z1251&gt;65, "66+", TRUE, "?")</f>
        <v>66+</v>
      </c>
      <c r="AB1251" s="1">
        <v>2251</v>
      </c>
      <c r="AC1251" s="1">
        <v>0</v>
      </c>
      <c r="AD1251" s="1">
        <v>0</v>
      </c>
      <c r="AE1251" s="1">
        <v>0</v>
      </c>
      <c r="AF1251" s="1">
        <v>1</v>
      </c>
      <c r="AG1251" s="1">
        <v>0</v>
      </c>
      <c r="AH1251" s="1">
        <v>0</v>
      </c>
      <c r="AI1251" s="1">
        <v>0</v>
      </c>
      <c r="AJ1251" s="1">
        <v>1</v>
      </c>
      <c r="AK1251" s="1">
        <v>0</v>
      </c>
      <c r="AL1251" s="1">
        <v>102</v>
      </c>
      <c r="AM1251" s="2">
        <v>42598</v>
      </c>
      <c r="AN1251" t="str">
        <f t="shared" si="39"/>
        <v>60033,150,0.00249862575583429,0,1,28,62,1,57,19,11,48,2,2,1,5,2,0,0,0,0,0,0,0,66,66+,2251,0,0,0,1,0,0,0,1,0,102,42598</v>
      </c>
    </row>
    <row r="1252" spans="1:40" ht="13" hidden="1" x14ac:dyDescent="0.15">
      <c r="A1252">
        <v>1563</v>
      </c>
      <c r="B1252" s="1">
        <v>38175</v>
      </c>
      <c r="C1252" s="1">
        <v>150</v>
      </c>
      <c r="D1252" s="4">
        <f t="shared" si="38"/>
        <v>3.929273084479371E-3</v>
      </c>
      <c r="E1252" s="1">
        <v>1</v>
      </c>
      <c r="F1252" s="1">
        <v>0</v>
      </c>
      <c r="G1252" s="1">
        <v>6</v>
      </c>
      <c r="H1252" s="1">
        <v>70</v>
      </c>
      <c r="I1252" s="1">
        <v>6</v>
      </c>
      <c r="J1252" s="1">
        <v>69</v>
      </c>
      <c r="K1252" s="1">
        <v>2</v>
      </c>
      <c r="L1252" s="1">
        <v>3</v>
      </c>
      <c r="M1252" s="1">
        <v>3</v>
      </c>
      <c r="N1252" s="1">
        <v>3</v>
      </c>
      <c r="O1252" s="1">
        <v>3</v>
      </c>
      <c r="P1252" s="1">
        <v>1</v>
      </c>
      <c r="Q1252" s="1">
        <v>4</v>
      </c>
      <c r="R1252" s="1">
        <v>7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36</v>
      </c>
      <c r="AA1252" s="1" t="str" cm="1">
        <f t="array" ref="AA1252">_xlfn.IFS(AND(Z1252&lt;36, Z1252&gt;23), "24-35", AND(Z1252&lt;51, Z1252&gt;35),"36-50", AND(Z1252&lt;66, Z1252&gt;50), "51-66", Z1252&gt;65, "66+", TRUE, "?")</f>
        <v>36-50</v>
      </c>
      <c r="AB1252" s="1">
        <v>2438</v>
      </c>
      <c r="AC1252" s="1">
        <v>0</v>
      </c>
      <c r="AD1252" s="1">
        <v>1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1</v>
      </c>
      <c r="AL1252" s="1">
        <v>147</v>
      </c>
      <c r="AM1252" s="2">
        <v>42411</v>
      </c>
      <c r="AN1252" t="str">
        <f t="shared" si="39"/>
        <v>38175,150,0.00392927308447937,1,0,6,70,6,69,2,3,3,3,3,1,4,7,0,0,0,0,0,0,0,36,36-50,2438,0,1,0,0,0,0,0,0,1,147,42411</v>
      </c>
    </row>
    <row r="1253" spans="1:40" ht="13" x14ac:dyDescent="0.15">
      <c r="A1253">
        <v>1619</v>
      </c>
      <c r="B1253" s="1">
        <v>35641</v>
      </c>
      <c r="C1253" s="1">
        <v>150</v>
      </c>
      <c r="D1253" s="4">
        <f t="shared" si="38"/>
        <v>4.2086361213209507E-3</v>
      </c>
      <c r="E1253" s="1">
        <v>1</v>
      </c>
      <c r="F1253" s="1">
        <v>0</v>
      </c>
      <c r="G1253" s="1">
        <v>11</v>
      </c>
      <c r="H1253" s="1">
        <v>63</v>
      </c>
      <c r="I1253" s="1">
        <v>3</v>
      </c>
      <c r="J1253" s="1">
        <v>67</v>
      </c>
      <c r="K1253" s="1">
        <v>8</v>
      </c>
      <c r="L1253" s="1">
        <v>9</v>
      </c>
      <c r="M1253" s="1">
        <v>28</v>
      </c>
      <c r="N1253" s="1">
        <v>2</v>
      </c>
      <c r="O1253" s="1">
        <v>3</v>
      </c>
      <c r="P1253" s="1">
        <v>1</v>
      </c>
      <c r="Q1253" s="1">
        <v>4</v>
      </c>
      <c r="R1253" s="1">
        <v>7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1</v>
      </c>
      <c r="Z1253" s="1">
        <v>48</v>
      </c>
      <c r="AA1253" s="1" t="str" cm="1">
        <f t="array" ref="AA1253">_xlfn.IFS(AND(Z1253&lt;36, Z1253&gt;23), "24-35", AND(Z1253&lt;51, Z1253&gt;35),"36-50", AND(Z1253&lt;66, Z1253&gt;50), "51-66", Z1253&gt;65, "66+", TRUE, "?")</f>
        <v>36-50</v>
      </c>
      <c r="AB1253" s="1">
        <v>2509</v>
      </c>
      <c r="AC1253" s="1">
        <v>0</v>
      </c>
      <c r="AD1253" s="1">
        <v>1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1</v>
      </c>
      <c r="AK1253" s="1">
        <v>0</v>
      </c>
      <c r="AL1253" s="1">
        <v>122</v>
      </c>
      <c r="AM1253" s="2">
        <v>42340</v>
      </c>
      <c r="AN1253" t="str">
        <f t="shared" si="39"/>
        <v>35641,150,0.00420863612132095,1,0,11,63,3,67,8,9,28,2,3,1,4,7,0,0,0,0,0,0,1,48,36-50,2509,0,1,0,0,0,0,0,1,0,122,42340</v>
      </c>
    </row>
    <row r="1254" spans="1:40" ht="13" hidden="1" x14ac:dyDescent="0.15">
      <c r="A1254">
        <v>305</v>
      </c>
      <c r="B1254" s="1">
        <v>29999</v>
      </c>
      <c r="C1254" s="1">
        <v>149</v>
      </c>
      <c r="D1254" s="4">
        <f t="shared" si="38"/>
        <v>4.9668322277409251E-3</v>
      </c>
      <c r="E1254" s="1">
        <v>1</v>
      </c>
      <c r="F1254" s="1">
        <v>0</v>
      </c>
      <c r="G1254" s="1">
        <v>22</v>
      </c>
      <c r="H1254" s="1">
        <v>68</v>
      </c>
      <c r="I1254" s="1">
        <v>7</v>
      </c>
      <c r="J1254" s="1">
        <v>59</v>
      </c>
      <c r="K1254" s="1">
        <v>10</v>
      </c>
      <c r="L1254" s="1">
        <v>5</v>
      </c>
      <c r="M1254" s="1">
        <v>11</v>
      </c>
      <c r="N1254" s="1">
        <v>4</v>
      </c>
      <c r="O1254" s="1">
        <v>3</v>
      </c>
      <c r="P1254" s="1">
        <v>1</v>
      </c>
      <c r="Q1254" s="1">
        <v>4</v>
      </c>
      <c r="R1254" s="1">
        <v>8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34</v>
      </c>
      <c r="AA1254" s="1" t="str" cm="1">
        <f t="array" ref="AA1254">_xlfn.IFS(AND(Z1254&lt;36, Z1254&gt;23), "24-35", AND(Z1254&lt;51, Z1254&gt;35),"36-50", AND(Z1254&lt;66, Z1254&gt;50), "51-66", Z1254&gt;65, "66+", TRUE, "?")</f>
        <v>24-35</v>
      </c>
      <c r="AB1254" s="1">
        <v>2660</v>
      </c>
      <c r="AC1254" s="1">
        <v>0</v>
      </c>
      <c r="AD1254" s="1">
        <v>0</v>
      </c>
      <c r="AE1254" s="1">
        <v>1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1</v>
      </c>
      <c r="AL1254" s="1">
        <v>138</v>
      </c>
      <c r="AM1254" s="2">
        <v>42189</v>
      </c>
      <c r="AN1254" t="str">
        <f t="shared" si="39"/>
        <v>29999,149,0.00496683222774093,1,0,22,68,7,59,10,5,11,4,3,1,4,8,0,0,0,0,0,0,0,34,24-35,2660,0,0,1,0,0,0,0,0,1,138,42189</v>
      </c>
    </row>
    <row r="1255" spans="1:40" ht="13" hidden="1" x14ac:dyDescent="0.15">
      <c r="A1255">
        <v>1291</v>
      </c>
      <c r="B1255" s="1">
        <v>54342</v>
      </c>
      <c r="C1255" s="1">
        <v>149</v>
      </c>
      <c r="D1255" s="4">
        <f t="shared" si="38"/>
        <v>2.7418939310294064E-3</v>
      </c>
      <c r="E1255" s="1">
        <v>1</v>
      </c>
      <c r="F1255" s="1">
        <v>1</v>
      </c>
      <c r="G1255" s="1">
        <v>74</v>
      </c>
      <c r="H1255" s="1">
        <v>84</v>
      </c>
      <c r="I1255" s="1">
        <v>10</v>
      </c>
      <c r="J1255" s="1">
        <v>34</v>
      </c>
      <c r="K1255" s="1">
        <v>11</v>
      </c>
      <c r="L1255" s="1">
        <v>10</v>
      </c>
      <c r="M1255" s="1">
        <v>28</v>
      </c>
      <c r="N1255" s="1">
        <v>4</v>
      </c>
      <c r="O1255" s="1">
        <v>3</v>
      </c>
      <c r="P1255" s="1">
        <v>1</v>
      </c>
      <c r="Q1255" s="1">
        <v>4</v>
      </c>
      <c r="R1255" s="1">
        <v>6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64</v>
      </c>
      <c r="AA1255" s="1" t="str" cm="1">
        <f t="array" ref="AA1255">_xlfn.IFS(AND(Z1255&lt;36, Z1255&gt;23), "24-35", AND(Z1255&lt;51, Z1255&gt;35),"36-50", AND(Z1255&lt;66, Z1255&gt;50), "51-66", Z1255&gt;65, "66+", TRUE, "?")</f>
        <v>51-66</v>
      </c>
      <c r="AB1255" s="1">
        <v>2520</v>
      </c>
      <c r="AC1255" s="1">
        <v>0</v>
      </c>
      <c r="AD1255" s="1">
        <v>0</v>
      </c>
      <c r="AE1255" s="1">
        <v>0</v>
      </c>
      <c r="AF1255" s="1">
        <v>1</v>
      </c>
      <c r="AG1255" s="1">
        <v>0</v>
      </c>
      <c r="AH1255" s="1">
        <v>1</v>
      </c>
      <c r="AI1255" s="1">
        <v>0</v>
      </c>
      <c r="AJ1255" s="1">
        <v>0</v>
      </c>
      <c r="AK1255" s="1">
        <v>0</v>
      </c>
      <c r="AL1255" s="1">
        <v>121</v>
      </c>
      <c r="AM1255" s="2">
        <v>42329</v>
      </c>
      <c r="AN1255" t="str">
        <f t="shared" si="39"/>
        <v>54342,149,0.00274189393102941,1,1,74,84,10,34,11,10,28,4,3,1,4,6,0,0,0,0,0,0,0,64,51-66,2520,0,0,0,1,0,1,0,0,0,121,42329</v>
      </c>
    </row>
    <row r="1256" spans="1:40" ht="13" x14ac:dyDescent="0.15">
      <c r="A1256">
        <v>1630</v>
      </c>
      <c r="B1256" s="1">
        <v>43300</v>
      </c>
      <c r="C1256" s="1">
        <v>149</v>
      </c>
      <c r="D1256" s="4">
        <f t="shared" si="38"/>
        <v>3.441108545034642E-3</v>
      </c>
      <c r="E1256" s="1">
        <v>0</v>
      </c>
      <c r="F1256" s="1">
        <v>1</v>
      </c>
      <c r="G1256" s="1">
        <v>87</v>
      </c>
      <c r="H1256" s="1">
        <v>91</v>
      </c>
      <c r="I1256" s="1">
        <v>3</v>
      </c>
      <c r="J1256" s="1">
        <v>52</v>
      </c>
      <c r="K1256" s="1">
        <v>2</v>
      </c>
      <c r="L1256" s="1">
        <v>1</v>
      </c>
      <c r="M1256" s="1">
        <v>31</v>
      </c>
      <c r="N1256" s="1">
        <v>3</v>
      </c>
      <c r="O1256" s="1">
        <v>4</v>
      </c>
      <c r="P1256" s="1">
        <v>0</v>
      </c>
      <c r="Q1256" s="1">
        <v>4</v>
      </c>
      <c r="R1256" s="1">
        <v>8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1</v>
      </c>
      <c r="Z1256" s="1">
        <v>49</v>
      </c>
      <c r="AA1256" s="1" t="str" cm="1">
        <f t="array" ref="AA1256">_xlfn.IFS(AND(Z1256&lt;36, Z1256&gt;23), "24-35", AND(Z1256&lt;51, Z1256&gt;35),"36-50", AND(Z1256&lt;66, Z1256&gt;50), "51-66", Z1256&gt;65, "66+", TRUE, "?")</f>
        <v>36-50</v>
      </c>
      <c r="AB1256" s="1">
        <v>2783</v>
      </c>
      <c r="AC1256" s="1">
        <v>1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1</v>
      </c>
      <c r="AJ1256" s="1">
        <v>0</v>
      </c>
      <c r="AK1256" s="1">
        <v>0</v>
      </c>
      <c r="AL1256" s="1">
        <v>118</v>
      </c>
      <c r="AM1256" s="2">
        <v>42066</v>
      </c>
      <c r="AN1256" t="str">
        <f t="shared" si="39"/>
        <v>43300,149,0.00344110854503464,0,1,87,91,3,52,2,1,31,3,4,0,4,8,0,0,0,0,0,0,1,49,36-50,2783,1,0,0,0,0,0,1,0,0,118,42066</v>
      </c>
    </row>
    <row r="1257" spans="1:40" ht="13" x14ac:dyDescent="0.15">
      <c r="A1257">
        <v>1622</v>
      </c>
      <c r="B1257" s="1">
        <v>21888</v>
      </c>
      <c r="C1257" s="1">
        <v>149</v>
      </c>
      <c r="D1257" s="4">
        <f t="shared" si="38"/>
        <v>6.8073830409356726E-3</v>
      </c>
      <c r="E1257" s="1">
        <v>1</v>
      </c>
      <c r="F1257" s="1">
        <v>0</v>
      </c>
      <c r="G1257" s="1">
        <v>15</v>
      </c>
      <c r="H1257" s="1">
        <v>88</v>
      </c>
      <c r="I1257" s="1">
        <v>10</v>
      </c>
      <c r="J1257" s="1">
        <v>46</v>
      </c>
      <c r="K1257" s="1">
        <v>2</v>
      </c>
      <c r="L1257" s="1">
        <v>3</v>
      </c>
      <c r="M1257" s="1">
        <v>64</v>
      </c>
      <c r="N1257" s="1">
        <v>4</v>
      </c>
      <c r="O1257" s="1">
        <v>5</v>
      </c>
      <c r="P1257" s="1">
        <v>1</v>
      </c>
      <c r="Q1257" s="1">
        <v>2</v>
      </c>
      <c r="R1257" s="1">
        <v>10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1</v>
      </c>
      <c r="Z1257" s="1">
        <v>34</v>
      </c>
      <c r="AA1257" s="1" t="str" cm="1">
        <f t="array" ref="AA1257">_xlfn.IFS(AND(Z1257&lt;36, Z1257&gt;23), "24-35", AND(Z1257&lt;51, Z1257&gt;35),"36-50", AND(Z1257&lt;66, Z1257&gt;50), "51-66", Z1257&gt;65, "66+", TRUE, "?")</f>
        <v>24-35</v>
      </c>
      <c r="AB1257" s="1">
        <v>2706</v>
      </c>
      <c r="AC1257" s="1">
        <v>0</v>
      </c>
      <c r="AD1257" s="1">
        <v>0</v>
      </c>
      <c r="AE1257" s="1">
        <v>1</v>
      </c>
      <c r="AF1257" s="1">
        <v>0</v>
      </c>
      <c r="AG1257" s="1">
        <v>0</v>
      </c>
      <c r="AH1257" s="1">
        <v>0</v>
      </c>
      <c r="AI1257" s="1">
        <v>0</v>
      </c>
      <c r="AJ1257" s="1">
        <v>1</v>
      </c>
      <c r="AK1257" s="1">
        <v>0</v>
      </c>
      <c r="AL1257" s="1">
        <v>85</v>
      </c>
      <c r="AM1257" s="2">
        <v>42143</v>
      </c>
      <c r="AN1257" t="str">
        <f t="shared" si="39"/>
        <v>21888,149,0.00680738304093567,1,0,15,88,10,46,2,3,64,4,5,1,2,10,0,0,0,0,0,0,1,34,24-35,2706,0,0,1,0,0,0,0,1,0,85,42143</v>
      </c>
    </row>
    <row r="1258" spans="1:40" ht="13" hidden="1" x14ac:dyDescent="0.15">
      <c r="A1258">
        <v>1643</v>
      </c>
      <c r="B1258" s="1">
        <v>59385</v>
      </c>
      <c r="C1258" s="1">
        <v>149</v>
      </c>
      <c r="D1258" s="4">
        <f t="shared" si="38"/>
        <v>2.5090511071819482E-3</v>
      </c>
      <c r="E1258" s="1">
        <v>1</v>
      </c>
      <c r="F1258" s="1">
        <v>1</v>
      </c>
      <c r="G1258" s="1">
        <v>85</v>
      </c>
      <c r="H1258" s="1">
        <v>135</v>
      </c>
      <c r="I1258" s="1">
        <v>0</v>
      </c>
      <c r="J1258" s="1">
        <v>10</v>
      </c>
      <c r="K1258" s="1">
        <v>0</v>
      </c>
      <c r="L1258" s="1">
        <v>4</v>
      </c>
      <c r="M1258" s="1">
        <v>36</v>
      </c>
      <c r="N1258" s="1">
        <v>2</v>
      </c>
      <c r="O1258" s="1">
        <v>3</v>
      </c>
      <c r="P1258" s="1">
        <v>1</v>
      </c>
      <c r="Q1258" s="1">
        <v>4</v>
      </c>
      <c r="R1258" s="1">
        <v>5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69</v>
      </c>
      <c r="AA1258" s="1" t="str" cm="1">
        <f t="array" ref="AA1258">_xlfn.IFS(AND(Z1258&lt;36, Z1258&gt;23), "24-35", AND(Z1258&lt;51, Z1258&gt;35),"36-50", AND(Z1258&lt;66, Z1258&gt;50), "51-66", Z1258&gt;65, "66+", TRUE, "?")</f>
        <v>66+</v>
      </c>
      <c r="AB1258" s="1">
        <v>2586</v>
      </c>
      <c r="AC1258" s="1">
        <v>0</v>
      </c>
      <c r="AD1258" s="1">
        <v>0</v>
      </c>
      <c r="AE1258" s="1">
        <v>0</v>
      </c>
      <c r="AF1258" s="1">
        <v>1</v>
      </c>
      <c r="AG1258" s="1">
        <v>0</v>
      </c>
      <c r="AH1258" s="1">
        <v>0</v>
      </c>
      <c r="AI1258" s="1">
        <v>0</v>
      </c>
      <c r="AJ1258" s="1">
        <v>1</v>
      </c>
      <c r="AK1258" s="1">
        <v>0</v>
      </c>
      <c r="AL1258" s="1">
        <v>113</v>
      </c>
      <c r="AM1258" s="2">
        <v>42263</v>
      </c>
      <c r="AN1258" t="str">
        <f t="shared" si="39"/>
        <v>59385,149,0.00250905110718195,1,1,85,135,0,10,0,4,36,2,3,1,4,5,0,0,0,0,0,0,0,69,66+,2586,0,0,0,1,0,0,0,1,0,113,42263</v>
      </c>
    </row>
    <row r="1259" spans="1:40" ht="13" hidden="1" x14ac:dyDescent="0.15">
      <c r="A1259">
        <v>1803</v>
      </c>
      <c r="B1259" s="1">
        <v>24570</v>
      </c>
      <c r="C1259" s="1">
        <v>149</v>
      </c>
      <c r="D1259" s="4">
        <f t="shared" si="38"/>
        <v>6.0643060643060642E-3</v>
      </c>
      <c r="E1259" s="1">
        <v>1</v>
      </c>
      <c r="F1259" s="1">
        <v>0</v>
      </c>
      <c r="G1259" s="1">
        <v>97</v>
      </c>
      <c r="H1259" s="1">
        <v>28</v>
      </c>
      <c r="I1259" s="1">
        <v>34</v>
      </c>
      <c r="J1259" s="1">
        <v>62</v>
      </c>
      <c r="K1259" s="1">
        <v>11</v>
      </c>
      <c r="L1259" s="1">
        <v>14</v>
      </c>
      <c r="M1259" s="1">
        <v>44</v>
      </c>
      <c r="N1259" s="1">
        <v>3</v>
      </c>
      <c r="O1259" s="1">
        <v>4</v>
      </c>
      <c r="P1259" s="1">
        <v>0</v>
      </c>
      <c r="Q1259" s="1">
        <v>4</v>
      </c>
      <c r="R1259" s="1">
        <v>9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36</v>
      </c>
      <c r="AA1259" s="1" t="str" cm="1">
        <f t="array" ref="AA1259">_xlfn.IFS(AND(Z1259&lt;36, Z1259&gt;23), "24-35", AND(Z1259&lt;51, Z1259&gt;35),"36-50", AND(Z1259&lt;66, Z1259&gt;50), "51-66", Z1259&gt;65, "66+", TRUE, "?")</f>
        <v>36-50</v>
      </c>
      <c r="AB1259" s="1">
        <v>2646</v>
      </c>
      <c r="AC1259" s="1">
        <v>0</v>
      </c>
      <c r="AD1259" s="1">
        <v>1</v>
      </c>
      <c r="AE1259" s="1">
        <v>0</v>
      </c>
      <c r="AF1259" s="1">
        <v>0</v>
      </c>
      <c r="AG1259" s="1">
        <v>0</v>
      </c>
      <c r="AH1259" s="1">
        <v>0</v>
      </c>
      <c r="AI1259" s="1">
        <v>1</v>
      </c>
      <c r="AJ1259" s="1">
        <v>0</v>
      </c>
      <c r="AK1259" s="1">
        <v>0</v>
      </c>
      <c r="AL1259" s="1">
        <v>105</v>
      </c>
      <c r="AM1259" s="2">
        <v>42203</v>
      </c>
      <c r="AN1259" t="str">
        <f t="shared" si="39"/>
        <v>24570,149,0.00606430606430606,1,0,97,28,34,62,11,14,44,3,4,0,4,9,0,0,0,0,0,0,0,36,36-50,2646,0,1,0,0,0,0,1,0,0,105,42203</v>
      </c>
    </row>
    <row r="1260" spans="1:40" ht="13" hidden="1" x14ac:dyDescent="0.15">
      <c r="A1260">
        <v>1951</v>
      </c>
      <c r="B1260" s="1">
        <v>41713</v>
      </c>
      <c r="C1260" s="1">
        <v>149</v>
      </c>
      <c r="D1260" s="4">
        <f t="shared" si="38"/>
        <v>3.5720279049696736E-3</v>
      </c>
      <c r="E1260" s="1">
        <v>1</v>
      </c>
      <c r="F1260" s="1">
        <v>1</v>
      </c>
      <c r="G1260" s="1">
        <v>57</v>
      </c>
      <c r="H1260" s="1">
        <v>77</v>
      </c>
      <c r="I1260" s="1">
        <v>8</v>
      </c>
      <c r="J1260" s="1">
        <v>44</v>
      </c>
      <c r="K1260" s="1">
        <v>10</v>
      </c>
      <c r="L1260" s="1">
        <v>10</v>
      </c>
      <c r="M1260" s="1">
        <v>25</v>
      </c>
      <c r="N1260" s="1">
        <v>5</v>
      </c>
      <c r="O1260" s="1">
        <v>3</v>
      </c>
      <c r="P1260" s="1">
        <v>1</v>
      </c>
      <c r="Q1260" s="1">
        <v>4</v>
      </c>
      <c r="R1260" s="1">
        <v>6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56</v>
      </c>
      <c r="AA1260" s="1" t="str" cm="1">
        <f t="array" ref="AA1260">_xlfn.IFS(AND(Z1260&lt;36, Z1260&gt;23), "24-35", AND(Z1260&lt;51, Z1260&gt;35),"36-50", AND(Z1260&lt;66, Z1260&gt;50), "51-66", Z1260&gt;65, "66+", TRUE, "?")</f>
        <v>51-66</v>
      </c>
      <c r="AB1260" s="1">
        <v>2220</v>
      </c>
      <c r="AC1260" s="1">
        <v>1</v>
      </c>
      <c r="AD1260" s="1">
        <v>0</v>
      </c>
      <c r="AE1260" s="1">
        <v>0</v>
      </c>
      <c r="AF1260" s="1">
        <v>0</v>
      </c>
      <c r="AG1260" s="1">
        <v>0</v>
      </c>
      <c r="AH1260" s="1">
        <v>1</v>
      </c>
      <c r="AI1260" s="1">
        <v>0</v>
      </c>
      <c r="AJ1260" s="1">
        <v>0</v>
      </c>
      <c r="AK1260" s="1">
        <v>0</v>
      </c>
      <c r="AL1260" s="1">
        <v>124</v>
      </c>
      <c r="AM1260" s="2">
        <v>42629</v>
      </c>
      <c r="AN1260" t="str">
        <f t="shared" si="39"/>
        <v>41713,149,0.00357202790496967,1,1,57,77,8,44,10,10,25,5,3,1,4,6,0,0,0,0,0,0,0,56,51-66,2220,1,0,0,0,0,1,0,0,0,124,42629</v>
      </c>
    </row>
    <row r="1261" spans="1:40" ht="13" hidden="1" x14ac:dyDescent="0.15">
      <c r="A1261">
        <v>73</v>
      </c>
      <c r="B1261" s="1">
        <v>29760</v>
      </c>
      <c r="C1261" s="1">
        <v>148</v>
      </c>
      <c r="D1261" s="4">
        <f t="shared" si="38"/>
        <v>4.9731182795698927E-3</v>
      </c>
      <c r="E1261" s="1">
        <v>1</v>
      </c>
      <c r="F1261" s="1">
        <v>0</v>
      </c>
      <c r="G1261" s="1">
        <v>87</v>
      </c>
      <c r="H1261" s="1">
        <v>64</v>
      </c>
      <c r="I1261" s="1">
        <v>4</v>
      </c>
      <c r="J1261" s="1">
        <v>68</v>
      </c>
      <c r="K1261" s="1">
        <v>7</v>
      </c>
      <c r="L1261" s="1">
        <v>5</v>
      </c>
      <c r="M1261" s="1">
        <v>17</v>
      </c>
      <c r="N1261" s="1">
        <v>4</v>
      </c>
      <c r="O1261" s="1">
        <v>3</v>
      </c>
      <c r="P1261" s="1">
        <v>1</v>
      </c>
      <c r="Q1261" s="1">
        <v>4</v>
      </c>
      <c r="R1261" s="1">
        <v>8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35</v>
      </c>
      <c r="AA1261" s="1" t="str" cm="1">
        <f t="array" ref="AA1261">_xlfn.IFS(AND(Z1261&lt;36, Z1261&gt;23), "24-35", AND(Z1261&lt;51, Z1261&gt;35),"36-50", AND(Z1261&lt;66, Z1261&gt;50), "51-66", Z1261&gt;65, "66+", TRUE, "?")</f>
        <v>24-35</v>
      </c>
      <c r="AB1261" s="1">
        <v>2828</v>
      </c>
      <c r="AC1261" s="1">
        <v>0</v>
      </c>
      <c r="AD1261" s="1">
        <v>0</v>
      </c>
      <c r="AE1261" s="1">
        <v>1</v>
      </c>
      <c r="AF1261" s="1">
        <v>0</v>
      </c>
      <c r="AG1261" s="1">
        <v>0</v>
      </c>
      <c r="AH1261" s="1">
        <v>0</v>
      </c>
      <c r="AI1261" s="1">
        <v>1</v>
      </c>
      <c r="AJ1261" s="1">
        <v>0</v>
      </c>
      <c r="AK1261" s="1">
        <v>0</v>
      </c>
      <c r="AL1261" s="1">
        <v>131</v>
      </c>
      <c r="AM1261" s="2">
        <v>42021</v>
      </c>
      <c r="AN1261" t="str">
        <f t="shared" si="39"/>
        <v>29760,148,0.00497311827956989,1,0,87,64,4,68,7,5,17,4,3,1,4,8,0,0,0,0,0,0,0,35,24-35,2828,0,0,1,0,0,0,1,0,0,131,42021</v>
      </c>
    </row>
    <row r="1262" spans="1:40" ht="13" hidden="1" x14ac:dyDescent="0.15">
      <c r="A1262">
        <v>145</v>
      </c>
      <c r="B1262" s="1">
        <v>55375</v>
      </c>
      <c r="C1262" s="1">
        <v>148</v>
      </c>
      <c r="D1262" s="4">
        <f t="shared" si="38"/>
        <v>2.672686230248307E-3</v>
      </c>
      <c r="E1262" s="1">
        <v>0</v>
      </c>
      <c r="F1262" s="1">
        <v>1</v>
      </c>
      <c r="G1262" s="1">
        <v>3</v>
      </c>
      <c r="H1262" s="1">
        <v>42</v>
      </c>
      <c r="I1262" s="1">
        <v>11</v>
      </c>
      <c r="J1262" s="1">
        <v>57</v>
      </c>
      <c r="K1262" s="1">
        <v>10</v>
      </c>
      <c r="L1262" s="1">
        <v>28</v>
      </c>
      <c r="M1262" s="1">
        <v>14</v>
      </c>
      <c r="N1262" s="1">
        <v>1</v>
      </c>
      <c r="O1262" s="1">
        <v>1</v>
      </c>
      <c r="P1262" s="1">
        <v>1</v>
      </c>
      <c r="Q1262" s="1">
        <v>6</v>
      </c>
      <c r="R1262" s="1">
        <v>2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43</v>
      </c>
      <c r="AA1262" s="1" t="str" cm="1">
        <f t="array" ref="AA1262">_xlfn.IFS(AND(Z1262&lt;36, Z1262&gt;23), "24-35", AND(Z1262&lt;51, Z1262&gt;35),"36-50", AND(Z1262&lt;66, Z1262&gt;50), "51-66", Z1262&gt;65, "66+", TRUE, "?")</f>
        <v>36-50</v>
      </c>
      <c r="AB1262" s="1">
        <v>2414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1</v>
      </c>
      <c r="AJ1262" s="1">
        <v>0</v>
      </c>
      <c r="AK1262" s="1">
        <v>0</v>
      </c>
      <c r="AL1262" s="1">
        <v>134</v>
      </c>
      <c r="AM1262" s="2">
        <v>42435</v>
      </c>
      <c r="AN1262" t="str">
        <f t="shared" si="39"/>
        <v>55375,148,0.00267268623024831,0,1,3,42,11,57,10,28,14,1,1,1,6,2,0,0,0,0,0,0,0,43,36-50,2414,0,0,0,1,0,0,1,0,0,134,42435</v>
      </c>
    </row>
    <row r="1263" spans="1:40" ht="13" hidden="1" x14ac:dyDescent="0.15">
      <c r="A1263">
        <v>1142</v>
      </c>
      <c r="B1263" s="1">
        <v>33629</v>
      </c>
      <c r="C1263" s="1">
        <v>148</v>
      </c>
      <c r="D1263" s="4">
        <f t="shared" si="38"/>
        <v>4.4009634541615867E-3</v>
      </c>
      <c r="E1263" s="1">
        <v>1</v>
      </c>
      <c r="F1263" s="1">
        <v>1</v>
      </c>
      <c r="G1263" s="1">
        <v>49</v>
      </c>
      <c r="H1263" s="1">
        <v>132</v>
      </c>
      <c r="I1263" s="1">
        <v>0</v>
      </c>
      <c r="J1263" s="1">
        <v>16</v>
      </c>
      <c r="K1263" s="1">
        <v>0</v>
      </c>
      <c r="L1263" s="1">
        <v>0</v>
      </c>
      <c r="M1263" s="1">
        <v>4</v>
      </c>
      <c r="N1263" s="1">
        <v>5</v>
      </c>
      <c r="O1263" s="1">
        <v>3</v>
      </c>
      <c r="P1263" s="1">
        <v>1</v>
      </c>
      <c r="Q1263" s="1">
        <v>4</v>
      </c>
      <c r="R1263" s="1">
        <v>9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57</v>
      </c>
      <c r="AA1263" s="1" t="str" cm="1">
        <f t="array" ref="AA1263">_xlfn.IFS(AND(Z1263&lt;36, Z1263&gt;23), "24-35", AND(Z1263&lt;51, Z1263&gt;35),"36-50", AND(Z1263&lt;66, Z1263&gt;50), "51-66", Z1263&gt;65, "66+", TRUE, "?")</f>
        <v>51-66</v>
      </c>
      <c r="AB1263" s="1">
        <v>2849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0</v>
      </c>
      <c r="AJ1263" s="1">
        <v>0</v>
      </c>
      <c r="AK1263" s="1">
        <v>1</v>
      </c>
      <c r="AL1263" s="1">
        <v>144</v>
      </c>
      <c r="AM1263" s="2">
        <v>42000</v>
      </c>
      <c r="AN1263" t="str">
        <f t="shared" si="39"/>
        <v>33629,148,0.00440096345416159,1,1,49,132,0,16,0,0,4,5,3,1,4,9,0,0,0,0,0,0,0,57,51-66,2849,0,0,0,1,0,0,0,0,1,144,42000</v>
      </c>
    </row>
    <row r="1264" spans="1:40" ht="13" hidden="1" x14ac:dyDescent="0.15">
      <c r="A1264">
        <v>618</v>
      </c>
      <c r="B1264" s="1">
        <v>46734</v>
      </c>
      <c r="C1264" s="1">
        <v>147</v>
      </c>
      <c r="D1264" s="4">
        <f t="shared" si="38"/>
        <v>3.1454615483373989E-3</v>
      </c>
      <c r="E1264" s="1">
        <v>1</v>
      </c>
      <c r="F1264" s="1">
        <v>2</v>
      </c>
      <c r="G1264" s="1">
        <v>86</v>
      </c>
      <c r="H1264" s="1">
        <v>100</v>
      </c>
      <c r="I1264" s="1">
        <v>1</v>
      </c>
      <c r="J1264" s="1">
        <v>39</v>
      </c>
      <c r="K1264" s="1">
        <v>6</v>
      </c>
      <c r="L1264" s="1">
        <v>1</v>
      </c>
      <c r="M1264" s="1">
        <v>76</v>
      </c>
      <c r="N1264" s="1">
        <v>4</v>
      </c>
      <c r="O1264" s="1">
        <v>3</v>
      </c>
      <c r="P1264" s="1">
        <v>2</v>
      </c>
      <c r="Q1264" s="1">
        <v>3</v>
      </c>
      <c r="R1264" s="1">
        <v>6</v>
      </c>
      <c r="S1264" s="1">
        <v>0</v>
      </c>
      <c r="T1264" s="1">
        <v>0</v>
      </c>
      <c r="U1264" s="1">
        <v>1</v>
      </c>
      <c r="V1264" s="1">
        <v>0</v>
      </c>
      <c r="W1264" s="1">
        <v>0</v>
      </c>
      <c r="X1264" s="1">
        <v>0</v>
      </c>
      <c r="Y1264" s="1">
        <v>0</v>
      </c>
      <c r="Z1264" s="1">
        <v>54</v>
      </c>
      <c r="AA1264" s="1" t="str" cm="1">
        <f t="array" ref="AA1264">_xlfn.IFS(AND(Z1264&lt;36, Z1264&gt;23), "24-35", AND(Z1264&lt;51, Z1264&gt;35),"36-50", AND(Z1264&lt;66, Z1264&gt;50), "51-66", Z1264&gt;65, "66+", TRUE, "?")</f>
        <v>51-66</v>
      </c>
      <c r="AB1264" s="1">
        <v>2410</v>
      </c>
      <c r="AC1264" s="1">
        <v>0</v>
      </c>
      <c r="AD1264" s="1">
        <v>0</v>
      </c>
      <c r="AE1264" s="1">
        <v>1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1</v>
      </c>
      <c r="AL1264" s="1">
        <v>71</v>
      </c>
      <c r="AM1264" s="2">
        <v>42439</v>
      </c>
      <c r="AN1264" t="str">
        <f t="shared" si="39"/>
        <v>46734,147,0.0031454615483374,1,2,86,100,1,39,6,1,76,4,3,2,3,6,0,0,1,0,0,0,0,54,51-66,2410,0,0,1,0,0,0,0,0,1,71,42439</v>
      </c>
    </row>
    <row r="1265" spans="1:40" ht="13" hidden="1" x14ac:dyDescent="0.15">
      <c r="A1265">
        <v>906</v>
      </c>
      <c r="B1265" s="1">
        <v>40233</v>
      </c>
      <c r="C1265" s="1">
        <v>147</v>
      </c>
      <c r="D1265" s="4">
        <f t="shared" si="38"/>
        <v>3.6537170979047051E-3</v>
      </c>
      <c r="E1265" s="1">
        <v>0</v>
      </c>
      <c r="F1265" s="1">
        <v>1</v>
      </c>
      <c r="G1265" s="1">
        <v>84</v>
      </c>
      <c r="H1265" s="1">
        <v>80</v>
      </c>
      <c r="I1265" s="1">
        <v>4</v>
      </c>
      <c r="J1265" s="1">
        <v>46</v>
      </c>
      <c r="K1265" s="1">
        <v>0</v>
      </c>
      <c r="L1265" s="1">
        <v>17</v>
      </c>
      <c r="M1265" s="1">
        <v>2</v>
      </c>
      <c r="N1265" s="1">
        <v>5</v>
      </c>
      <c r="O1265" s="1">
        <v>2</v>
      </c>
      <c r="P1265" s="1">
        <v>1</v>
      </c>
      <c r="Q1265" s="1">
        <v>5</v>
      </c>
      <c r="R1265" s="1">
        <v>6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45</v>
      </c>
      <c r="AA1265" s="1" t="str" cm="1">
        <f t="array" ref="AA1265">_xlfn.IFS(AND(Z1265&lt;36, Z1265&gt;23), "24-35", AND(Z1265&lt;51, Z1265&gt;35),"36-50", AND(Z1265&lt;66, Z1265&gt;50), "51-66", Z1265&gt;65, "66+", TRUE, "?")</f>
        <v>36-50</v>
      </c>
      <c r="AB1265" s="1">
        <v>2417</v>
      </c>
      <c r="AC1265" s="1">
        <v>0</v>
      </c>
      <c r="AD1265" s="1">
        <v>1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1</v>
      </c>
      <c r="AL1265" s="1">
        <v>145</v>
      </c>
      <c r="AM1265" s="2">
        <v>42432</v>
      </c>
      <c r="AN1265" t="str">
        <f t="shared" si="39"/>
        <v>40233,147,0.00365371709790471,0,1,84,80,4,46,0,17,2,5,2,1,5,6,0,0,0,0,0,0,0,45,36-50,2417,0,1,0,0,0,0,0,0,1,145,42432</v>
      </c>
    </row>
    <row r="1266" spans="1:40" ht="13" hidden="1" x14ac:dyDescent="0.15">
      <c r="A1266">
        <v>1305</v>
      </c>
      <c r="B1266" s="1">
        <v>37716</v>
      </c>
      <c r="C1266" s="1">
        <v>147</v>
      </c>
      <c r="D1266" s="4">
        <f t="shared" si="38"/>
        <v>3.8975501113585748E-3</v>
      </c>
      <c r="E1266" s="1">
        <v>0</v>
      </c>
      <c r="F1266" s="1">
        <v>1</v>
      </c>
      <c r="G1266" s="1">
        <v>4</v>
      </c>
      <c r="H1266" s="1">
        <v>97</v>
      </c>
      <c r="I1266" s="1">
        <v>1</v>
      </c>
      <c r="J1266" s="1">
        <v>41</v>
      </c>
      <c r="K1266" s="1">
        <v>6</v>
      </c>
      <c r="L1266" s="1">
        <v>2</v>
      </c>
      <c r="M1266" s="1">
        <v>41</v>
      </c>
      <c r="N1266" s="1">
        <v>2</v>
      </c>
      <c r="O1266" s="1">
        <v>4</v>
      </c>
      <c r="P1266" s="1">
        <v>1</v>
      </c>
      <c r="Q1266" s="1">
        <v>3</v>
      </c>
      <c r="R1266" s="1">
        <v>7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67</v>
      </c>
      <c r="AA1266" s="1" t="str" cm="1">
        <f t="array" ref="AA1266">_xlfn.IFS(AND(Z1266&lt;36, Z1266&gt;23), "24-35", AND(Z1266&lt;51, Z1266&gt;35),"36-50", AND(Z1266&lt;66, Z1266&gt;50), "51-66", Z1266&gt;65, "66+", TRUE, "?")</f>
        <v>66+</v>
      </c>
      <c r="AB1266" s="1">
        <v>2228</v>
      </c>
      <c r="AC1266" s="1">
        <v>0</v>
      </c>
      <c r="AD1266" s="1">
        <v>1</v>
      </c>
      <c r="AE1266" s="1">
        <v>0</v>
      </c>
      <c r="AF1266" s="1">
        <v>0</v>
      </c>
      <c r="AG1266" s="1">
        <v>0</v>
      </c>
      <c r="AH1266" s="1">
        <v>0</v>
      </c>
      <c r="AI1266" s="1">
        <v>1</v>
      </c>
      <c r="AJ1266" s="1">
        <v>0</v>
      </c>
      <c r="AK1266" s="1">
        <v>0</v>
      </c>
      <c r="AL1266" s="1">
        <v>106</v>
      </c>
      <c r="AM1266" s="2">
        <v>42621</v>
      </c>
      <c r="AN1266" t="str">
        <f t="shared" si="39"/>
        <v>37716,147,0.00389755011135857,0,1,4,97,1,41,6,2,41,2,4,1,3,7,0,0,0,0,0,0,0,67,66+,2228,0,1,0,0,0,0,1,0,0,106,42621</v>
      </c>
    </row>
    <row r="1267" spans="1:40" ht="13" hidden="1" x14ac:dyDescent="0.15">
      <c r="A1267">
        <v>8</v>
      </c>
      <c r="B1267" s="1">
        <v>33454</v>
      </c>
      <c r="C1267" s="1">
        <v>146</v>
      </c>
      <c r="D1267" s="4">
        <f t="shared" si="38"/>
        <v>4.3642015902433193E-3</v>
      </c>
      <c r="E1267" s="1">
        <v>1</v>
      </c>
      <c r="F1267" s="1">
        <v>0</v>
      </c>
      <c r="G1267" s="1">
        <v>32</v>
      </c>
      <c r="H1267" s="1">
        <v>76</v>
      </c>
      <c r="I1267" s="1">
        <v>10</v>
      </c>
      <c r="J1267" s="1">
        <v>56</v>
      </c>
      <c r="K1267" s="1">
        <v>3</v>
      </c>
      <c r="L1267" s="1">
        <v>1</v>
      </c>
      <c r="M1267" s="1">
        <v>23</v>
      </c>
      <c r="N1267" s="1">
        <v>2</v>
      </c>
      <c r="O1267" s="1">
        <v>4</v>
      </c>
      <c r="P1267" s="1">
        <v>0</v>
      </c>
      <c r="Q1267" s="1">
        <v>4</v>
      </c>
      <c r="R1267" s="1">
        <v>8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35</v>
      </c>
      <c r="AA1267" s="1" t="str" cm="1">
        <f t="array" ref="AA1267">_xlfn.IFS(AND(Z1267&lt;36, Z1267&gt;23), "24-35", AND(Z1267&lt;51, Z1267&gt;35),"36-50", AND(Z1267&lt;66, Z1267&gt;50), "51-66", Z1267&gt;65, "66+", TRUE, "?")</f>
        <v>24-35</v>
      </c>
      <c r="AB1267" s="1">
        <v>2576</v>
      </c>
      <c r="AC1267" s="1">
        <v>0</v>
      </c>
      <c r="AD1267" s="1">
        <v>1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1</v>
      </c>
      <c r="AL1267" s="1">
        <v>123</v>
      </c>
      <c r="AM1267" s="2">
        <v>42273</v>
      </c>
      <c r="AN1267" t="str">
        <f t="shared" si="39"/>
        <v>33454,146,0.00436420159024332,1,0,32,76,10,56,3,1,23,2,4,0,4,8,0,0,0,0,0,0,0,35,24-35,2576,0,1,0,0,0,0,0,0,1,123,42273</v>
      </c>
    </row>
    <row r="1268" spans="1:40" ht="13" hidden="1" x14ac:dyDescent="0.15">
      <c r="A1268">
        <v>78</v>
      </c>
      <c r="B1268" s="1">
        <v>36138</v>
      </c>
      <c r="C1268" s="1">
        <v>146</v>
      </c>
      <c r="D1268" s="4">
        <f t="shared" si="38"/>
        <v>4.0400686258232335E-3</v>
      </c>
      <c r="E1268" s="1">
        <v>1</v>
      </c>
      <c r="F1268" s="1">
        <v>1</v>
      </c>
      <c r="G1268" s="1">
        <v>48</v>
      </c>
      <c r="H1268" s="1">
        <v>130</v>
      </c>
      <c r="I1268" s="1">
        <v>0</v>
      </c>
      <c r="J1268" s="1">
        <v>16</v>
      </c>
      <c r="K1268" s="1">
        <v>0</v>
      </c>
      <c r="L1268" s="1">
        <v>0</v>
      </c>
      <c r="M1268" s="1">
        <v>5</v>
      </c>
      <c r="N1268" s="1">
        <v>5</v>
      </c>
      <c r="O1268" s="1">
        <v>3</v>
      </c>
      <c r="P1268" s="1">
        <v>1</v>
      </c>
      <c r="Q1268" s="1">
        <v>4</v>
      </c>
      <c r="R1268" s="1">
        <v>7</v>
      </c>
      <c r="S1268" s="1">
        <v>0</v>
      </c>
      <c r="T1268" s="1">
        <v>0</v>
      </c>
      <c r="U1268" s="1">
        <v>0</v>
      </c>
      <c r="V1268" s="1">
        <v>1</v>
      </c>
      <c r="W1268" s="1">
        <v>0</v>
      </c>
      <c r="X1268" s="1">
        <v>0</v>
      </c>
      <c r="Y1268" s="1">
        <v>0</v>
      </c>
      <c r="Z1268" s="1">
        <v>50</v>
      </c>
      <c r="AA1268" s="1" t="str" cm="1">
        <f t="array" ref="AA1268">_xlfn.IFS(AND(Z1268&lt;36, Z1268&gt;23), "24-35", AND(Z1268&lt;51, Z1268&gt;35),"36-50", AND(Z1268&lt;66, Z1268&gt;50), "51-66", Z1268&gt;65, "66+", TRUE, "?")</f>
        <v>36-50</v>
      </c>
      <c r="AB1268" s="1">
        <v>2507</v>
      </c>
      <c r="AC1268" s="1">
        <v>0</v>
      </c>
      <c r="AD1268" s="1">
        <v>1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1</v>
      </c>
      <c r="AK1268" s="1">
        <v>0</v>
      </c>
      <c r="AL1268" s="1">
        <v>141</v>
      </c>
      <c r="AM1268" s="2">
        <v>42342</v>
      </c>
      <c r="AN1268" t="str">
        <f t="shared" si="39"/>
        <v>36138,146,0.00404006862582323,1,1,48,130,0,16,0,0,5,5,3,1,4,7,0,0,0,1,0,0,0,50,36-50,2507,0,1,0,0,0,0,0,1,0,141,42342</v>
      </c>
    </row>
    <row r="1269" spans="1:40" ht="13" hidden="1" x14ac:dyDescent="0.15">
      <c r="A1269">
        <v>1162</v>
      </c>
      <c r="B1269" s="1">
        <v>44213</v>
      </c>
      <c r="C1269" s="1">
        <v>145</v>
      </c>
      <c r="D1269" s="4">
        <f t="shared" si="38"/>
        <v>3.2795784045416506E-3</v>
      </c>
      <c r="E1269" s="1">
        <v>1</v>
      </c>
      <c r="F1269" s="1">
        <v>1</v>
      </c>
      <c r="G1269" s="1">
        <v>48</v>
      </c>
      <c r="H1269" s="1">
        <v>95</v>
      </c>
      <c r="I1269" s="1">
        <v>11</v>
      </c>
      <c r="J1269" s="1">
        <v>35</v>
      </c>
      <c r="K1269" s="1">
        <v>0</v>
      </c>
      <c r="L1269" s="1">
        <v>4</v>
      </c>
      <c r="M1269" s="1">
        <v>7</v>
      </c>
      <c r="N1269" s="1">
        <v>4</v>
      </c>
      <c r="O1269" s="1">
        <v>2</v>
      </c>
      <c r="P1269" s="1">
        <v>1</v>
      </c>
      <c r="Q1269" s="1">
        <v>5</v>
      </c>
      <c r="R1269" s="1">
        <v>6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68</v>
      </c>
      <c r="AA1269" s="1" t="str" cm="1">
        <f t="array" ref="AA1269">_xlfn.IFS(AND(Z1269&lt;36, Z1269&gt;23), "24-35", AND(Z1269&lt;51, Z1269&gt;35),"36-50", AND(Z1269&lt;66, Z1269&gt;50), "51-66", Z1269&gt;65, "66+", TRUE, "?")</f>
        <v>66+</v>
      </c>
      <c r="AB1269" s="1">
        <v>2371</v>
      </c>
      <c r="AC1269" s="1">
        <v>0</v>
      </c>
      <c r="AD1269" s="1">
        <v>0</v>
      </c>
      <c r="AE1269" s="1">
        <v>1</v>
      </c>
      <c r="AF1269" s="1">
        <v>0</v>
      </c>
      <c r="AG1269" s="1">
        <v>0</v>
      </c>
      <c r="AH1269" s="1">
        <v>0</v>
      </c>
      <c r="AI1269" s="1">
        <v>1</v>
      </c>
      <c r="AJ1269" s="1">
        <v>0</v>
      </c>
      <c r="AK1269" s="1">
        <v>0</v>
      </c>
      <c r="AL1269" s="1">
        <v>138</v>
      </c>
      <c r="AM1269" s="2">
        <v>42478</v>
      </c>
      <c r="AN1269" t="str">
        <f t="shared" si="39"/>
        <v>44213,145,0.00327957840454165,1,1,48,95,11,35,0,4,7,4,2,1,5,6,0,0,0,0,0,0,0,68,66+,2371,0,0,1,0,0,0,1,0,0,138,42478</v>
      </c>
    </row>
    <row r="1270" spans="1:40" ht="13" hidden="1" x14ac:dyDescent="0.15">
      <c r="A1270">
        <v>1717</v>
      </c>
      <c r="B1270" s="1">
        <v>50616</v>
      </c>
      <c r="C1270" s="1">
        <v>145</v>
      </c>
      <c r="D1270" s="4">
        <f t="shared" si="38"/>
        <v>2.8647068120752333E-3</v>
      </c>
      <c r="E1270" s="1">
        <v>0</v>
      </c>
      <c r="F1270" s="1">
        <v>1</v>
      </c>
      <c r="G1270" s="1">
        <v>56</v>
      </c>
      <c r="H1270" s="1">
        <v>128</v>
      </c>
      <c r="I1270" s="1">
        <v>0</v>
      </c>
      <c r="J1270" s="1">
        <v>16</v>
      </c>
      <c r="K1270" s="1">
        <v>0</v>
      </c>
      <c r="L1270" s="1">
        <v>1</v>
      </c>
      <c r="M1270" s="1">
        <v>4</v>
      </c>
      <c r="N1270" s="1">
        <v>2</v>
      </c>
      <c r="O1270" s="1">
        <v>4</v>
      </c>
      <c r="P1270" s="1">
        <v>0</v>
      </c>
      <c r="Q1270" s="1">
        <v>4</v>
      </c>
      <c r="R1270" s="1">
        <v>7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52</v>
      </c>
      <c r="AA1270" s="1" t="str" cm="1">
        <f t="array" ref="AA1270">_xlfn.IFS(AND(Z1270&lt;36, Z1270&gt;23), "24-35", AND(Z1270&lt;51, Z1270&gt;35),"36-50", AND(Z1270&lt;66, Z1270&gt;50), "51-66", Z1270&gt;65, "66+", TRUE, "?")</f>
        <v>51-66</v>
      </c>
      <c r="AB1270" s="1">
        <v>2231</v>
      </c>
      <c r="AC1270" s="1">
        <v>1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1</v>
      </c>
      <c r="AL1270" s="1">
        <v>141</v>
      </c>
      <c r="AM1270" s="2">
        <v>42618</v>
      </c>
      <c r="AN1270" t="str">
        <f t="shared" si="39"/>
        <v>50616,145,0.00286470681207523,0,1,56,128,0,16,0,1,4,2,4,0,4,7,0,0,0,0,0,0,0,52,51-66,2231,1,0,0,0,0,0,0,0,1,141,42618</v>
      </c>
    </row>
    <row r="1271" spans="1:40" ht="13" hidden="1" x14ac:dyDescent="0.15">
      <c r="A1271">
        <v>375</v>
      </c>
      <c r="B1271" s="1">
        <v>42373</v>
      </c>
      <c r="C1271" s="1">
        <v>144</v>
      </c>
      <c r="D1271" s="4">
        <f t="shared" si="38"/>
        <v>3.3983904845066434E-3</v>
      </c>
      <c r="E1271" s="1">
        <v>1</v>
      </c>
      <c r="F1271" s="1">
        <v>1</v>
      </c>
      <c r="G1271" s="1">
        <v>83</v>
      </c>
      <c r="H1271" s="1">
        <v>67</v>
      </c>
      <c r="I1271" s="1">
        <v>5</v>
      </c>
      <c r="J1271" s="1">
        <v>61</v>
      </c>
      <c r="K1271" s="1">
        <v>3</v>
      </c>
      <c r="L1271" s="1">
        <v>8</v>
      </c>
      <c r="M1271" s="1">
        <v>19</v>
      </c>
      <c r="N1271" s="1">
        <v>5</v>
      </c>
      <c r="O1271" s="1">
        <v>2</v>
      </c>
      <c r="P1271" s="1">
        <v>1</v>
      </c>
      <c r="Q1271" s="1">
        <v>5</v>
      </c>
      <c r="R1271" s="1">
        <v>5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46</v>
      </c>
      <c r="AA1271" s="1" t="str" cm="1">
        <f t="array" ref="AA1271">_xlfn.IFS(AND(Z1271&lt;36, Z1271&gt;23), "24-35", AND(Z1271&lt;51, Z1271&gt;35),"36-50", AND(Z1271&lt;66, Z1271&gt;50), "51-66", Z1271&gt;65, "66+", TRUE, "?")</f>
        <v>36-50</v>
      </c>
      <c r="AB1271" s="1">
        <v>2477</v>
      </c>
      <c r="AC1271" s="1">
        <v>0</v>
      </c>
      <c r="AD1271" s="1">
        <v>0</v>
      </c>
      <c r="AE1271" s="1">
        <v>1</v>
      </c>
      <c r="AF1271" s="1">
        <v>0</v>
      </c>
      <c r="AG1271" s="1">
        <v>0</v>
      </c>
      <c r="AH1271" s="1">
        <v>0</v>
      </c>
      <c r="AI1271" s="1">
        <v>1</v>
      </c>
      <c r="AJ1271" s="1">
        <v>0</v>
      </c>
      <c r="AK1271" s="1">
        <v>0</v>
      </c>
      <c r="AL1271" s="1">
        <v>125</v>
      </c>
      <c r="AM1271" s="2">
        <v>42372</v>
      </c>
      <c r="AN1271" t="str">
        <f t="shared" si="39"/>
        <v>42373,144,0.00339839048450664,1,1,83,67,5,61,3,8,19,5,2,1,5,5,0,0,0,0,0,0,0,46,36-50,2477,0,0,1,0,0,0,1,0,0,125,42372</v>
      </c>
    </row>
    <row r="1272" spans="1:40" ht="13" hidden="1" x14ac:dyDescent="0.15">
      <c r="A1272">
        <v>1889</v>
      </c>
      <c r="B1272" s="1">
        <v>27803</v>
      </c>
      <c r="C1272" s="1">
        <v>127</v>
      </c>
      <c r="D1272" s="4">
        <f t="shared" si="38"/>
        <v>4.5678523900298529E-3</v>
      </c>
      <c r="E1272" s="1">
        <v>1</v>
      </c>
      <c r="F1272" s="1">
        <v>0</v>
      </c>
      <c r="G1272" s="1">
        <v>40</v>
      </c>
      <c r="H1272" s="1">
        <v>8</v>
      </c>
      <c r="I1272" s="1">
        <v>26</v>
      </c>
      <c r="J1272" s="1">
        <v>46</v>
      </c>
      <c r="K1272" s="1">
        <v>38</v>
      </c>
      <c r="L1272" s="1">
        <v>9</v>
      </c>
      <c r="M1272" s="1">
        <v>49</v>
      </c>
      <c r="N1272" s="1">
        <v>2</v>
      </c>
      <c r="O1272" s="1">
        <v>3</v>
      </c>
      <c r="P1272" s="1">
        <v>0</v>
      </c>
      <c r="Q1272" s="1">
        <v>4</v>
      </c>
      <c r="R1272" s="1">
        <v>8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47</v>
      </c>
      <c r="AA1272" s="1" t="str" cm="1">
        <f t="array" ref="AA1272">_xlfn.IFS(AND(Z1272&lt;36, Z1272&gt;23), "24-35", AND(Z1272&lt;51, Z1272&gt;35),"36-50", AND(Z1272&lt;66, Z1272&gt;50), "51-66", Z1272&gt;65, "66+", TRUE, "?")</f>
        <v>36-50</v>
      </c>
      <c r="AB1272" s="1">
        <v>2831</v>
      </c>
      <c r="AC1272" s="1">
        <v>0</v>
      </c>
      <c r="AD1272" s="1">
        <v>1</v>
      </c>
      <c r="AE1272" s="1">
        <v>0</v>
      </c>
      <c r="AF1272" s="1">
        <v>0</v>
      </c>
      <c r="AG1272" s="1">
        <v>0</v>
      </c>
      <c r="AH1272" s="1">
        <v>0</v>
      </c>
      <c r="AI1272" s="1">
        <v>1</v>
      </c>
      <c r="AJ1272" s="1">
        <v>0</v>
      </c>
      <c r="AK1272" s="1">
        <v>0</v>
      </c>
      <c r="AL1272" s="1">
        <v>78</v>
      </c>
      <c r="AM1272" s="2">
        <v>42018</v>
      </c>
      <c r="AN1272" t="str">
        <f t="shared" si="39"/>
        <v>27803,127,0.00456785239002985,1,0,40,8,26,46,38,9,49,2,3,0,4,8,0,0,0,0,0,0,0,47,36-50,2831,0,1,0,0,0,0,1,0,0,78,42018</v>
      </c>
    </row>
    <row r="1273" spans="1:40" ht="13" hidden="1" x14ac:dyDescent="0.15">
      <c r="A1273">
        <v>1055</v>
      </c>
      <c r="B1273" s="1">
        <v>48526</v>
      </c>
      <c r="C1273" s="1">
        <v>126</v>
      </c>
      <c r="D1273" s="4">
        <f t="shared" si="38"/>
        <v>2.5965461814285128E-3</v>
      </c>
      <c r="E1273" s="1">
        <v>1</v>
      </c>
      <c r="F1273" s="1">
        <v>0</v>
      </c>
      <c r="G1273" s="1">
        <v>32</v>
      </c>
      <c r="H1273" s="1">
        <v>23</v>
      </c>
      <c r="I1273" s="1">
        <v>17</v>
      </c>
      <c r="J1273" s="1">
        <v>23</v>
      </c>
      <c r="K1273" s="1">
        <v>43</v>
      </c>
      <c r="L1273" s="1">
        <v>20</v>
      </c>
      <c r="M1273" s="1">
        <v>9</v>
      </c>
      <c r="N1273" s="1">
        <v>1</v>
      </c>
      <c r="O1273" s="1">
        <v>2</v>
      </c>
      <c r="P1273" s="1">
        <v>1</v>
      </c>
      <c r="Q1273" s="1">
        <v>4</v>
      </c>
      <c r="R1273" s="1">
        <v>3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41</v>
      </c>
      <c r="AA1273" s="1" t="str" cm="1">
        <f t="array" ref="AA1273">_xlfn.IFS(AND(Z1273&lt;36, Z1273&gt;23), "24-35", AND(Z1273&lt;51, Z1273&gt;35),"36-50", AND(Z1273&lt;66, Z1273&gt;50), "51-66", Z1273&gt;65, "66+", TRUE, "?")</f>
        <v>36-50</v>
      </c>
      <c r="AB1273" s="1">
        <v>2346</v>
      </c>
      <c r="AC1273" s="1">
        <v>0</v>
      </c>
      <c r="AD1273" s="1">
        <v>0</v>
      </c>
      <c r="AE1273" s="1">
        <v>1</v>
      </c>
      <c r="AF1273" s="1">
        <v>0</v>
      </c>
      <c r="AG1273" s="1">
        <v>0</v>
      </c>
      <c r="AH1273" s="1">
        <v>0</v>
      </c>
      <c r="AI1273" s="1">
        <v>1</v>
      </c>
      <c r="AJ1273" s="1">
        <v>0</v>
      </c>
      <c r="AK1273" s="1">
        <v>0</v>
      </c>
      <c r="AL1273" s="1">
        <v>117</v>
      </c>
      <c r="AM1273" s="2">
        <v>42503</v>
      </c>
      <c r="AN1273" t="str">
        <f t="shared" si="39"/>
        <v>48526,126,0.00259654618142851,1,0,32,23,17,23,43,20,9,1,2,1,4,3,0,0,0,0,0,0,0,41,36-50,2346,0,0,1,0,0,0,1,0,0,117,42503</v>
      </c>
    </row>
    <row r="1274" spans="1:40" ht="13" hidden="1" x14ac:dyDescent="0.15">
      <c r="A1274">
        <v>725</v>
      </c>
      <c r="B1274" s="1">
        <v>6835</v>
      </c>
      <c r="C1274" s="1">
        <v>125</v>
      </c>
      <c r="D1274" s="4">
        <f t="shared" si="38"/>
        <v>1.8288222384784197E-2</v>
      </c>
      <c r="E1274" s="1">
        <v>0</v>
      </c>
      <c r="F1274" s="1">
        <v>1</v>
      </c>
      <c r="G1274" s="1">
        <v>76</v>
      </c>
      <c r="H1274" s="1">
        <v>107</v>
      </c>
      <c r="I1274" s="1">
        <v>2</v>
      </c>
      <c r="J1274" s="1">
        <v>12</v>
      </c>
      <c r="K1274" s="1">
        <v>2</v>
      </c>
      <c r="L1274" s="1">
        <v>2</v>
      </c>
      <c r="M1274" s="1">
        <v>12</v>
      </c>
      <c r="N1274" s="1">
        <v>0</v>
      </c>
      <c r="O1274" s="1">
        <v>0</v>
      </c>
      <c r="P1274" s="1">
        <v>0</v>
      </c>
      <c r="Q1274" s="1">
        <v>1</v>
      </c>
      <c r="R1274" s="1">
        <v>20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63</v>
      </c>
      <c r="AA1274" s="1" t="str" cm="1">
        <f t="array" ref="AA1274">_xlfn.IFS(AND(Z1274&lt;36, Z1274&gt;23), "24-35", AND(Z1274&lt;51, Z1274&gt;35),"36-50", AND(Z1274&lt;66, Z1274&gt;50), "51-66", Z1274&gt;65, "66+", TRUE, "?")</f>
        <v>51-66</v>
      </c>
      <c r="AB1274" s="1">
        <v>2727</v>
      </c>
      <c r="AC1274" s="1">
        <v>0</v>
      </c>
      <c r="AD1274" s="1">
        <v>0</v>
      </c>
      <c r="AE1274" s="1">
        <v>0</v>
      </c>
      <c r="AF1274" s="1">
        <v>1</v>
      </c>
      <c r="AG1274" s="1">
        <v>0</v>
      </c>
      <c r="AH1274" s="1">
        <v>0</v>
      </c>
      <c r="AI1274" s="1">
        <v>0</v>
      </c>
      <c r="AJ1274" s="1">
        <v>0</v>
      </c>
      <c r="AK1274" s="1">
        <v>1</v>
      </c>
      <c r="AL1274" s="1">
        <v>113</v>
      </c>
      <c r="AM1274" s="2">
        <v>42122</v>
      </c>
      <c r="AN1274" t="str">
        <f t="shared" si="39"/>
        <v>6835,125,0.0182882223847842,0,1,76,107,2,12,2,2,12,0,0,0,1,20,0,0,0,0,0,0,0,63,51-66,2727,0,0,0,1,0,0,0,0,1,113,42122</v>
      </c>
    </row>
    <row r="1275" spans="1:40" ht="13" hidden="1" x14ac:dyDescent="0.15">
      <c r="A1275">
        <v>745</v>
      </c>
      <c r="B1275" s="1">
        <v>46524</v>
      </c>
      <c r="C1275" s="1">
        <v>125</v>
      </c>
      <c r="D1275" s="4">
        <f t="shared" si="38"/>
        <v>2.6867853151061817E-3</v>
      </c>
      <c r="E1275" s="1">
        <v>0</v>
      </c>
      <c r="F1275" s="1">
        <v>1</v>
      </c>
      <c r="G1275" s="1">
        <v>70</v>
      </c>
      <c r="H1275" s="1">
        <v>31</v>
      </c>
      <c r="I1275" s="1">
        <v>19</v>
      </c>
      <c r="J1275" s="1">
        <v>35</v>
      </c>
      <c r="K1275" s="1">
        <v>26</v>
      </c>
      <c r="L1275" s="1">
        <v>14</v>
      </c>
      <c r="M1275" s="1">
        <v>52</v>
      </c>
      <c r="N1275" s="1">
        <v>2</v>
      </c>
      <c r="O1275" s="1">
        <v>1</v>
      </c>
      <c r="P1275" s="1">
        <v>1</v>
      </c>
      <c r="Q1275" s="1">
        <v>5</v>
      </c>
      <c r="R1275" s="1">
        <v>3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59</v>
      </c>
      <c r="AA1275" s="1" t="str" cm="1">
        <f t="array" ref="AA1275">_xlfn.IFS(AND(Z1275&lt;36, Z1275&gt;23), "24-35", AND(Z1275&lt;51, Z1275&gt;35),"36-50", AND(Z1275&lt;66, Z1275&gt;50), "51-66", Z1275&gt;65, "66+", TRUE, "?")</f>
        <v>51-66</v>
      </c>
      <c r="AB1275" s="1">
        <v>2609</v>
      </c>
      <c r="AC1275" s="1">
        <v>0</v>
      </c>
      <c r="AD1275" s="1">
        <v>0</v>
      </c>
      <c r="AE1275" s="1">
        <v>1</v>
      </c>
      <c r="AF1275" s="1">
        <v>0</v>
      </c>
      <c r="AG1275" s="1">
        <v>0</v>
      </c>
      <c r="AH1275" s="1">
        <v>0</v>
      </c>
      <c r="AI1275" s="1">
        <v>1</v>
      </c>
      <c r="AJ1275" s="1">
        <v>0</v>
      </c>
      <c r="AK1275" s="1">
        <v>0</v>
      </c>
      <c r="AL1275" s="1">
        <v>73</v>
      </c>
      <c r="AM1275" s="2">
        <v>42240</v>
      </c>
      <c r="AN1275" t="str">
        <f t="shared" si="39"/>
        <v>46524,125,0.00268678531510618,0,1,70,31,19,35,26,14,52,2,1,1,5,3,0,0,0,0,0,0,0,59,51-66,2609,0,0,1,0,0,0,1,0,0,73,42240</v>
      </c>
    </row>
    <row r="1276" spans="1:40" ht="13" x14ac:dyDescent="0.15">
      <c r="A1276">
        <v>1644</v>
      </c>
      <c r="B1276" s="1">
        <v>25545</v>
      </c>
      <c r="C1276" s="1">
        <v>125</v>
      </c>
      <c r="D1276" s="4">
        <f t="shared" si="38"/>
        <v>4.8933255040125266E-3</v>
      </c>
      <c r="E1276" s="1">
        <v>1</v>
      </c>
      <c r="F1276" s="1">
        <v>0</v>
      </c>
      <c r="G1276" s="1">
        <v>35</v>
      </c>
      <c r="H1276" s="1">
        <v>32</v>
      </c>
      <c r="I1276" s="1">
        <v>1</v>
      </c>
      <c r="J1276" s="1">
        <v>64</v>
      </c>
      <c r="K1276" s="1">
        <v>16</v>
      </c>
      <c r="L1276" s="1">
        <v>12</v>
      </c>
      <c r="M1276" s="1">
        <v>85</v>
      </c>
      <c r="N1276" s="1">
        <v>3</v>
      </c>
      <c r="O1276" s="1">
        <v>2</v>
      </c>
      <c r="P1276" s="1">
        <v>2</v>
      </c>
      <c r="Q1276" s="1">
        <v>3</v>
      </c>
      <c r="R1276" s="1">
        <v>6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1</v>
      </c>
      <c r="Z1276" s="1">
        <v>33</v>
      </c>
      <c r="AA1276" s="1" t="str" cm="1">
        <f t="array" ref="AA1276">_xlfn.IFS(AND(Z1276&lt;36, Z1276&gt;23), "24-35", AND(Z1276&lt;51, Z1276&gt;35),"36-50", AND(Z1276&lt;66, Z1276&gt;50), "51-66", Z1276&gt;65, "66+", TRUE, "?")</f>
        <v>24-35</v>
      </c>
      <c r="AB1276" s="1">
        <v>2818</v>
      </c>
      <c r="AC1276" s="1">
        <v>0</v>
      </c>
      <c r="AD1276" s="1">
        <v>1</v>
      </c>
      <c r="AE1276" s="1">
        <v>0</v>
      </c>
      <c r="AF1276" s="1">
        <v>0</v>
      </c>
      <c r="AG1276" s="1">
        <v>0</v>
      </c>
      <c r="AH1276" s="1">
        <v>0</v>
      </c>
      <c r="AI1276" s="1">
        <v>1</v>
      </c>
      <c r="AJ1276" s="1">
        <v>0</v>
      </c>
      <c r="AK1276" s="1">
        <v>0</v>
      </c>
      <c r="AL1276" s="1">
        <v>40</v>
      </c>
      <c r="AM1276" s="2">
        <v>42031</v>
      </c>
      <c r="AN1276" t="str">
        <f t="shared" si="39"/>
        <v>25545,125,0.00489332550401253,1,0,35,32,1,64,16,12,85,3,2,2,3,6,0,0,0,0,0,0,1,33,24-35,2818,0,1,0,0,0,0,1,0,0,40,42031</v>
      </c>
    </row>
    <row r="1277" spans="1:40" ht="13" hidden="1" x14ac:dyDescent="0.15">
      <c r="A1277">
        <v>1646</v>
      </c>
      <c r="B1277" s="1">
        <v>7144</v>
      </c>
      <c r="C1277" s="1">
        <v>125</v>
      </c>
      <c r="D1277" s="4">
        <f t="shared" si="38"/>
        <v>1.7497200447928331E-2</v>
      </c>
      <c r="E1277" s="1">
        <v>0</v>
      </c>
      <c r="F1277" s="1">
        <v>2</v>
      </c>
      <c r="G1277" s="1">
        <v>92</v>
      </c>
      <c r="H1277" s="1">
        <v>81</v>
      </c>
      <c r="I1277" s="1">
        <v>4</v>
      </c>
      <c r="J1277" s="1">
        <v>33</v>
      </c>
      <c r="K1277" s="1">
        <v>5</v>
      </c>
      <c r="L1277" s="1">
        <v>2</v>
      </c>
      <c r="M1277" s="1">
        <v>291</v>
      </c>
      <c r="N1277" s="1">
        <v>0</v>
      </c>
      <c r="O1277" s="1">
        <v>23</v>
      </c>
      <c r="P1277" s="1">
        <v>1</v>
      </c>
      <c r="Q1277" s="1">
        <v>1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54</v>
      </c>
      <c r="AA1277" s="1" t="str" cm="1">
        <f t="array" ref="AA1277">_xlfn.IFS(AND(Z1277&lt;36, Z1277&gt;23), "24-35", AND(Z1277&lt;51, Z1277&gt;35),"36-50", AND(Z1277&lt;66, Z1277&gt;50), "51-66", Z1277&gt;65, "66+", TRUE, "?")</f>
        <v>51-66</v>
      </c>
      <c r="AB1277" s="1">
        <v>2363</v>
      </c>
      <c r="AC1277" s="1">
        <v>0</v>
      </c>
      <c r="AD1277" s="1">
        <v>0</v>
      </c>
      <c r="AE1277" s="1">
        <v>1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1</v>
      </c>
      <c r="AL1277" s="1">
        <v>-166</v>
      </c>
      <c r="AM1277" s="2">
        <v>42486</v>
      </c>
      <c r="AN1277" t="str">
        <f t="shared" si="39"/>
        <v>7144,125,0.0174972004479283,0,2,92,81,4,33,5,2,291,0,23,1,1,0,0,0,0,0,0,0,0,54,51-66,2363,0,0,1,0,0,0,0,0,1,-166,42486</v>
      </c>
    </row>
    <row r="1278" spans="1:40" ht="13" x14ac:dyDescent="0.15">
      <c r="A1278">
        <v>1647</v>
      </c>
      <c r="B1278" s="1">
        <v>22669</v>
      </c>
      <c r="C1278" s="1">
        <v>125</v>
      </c>
      <c r="D1278" s="4">
        <f t="shared" si="38"/>
        <v>5.514138250474216E-3</v>
      </c>
      <c r="E1278" s="1">
        <v>1</v>
      </c>
      <c r="F1278" s="1">
        <v>0</v>
      </c>
      <c r="G1278" s="1">
        <v>30</v>
      </c>
      <c r="H1278" s="1">
        <v>16</v>
      </c>
      <c r="I1278" s="1">
        <v>14</v>
      </c>
      <c r="J1278" s="1">
        <v>36</v>
      </c>
      <c r="K1278" s="1">
        <v>37</v>
      </c>
      <c r="L1278" s="1">
        <v>22</v>
      </c>
      <c r="M1278" s="1">
        <v>48</v>
      </c>
      <c r="N1278" s="1">
        <v>3</v>
      </c>
      <c r="O1278" s="1">
        <v>4</v>
      </c>
      <c r="P1278" s="1">
        <v>1</v>
      </c>
      <c r="Q1278" s="1">
        <v>2</v>
      </c>
      <c r="R1278" s="1">
        <v>9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1</v>
      </c>
      <c r="Z1278" s="1">
        <v>45</v>
      </c>
      <c r="AA1278" s="1" t="str" cm="1">
        <f t="array" ref="AA1278">_xlfn.IFS(AND(Z1278&lt;36, Z1278&gt;23), "24-35", AND(Z1278&lt;51, Z1278&gt;35),"36-50", AND(Z1278&lt;66, Z1278&gt;50), "51-66", Z1278&gt;65, "66+", TRUE, "?")</f>
        <v>36-50</v>
      </c>
      <c r="AB1278" s="1">
        <v>2562</v>
      </c>
      <c r="AC1278" s="1">
        <v>0</v>
      </c>
      <c r="AD1278" s="1">
        <v>0</v>
      </c>
      <c r="AE1278" s="1">
        <v>0</v>
      </c>
      <c r="AF1278" s="1">
        <v>1</v>
      </c>
      <c r="AG1278" s="1">
        <v>0</v>
      </c>
      <c r="AH1278" s="1">
        <v>0</v>
      </c>
      <c r="AI1278" s="1">
        <v>0</v>
      </c>
      <c r="AJ1278" s="1">
        <v>1</v>
      </c>
      <c r="AK1278" s="1">
        <v>0</v>
      </c>
      <c r="AL1278" s="1">
        <v>77</v>
      </c>
      <c r="AM1278" s="2">
        <v>42287</v>
      </c>
      <c r="AN1278" t="str">
        <f t="shared" si="39"/>
        <v>22669,125,0.00551413825047422,1,0,30,16,14,36,37,22,48,3,4,1,2,9,0,0,0,0,0,0,1,45,36-50,2562,0,0,0,1,0,0,0,1,0,77,42287</v>
      </c>
    </row>
    <row r="1279" spans="1:40" ht="13" hidden="1" x14ac:dyDescent="0.15">
      <c r="A1279">
        <v>515</v>
      </c>
      <c r="B1279" s="1">
        <v>47850</v>
      </c>
      <c r="C1279" s="1">
        <v>124</v>
      </c>
      <c r="D1279" s="4">
        <f t="shared" si="38"/>
        <v>2.5914315569487982E-3</v>
      </c>
      <c r="E1279" s="1">
        <v>1</v>
      </c>
      <c r="F1279" s="1">
        <v>0</v>
      </c>
      <c r="G1279" s="1">
        <v>72</v>
      </c>
      <c r="H1279" s="1">
        <v>42</v>
      </c>
      <c r="I1279" s="1">
        <v>7</v>
      </c>
      <c r="J1279" s="1">
        <v>43</v>
      </c>
      <c r="K1279" s="1">
        <v>20</v>
      </c>
      <c r="L1279" s="1">
        <v>12</v>
      </c>
      <c r="M1279" s="1">
        <v>10</v>
      </c>
      <c r="N1279" s="1">
        <v>1</v>
      </c>
      <c r="O1279" s="1">
        <v>3</v>
      </c>
      <c r="P1279" s="1">
        <v>0</v>
      </c>
      <c r="Q1279" s="1">
        <v>4</v>
      </c>
      <c r="R1279" s="1">
        <v>6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40</v>
      </c>
      <c r="AA1279" s="1" t="str" cm="1">
        <f t="array" ref="AA1279">_xlfn.IFS(AND(Z1279&lt;36, Z1279&gt;23), "24-35", AND(Z1279&lt;51, Z1279&gt;35),"36-50", AND(Z1279&lt;66, Z1279&gt;50), "51-66", Z1279&gt;65, "66+", TRUE, "?")</f>
        <v>36-50</v>
      </c>
      <c r="AB1279" s="1">
        <v>2367</v>
      </c>
      <c r="AC1279" s="1">
        <v>0</v>
      </c>
      <c r="AD1279" s="1">
        <v>1</v>
      </c>
      <c r="AE1279" s="1">
        <v>0</v>
      </c>
      <c r="AF1279" s="1">
        <v>0</v>
      </c>
      <c r="AG1279" s="1">
        <v>0</v>
      </c>
      <c r="AH1279" s="1">
        <v>0</v>
      </c>
      <c r="AI1279" s="1">
        <v>1</v>
      </c>
      <c r="AJ1279" s="1">
        <v>0</v>
      </c>
      <c r="AK1279" s="1">
        <v>0</v>
      </c>
      <c r="AL1279" s="1">
        <v>114</v>
      </c>
      <c r="AM1279" s="2">
        <v>42482</v>
      </c>
      <c r="AN1279" t="str">
        <f t="shared" si="39"/>
        <v>47850,124,0.0025914315569488,1,0,72,42,7,43,20,12,10,1,3,0,4,6,0,0,0,0,0,0,0,40,36-50,2367,0,1,0,0,0,0,1,0,0,114,42482</v>
      </c>
    </row>
    <row r="1280" spans="1:40" ht="13" hidden="1" x14ac:dyDescent="0.15">
      <c r="A1280">
        <v>269</v>
      </c>
      <c r="B1280" s="1">
        <v>38361</v>
      </c>
      <c r="C1280" s="1">
        <v>123</v>
      </c>
      <c r="D1280" s="4">
        <f t="shared" si="38"/>
        <v>3.2063814811918354E-3</v>
      </c>
      <c r="E1280" s="1">
        <v>1</v>
      </c>
      <c r="F1280" s="1">
        <v>0</v>
      </c>
      <c r="G1280" s="1">
        <v>74</v>
      </c>
      <c r="H1280" s="1">
        <v>39</v>
      </c>
      <c r="I1280" s="1">
        <v>0</v>
      </c>
      <c r="J1280" s="1">
        <v>56</v>
      </c>
      <c r="K1280" s="1">
        <v>20</v>
      </c>
      <c r="L1280" s="1">
        <v>8</v>
      </c>
      <c r="M1280" s="1">
        <v>14</v>
      </c>
      <c r="N1280" s="1">
        <v>3</v>
      </c>
      <c r="O1280" s="1">
        <v>3</v>
      </c>
      <c r="P1280" s="1">
        <v>1</v>
      </c>
      <c r="Q1280" s="1">
        <v>3</v>
      </c>
      <c r="R1280" s="1">
        <v>7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51</v>
      </c>
      <c r="AA1280" s="1" t="str" cm="1">
        <f t="array" ref="AA1280">_xlfn.IFS(AND(Z1280&lt;36, Z1280&gt;23), "24-35", AND(Z1280&lt;51, Z1280&gt;35),"36-50", AND(Z1280&lt;66, Z1280&gt;50), "51-66", Z1280&gt;65, "66+", TRUE, "?")</f>
        <v>51-66</v>
      </c>
      <c r="AB1280" s="1">
        <v>2343</v>
      </c>
      <c r="AC1280" s="1">
        <v>0</v>
      </c>
      <c r="AD1280" s="1">
        <v>0</v>
      </c>
      <c r="AE1280" s="1">
        <v>0</v>
      </c>
      <c r="AF1280" s="1">
        <v>1</v>
      </c>
      <c r="AG1280" s="1">
        <v>0</v>
      </c>
      <c r="AH1280" s="1">
        <v>0</v>
      </c>
      <c r="AI1280" s="1">
        <v>1</v>
      </c>
      <c r="AJ1280" s="1">
        <v>0</v>
      </c>
      <c r="AK1280" s="1">
        <v>0</v>
      </c>
      <c r="AL1280" s="1">
        <v>109</v>
      </c>
      <c r="AM1280" s="2">
        <v>42506</v>
      </c>
      <c r="AN1280" t="str">
        <f t="shared" si="39"/>
        <v>38361,123,0.00320638148119184,1,0,74,39,0,56,20,8,14,3,3,1,3,7,0,0,0,0,0,0,0,51,51-66,2343,0,0,0,1,0,0,1,0,0,109,42506</v>
      </c>
    </row>
    <row r="1281" spans="1:40" ht="13" hidden="1" x14ac:dyDescent="0.15">
      <c r="A1281">
        <v>753</v>
      </c>
      <c r="B1281" s="1">
        <v>34838</v>
      </c>
      <c r="C1281" s="1">
        <v>123</v>
      </c>
      <c r="D1281" s="4">
        <f t="shared" si="38"/>
        <v>3.5306274757448764E-3</v>
      </c>
      <c r="E1281" s="1">
        <v>1</v>
      </c>
      <c r="F1281" s="1">
        <v>1</v>
      </c>
      <c r="G1281" s="1">
        <v>62</v>
      </c>
      <c r="H1281" s="1">
        <v>28</v>
      </c>
      <c r="I1281" s="1">
        <v>23</v>
      </c>
      <c r="J1281" s="1">
        <v>29</v>
      </c>
      <c r="K1281" s="1">
        <v>29</v>
      </c>
      <c r="L1281" s="1">
        <v>14</v>
      </c>
      <c r="M1281" s="1">
        <v>47</v>
      </c>
      <c r="N1281" s="1">
        <v>3</v>
      </c>
      <c r="O1281" s="1">
        <v>2</v>
      </c>
      <c r="P1281" s="1">
        <v>1</v>
      </c>
      <c r="Q1281" s="1">
        <v>4</v>
      </c>
      <c r="R1281" s="1">
        <v>6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69</v>
      </c>
      <c r="AA1281" s="1" t="str" cm="1">
        <f t="array" ref="AA1281">_xlfn.IFS(AND(Z1281&lt;36, Z1281&gt;23), "24-35", AND(Z1281&lt;51, Z1281&gt;35),"36-50", AND(Z1281&lt;66, Z1281&gt;50), "51-66", Z1281&gt;65, "66+", TRUE, "?")</f>
        <v>66+</v>
      </c>
      <c r="AB1281" s="1">
        <v>2685</v>
      </c>
      <c r="AC1281" s="1">
        <v>0</v>
      </c>
      <c r="AD1281" s="1">
        <v>1</v>
      </c>
      <c r="AE1281" s="1">
        <v>0</v>
      </c>
      <c r="AF1281" s="1">
        <v>0</v>
      </c>
      <c r="AG1281" s="1">
        <v>0</v>
      </c>
      <c r="AH1281" s="1">
        <v>0</v>
      </c>
      <c r="AI1281" s="1">
        <v>1</v>
      </c>
      <c r="AJ1281" s="1">
        <v>0</v>
      </c>
      <c r="AK1281" s="1">
        <v>0</v>
      </c>
      <c r="AL1281" s="1">
        <v>76</v>
      </c>
      <c r="AM1281" s="2">
        <v>42164</v>
      </c>
      <c r="AN1281" t="str">
        <f t="shared" si="39"/>
        <v>34838,123,0.00353062747574488,1,1,62,28,23,29,29,14,47,3,2,1,4,6,0,0,0,0,0,0,0,69,66+,2685,0,1,0,0,0,0,1,0,0,76,42164</v>
      </c>
    </row>
    <row r="1282" spans="1:40" ht="13" x14ac:dyDescent="0.15">
      <c r="A1282">
        <v>1655</v>
      </c>
      <c r="B1282" s="1">
        <v>45203</v>
      </c>
      <c r="C1282" s="1">
        <v>123</v>
      </c>
      <c r="D1282" s="4">
        <f t="shared" ref="D1282:D1345" si="40">C1282/B1282</f>
        <v>2.7210583368360505E-3</v>
      </c>
      <c r="E1282" s="1">
        <v>2</v>
      </c>
      <c r="F1282" s="1">
        <v>0</v>
      </c>
      <c r="G1282" s="1">
        <v>4</v>
      </c>
      <c r="H1282" s="1">
        <v>35</v>
      </c>
      <c r="I1282" s="1">
        <v>3</v>
      </c>
      <c r="J1282" s="1">
        <v>67</v>
      </c>
      <c r="K1282" s="1">
        <v>10</v>
      </c>
      <c r="L1282" s="1">
        <v>8</v>
      </c>
      <c r="M1282" s="1">
        <v>24</v>
      </c>
      <c r="N1282" s="1">
        <v>1</v>
      </c>
      <c r="O1282" s="1">
        <v>3</v>
      </c>
      <c r="P1282" s="1">
        <v>1</v>
      </c>
      <c r="Q1282" s="1">
        <v>3</v>
      </c>
      <c r="R1282" s="1">
        <v>6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1</v>
      </c>
      <c r="Z1282" s="1">
        <v>38</v>
      </c>
      <c r="AA1282" s="1" t="str" cm="1">
        <f t="array" ref="AA1282">_xlfn.IFS(AND(Z1282&lt;36, Z1282&gt;23), "24-35", AND(Z1282&lt;51, Z1282&gt;35),"36-50", AND(Z1282&lt;66, Z1282&gt;50), "51-66", Z1282&gt;65, "66+", TRUE, "?")</f>
        <v>36-50</v>
      </c>
      <c r="AB1282" s="1">
        <v>2257</v>
      </c>
      <c r="AC1282" s="1">
        <v>0</v>
      </c>
      <c r="AD1282" s="1">
        <v>0</v>
      </c>
      <c r="AE1282" s="1">
        <v>0</v>
      </c>
      <c r="AF1282" s="1">
        <v>1</v>
      </c>
      <c r="AG1282" s="1">
        <v>0</v>
      </c>
      <c r="AH1282" s="1">
        <v>0</v>
      </c>
      <c r="AI1282" s="1">
        <v>1</v>
      </c>
      <c r="AJ1282" s="1">
        <v>0</v>
      </c>
      <c r="AK1282" s="1">
        <v>0</v>
      </c>
      <c r="AL1282" s="1">
        <v>99</v>
      </c>
      <c r="AM1282" s="2">
        <v>42592</v>
      </c>
      <c r="AN1282" t="str">
        <f t="shared" ref="AN1282:AN1345" si="41">_xlfn.TEXTJOIN(",",TRUE,B1282:AM1282)</f>
        <v>45203,123,0.00272105833683605,2,0,4,35,3,67,10,8,24,1,3,1,3,6,0,0,0,0,0,0,1,38,36-50,2257,0,0,0,1,0,0,1,0,0,99,42592</v>
      </c>
    </row>
    <row r="1283" spans="1:40" ht="13" hidden="1" x14ac:dyDescent="0.15">
      <c r="A1283">
        <v>1987</v>
      </c>
      <c r="B1283" s="1">
        <v>43322</v>
      </c>
      <c r="C1283" s="1">
        <v>123</v>
      </c>
      <c r="D1283" s="4">
        <f t="shared" si="40"/>
        <v>2.8392040995337243E-3</v>
      </c>
      <c r="E1283" s="1">
        <v>0</v>
      </c>
      <c r="F1283" s="1">
        <v>0</v>
      </c>
      <c r="G1283" s="1">
        <v>25</v>
      </c>
      <c r="H1283" s="1">
        <v>56</v>
      </c>
      <c r="I1283" s="1">
        <v>7</v>
      </c>
      <c r="J1283" s="1">
        <v>48</v>
      </c>
      <c r="K1283" s="1">
        <v>10</v>
      </c>
      <c r="L1283" s="1">
        <v>2</v>
      </c>
      <c r="M1283" s="1">
        <v>18</v>
      </c>
      <c r="N1283" s="1">
        <v>1</v>
      </c>
      <c r="O1283" s="1">
        <v>3</v>
      </c>
      <c r="P1283" s="1">
        <v>0</v>
      </c>
      <c r="Q1283" s="1">
        <v>4</v>
      </c>
      <c r="R1283" s="1">
        <v>7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46</v>
      </c>
      <c r="AA1283" s="1" t="str" cm="1">
        <f t="array" ref="AA1283">_xlfn.IFS(AND(Z1283&lt;36, Z1283&gt;23), "24-35", AND(Z1283&lt;51, Z1283&gt;35),"36-50", AND(Z1283&lt;66, Z1283&gt;50), "51-66", Z1283&gt;65, "66+", TRUE, "?")</f>
        <v>36-50</v>
      </c>
      <c r="AB1283" s="1">
        <v>2228</v>
      </c>
      <c r="AC1283" s="1">
        <v>0</v>
      </c>
      <c r="AD1283" s="1">
        <v>0</v>
      </c>
      <c r="AE1283" s="1">
        <v>1</v>
      </c>
      <c r="AF1283" s="1">
        <v>0</v>
      </c>
      <c r="AG1283" s="1">
        <v>0</v>
      </c>
      <c r="AH1283" s="1">
        <v>0</v>
      </c>
      <c r="AI1283" s="1">
        <v>1</v>
      </c>
      <c r="AJ1283" s="1">
        <v>0</v>
      </c>
      <c r="AK1283" s="1">
        <v>0</v>
      </c>
      <c r="AL1283" s="1">
        <v>105</v>
      </c>
      <c r="AM1283" s="2">
        <v>42621</v>
      </c>
      <c r="AN1283" t="str">
        <f t="shared" si="41"/>
        <v>43322,123,0.00283920409953372,0,0,25,56,7,48,10,2,18,1,3,0,4,7,0,0,0,0,0,0,0,46,36-50,2228,0,0,1,0,0,0,1,0,0,105,42621</v>
      </c>
    </row>
    <row r="1284" spans="1:40" ht="13" hidden="1" x14ac:dyDescent="0.15">
      <c r="A1284">
        <v>719</v>
      </c>
      <c r="B1284" s="1">
        <v>46891</v>
      </c>
      <c r="C1284" s="1">
        <v>122</v>
      </c>
      <c r="D1284" s="4">
        <f t="shared" si="40"/>
        <v>2.6017785929069543E-3</v>
      </c>
      <c r="E1284" s="1">
        <v>0</v>
      </c>
      <c r="F1284" s="1">
        <v>1</v>
      </c>
      <c r="G1284" s="1">
        <v>91</v>
      </c>
      <c r="H1284" s="1">
        <v>43</v>
      </c>
      <c r="I1284" s="1">
        <v>12</v>
      </c>
      <c r="J1284" s="1">
        <v>23</v>
      </c>
      <c r="K1284" s="1">
        <v>29</v>
      </c>
      <c r="L1284" s="1">
        <v>15</v>
      </c>
      <c r="M1284" s="1">
        <v>61</v>
      </c>
      <c r="N1284" s="1">
        <v>1</v>
      </c>
      <c r="O1284" s="1">
        <v>2</v>
      </c>
      <c r="P1284" s="1">
        <v>1</v>
      </c>
      <c r="Q1284" s="1">
        <v>4</v>
      </c>
      <c r="R1284" s="1">
        <v>4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55</v>
      </c>
      <c r="AA1284" s="1" t="str" cm="1">
        <f t="array" ref="AA1284">_xlfn.IFS(AND(Z1284&lt;36, Z1284&gt;23), "24-35", AND(Z1284&lt;51, Z1284&gt;35),"36-50", AND(Z1284&lt;66, Z1284&gt;50), "51-66", Z1284&gt;65, "66+", TRUE, "?")</f>
        <v>51-66</v>
      </c>
      <c r="AB1284" s="1">
        <v>2460</v>
      </c>
      <c r="AC1284" s="1">
        <v>0</v>
      </c>
      <c r="AD1284" s="1">
        <v>1</v>
      </c>
      <c r="AE1284" s="1">
        <v>0</v>
      </c>
      <c r="AF1284" s="1">
        <v>0</v>
      </c>
      <c r="AG1284" s="1">
        <v>0</v>
      </c>
      <c r="AH1284" s="1">
        <v>1</v>
      </c>
      <c r="AI1284" s="1">
        <v>0</v>
      </c>
      <c r="AJ1284" s="1">
        <v>0</v>
      </c>
      <c r="AK1284" s="1">
        <v>0</v>
      </c>
      <c r="AL1284" s="1">
        <v>61</v>
      </c>
      <c r="AM1284" s="2">
        <v>42389</v>
      </c>
      <c r="AN1284" t="str">
        <f t="shared" si="41"/>
        <v>46891,122,0.00260177859290695,0,1,91,43,12,23,29,15,61,1,2,1,4,4,0,0,0,0,0,0,0,55,51-66,2460,0,1,0,0,0,1,0,0,0,61,42389</v>
      </c>
    </row>
    <row r="1285" spans="1:40" ht="13" hidden="1" x14ac:dyDescent="0.15">
      <c r="A1285">
        <v>1368</v>
      </c>
      <c r="B1285" s="1">
        <v>39898</v>
      </c>
      <c r="C1285" s="1">
        <v>122</v>
      </c>
      <c r="D1285" s="4">
        <f t="shared" si="40"/>
        <v>3.0577973833274849E-3</v>
      </c>
      <c r="E1285" s="1">
        <v>0</v>
      </c>
      <c r="F1285" s="1">
        <v>1</v>
      </c>
      <c r="G1285" s="1">
        <v>20</v>
      </c>
      <c r="H1285" s="1">
        <v>69</v>
      </c>
      <c r="I1285" s="1">
        <v>8</v>
      </c>
      <c r="J1285" s="1">
        <v>26</v>
      </c>
      <c r="K1285" s="1">
        <v>12</v>
      </c>
      <c r="L1285" s="1">
        <v>7</v>
      </c>
      <c r="M1285" s="1">
        <v>12</v>
      </c>
      <c r="N1285" s="1">
        <v>2</v>
      </c>
      <c r="O1285" s="1">
        <v>3</v>
      </c>
      <c r="P1285" s="1">
        <v>0</v>
      </c>
      <c r="Q1285" s="1">
        <v>4</v>
      </c>
      <c r="R1285" s="1">
        <v>7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66</v>
      </c>
      <c r="AA1285" s="1" t="str" cm="1">
        <f t="array" ref="AA1285">_xlfn.IFS(AND(Z1285&lt;36, Z1285&gt;23), "24-35", AND(Z1285&lt;51, Z1285&gt;35),"36-50", AND(Z1285&lt;66, Z1285&gt;50), "51-66", Z1285&gt;65, "66+", TRUE, "?")</f>
        <v>66+</v>
      </c>
      <c r="AB1285" s="1">
        <v>2661</v>
      </c>
      <c r="AC1285" s="1">
        <v>0</v>
      </c>
      <c r="AD1285" s="1">
        <v>0</v>
      </c>
      <c r="AE1285" s="1">
        <v>0</v>
      </c>
      <c r="AF1285" s="1">
        <v>1</v>
      </c>
      <c r="AG1285" s="1">
        <v>0</v>
      </c>
      <c r="AH1285" s="1">
        <v>0</v>
      </c>
      <c r="AI1285" s="1">
        <v>1</v>
      </c>
      <c r="AJ1285" s="1">
        <v>0</v>
      </c>
      <c r="AK1285" s="1">
        <v>0</v>
      </c>
      <c r="AL1285" s="1">
        <v>110</v>
      </c>
      <c r="AM1285" s="2">
        <v>42188</v>
      </c>
      <c r="AN1285" t="str">
        <f t="shared" si="41"/>
        <v>39898,122,0.00305779738332748,0,1,20,69,8,26,12,7,12,2,3,0,4,7,0,0,0,0,0,0,0,66,66+,2661,0,0,0,1,0,0,1,0,0,110,42188</v>
      </c>
    </row>
    <row r="1286" spans="1:40" ht="13" hidden="1" x14ac:dyDescent="0.15">
      <c r="A1286">
        <v>1514</v>
      </c>
      <c r="B1286" s="1">
        <v>56551</v>
      </c>
      <c r="C1286" s="1">
        <v>122</v>
      </c>
      <c r="D1286" s="4">
        <f t="shared" si="40"/>
        <v>2.1573446977064949E-3</v>
      </c>
      <c r="E1286" s="1">
        <v>1</v>
      </c>
      <c r="F1286" s="1">
        <v>1</v>
      </c>
      <c r="G1286" s="1">
        <v>48</v>
      </c>
      <c r="H1286" s="1">
        <v>67</v>
      </c>
      <c r="I1286" s="1">
        <v>4</v>
      </c>
      <c r="J1286" s="1">
        <v>32</v>
      </c>
      <c r="K1286" s="1">
        <v>17</v>
      </c>
      <c r="L1286" s="1">
        <v>2</v>
      </c>
      <c r="M1286" s="1">
        <v>16</v>
      </c>
      <c r="N1286" s="1">
        <v>3</v>
      </c>
      <c r="O1286" s="1">
        <v>2</v>
      </c>
      <c r="P1286" s="1">
        <v>1</v>
      </c>
      <c r="Q1286" s="1">
        <v>4</v>
      </c>
      <c r="R1286" s="1">
        <v>4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70</v>
      </c>
      <c r="AA1286" s="1" t="str" cm="1">
        <f t="array" ref="AA1286">_xlfn.IFS(AND(Z1286&lt;36, Z1286&gt;23), "24-35", AND(Z1286&lt;51, Z1286&gt;35),"36-50", AND(Z1286&lt;66, Z1286&gt;50), "51-66", Z1286&gt;65, "66+", TRUE, "?")</f>
        <v>66+</v>
      </c>
      <c r="AB1286" s="1">
        <v>2212</v>
      </c>
      <c r="AC1286" s="1">
        <v>0</v>
      </c>
      <c r="AD1286" s="1">
        <v>0</v>
      </c>
      <c r="AE1286" s="1">
        <v>0</v>
      </c>
      <c r="AF1286" s="1">
        <v>0</v>
      </c>
      <c r="AG1286" s="1">
        <v>1</v>
      </c>
      <c r="AH1286" s="1">
        <v>0</v>
      </c>
      <c r="AI1286" s="1">
        <v>0</v>
      </c>
      <c r="AJ1286" s="1">
        <v>0</v>
      </c>
      <c r="AK1286" s="1">
        <v>1</v>
      </c>
      <c r="AL1286" s="1">
        <v>106</v>
      </c>
      <c r="AM1286" s="2">
        <v>42637</v>
      </c>
      <c r="AN1286" t="str">
        <f t="shared" si="41"/>
        <v>56551,122,0.00215734469770649,1,1,48,67,4,32,17,2,16,3,2,1,4,4,0,0,0,0,0,0,0,70,66+,2212,0,0,0,0,1,0,0,0,1,106,42637</v>
      </c>
    </row>
    <row r="1287" spans="1:40" ht="13" hidden="1" x14ac:dyDescent="0.15">
      <c r="A1287">
        <v>27</v>
      </c>
      <c r="B1287" s="1">
        <v>38360</v>
      </c>
      <c r="C1287" s="1">
        <v>121</v>
      </c>
      <c r="D1287" s="4">
        <f t="shared" si="40"/>
        <v>3.1543274244004169E-3</v>
      </c>
      <c r="E1287" s="1">
        <v>1</v>
      </c>
      <c r="F1287" s="1">
        <v>0</v>
      </c>
      <c r="G1287" s="1">
        <v>26</v>
      </c>
      <c r="H1287" s="1">
        <v>36</v>
      </c>
      <c r="I1287" s="1">
        <v>2</v>
      </c>
      <c r="J1287" s="1">
        <v>42</v>
      </c>
      <c r="K1287" s="1">
        <v>20</v>
      </c>
      <c r="L1287" s="1">
        <v>21</v>
      </c>
      <c r="M1287" s="1">
        <v>10</v>
      </c>
      <c r="N1287" s="1">
        <v>2</v>
      </c>
      <c r="O1287" s="1">
        <v>2</v>
      </c>
      <c r="P1287" s="1">
        <v>1</v>
      </c>
      <c r="Q1287" s="1">
        <v>4</v>
      </c>
      <c r="R1287" s="1">
        <v>3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31</v>
      </c>
      <c r="AA1287" s="1" t="str" cm="1">
        <f t="array" ref="AA1287">_xlfn.IFS(AND(Z1287&lt;36, Z1287&gt;23), "24-35", AND(Z1287&lt;51, Z1287&gt;35),"36-50", AND(Z1287&lt;66, Z1287&gt;50), "51-66", Z1287&gt;65, "66+", TRUE, "?")</f>
        <v>24-35</v>
      </c>
      <c r="AB1287" s="1">
        <v>2553</v>
      </c>
      <c r="AC1287" s="1">
        <v>0</v>
      </c>
      <c r="AD1287" s="1">
        <v>1</v>
      </c>
      <c r="AE1287" s="1">
        <v>0</v>
      </c>
      <c r="AF1287" s="1">
        <v>0</v>
      </c>
      <c r="AG1287" s="1">
        <v>0</v>
      </c>
      <c r="AH1287" s="1">
        <v>0</v>
      </c>
      <c r="AI1287" s="1">
        <v>1</v>
      </c>
      <c r="AJ1287" s="1">
        <v>0</v>
      </c>
      <c r="AK1287" s="1">
        <v>0</v>
      </c>
      <c r="AL1287" s="1">
        <v>111</v>
      </c>
      <c r="AM1287" s="2">
        <v>42296</v>
      </c>
      <c r="AN1287" t="str">
        <f t="shared" si="41"/>
        <v>38360,121,0.00315432742440042,1,0,26,36,2,42,20,21,10,2,2,1,4,3,0,0,0,0,0,0,0,31,24-35,2553,0,1,0,0,0,0,1,0,0,111,42296</v>
      </c>
    </row>
    <row r="1288" spans="1:40" ht="13" hidden="1" x14ac:dyDescent="0.15">
      <c r="A1288">
        <v>158</v>
      </c>
      <c r="B1288" s="1">
        <v>50447</v>
      </c>
      <c r="C1288" s="1">
        <v>121</v>
      </c>
      <c r="D1288" s="4">
        <f t="shared" si="40"/>
        <v>2.398556901302357E-3</v>
      </c>
      <c r="E1288" s="1">
        <v>2</v>
      </c>
      <c r="F1288" s="1">
        <v>0</v>
      </c>
      <c r="G1288" s="1">
        <v>4</v>
      </c>
      <c r="H1288" s="1">
        <v>85</v>
      </c>
      <c r="I1288" s="1">
        <v>7</v>
      </c>
      <c r="J1288" s="1">
        <v>24</v>
      </c>
      <c r="K1288" s="1">
        <v>2</v>
      </c>
      <c r="L1288" s="1">
        <v>3</v>
      </c>
      <c r="M1288" s="1">
        <v>27</v>
      </c>
      <c r="N1288" s="1">
        <v>1</v>
      </c>
      <c r="O1288" s="1">
        <v>3</v>
      </c>
      <c r="P1288" s="1">
        <v>1</v>
      </c>
      <c r="Q1288" s="1">
        <v>3</v>
      </c>
      <c r="R1288" s="1">
        <v>6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50</v>
      </c>
      <c r="AA1288" s="1" t="str" cm="1">
        <f t="array" ref="AA1288">_xlfn.IFS(AND(Z1288&lt;36, Z1288&gt;23), "24-35", AND(Z1288&lt;51, Z1288&gt;35),"36-50", AND(Z1288&lt;66, Z1288&gt;50), "51-66", Z1288&gt;65, "66+", TRUE, "?")</f>
        <v>36-50</v>
      </c>
      <c r="AB1288" s="1">
        <v>2228</v>
      </c>
      <c r="AC1288" s="1">
        <v>0</v>
      </c>
      <c r="AD1288" s="1">
        <v>1</v>
      </c>
      <c r="AE1288" s="1">
        <v>0</v>
      </c>
      <c r="AF1288" s="1">
        <v>0</v>
      </c>
      <c r="AG1288" s="1">
        <v>0</v>
      </c>
      <c r="AH1288" s="1">
        <v>0</v>
      </c>
      <c r="AI1288" s="1">
        <v>1</v>
      </c>
      <c r="AJ1288" s="1">
        <v>0</v>
      </c>
      <c r="AK1288" s="1">
        <v>0</v>
      </c>
      <c r="AL1288" s="1">
        <v>94</v>
      </c>
      <c r="AM1288" s="2">
        <v>42621</v>
      </c>
      <c r="AN1288" t="str">
        <f t="shared" si="41"/>
        <v>50447,121,0.00239855690130236,2,0,4,85,7,24,2,3,27,1,3,1,3,6,0,0,0,0,0,0,0,50,36-50,2228,0,1,0,0,0,0,1,0,0,94,42621</v>
      </c>
    </row>
    <row r="1289" spans="1:40" ht="13" hidden="1" x14ac:dyDescent="0.15">
      <c r="A1289">
        <v>316</v>
      </c>
      <c r="B1289" s="1">
        <v>41411</v>
      </c>
      <c r="C1289" s="1">
        <v>121</v>
      </c>
      <c r="D1289" s="4">
        <f t="shared" si="40"/>
        <v>2.9219289560744729E-3</v>
      </c>
      <c r="E1289" s="1">
        <v>0</v>
      </c>
      <c r="F1289" s="1">
        <v>0</v>
      </c>
      <c r="G1289" s="1">
        <v>11</v>
      </c>
      <c r="H1289" s="1">
        <v>37</v>
      </c>
      <c r="I1289" s="1">
        <v>32</v>
      </c>
      <c r="J1289" s="1">
        <v>38</v>
      </c>
      <c r="K1289" s="1">
        <v>11</v>
      </c>
      <c r="L1289" s="1">
        <v>3</v>
      </c>
      <c r="M1289" s="1">
        <v>18</v>
      </c>
      <c r="N1289" s="1">
        <v>1</v>
      </c>
      <c r="O1289" s="1">
        <v>2</v>
      </c>
      <c r="P1289" s="1">
        <v>1</v>
      </c>
      <c r="Q1289" s="1">
        <v>4</v>
      </c>
      <c r="R1289" s="1">
        <v>6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34</v>
      </c>
      <c r="AA1289" s="1" t="str" cm="1">
        <f t="array" ref="AA1289">_xlfn.IFS(AND(Z1289&lt;36, Z1289&gt;23), "24-35", AND(Z1289&lt;51, Z1289&gt;35),"36-50", AND(Z1289&lt;66, Z1289&gt;50), "51-66", Z1289&gt;65, "66+", TRUE, "?")</f>
        <v>24-35</v>
      </c>
      <c r="AB1289" s="1">
        <v>2363</v>
      </c>
      <c r="AC1289" s="1">
        <v>1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1</v>
      </c>
      <c r="AJ1289" s="1">
        <v>0</v>
      </c>
      <c r="AK1289" s="1">
        <v>0</v>
      </c>
      <c r="AL1289" s="1">
        <v>103</v>
      </c>
      <c r="AM1289" s="2">
        <v>42486</v>
      </c>
      <c r="AN1289" t="str">
        <f t="shared" si="41"/>
        <v>41411,121,0.00292192895607447,0,0,11,37,32,38,11,3,18,1,2,1,4,6,0,0,0,0,0,0,0,34,24-35,2363,1,0,0,0,0,0,1,0,0,103,42486</v>
      </c>
    </row>
    <row r="1290" spans="1:40" ht="13" hidden="1" x14ac:dyDescent="0.15">
      <c r="A1290">
        <v>433</v>
      </c>
      <c r="B1290" s="1">
        <v>50520</v>
      </c>
      <c r="C1290" s="1">
        <v>121</v>
      </c>
      <c r="D1290" s="4">
        <f t="shared" si="40"/>
        <v>2.3950910530482978E-3</v>
      </c>
      <c r="E1290" s="1">
        <v>0</v>
      </c>
      <c r="F1290" s="1">
        <v>1</v>
      </c>
      <c r="G1290" s="1">
        <v>25</v>
      </c>
      <c r="H1290" s="1">
        <v>112</v>
      </c>
      <c r="I1290" s="1">
        <v>0</v>
      </c>
      <c r="J1290" s="1">
        <v>6</v>
      </c>
      <c r="K1290" s="1">
        <v>2</v>
      </c>
      <c r="L1290" s="1">
        <v>1</v>
      </c>
      <c r="M1290" s="1">
        <v>14</v>
      </c>
      <c r="N1290" s="1">
        <v>2</v>
      </c>
      <c r="O1290" s="1">
        <v>3</v>
      </c>
      <c r="P1290" s="1">
        <v>1</v>
      </c>
      <c r="Q1290" s="1">
        <v>3</v>
      </c>
      <c r="R1290" s="1">
        <v>6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62</v>
      </c>
      <c r="AA1290" s="1" t="str" cm="1">
        <f t="array" ref="AA1290">_xlfn.IFS(AND(Z1290&lt;36, Z1290&gt;23), "24-35", AND(Z1290&lt;51, Z1290&gt;35),"36-50", AND(Z1290&lt;66, Z1290&gt;50), "51-66", Z1290&gt;65, "66+", TRUE, "?")</f>
        <v>51-66</v>
      </c>
      <c r="AB1290" s="1">
        <v>2311</v>
      </c>
      <c r="AC1290" s="1">
        <v>0</v>
      </c>
      <c r="AD1290" s="1">
        <v>0</v>
      </c>
      <c r="AE1290" s="1">
        <v>0</v>
      </c>
      <c r="AF1290" s="1">
        <v>0</v>
      </c>
      <c r="AG1290" s="1">
        <v>1</v>
      </c>
      <c r="AH1290" s="1">
        <v>0</v>
      </c>
      <c r="AI1290" s="1">
        <v>0</v>
      </c>
      <c r="AJ1290" s="1">
        <v>0</v>
      </c>
      <c r="AK1290" s="1">
        <v>1</v>
      </c>
      <c r="AL1290" s="1">
        <v>107</v>
      </c>
      <c r="AM1290" s="2">
        <v>42538</v>
      </c>
      <c r="AN1290" t="str">
        <f t="shared" si="41"/>
        <v>50520,121,0.0023950910530483,0,1,25,112,0,6,2,1,14,2,3,1,3,6,0,0,0,0,0,0,0,62,51-66,2311,0,0,0,0,1,0,0,0,1,107,42538</v>
      </c>
    </row>
    <row r="1291" spans="1:40" ht="13" hidden="1" x14ac:dyDescent="0.15">
      <c r="A1291">
        <v>826</v>
      </c>
      <c r="B1291" s="1">
        <v>17117</v>
      </c>
      <c r="C1291" s="1">
        <v>121</v>
      </c>
      <c r="D1291" s="4">
        <f t="shared" si="40"/>
        <v>7.0689957352339777E-3</v>
      </c>
      <c r="E1291" s="1">
        <v>1</v>
      </c>
      <c r="F1291" s="1">
        <v>0</v>
      </c>
      <c r="G1291" s="1">
        <v>96</v>
      </c>
      <c r="H1291" s="1">
        <v>12</v>
      </c>
      <c r="I1291" s="1">
        <v>23</v>
      </c>
      <c r="J1291" s="1">
        <v>38</v>
      </c>
      <c r="K1291" s="1">
        <v>30</v>
      </c>
      <c r="L1291" s="1">
        <v>18</v>
      </c>
      <c r="M1291" s="1">
        <v>7</v>
      </c>
      <c r="N1291" s="1">
        <v>4</v>
      </c>
      <c r="O1291" s="1">
        <v>3</v>
      </c>
      <c r="P1291" s="1">
        <v>1</v>
      </c>
      <c r="Q1291" s="1">
        <v>3</v>
      </c>
      <c r="R1291" s="1">
        <v>9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42</v>
      </c>
      <c r="AA1291" s="1" t="str" cm="1">
        <f t="array" ref="AA1291">_xlfn.IFS(AND(Z1291&lt;36, Z1291&gt;23), "24-35", AND(Z1291&lt;51, Z1291&gt;35),"36-50", AND(Z1291&lt;66, Z1291&gt;50), "51-66", Z1291&gt;65, "66+", TRUE, "?")</f>
        <v>36-50</v>
      </c>
      <c r="AB1291" s="1">
        <v>2687</v>
      </c>
      <c r="AC1291" s="1">
        <v>0</v>
      </c>
      <c r="AD1291" s="1">
        <v>0</v>
      </c>
      <c r="AE1291" s="1">
        <v>0</v>
      </c>
      <c r="AF1291" s="1">
        <v>1</v>
      </c>
      <c r="AG1291" s="1">
        <v>0</v>
      </c>
      <c r="AH1291" s="1">
        <v>1</v>
      </c>
      <c r="AI1291" s="1">
        <v>0</v>
      </c>
      <c r="AJ1291" s="1">
        <v>0</v>
      </c>
      <c r="AK1291" s="1">
        <v>0</v>
      </c>
      <c r="AL1291" s="1">
        <v>114</v>
      </c>
      <c r="AM1291" s="2">
        <v>42162</v>
      </c>
      <c r="AN1291" t="str">
        <f t="shared" si="41"/>
        <v>17117,121,0.00706899573523398,1,0,96,12,23,38,30,18,7,4,3,1,3,9,0,0,0,0,0,0,0,42,36-50,2687,0,0,0,1,0,1,0,0,0,114,42162</v>
      </c>
    </row>
    <row r="1292" spans="1:40" ht="13" hidden="1" x14ac:dyDescent="0.15">
      <c r="A1292">
        <v>1026</v>
      </c>
      <c r="B1292" s="1">
        <v>39190</v>
      </c>
      <c r="C1292" s="1">
        <v>121</v>
      </c>
      <c r="D1292" s="4">
        <f t="shared" si="40"/>
        <v>3.0875223271242666E-3</v>
      </c>
      <c r="E1292" s="1">
        <v>1</v>
      </c>
      <c r="F1292" s="1">
        <v>0</v>
      </c>
      <c r="G1292" s="1">
        <v>91</v>
      </c>
      <c r="H1292" s="1">
        <v>68</v>
      </c>
      <c r="I1292" s="1">
        <v>8</v>
      </c>
      <c r="J1292" s="1">
        <v>18</v>
      </c>
      <c r="K1292" s="1">
        <v>19</v>
      </c>
      <c r="L1292" s="1">
        <v>8</v>
      </c>
      <c r="M1292" s="1">
        <v>12</v>
      </c>
      <c r="N1292" s="1">
        <v>2</v>
      </c>
      <c r="O1292" s="1">
        <v>2</v>
      </c>
      <c r="P1292" s="1">
        <v>1</v>
      </c>
      <c r="Q1292" s="1">
        <v>4</v>
      </c>
      <c r="R1292" s="1">
        <v>5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46</v>
      </c>
      <c r="AA1292" s="1" t="str" cm="1">
        <f t="array" ref="AA1292">_xlfn.IFS(AND(Z1292&lt;36, Z1292&gt;23), "24-35", AND(Z1292&lt;51, Z1292&gt;35),"36-50", AND(Z1292&lt;66, Z1292&gt;50), "51-66", Z1292&gt;65, "66+", TRUE, "?")</f>
        <v>36-50</v>
      </c>
      <c r="AB1292" s="1">
        <v>2223</v>
      </c>
      <c r="AC1292" s="1">
        <v>0</v>
      </c>
      <c r="AD1292" s="1">
        <v>0</v>
      </c>
      <c r="AE1292" s="1">
        <v>1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1</v>
      </c>
      <c r="AL1292" s="1">
        <v>109</v>
      </c>
      <c r="AM1292" s="2">
        <v>42626</v>
      </c>
      <c r="AN1292" t="str">
        <f t="shared" si="41"/>
        <v>39190,121,0.00308752232712427,1,0,91,68,8,18,19,8,12,2,2,1,4,5,0,0,0,0,0,0,0,46,36-50,2223,0,0,1,0,0,0,0,0,1,109,42626</v>
      </c>
    </row>
    <row r="1293" spans="1:40" ht="13" x14ac:dyDescent="0.15">
      <c r="A1293">
        <v>1664</v>
      </c>
      <c r="B1293" s="1">
        <v>36957</v>
      </c>
      <c r="C1293" s="1">
        <v>121</v>
      </c>
      <c r="D1293" s="4">
        <f t="shared" si="40"/>
        <v>3.2740752766728903E-3</v>
      </c>
      <c r="E1293" s="1">
        <v>1</v>
      </c>
      <c r="F1293" s="1">
        <v>1</v>
      </c>
      <c r="G1293" s="1">
        <v>43</v>
      </c>
      <c r="H1293" s="1">
        <v>100</v>
      </c>
      <c r="I1293" s="1">
        <v>2</v>
      </c>
      <c r="J1293" s="1">
        <v>16</v>
      </c>
      <c r="K1293" s="1">
        <v>2</v>
      </c>
      <c r="L1293" s="1">
        <v>1</v>
      </c>
      <c r="M1293" s="1">
        <v>31</v>
      </c>
      <c r="N1293" s="1">
        <v>4</v>
      </c>
      <c r="O1293" s="1">
        <v>3</v>
      </c>
      <c r="P1293" s="1">
        <v>2</v>
      </c>
      <c r="Q1293" s="1">
        <v>2</v>
      </c>
      <c r="R1293" s="1">
        <v>9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1</v>
      </c>
      <c r="Z1293" s="1">
        <v>67</v>
      </c>
      <c r="AA1293" s="1" t="str" cm="1">
        <f t="array" ref="AA1293">_xlfn.IFS(AND(Z1293&lt;36, Z1293&gt;23), "24-35", AND(Z1293&lt;51, Z1293&gt;35),"36-50", AND(Z1293&lt;66, Z1293&gt;50), "51-66", Z1293&gt;65, "66+", TRUE, "?")</f>
        <v>66+</v>
      </c>
      <c r="AB1293" s="1">
        <v>2820</v>
      </c>
      <c r="AC1293" s="1">
        <v>1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1</v>
      </c>
      <c r="AL1293" s="1">
        <v>90</v>
      </c>
      <c r="AM1293" s="2">
        <v>42029</v>
      </c>
      <c r="AN1293" t="str">
        <f t="shared" si="41"/>
        <v>36957,121,0.00327407527667289,1,1,43,100,2,16,2,1,31,4,3,2,2,9,0,0,0,0,0,0,1,67,66+,2820,1,0,0,0,0,0,0,0,1,90,42029</v>
      </c>
    </row>
    <row r="1294" spans="1:40" ht="13" hidden="1" x14ac:dyDescent="0.15">
      <c r="A1294">
        <v>1770</v>
      </c>
      <c r="B1294" s="1">
        <v>34529</v>
      </c>
      <c r="C1294" s="1">
        <v>121</v>
      </c>
      <c r="D1294" s="4">
        <f t="shared" si="40"/>
        <v>3.5043007327174259E-3</v>
      </c>
      <c r="E1294" s="1">
        <v>1</v>
      </c>
      <c r="F1294" s="1">
        <v>0</v>
      </c>
      <c r="G1294" s="1">
        <v>94</v>
      </c>
      <c r="H1294" s="1">
        <v>68</v>
      </c>
      <c r="I1294" s="1">
        <v>6</v>
      </c>
      <c r="J1294" s="1">
        <v>38</v>
      </c>
      <c r="K1294" s="1">
        <v>3</v>
      </c>
      <c r="L1294" s="1">
        <v>6</v>
      </c>
      <c r="M1294" s="1">
        <v>41</v>
      </c>
      <c r="N1294" s="1">
        <v>2</v>
      </c>
      <c r="O1294" s="1">
        <v>2</v>
      </c>
      <c r="P1294" s="1">
        <v>2</v>
      </c>
      <c r="Q1294" s="1">
        <v>3</v>
      </c>
      <c r="R1294" s="1">
        <v>7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44</v>
      </c>
      <c r="AA1294" s="1" t="str" cm="1">
        <f t="array" ref="AA1294">_xlfn.IFS(AND(Z1294&lt;36, Z1294&gt;23), "24-35", AND(Z1294&lt;51, Z1294&gt;35),"36-50", AND(Z1294&lt;66, Z1294&gt;50), "51-66", Z1294&gt;65, "66+", TRUE, "?")</f>
        <v>36-50</v>
      </c>
      <c r="AB1294" s="1">
        <v>2812</v>
      </c>
      <c r="AC1294" s="1">
        <v>0</v>
      </c>
      <c r="AD1294" s="1">
        <v>1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1</v>
      </c>
      <c r="AK1294" s="1">
        <v>0</v>
      </c>
      <c r="AL1294" s="1">
        <v>80</v>
      </c>
      <c r="AM1294" s="2">
        <v>42037</v>
      </c>
      <c r="AN1294" t="str">
        <f t="shared" si="41"/>
        <v>34529,121,0.00350430073271743,1,0,94,68,6,38,3,6,41,2,2,2,3,7,0,0,0,0,0,0,0,44,36-50,2812,0,1,0,0,0,0,0,1,0,80,42037</v>
      </c>
    </row>
    <row r="1295" spans="1:40" ht="13" hidden="1" x14ac:dyDescent="0.15">
      <c r="A1295">
        <v>521</v>
      </c>
      <c r="B1295" s="1">
        <v>22419</v>
      </c>
      <c r="C1295" s="1">
        <v>120</v>
      </c>
      <c r="D1295" s="4">
        <f t="shared" si="40"/>
        <v>5.3526027030643651E-3</v>
      </c>
      <c r="E1295" s="1">
        <v>0</v>
      </c>
      <c r="F1295" s="1">
        <v>0</v>
      </c>
      <c r="G1295" s="1">
        <v>74</v>
      </c>
      <c r="H1295" s="1">
        <v>30</v>
      </c>
      <c r="I1295" s="1">
        <v>3</v>
      </c>
      <c r="J1295" s="1">
        <v>47</v>
      </c>
      <c r="K1295" s="1">
        <v>19</v>
      </c>
      <c r="L1295" s="1">
        <v>21</v>
      </c>
      <c r="M1295" s="1">
        <v>42</v>
      </c>
      <c r="N1295" s="1">
        <v>1</v>
      </c>
      <c r="O1295" s="1">
        <v>3</v>
      </c>
      <c r="P1295" s="1">
        <v>2</v>
      </c>
      <c r="Q1295" s="1">
        <v>2</v>
      </c>
      <c r="R1295" s="1">
        <v>8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57</v>
      </c>
      <c r="AA1295" s="1" t="str" cm="1">
        <f t="array" ref="AA1295">_xlfn.IFS(AND(Z1295&lt;36, Z1295&gt;23), "24-35", AND(Z1295&lt;51, Z1295&gt;35),"36-50", AND(Z1295&lt;66, Z1295&gt;50), "51-66", Z1295&gt;65, "66+", TRUE, "?")</f>
        <v>51-66</v>
      </c>
      <c r="AB1295" s="1">
        <v>2596</v>
      </c>
      <c r="AC1295" s="1">
        <v>0</v>
      </c>
      <c r="AD1295" s="1">
        <v>1</v>
      </c>
      <c r="AE1295" s="1">
        <v>0</v>
      </c>
      <c r="AF1295" s="1">
        <v>0</v>
      </c>
      <c r="AG1295" s="1">
        <v>0</v>
      </c>
      <c r="AH1295" s="1">
        <v>0</v>
      </c>
      <c r="AI1295" s="1">
        <v>1</v>
      </c>
      <c r="AJ1295" s="1">
        <v>0</v>
      </c>
      <c r="AK1295" s="1">
        <v>0</v>
      </c>
      <c r="AL1295" s="1">
        <v>78</v>
      </c>
      <c r="AM1295" s="2">
        <v>42253</v>
      </c>
      <c r="AN1295" t="str">
        <f t="shared" si="41"/>
        <v>22419,120,0.00535260270306437,0,0,74,30,3,47,19,21,42,1,3,2,2,8,0,0,0,0,0,0,0,57,51-66,2596,0,1,0,0,0,0,1,0,0,78,42253</v>
      </c>
    </row>
    <row r="1296" spans="1:40" ht="13" hidden="1" x14ac:dyDescent="0.15">
      <c r="A1296">
        <v>651</v>
      </c>
      <c r="B1296" s="1">
        <v>61923</v>
      </c>
      <c r="C1296" s="1">
        <v>120</v>
      </c>
      <c r="D1296" s="4">
        <f t="shared" si="40"/>
        <v>1.937890606075287E-3</v>
      </c>
      <c r="E1296" s="1">
        <v>0</v>
      </c>
      <c r="F1296" s="1">
        <v>2</v>
      </c>
      <c r="G1296" s="1">
        <v>94</v>
      </c>
      <c r="H1296" s="1">
        <v>92</v>
      </c>
      <c r="I1296" s="1">
        <v>4</v>
      </c>
      <c r="J1296" s="1">
        <v>18</v>
      </c>
      <c r="K1296" s="1">
        <v>3</v>
      </c>
      <c r="L1296" s="1">
        <v>3</v>
      </c>
      <c r="M1296" s="1">
        <v>6</v>
      </c>
      <c r="N1296" s="1">
        <v>1</v>
      </c>
      <c r="O1296" s="1">
        <v>2</v>
      </c>
      <c r="P1296" s="1">
        <v>1</v>
      </c>
      <c r="Q1296" s="1">
        <v>4</v>
      </c>
      <c r="R1296" s="1">
        <v>3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59</v>
      </c>
      <c r="AA1296" s="1" t="str" cm="1">
        <f t="array" ref="AA1296">_xlfn.IFS(AND(Z1296&lt;36, Z1296&gt;23), "24-35", AND(Z1296&lt;51, Z1296&gt;35),"36-50", AND(Z1296&lt;66, Z1296&gt;50), "51-66", Z1296&gt;65, "66+", TRUE, "?")</f>
        <v>51-66</v>
      </c>
      <c r="AB1296" s="1">
        <v>2497</v>
      </c>
      <c r="AC1296" s="1">
        <v>0</v>
      </c>
      <c r="AD1296" s="1">
        <v>1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1</v>
      </c>
      <c r="AK1296" s="1">
        <v>0</v>
      </c>
      <c r="AL1296" s="1">
        <v>114</v>
      </c>
      <c r="AM1296" s="2">
        <v>42352</v>
      </c>
      <c r="AN1296" t="str">
        <f t="shared" si="41"/>
        <v>61923,120,0.00193789060607529,0,2,94,92,4,18,3,3,6,1,2,1,4,3,0,0,0,0,0,0,0,59,51-66,2497,0,1,0,0,0,0,0,1,0,114,42352</v>
      </c>
    </row>
    <row r="1297" spans="1:40" ht="13" hidden="1" x14ac:dyDescent="0.15">
      <c r="A1297">
        <v>824</v>
      </c>
      <c r="B1297" s="1">
        <v>39922</v>
      </c>
      <c r="C1297" s="1">
        <v>120</v>
      </c>
      <c r="D1297" s="4">
        <f t="shared" si="40"/>
        <v>3.0058614297880869E-3</v>
      </c>
      <c r="E1297" s="1">
        <v>1</v>
      </c>
      <c r="F1297" s="1">
        <v>0</v>
      </c>
      <c r="G1297" s="1">
        <v>30</v>
      </c>
      <c r="H1297" s="1">
        <v>29</v>
      </c>
      <c r="I1297" s="1">
        <v>12</v>
      </c>
      <c r="J1297" s="1">
        <v>59</v>
      </c>
      <c r="K1297" s="1">
        <v>19</v>
      </c>
      <c r="L1297" s="1">
        <v>1</v>
      </c>
      <c r="M1297" s="1">
        <v>36</v>
      </c>
      <c r="N1297" s="1">
        <v>2</v>
      </c>
      <c r="O1297" s="1">
        <v>3</v>
      </c>
      <c r="P1297" s="1">
        <v>0</v>
      </c>
      <c r="Q1297" s="1">
        <v>4</v>
      </c>
      <c r="R1297" s="1">
        <v>8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37</v>
      </c>
      <c r="AA1297" s="1" t="str" cm="1">
        <f t="array" ref="AA1297">_xlfn.IFS(AND(Z1297&lt;36, Z1297&gt;23), "24-35", AND(Z1297&lt;51, Z1297&gt;35),"36-50", AND(Z1297&lt;66, Z1297&gt;50), "51-66", Z1297&gt;65, "66+", TRUE, "?")</f>
        <v>36-50</v>
      </c>
      <c r="AB1297" s="1">
        <v>2659</v>
      </c>
      <c r="AC1297" s="1">
        <v>0</v>
      </c>
      <c r="AD1297" s="1">
        <v>1</v>
      </c>
      <c r="AE1297" s="1">
        <v>0</v>
      </c>
      <c r="AF1297" s="1">
        <v>0</v>
      </c>
      <c r="AG1297" s="1">
        <v>0</v>
      </c>
      <c r="AH1297" s="1">
        <v>0</v>
      </c>
      <c r="AI1297" s="1">
        <v>1</v>
      </c>
      <c r="AJ1297" s="1">
        <v>0</v>
      </c>
      <c r="AK1297" s="1">
        <v>0</v>
      </c>
      <c r="AL1297" s="1">
        <v>84</v>
      </c>
      <c r="AM1297" s="2">
        <v>42190</v>
      </c>
      <c r="AN1297" t="str">
        <f t="shared" si="41"/>
        <v>39922,120,0.00300586142978809,1,0,30,29,12,59,19,1,36,2,3,0,4,8,0,0,0,0,0,0,0,37,36-50,2659,0,1,0,0,0,0,1,0,0,84,42190</v>
      </c>
    </row>
    <row r="1298" spans="1:40" ht="13" hidden="1" x14ac:dyDescent="0.15">
      <c r="A1298">
        <v>1134</v>
      </c>
      <c r="B1298" s="1">
        <v>36317</v>
      </c>
      <c r="C1298" s="1">
        <v>120</v>
      </c>
      <c r="D1298" s="4">
        <f t="shared" si="40"/>
        <v>3.3042376848307956E-3</v>
      </c>
      <c r="E1298" s="1">
        <v>0</v>
      </c>
      <c r="F1298" s="1">
        <v>1</v>
      </c>
      <c r="G1298" s="1">
        <v>53</v>
      </c>
      <c r="H1298" s="1">
        <v>87</v>
      </c>
      <c r="I1298" s="1">
        <v>3</v>
      </c>
      <c r="J1298" s="1">
        <v>25</v>
      </c>
      <c r="K1298" s="1">
        <v>3</v>
      </c>
      <c r="L1298" s="1">
        <v>2</v>
      </c>
      <c r="M1298" s="1">
        <v>13</v>
      </c>
      <c r="N1298" s="1">
        <v>2</v>
      </c>
      <c r="O1298" s="1">
        <v>3</v>
      </c>
      <c r="P1298" s="1">
        <v>0</v>
      </c>
      <c r="Q1298" s="1">
        <v>4</v>
      </c>
      <c r="R1298" s="1">
        <v>7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55</v>
      </c>
      <c r="AA1298" s="1" t="str" cm="1">
        <f t="array" ref="AA1298">_xlfn.IFS(AND(Z1298&lt;36, Z1298&gt;23), "24-35", AND(Z1298&lt;51, Z1298&gt;35),"36-50", AND(Z1298&lt;66, Z1298&gt;50), "51-66", Z1298&gt;65, "66+", TRUE, "?")</f>
        <v>51-66</v>
      </c>
      <c r="AB1298" s="1">
        <v>2562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  <c r="AI1298" s="1">
        <v>1</v>
      </c>
      <c r="AJ1298" s="1">
        <v>0</v>
      </c>
      <c r="AK1298" s="1">
        <v>0</v>
      </c>
      <c r="AL1298" s="1">
        <v>107</v>
      </c>
      <c r="AM1298" s="2">
        <v>42287</v>
      </c>
      <c r="AN1298" t="str">
        <f t="shared" si="41"/>
        <v>36317,120,0.0033042376848308,0,1,53,87,3,25,3,2,13,2,3,0,4,7,0,0,0,0,0,0,0,55,51-66,2562,0,0,0,1,0,0,1,0,0,107,42287</v>
      </c>
    </row>
    <row r="1299" spans="1:40" ht="13" x14ac:dyDescent="0.15">
      <c r="A1299">
        <v>1671</v>
      </c>
      <c r="B1299" s="1">
        <v>45576</v>
      </c>
      <c r="C1299" s="1">
        <v>120</v>
      </c>
      <c r="D1299" s="4">
        <f t="shared" si="40"/>
        <v>2.6329647182727752E-3</v>
      </c>
      <c r="E1299" s="1">
        <v>0</v>
      </c>
      <c r="F1299" s="1">
        <v>0</v>
      </c>
      <c r="G1299" s="1">
        <v>9</v>
      </c>
      <c r="H1299" s="1">
        <v>56</v>
      </c>
      <c r="I1299" s="1">
        <v>19</v>
      </c>
      <c r="J1299" s="1">
        <v>29</v>
      </c>
      <c r="K1299" s="1">
        <v>2</v>
      </c>
      <c r="L1299" s="1">
        <v>14</v>
      </c>
      <c r="M1299" s="1">
        <v>25</v>
      </c>
      <c r="N1299" s="1">
        <v>1</v>
      </c>
      <c r="O1299" s="1">
        <v>3</v>
      </c>
      <c r="P1299" s="1">
        <v>1</v>
      </c>
      <c r="Q1299" s="1">
        <v>3</v>
      </c>
      <c r="R1299" s="1">
        <v>8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1</v>
      </c>
      <c r="Z1299" s="1">
        <v>75</v>
      </c>
      <c r="AA1299" s="1" t="str" cm="1">
        <f t="array" ref="AA1299">_xlfn.IFS(AND(Z1299&lt;36, Z1299&gt;23), "24-35", AND(Z1299&lt;51, Z1299&gt;35),"36-50", AND(Z1299&lt;66, Z1299&gt;50), "51-66", Z1299&gt;65, "66+", TRUE, "?")</f>
        <v>66+</v>
      </c>
      <c r="AB1299" s="1">
        <v>2191</v>
      </c>
      <c r="AC1299" s="1">
        <v>0</v>
      </c>
      <c r="AD1299" s="1">
        <v>0</v>
      </c>
      <c r="AE1299" s="1">
        <v>1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1</v>
      </c>
      <c r="AL1299" s="1">
        <v>95</v>
      </c>
      <c r="AM1299" s="2">
        <v>42658</v>
      </c>
      <c r="AN1299" t="str">
        <f t="shared" si="41"/>
        <v>45576,120,0.00263296471827278,0,0,9,56,19,29,2,14,25,1,3,1,3,8,0,0,0,0,0,0,1,75,66+,2191,0,0,1,0,0,0,0,0,1,95,42658</v>
      </c>
    </row>
    <row r="1300" spans="1:40" ht="13" x14ac:dyDescent="0.15">
      <c r="A1300">
        <v>1666</v>
      </c>
      <c r="B1300" s="1">
        <v>42160</v>
      </c>
      <c r="C1300" s="1">
        <v>120</v>
      </c>
      <c r="D1300" s="4">
        <f t="shared" si="40"/>
        <v>2.8462998102466793E-3</v>
      </c>
      <c r="E1300" s="1">
        <v>1</v>
      </c>
      <c r="F1300" s="1">
        <v>1</v>
      </c>
      <c r="G1300" s="1">
        <v>26</v>
      </c>
      <c r="H1300" s="1">
        <v>48</v>
      </c>
      <c r="I1300" s="1">
        <v>9</v>
      </c>
      <c r="J1300" s="1">
        <v>45</v>
      </c>
      <c r="K1300" s="1">
        <v>3</v>
      </c>
      <c r="L1300" s="1">
        <v>15</v>
      </c>
      <c r="M1300" s="1">
        <v>20</v>
      </c>
      <c r="N1300" s="1">
        <v>4</v>
      </c>
      <c r="O1300" s="1">
        <v>2</v>
      </c>
      <c r="P1300" s="1">
        <v>1</v>
      </c>
      <c r="Q1300" s="1">
        <v>4</v>
      </c>
      <c r="R1300" s="1">
        <v>6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1</v>
      </c>
      <c r="Z1300" s="1">
        <v>45</v>
      </c>
      <c r="AA1300" s="1" t="str" cm="1">
        <f t="array" ref="AA1300">_xlfn.IFS(AND(Z1300&lt;36, Z1300&gt;23), "24-35", AND(Z1300&lt;51, Z1300&gt;35),"36-50", AND(Z1300&lt;66, Z1300&gt;50), "51-66", Z1300&gt;65, "66+", TRUE, "?")</f>
        <v>36-50</v>
      </c>
      <c r="AB1300" s="1">
        <v>2525</v>
      </c>
      <c r="AC1300" s="1">
        <v>0</v>
      </c>
      <c r="AD1300" s="1">
        <v>0</v>
      </c>
      <c r="AE1300" s="1">
        <v>1</v>
      </c>
      <c r="AF1300" s="1">
        <v>0</v>
      </c>
      <c r="AG1300" s="1">
        <v>0</v>
      </c>
      <c r="AH1300" s="1">
        <v>0</v>
      </c>
      <c r="AI1300" s="1">
        <v>1</v>
      </c>
      <c r="AJ1300" s="1">
        <v>0</v>
      </c>
      <c r="AK1300" s="1">
        <v>0</v>
      </c>
      <c r="AL1300" s="1">
        <v>100</v>
      </c>
      <c r="AM1300" s="2">
        <v>42324</v>
      </c>
      <c r="AN1300" t="str">
        <f t="shared" si="41"/>
        <v>42160,120,0.00284629981024668,1,1,26,48,9,45,3,15,20,4,2,1,4,6,0,0,0,0,0,0,1,45,36-50,2525,0,0,1,0,0,0,1,0,0,100,42324</v>
      </c>
    </row>
    <row r="1301" spans="1:40" ht="13" hidden="1" x14ac:dyDescent="0.15">
      <c r="A1301">
        <v>1788</v>
      </c>
      <c r="B1301" s="1">
        <v>48877</v>
      </c>
      <c r="C1301" s="1">
        <v>120</v>
      </c>
      <c r="D1301" s="4">
        <f t="shared" si="40"/>
        <v>2.4551425005626369E-3</v>
      </c>
      <c r="E1301" s="1">
        <v>0</v>
      </c>
      <c r="F1301" s="1">
        <v>1</v>
      </c>
      <c r="G1301" s="1">
        <v>27</v>
      </c>
      <c r="H1301" s="1">
        <v>102</v>
      </c>
      <c r="I1301" s="1">
        <v>1</v>
      </c>
      <c r="J1301" s="1">
        <v>15</v>
      </c>
      <c r="K1301" s="1">
        <v>2</v>
      </c>
      <c r="L1301" s="1">
        <v>0</v>
      </c>
      <c r="M1301" s="1">
        <v>24</v>
      </c>
      <c r="N1301" s="1">
        <v>1</v>
      </c>
      <c r="O1301" s="1">
        <v>3</v>
      </c>
      <c r="P1301" s="1">
        <v>0</v>
      </c>
      <c r="Q1301" s="1">
        <v>4</v>
      </c>
      <c r="R1301" s="1">
        <v>7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54</v>
      </c>
      <c r="AA1301" s="1" t="str" cm="1">
        <f t="array" ref="AA1301">_xlfn.IFS(AND(Z1301&lt;36, Z1301&gt;23), "24-35", AND(Z1301&lt;51, Z1301&gt;35),"36-50", AND(Z1301&lt;66, Z1301&gt;50), "51-66", Z1301&gt;65, "66+", TRUE, "?")</f>
        <v>51-66</v>
      </c>
      <c r="AB1301" s="1">
        <v>2334</v>
      </c>
      <c r="AC1301" s="1">
        <v>1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1</v>
      </c>
      <c r="AJ1301" s="1">
        <v>0</v>
      </c>
      <c r="AK1301" s="1">
        <v>0</v>
      </c>
      <c r="AL1301" s="1">
        <v>96</v>
      </c>
      <c r="AM1301" s="2">
        <v>42515</v>
      </c>
      <c r="AN1301" t="str">
        <f t="shared" si="41"/>
        <v>48877,120,0.00245514250056264,0,1,27,102,1,15,2,0,24,1,3,0,4,7,0,0,0,0,0,0,0,54,51-66,2334,1,0,0,0,0,0,1,0,0,96,42515</v>
      </c>
    </row>
    <row r="1302" spans="1:40" ht="13" hidden="1" x14ac:dyDescent="0.15">
      <c r="A1302">
        <v>136</v>
      </c>
      <c r="B1302" s="1">
        <v>49605</v>
      </c>
      <c r="C1302" s="1">
        <v>119</v>
      </c>
      <c r="D1302" s="4">
        <f t="shared" si="40"/>
        <v>2.3989517185767566E-3</v>
      </c>
      <c r="E1302" s="1">
        <v>0</v>
      </c>
      <c r="F1302" s="1">
        <v>0</v>
      </c>
      <c r="G1302" s="1">
        <v>65</v>
      </c>
      <c r="H1302" s="1">
        <v>42</v>
      </c>
      <c r="I1302" s="1">
        <v>16</v>
      </c>
      <c r="J1302" s="1">
        <v>29</v>
      </c>
      <c r="K1302" s="1">
        <v>12</v>
      </c>
      <c r="L1302" s="1">
        <v>20</v>
      </c>
      <c r="M1302" s="1">
        <v>8</v>
      </c>
      <c r="N1302" s="1">
        <v>1</v>
      </c>
      <c r="O1302" s="1">
        <v>2</v>
      </c>
      <c r="P1302" s="1">
        <v>1</v>
      </c>
      <c r="Q1302" s="1">
        <v>4</v>
      </c>
      <c r="R1302" s="1">
        <v>3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54</v>
      </c>
      <c r="AA1302" s="1" t="str" cm="1">
        <f t="array" ref="AA1302">_xlfn.IFS(AND(Z1302&lt;36, Z1302&gt;23), "24-35", AND(Z1302&lt;51, Z1302&gt;35),"36-50", AND(Z1302&lt;66, Z1302&gt;50), "51-66", Z1302&gt;65, "66+", TRUE, "?")</f>
        <v>51-66</v>
      </c>
      <c r="AB1302" s="1">
        <v>2167</v>
      </c>
      <c r="AC1302" s="1">
        <v>0</v>
      </c>
      <c r="AD1302" s="1">
        <v>1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1</v>
      </c>
      <c r="AK1302" s="1">
        <v>0</v>
      </c>
      <c r="AL1302" s="1">
        <v>111</v>
      </c>
      <c r="AM1302" s="2">
        <v>42682</v>
      </c>
      <c r="AN1302" t="str">
        <f t="shared" si="41"/>
        <v>49605,119,0.00239895171857676,0,0,65,42,16,29,12,20,8,1,2,1,4,3,0,0,0,0,0,0,0,54,51-66,2167,0,1,0,0,0,0,0,1,0,111,42682</v>
      </c>
    </row>
    <row r="1303" spans="1:40" ht="13" hidden="1" x14ac:dyDescent="0.15">
      <c r="A1303">
        <v>957</v>
      </c>
      <c r="B1303" s="1">
        <v>20180</v>
      </c>
      <c r="C1303" s="1">
        <v>119</v>
      </c>
      <c r="D1303" s="4">
        <f t="shared" si="40"/>
        <v>5.8969276511397425E-3</v>
      </c>
      <c r="E1303" s="1">
        <v>0</v>
      </c>
      <c r="F1303" s="1">
        <v>0</v>
      </c>
      <c r="G1303" s="1">
        <v>27</v>
      </c>
      <c r="H1303" s="1">
        <v>18</v>
      </c>
      <c r="I1303" s="1">
        <v>42</v>
      </c>
      <c r="J1303" s="1">
        <v>24</v>
      </c>
      <c r="K1303" s="1">
        <v>15</v>
      </c>
      <c r="L1303" s="1">
        <v>20</v>
      </c>
      <c r="M1303" s="1">
        <v>18</v>
      </c>
      <c r="N1303" s="1">
        <v>1</v>
      </c>
      <c r="O1303" s="1">
        <v>2</v>
      </c>
      <c r="P1303" s="1">
        <v>1</v>
      </c>
      <c r="Q1303" s="1">
        <v>4</v>
      </c>
      <c r="R1303" s="1">
        <v>7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44</v>
      </c>
      <c r="AA1303" s="1" t="str" cm="1">
        <f t="array" ref="AA1303">_xlfn.IFS(AND(Z1303&lt;36, Z1303&gt;23), "24-35", AND(Z1303&lt;51, Z1303&gt;35),"36-50", AND(Z1303&lt;66, Z1303&gt;50), "51-66", Z1303&gt;65, "66+", TRUE, "?")</f>
        <v>36-50</v>
      </c>
      <c r="AB1303" s="1">
        <v>2653</v>
      </c>
      <c r="AC1303" s="1">
        <v>0</v>
      </c>
      <c r="AD1303" s="1">
        <v>0</v>
      </c>
      <c r="AE1303" s="1">
        <v>1</v>
      </c>
      <c r="AF1303" s="1">
        <v>0</v>
      </c>
      <c r="AG1303" s="1">
        <v>0</v>
      </c>
      <c r="AH1303" s="1">
        <v>0</v>
      </c>
      <c r="AI1303" s="1">
        <v>1</v>
      </c>
      <c r="AJ1303" s="1">
        <v>0</v>
      </c>
      <c r="AK1303" s="1">
        <v>0</v>
      </c>
      <c r="AL1303" s="1">
        <v>101</v>
      </c>
      <c r="AM1303" s="2">
        <v>42196</v>
      </c>
      <c r="AN1303" t="str">
        <f t="shared" si="41"/>
        <v>20180,119,0.00589692765113974,0,0,27,18,42,24,15,20,18,1,2,1,4,7,0,0,0,0,0,0,0,44,36-50,2653,0,0,1,0,0,0,1,0,0,101,42196</v>
      </c>
    </row>
    <row r="1304" spans="1:40" ht="13" hidden="1" x14ac:dyDescent="0.15">
      <c r="A1304">
        <v>982</v>
      </c>
      <c r="B1304" s="1">
        <v>33168</v>
      </c>
      <c r="C1304" s="1">
        <v>119</v>
      </c>
      <c r="D1304" s="4">
        <f t="shared" si="40"/>
        <v>3.5877954655089243E-3</v>
      </c>
      <c r="E1304" s="1">
        <v>0</v>
      </c>
      <c r="F1304" s="1">
        <v>1</v>
      </c>
      <c r="G1304" s="1">
        <v>0</v>
      </c>
      <c r="H1304" s="1">
        <v>80</v>
      </c>
      <c r="I1304" s="1">
        <v>1</v>
      </c>
      <c r="J1304" s="1">
        <v>37</v>
      </c>
      <c r="K1304" s="1">
        <v>0</v>
      </c>
      <c r="L1304" s="1">
        <v>1</v>
      </c>
      <c r="M1304" s="1">
        <v>3</v>
      </c>
      <c r="N1304" s="1">
        <v>3</v>
      </c>
      <c r="O1304" s="1">
        <v>2</v>
      </c>
      <c r="P1304" s="1">
        <v>1</v>
      </c>
      <c r="Q1304" s="1">
        <v>4</v>
      </c>
      <c r="R1304" s="1">
        <v>7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55</v>
      </c>
      <c r="AA1304" s="1" t="str" cm="1">
        <f t="array" ref="AA1304">_xlfn.IFS(AND(Z1304&lt;36, Z1304&gt;23), "24-35", AND(Z1304&lt;51, Z1304&gt;35),"36-50", AND(Z1304&lt;66, Z1304&gt;50), "51-66", Z1304&gt;65, "66+", TRUE, "?")</f>
        <v>51-66</v>
      </c>
      <c r="AB1304" s="1">
        <v>2783</v>
      </c>
      <c r="AC1304" s="1">
        <v>0</v>
      </c>
      <c r="AD1304" s="1">
        <v>0</v>
      </c>
      <c r="AE1304" s="1">
        <v>1</v>
      </c>
      <c r="AF1304" s="1">
        <v>0</v>
      </c>
      <c r="AG1304" s="1">
        <v>0</v>
      </c>
      <c r="AH1304" s="1">
        <v>0</v>
      </c>
      <c r="AI1304" s="1">
        <v>0</v>
      </c>
      <c r="AJ1304" s="1">
        <v>1</v>
      </c>
      <c r="AK1304" s="1">
        <v>0</v>
      </c>
      <c r="AL1304" s="1">
        <v>116</v>
      </c>
      <c r="AM1304" s="2">
        <v>42066</v>
      </c>
      <c r="AN1304" t="str">
        <f t="shared" si="41"/>
        <v>33168,119,0.00358779546550892,0,1,0,80,1,37,0,1,3,3,2,1,4,7,0,0,0,0,0,0,0,55,51-66,2783,0,0,1,0,0,0,0,1,0,116,42066</v>
      </c>
    </row>
    <row r="1305" spans="1:40" ht="13" hidden="1" x14ac:dyDescent="0.15">
      <c r="A1305">
        <v>1053</v>
      </c>
      <c r="B1305" s="1">
        <v>31605</v>
      </c>
      <c r="C1305" s="1">
        <v>119</v>
      </c>
      <c r="D1305" s="4">
        <f t="shared" si="40"/>
        <v>3.7652270210409744E-3</v>
      </c>
      <c r="E1305" s="1">
        <v>1</v>
      </c>
      <c r="F1305" s="1">
        <v>0</v>
      </c>
      <c r="G1305" s="1">
        <v>15</v>
      </c>
      <c r="H1305" s="1">
        <v>74</v>
      </c>
      <c r="I1305" s="1">
        <v>0</v>
      </c>
      <c r="J1305" s="1">
        <v>42</v>
      </c>
      <c r="K1305" s="1">
        <v>2</v>
      </c>
      <c r="L1305" s="1">
        <v>1</v>
      </c>
      <c r="M1305" s="1">
        <v>6</v>
      </c>
      <c r="N1305" s="1">
        <v>2</v>
      </c>
      <c r="O1305" s="1">
        <v>2</v>
      </c>
      <c r="P1305" s="1">
        <v>1</v>
      </c>
      <c r="Q1305" s="1">
        <v>4</v>
      </c>
      <c r="R1305" s="1">
        <v>7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41</v>
      </c>
      <c r="AA1305" s="1" t="str" cm="1">
        <f t="array" ref="AA1305">_xlfn.IFS(AND(Z1305&lt;36, Z1305&gt;23), "24-35", AND(Z1305&lt;51, Z1305&gt;35),"36-50", AND(Z1305&lt;66, Z1305&gt;50), "51-66", Z1305&gt;65, "66+", TRUE, "?")</f>
        <v>36-50</v>
      </c>
      <c r="AB1305" s="1">
        <v>2743</v>
      </c>
      <c r="AC1305" s="1">
        <v>0</v>
      </c>
      <c r="AD1305" s="1">
        <v>1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1</v>
      </c>
      <c r="AL1305" s="1">
        <v>113</v>
      </c>
      <c r="AM1305" s="2">
        <v>42106</v>
      </c>
      <c r="AN1305" t="str">
        <f t="shared" si="41"/>
        <v>31605,119,0.00376522702104097,1,0,15,74,0,42,2,1,6,2,2,1,4,7,0,0,0,0,0,0,0,41,36-50,2743,0,1,0,0,0,0,0,0,1,113,42106</v>
      </c>
    </row>
    <row r="1306" spans="1:40" ht="13" hidden="1" x14ac:dyDescent="0.15">
      <c r="A1306">
        <v>1160</v>
      </c>
      <c r="B1306" s="1">
        <v>55249</v>
      </c>
      <c r="C1306" s="1">
        <v>119</v>
      </c>
      <c r="D1306" s="4">
        <f t="shared" si="40"/>
        <v>2.1538851381925463E-3</v>
      </c>
      <c r="E1306" s="1">
        <v>0</v>
      </c>
      <c r="F1306" s="1">
        <v>1</v>
      </c>
      <c r="G1306" s="1">
        <v>81</v>
      </c>
      <c r="H1306" s="1">
        <v>97</v>
      </c>
      <c r="I1306" s="1">
        <v>1</v>
      </c>
      <c r="J1306" s="1">
        <v>19</v>
      </c>
      <c r="K1306" s="1">
        <v>2</v>
      </c>
      <c r="L1306" s="1">
        <v>0</v>
      </c>
      <c r="M1306" s="1">
        <v>11</v>
      </c>
      <c r="N1306" s="1">
        <v>1</v>
      </c>
      <c r="O1306" s="1">
        <v>2</v>
      </c>
      <c r="P1306" s="1">
        <v>1</v>
      </c>
      <c r="Q1306" s="1">
        <v>4</v>
      </c>
      <c r="R1306" s="1">
        <v>3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64</v>
      </c>
      <c r="AA1306" s="1" t="str" cm="1">
        <f t="array" ref="AA1306">_xlfn.IFS(AND(Z1306&lt;36, Z1306&gt;23), "24-35", AND(Z1306&lt;51, Z1306&gt;35),"36-50", AND(Z1306&lt;66, Z1306&gt;50), "51-66", Z1306&gt;65, "66+", TRUE, "?")</f>
        <v>51-66</v>
      </c>
      <c r="AB1306" s="1">
        <v>2232</v>
      </c>
      <c r="AC1306" s="1">
        <v>0</v>
      </c>
      <c r="AD1306" s="1">
        <v>0</v>
      </c>
      <c r="AE1306" s="1">
        <v>0</v>
      </c>
      <c r="AF1306" s="1">
        <v>1</v>
      </c>
      <c r="AG1306" s="1">
        <v>0</v>
      </c>
      <c r="AH1306" s="1">
        <v>0</v>
      </c>
      <c r="AI1306" s="1">
        <v>0</v>
      </c>
      <c r="AJ1306" s="1">
        <v>1</v>
      </c>
      <c r="AK1306" s="1">
        <v>0</v>
      </c>
      <c r="AL1306" s="1">
        <v>108</v>
      </c>
      <c r="AM1306" s="2">
        <v>42617</v>
      </c>
      <c r="AN1306" t="str">
        <f t="shared" si="41"/>
        <v>55249,119,0.00215388513819255,0,1,81,97,1,19,2,0,11,1,2,1,4,3,0,0,0,0,0,0,0,64,51-66,2232,0,0,0,1,0,0,0,1,0,108,42617</v>
      </c>
    </row>
    <row r="1307" spans="1:40" ht="13" hidden="1" x14ac:dyDescent="0.15">
      <c r="A1307">
        <v>1272</v>
      </c>
      <c r="B1307" s="1">
        <v>33316</v>
      </c>
      <c r="C1307" s="1">
        <v>119</v>
      </c>
      <c r="D1307" s="4">
        <f t="shared" si="40"/>
        <v>3.5718573658302319E-3</v>
      </c>
      <c r="E1307" s="1">
        <v>1</v>
      </c>
      <c r="F1307" s="1">
        <v>1</v>
      </c>
      <c r="G1307" s="1">
        <v>34</v>
      </c>
      <c r="H1307" s="1">
        <v>79</v>
      </c>
      <c r="I1307" s="1">
        <v>1</v>
      </c>
      <c r="J1307" s="1">
        <v>31</v>
      </c>
      <c r="K1307" s="1">
        <v>4</v>
      </c>
      <c r="L1307" s="1">
        <v>4</v>
      </c>
      <c r="M1307" s="1">
        <v>12</v>
      </c>
      <c r="N1307" s="1">
        <v>3</v>
      </c>
      <c r="O1307" s="1">
        <v>2</v>
      </c>
      <c r="P1307" s="1">
        <v>1</v>
      </c>
      <c r="Q1307" s="1">
        <v>4</v>
      </c>
      <c r="R1307" s="1">
        <v>6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49</v>
      </c>
      <c r="AA1307" s="1" t="str" cm="1">
        <f t="array" ref="AA1307">_xlfn.IFS(AND(Z1307&lt;36, Z1307&gt;23), "24-35", AND(Z1307&lt;51, Z1307&gt;35),"36-50", AND(Z1307&lt;66, Z1307&gt;50), "51-66", Z1307&gt;65, "66+", TRUE, "?")</f>
        <v>36-50</v>
      </c>
      <c r="AB1307" s="1">
        <v>2427</v>
      </c>
      <c r="AC1307" s="1">
        <v>0</v>
      </c>
      <c r="AD1307" s="1">
        <v>0</v>
      </c>
      <c r="AE1307" s="1">
        <v>1</v>
      </c>
      <c r="AF1307" s="1">
        <v>0</v>
      </c>
      <c r="AG1307" s="1">
        <v>0</v>
      </c>
      <c r="AH1307" s="1">
        <v>0</v>
      </c>
      <c r="AI1307" s="1">
        <v>0</v>
      </c>
      <c r="AJ1307" s="1">
        <v>1</v>
      </c>
      <c r="AK1307" s="1">
        <v>0</v>
      </c>
      <c r="AL1307" s="1">
        <v>107</v>
      </c>
      <c r="AM1307" s="2">
        <v>42422</v>
      </c>
      <c r="AN1307" t="str">
        <f t="shared" si="41"/>
        <v>33316,119,0.00357185736583023,1,1,34,79,1,31,4,4,12,3,2,1,4,6,0,0,0,0,0,0,0,49,36-50,2427,0,0,1,0,0,0,0,1,0,107,42422</v>
      </c>
    </row>
    <row r="1308" spans="1:40" ht="13" hidden="1" x14ac:dyDescent="0.15">
      <c r="A1308">
        <v>1627</v>
      </c>
      <c r="B1308" s="1">
        <v>42473</v>
      </c>
      <c r="C1308" s="1">
        <v>119</v>
      </c>
      <c r="D1308" s="4">
        <f t="shared" si="40"/>
        <v>2.8017799543239236E-3</v>
      </c>
      <c r="E1308" s="1">
        <v>1</v>
      </c>
      <c r="F1308" s="1">
        <v>1</v>
      </c>
      <c r="G1308" s="1">
        <v>72</v>
      </c>
      <c r="H1308" s="1">
        <v>93</v>
      </c>
      <c r="I1308" s="1">
        <v>1</v>
      </c>
      <c r="J1308" s="1">
        <v>21</v>
      </c>
      <c r="K1308" s="1">
        <v>0</v>
      </c>
      <c r="L1308" s="1">
        <v>4</v>
      </c>
      <c r="M1308" s="1">
        <v>25</v>
      </c>
      <c r="N1308" s="1">
        <v>3</v>
      </c>
      <c r="O1308" s="1">
        <v>2</v>
      </c>
      <c r="P1308" s="1">
        <v>1</v>
      </c>
      <c r="Q1308" s="1">
        <v>4</v>
      </c>
      <c r="R1308" s="1">
        <v>5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44</v>
      </c>
      <c r="AA1308" s="1" t="str" cm="1">
        <f t="array" ref="AA1308">_xlfn.IFS(AND(Z1308&lt;36, Z1308&gt;23), "24-35", AND(Z1308&lt;51, Z1308&gt;35),"36-50", AND(Z1308&lt;66, Z1308&gt;50), "51-66", Z1308&gt;65, "66+", TRUE, "?")</f>
        <v>36-50</v>
      </c>
      <c r="AB1308" s="1">
        <v>2291</v>
      </c>
      <c r="AC1308" s="1">
        <v>0</v>
      </c>
      <c r="AD1308" s="1">
        <v>0</v>
      </c>
      <c r="AE1308" s="1">
        <v>1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1</v>
      </c>
      <c r="AL1308" s="1">
        <v>94</v>
      </c>
      <c r="AM1308" s="2">
        <v>42558</v>
      </c>
      <c r="AN1308" t="str">
        <f t="shared" si="41"/>
        <v>42473,119,0.00280177995432392,1,1,72,93,1,21,0,4,25,3,2,1,4,5,0,0,0,0,0,0,0,44,36-50,2291,0,0,1,0,0,0,0,0,1,94,42558</v>
      </c>
    </row>
    <row r="1309" spans="1:40" ht="13" hidden="1" x14ac:dyDescent="0.15">
      <c r="A1309">
        <v>97</v>
      </c>
      <c r="B1309" s="1">
        <v>38557</v>
      </c>
      <c r="C1309" s="1">
        <v>118</v>
      </c>
      <c r="D1309" s="4">
        <f t="shared" si="40"/>
        <v>3.0604040770806857E-3</v>
      </c>
      <c r="E1309" s="1">
        <v>1</v>
      </c>
      <c r="F1309" s="1">
        <v>0</v>
      </c>
      <c r="G1309" s="1">
        <v>17</v>
      </c>
      <c r="H1309" s="1">
        <v>76</v>
      </c>
      <c r="I1309" s="1">
        <v>3</v>
      </c>
      <c r="J1309" s="1">
        <v>31</v>
      </c>
      <c r="K1309" s="1">
        <v>4</v>
      </c>
      <c r="L1309" s="1">
        <v>4</v>
      </c>
      <c r="M1309" s="1">
        <v>27</v>
      </c>
      <c r="N1309" s="1">
        <v>2</v>
      </c>
      <c r="O1309" s="1">
        <v>3</v>
      </c>
      <c r="P1309" s="1">
        <v>1</v>
      </c>
      <c r="Q1309" s="1">
        <v>3</v>
      </c>
      <c r="R1309" s="1">
        <v>7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42</v>
      </c>
      <c r="AA1309" s="1" t="str" cm="1">
        <f t="array" ref="AA1309">_xlfn.IFS(AND(Z1309&lt;36, Z1309&gt;23), "24-35", AND(Z1309&lt;51, Z1309&gt;35),"36-50", AND(Z1309&lt;66, Z1309&gt;50), "51-66", Z1309&gt;65, "66+", TRUE, "?")</f>
        <v>36-50</v>
      </c>
      <c r="AB1309" s="1">
        <v>2716</v>
      </c>
      <c r="AC1309" s="1">
        <v>0</v>
      </c>
      <c r="AD1309" s="1">
        <v>0</v>
      </c>
      <c r="AE1309" s="1">
        <v>1</v>
      </c>
      <c r="AF1309" s="1">
        <v>0</v>
      </c>
      <c r="AG1309" s="1">
        <v>0</v>
      </c>
      <c r="AH1309" s="1">
        <v>0</v>
      </c>
      <c r="AI1309" s="1">
        <v>1</v>
      </c>
      <c r="AJ1309" s="1">
        <v>0</v>
      </c>
      <c r="AK1309" s="1">
        <v>0</v>
      </c>
      <c r="AL1309" s="1">
        <v>91</v>
      </c>
      <c r="AM1309" s="2">
        <v>42133</v>
      </c>
      <c r="AN1309" t="str">
        <f t="shared" si="41"/>
        <v>38557,118,0.00306040407708069,1,0,17,76,3,31,4,4,27,2,3,1,3,7,0,0,0,0,0,0,0,42,36-50,2716,0,0,1,0,0,0,1,0,0,91,42133</v>
      </c>
    </row>
    <row r="1310" spans="1:40" ht="13" hidden="1" x14ac:dyDescent="0.15">
      <c r="A1310">
        <v>485</v>
      </c>
      <c r="B1310" s="1">
        <v>36443</v>
      </c>
      <c r="C1310" s="1">
        <v>118</v>
      </c>
      <c r="D1310" s="4">
        <f t="shared" si="40"/>
        <v>3.2379332107674999E-3</v>
      </c>
      <c r="E1310" s="1">
        <v>1</v>
      </c>
      <c r="F1310" s="1">
        <v>1</v>
      </c>
      <c r="G1310" s="1">
        <v>9</v>
      </c>
      <c r="H1310" s="1">
        <v>65</v>
      </c>
      <c r="I1310" s="1">
        <v>0</v>
      </c>
      <c r="J1310" s="1">
        <v>46</v>
      </c>
      <c r="K1310" s="1">
        <v>4</v>
      </c>
      <c r="L1310" s="1">
        <v>3</v>
      </c>
      <c r="M1310" s="1">
        <v>20</v>
      </c>
      <c r="N1310" s="1">
        <v>4</v>
      </c>
      <c r="O1310" s="1">
        <v>3</v>
      </c>
      <c r="P1310" s="1">
        <v>1</v>
      </c>
      <c r="Q1310" s="1">
        <v>3</v>
      </c>
      <c r="R1310" s="1">
        <v>8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59</v>
      </c>
      <c r="AA1310" s="1" t="str" cm="1">
        <f t="array" ref="AA1310">_xlfn.IFS(AND(Z1310&lt;36, Z1310&gt;23), "24-35", AND(Z1310&lt;51, Z1310&gt;35),"36-50", AND(Z1310&lt;66, Z1310&gt;50), "51-66", Z1310&gt;65, "66+", TRUE, "?")</f>
        <v>51-66</v>
      </c>
      <c r="AB1310" s="1">
        <v>2670</v>
      </c>
      <c r="AC1310" s="1">
        <v>0</v>
      </c>
      <c r="AD1310" s="1">
        <v>1</v>
      </c>
      <c r="AE1310" s="1">
        <v>0</v>
      </c>
      <c r="AF1310" s="1">
        <v>0</v>
      </c>
      <c r="AG1310" s="1">
        <v>0</v>
      </c>
      <c r="AH1310" s="1">
        <v>0</v>
      </c>
      <c r="AI1310" s="1">
        <v>1</v>
      </c>
      <c r="AJ1310" s="1">
        <v>0</v>
      </c>
      <c r="AK1310" s="1">
        <v>0</v>
      </c>
      <c r="AL1310" s="1">
        <v>98</v>
      </c>
      <c r="AM1310" s="2">
        <v>42179</v>
      </c>
      <c r="AN1310" t="str">
        <f t="shared" si="41"/>
        <v>36443,118,0.0032379332107675,1,1,9,65,0,46,4,3,20,4,3,1,3,8,0,0,0,0,0,0,0,59,51-66,2670,0,1,0,0,0,0,1,0,0,98,42179</v>
      </c>
    </row>
    <row r="1311" spans="1:40" ht="13" x14ac:dyDescent="0.15">
      <c r="A1311">
        <v>1676</v>
      </c>
      <c r="B1311" s="1">
        <v>42162</v>
      </c>
      <c r="C1311" s="1">
        <v>118</v>
      </c>
      <c r="D1311" s="4">
        <f t="shared" si="40"/>
        <v>2.7987287130591528E-3</v>
      </c>
      <c r="E1311" s="1">
        <v>1</v>
      </c>
      <c r="F1311" s="1">
        <v>0</v>
      </c>
      <c r="G1311" s="1">
        <v>31</v>
      </c>
      <c r="H1311" s="1">
        <v>46</v>
      </c>
      <c r="I1311" s="1">
        <v>7</v>
      </c>
      <c r="J1311" s="1">
        <v>59</v>
      </c>
      <c r="K1311" s="1">
        <v>2</v>
      </c>
      <c r="L1311" s="1">
        <v>4</v>
      </c>
      <c r="M1311" s="1">
        <v>27</v>
      </c>
      <c r="N1311" s="1">
        <v>2</v>
      </c>
      <c r="O1311" s="1">
        <v>3</v>
      </c>
      <c r="P1311" s="1">
        <v>1</v>
      </c>
      <c r="Q1311" s="1">
        <v>3</v>
      </c>
      <c r="R1311" s="1">
        <v>6</v>
      </c>
      <c r="S1311" s="1">
        <v>0</v>
      </c>
      <c r="T1311" s="1">
        <v>0</v>
      </c>
      <c r="U1311" s="1">
        <v>1</v>
      </c>
      <c r="V1311" s="1">
        <v>0</v>
      </c>
      <c r="W1311" s="1">
        <v>0</v>
      </c>
      <c r="X1311" s="1">
        <v>0</v>
      </c>
      <c r="Y1311" s="1">
        <v>1</v>
      </c>
      <c r="Z1311" s="1">
        <v>39</v>
      </c>
      <c r="AA1311" s="1" t="str" cm="1">
        <f t="array" ref="AA1311">_xlfn.IFS(AND(Z1311&lt;36, Z1311&gt;23), "24-35", AND(Z1311&lt;51, Z1311&gt;35),"36-50", AND(Z1311&lt;66, Z1311&gt;50), "51-66", Z1311&gt;65, "66+", TRUE, "?")</f>
        <v>36-50</v>
      </c>
      <c r="AB1311" s="1">
        <v>2381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1</v>
      </c>
      <c r="AJ1311" s="1">
        <v>0</v>
      </c>
      <c r="AK1311" s="1">
        <v>0</v>
      </c>
      <c r="AL1311" s="1">
        <v>91</v>
      </c>
      <c r="AM1311" s="2">
        <v>42468</v>
      </c>
      <c r="AN1311" t="str">
        <f t="shared" si="41"/>
        <v>42162,118,0.00279872871305915,1,0,31,46,7,59,2,4,27,2,3,1,3,6,0,0,1,0,0,0,1,39,36-50,2381,0,0,0,1,0,0,1,0,0,91,42468</v>
      </c>
    </row>
    <row r="1312" spans="1:40" ht="13" x14ac:dyDescent="0.15">
      <c r="A1312">
        <v>1682</v>
      </c>
      <c r="B1312" s="1">
        <v>40887</v>
      </c>
      <c r="C1312" s="1">
        <v>118</v>
      </c>
      <c r="D1312" s="4">
        <f t="shared" si="40"/>
        <v>2.886002886002886E-3</v>
      </c>
      <c r="E1312" s="1">
        <v>1</v>
      </c>
      <c r="F1312" s="1">
        <v>1</v>
      </c>
      <c r="G1312" s="1">
        <v>32</v>
      </c>
      <c r="H1312" s="1">
        <v>50</v>
      </c>
      <c r="I1312" s="1">
        <v>4</v>
      </c>
      <c r="J1312" s="1">
        <v>44</v>
      </c>
      <c r="K1312" s="1">
        <v>10</v>
      </c>
      <c r="L1312" s="1">
        <v>10</v>
      </c>
      <c r="M1312" s="1">
        <v>43</v>
      </c>
      <c r="N1312" s="1">
        <v>3</v>
      </c>
      <c r="O1312" s="1">
        <v>3</v>
      </c>
      <c r="P1312" s="1">
        <v>1</v>
      </c>
      <c r="Q1312" s="1">
        <v>3</v>
      </c>
      <c r="R1312" s="1">
        <v>9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1</v>
      </c>
      <c r="Z1312" s="1">
        <v>68</v>
      </c>
      <c r="AA1312" s="1" t="str" cm="1">
        <f t="array" ref="AA1312">_xlfn.IFS(AND(Z1312&lt;36, Z1312&gt;23), "24-35", AND(Z1312&lt;51, Z1312&gt;35),"36-50", AND(Z1312&lt;66, Z1312&gt;50), "51-66", Z1312&gt;65, "66+", TRUE, "?")</f>
        <v>66+</v>
      </c>
      <c r="AB1312" s="1">
        <v>2578</v>
      </c>
      <c r="AC1312" s="1">
        <v>0</v>
      </c>
      <c r="AD1312" s="1">
        <v>0</v>
      </c>
      <c r="AE1312" s="1">
        <v>1</v>
      </c>
      <c r="AF1312" s="1">
        <v>0</v>
      </c>
      <c r="AG1312" s="1">
        <v>0</v>
      </c>
      <c r="AH1312" s="1">
        <v>0</v>
      </c>
      <c r="AI1312" s="1">
        <v>1</v>
      </c>
      <c r="AJ1312" s="1">
        <v>0</v>
      </c>
      <c r="AK1312" s="1">
        <v>0</v>
      </c>
      <c r="AL1312" s="1">
        <v>75</v>
      </c>
      <c r="AM1312" s="2">
        <v>42271</v>
      </c>
      <c r="AN1312" t="str">
        <f t="shared" si="41"/>
        <v>40887,118,0.00288600288600289,1,1,32,50,4,44,10,10,43,3,3,1,3,9,0,0,0,0,0,0,1,68,66+,2578,0,0,1,0,0,0,1,0,0,75,42271</v>
      </c>
    </row>
    <row r="1313" spans="1:40" ht="13" x14ac:dyDescent="0.15">
      <c r="A1313">
        <v>1678</v>
      </c>
      <c r="B1313" s="1">
        <v>30983</v>
      </c>
      <c r="C1313" s="1">
        <v>118</v>
      </c>
      <c r="D1313" s="4">
        <f t="shared" si="40"/>
        <v>3.808540167188458E-3</v>
      </c>
      <c r="E1313" s="1">
        <v>0</v>
      </c>
      <c r="F1313" s="1">
        <v>0</v>
      </c>
      <c r="G1313" s="1">
        <v>50</v>
      </c>
      <c r="H1313" s="1">
        <v>51</v>
      </c>
      <c r="I1313" s="1">
        <v>4</v>
      </c>
      <c r="J1313" s="1">
        <v>50</v>
      </c>
      <c r="K1313" s="1">
        <v>12</v>
      </c>
      <c r="L1313" s="1">
        <v>1</v>
      </c>
      <c r="M1313" s="1">
        <v>49</v>
      </c>
      <c r="N1313" s="1">
        <v>1</v>
      </c>
      <c r="O1313" s="1">
        <v>4</v>
      </c>
      <c r="P1313" s="1">
        <v>0</v>
      </c>
      <c r="Q1313" s="1">
        <v>3</v>
      </c>
      <c r="R1313" s="1">
        <v>8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1</v>
      </c>
      <c r="Z1313" s="1">
        <v>57</v>
      </c>
      <c r="AA1313" s="1" t="str" cm="1">
        <f t="array" ref="AA1313">_xlfn.IFS(AND(Z1313&lt;36, Z1313&gt;23), "24-35", AND(Z1313&lt;51, Z1313&gt;35),"36-50", AND(Z1313&lt;66, Z1313&gt;50), "51-66", Z1313&gt;65, "66+", TRUE, "?")</f>
        <v>51-66</v>
      </c>
      <c r="AB1313" s="1">
        <v>2756</v>
      </c>
      <c r="AC1313" s="1">
        <v>0</v>
      </c>
      <c r="AD1313" s="1">
        <v>0</v>
      </c>
      <c r="AE1313" s="1">
        <v>1</v>
      </c>
      <c r="AF1313" s="1">
        <v>0</v>
      </c>
      <c r="AG1313" s="1">
        <v>0</v>
      </c>
      <c r="AH1313" s="1">
        <v>0</v>
      </c>
      <c r="AI1313" s="1">
        <v>1</v>
      </c>
      <c r="AJ1313" s="1">
        <v>0</v>
      </c>
      <c r="AK1313" s="1">
        <v>0</v>
      </c>
      <c r="AL1313" s="1">
        <v>69</v>
      </c>
      <c r="AM1313" s="2">
        <v>42093</v>
      </c>
      <c r="AN1313" t="str">
        <f t="shared" si="41"/>
        <v>30983,118,0.00380854016718846,0,0,50,51,4,50,12,1,49,1,4,0,3,8,0,0,0,0,0,0,1,57,51-66,2756,0,0,1,0,0,0,1,0,0,69,42093</v>
      </c>
    </row>
    <row r="1314" spans="1:40" ht="13" hidden="1" x14ac:dyDescent="0.15">
      <c r="A1314">
        <v>1806</v>
      </c>
      <c r="B1314" s="1">
        <v>58646</v>
      </c>
      <c r="C1314" s="1">
        <v>118</v>
      </c>
      <c r="D1314" s="4">
        <f t="shared" si="40"/>
        <v>2.012072434607646E-3</v>
      </c>
      <c r="E1314" s="1">
        <v>0</v>
      </c>
      <c r="F1314" s="1">
        <v>1</v>
      </c>
      <c r="G1314" s="1">
        <v>3</v>
      </c>
      <c r="H1314" s="1">
        <v>62</v>
      </c>
      <c r="I1314" s="1">
        <v>1</v>
      </c>
      <c r="J1314" s="1">
        <v>44</v>
      </c>
      <c r="K1314" s="1">
        <v>6</v>
      </c>
      <c r="L1314" s="1">
        <v>5</v>
      </c>
      <c r="M1314" s="1">
        <v>22</v>
      </c>
      <c r="N1314" s="1">
        <v>1</v>
      </c>
      <c r="O1314" s="1">
        <v>2</v>
      </c>
      <c r="P1314" s="1">
        <v>1</v>
      </c>
      <c r="Q1314" s="1">
        <v>4</v>
      </c>
      <c r="R1314" s="1">
        <v>4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58</v>
      </c>
      <c r="AA1314" s="1" t="str" cm="1">
        <f t="array" ref="AA1314">_xlfn.IFS(AND(Z1314&lt;36, Z1314&gt;23), "24-35", AND(Z1314&lt;51, Z1314&gt;35),"36-50", AND(Z1314&lt;66, Z1314&gt;50), "51-66", Z1314&gt;65, "66+", TRUE, "?")</f>
        <v>51-66</v>
      </c>
      <c r="AB1314" s="1">
        <v>2543</v>
      </c>
      <c r="AC1314" s="1">
        <v>0</v>
      </c>
      <c r="AD1314" s="1">
        <v>1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1</v>
      </c>
      <c r="AK1314" s="1">
        <v>0</v>
      </c>
      <c r="AL1314" s="1">
        <v>96</v>
      </c>
      <c r="AM1314" s="2">
        <v>42306</v>
      </c>
      <c r="AN1314" t="str">
        <f t="shared" si="41"/>
        <v>58646,118,0.00201207243460765,0,1,3,62,1,44,6,5,22,1,2,1,4,4,0,0,0,0,0,0,0,58,51-66,2543,0,1,0,0,0,0,0,1,0,96,42306</v>
      </c>
    </row>
    <row r="1315" spans="1:40" ht="13" hidden="1" x14ac:dyDescent="0.15">
      <c r="A1315">
        <v>1810</v>
      </c>
      <c r="B1315" s="1">
        <v>23477</v>
      </c>
      <c r="C1315" s="1">
        <v>118</v>
      </c>
      <c r="D1315" s="4">
        <f t="shared" si="40"/>
        <v>5.0261958512586788E-3</v>
      </c>
      <c r="E1315" s="1">
        <v>1</v>
      </c>
      <c r="F1315" s="1">
        <v>0</v>
      </c>
      <c r="G1315" s="1">
        <v>39</v>
      </c>
      <c r="H1315" s="1">
        <v>38</v>
      </c>
      <c r="I1315" s="1">
        <v>15</v>
      </c>
      <c r="J1315" s="1">
        <v>54</v>
      </c>
      <c r="K1315" s="1">
        <v>3</v>
      </c>
      <c r="L1315" s="1">
        <v>8</v>
      </c>
      <c r="M1315" s="1">
        <v>29</v>
      </c>
      <c r="N1315" s="1">
        <v>3</v>
      </c>
      <c r="O1315" s="1">
        <v>3</v>
      </c>
      <c r="P1315" s="1">
        <v>0</v>
      </c>
      <c r="Q1315" s="1">
        <v>4</v>
      </c>
      <c r="R1315" s="1">
        <v>8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34</v>
      </c>
      <c r="AA1315" s="1" t="str" cm="1">
        <f t="array" ref="AA1315">_xlfn.IFS(AND(Z1315&lt;36, Z1315&gt;23), "24-35", AND(Z1315&lt;51, Z1315&gt;35),"36-50", AND(Z1315&lt;66, Z1315&gt;50), "51-66", Z1315&gt;65, "66+", TRUE, "?")</f>
        <v>24-35</v>
      </c>
      <c r="AB1315" s="1">
        <v>2410</v>
      </c>
      <c r="AC1315" s="1">
        <v>0</v>
      </c>
      <c r="AD1315" s="1">
        <v>1</v>
      </c>
      <c r="AE1315" s="1">
        <v>0</v>
      </c>
      <c r="AF1315" s="1">
        <v>0</v>
      </c>
      <c r="AG1315" s="1">
        <v>0</v>
      </c>
      <c r="AH1315" s="1">
        <v>0</v>
      </c>
      <c r="AI1315" s="1">
        <v>1</v>
      </c>
      <c r="AJ1315" s="1">
        <v>0</v>
      </c>
      <c r="AK1315" s="1">
        <v>0</v>
      </c>
      <c r="AL1315" s="1">
        <v>89</v>
      </c>
      <c r="AM1315" s="2">
        <v>42439</v>
      </c>
      <c r="AN1315" t="str">
        <f t="shared" si="41"/>
        <v>23477,118,0.00502619585125868,1,0,39,38,15,54,3,8,29,3,3,0,4,8,0,0,0,0,0,0,0,34,24-35,2410,0,1,0,0,0,0,1,0,0,89,42439</v>
      </c>
    </row>
    <row r="1316" spans="1:40" ht="13" hidden="1" x14ac:dyDescent="0.15">
      <c r="A1316">
        <v>1922</v>
      </c>
      <c r="B1316" s="1">
        <v>37509</v>
      </c>
      <c r="C1316" s="1">
        <v>118</v>
      </c>
      <c r="D1316" s="4">
        <f t="shared" si="40"/>
        <v>3.1459116478711776E-3</v>
      </c>
      <c r="E1316" s="1">
        <v>1</v>
      </c>
      <c r="F1316" s="1">
        <v>0</v>
      </c>
      <c r="G1316" s="1">
        <v>24</v>
      </c>
      <c r="H1316" s="1">
        <v>37</v>
      </c>
      <c r="I1316" s="1">
        <v>5</v>
      </c>
      <c r="J1316" s="1">
        <v>56</v>
      </c>
      <c r="K1316" s="1">
        <v>12</v>
      </c>
      <c r="L1316" s="1">
        <v>8</v>
      </c>
      <c r="M1316" s="1">
        <v>5</v>
      </c>
      <c r="N1316" s="1">
        <v>2</v>
      </c>
      <c r="O1316" s="1">
        <v>3</v>
      </c>
      <c r="P1316" s="1">
        <v>0</v>
      </c>
      <c r="Q1316" s="1">
        <v>4</v>
      </c>
      <c r="R1316" s="1">
        <v>7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44</v>
      </c>
      <c r="AA1316" s="1" t="str" cm="1">
        <f t="array" ref="AA1316">_xlfn.IFS(AND(Z1316&lt;36, Z1316&gt;23), "24-35", AND(Z1316&lt;51, Z1316&gt;35),"36-50", AND(Z1316&lt;66, Z1316&gt;50), "51-66", Z1316&gt;65, "66+", TRUE, "?")</f>
        <v>36-50</v>
      </c>
      <c r="AB1316" s="1">
        <v>2814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0</v>
      </c>
      <c r="AJ1316" s="1">
        <v>1</v>
      </c>
      <c r="AK1316" s="1">
        <v>0</v>
      </c>
      <c r="AL1316" s="1">
        <v>113</v>
      </c>
      <c r="AM1316" s="2">
        <v>42035</v>
      </c>
      <c r="AN1316" t="str">
        <f t="shared" si="41"/>
        <v>37509,118,0.00314591164787118,1,0,24,37,5,56,12,8,5,2,3,0,4,7,0,0,0,0,0,0,0,44,36-50,2814,0,0,0,1,0,0,0,1,0,113,42035</v>
      </c>
    </row>
    <row r="1317" spans="1:40" ht="13" hidden="1" x14ac:dyDescent="0.15">
      <c r="A1317">
        <v>31</v>
      </c>
      <c r="B1317" s="1">
        <v>40548</v>
      </c>
      <c r="C1317" s="1">
        <v>117</v>
      </c>
      <c r="D1317" s="4">
        <f t="shared" si="40"/>
        <v>2.8854690736904408E-3</v>
      </c>
      <c r="E1317" s="1">
        <v>0</v>
      </c>
      <c r="F1317" s="1">
        <v>1</v>
      </c>
      <c r="G1317" s="1">
        <v>31</v>
      </c>
      <c r="H1317" s="1">
        <v>110</v>
      </c>
      <c r="I1317" s="1">
        <v>0</v>
      </c>
      <c r="J1317" s="1">
        <v>5</v>
      </c>
      <c r="K1317" s="1">
        <v>2</v>
      </c>
      <c r="L1317" s="1">
        <v>0</v>
      </c>
      <c r="M1317" s="1">
        <v>3</v>
      </c>
      <c r="N1317" s="1">
        <v>2</v>
      </c>
      <c r="O1317" s="1">
        <v>2</v>
      </c>
      <c r="P1317" s="1">
        <v>1</v>
      </c>
      <c r="Q1317" s="1">
        <v>4</v>
      </c>
      <c r="R1317" s="1">
        <v>5</v>
      </c>
      <c r="S1317" s="1">
        <v>0</v>
      </c>
      <c r="T1317" s="1">
        <v>0</v>
      </c>
      <c r="U1317" s="1">
        <v>0</v>
      </c>
      <c r="V1317" s="1">
        <v>1</v>
      </c>
      <c r="W1317" s="1">
        <v>0</v>
      </c>
      <c r="X1317" s="1">
        <v>0</v>
      </c>
      <c r="Y1317" s="1">
        <v>0</v>
      </c>
      <c r="Z1317" s="1">
        <v>50</v>
      </c>
      <c r="AA1317" s="1" t="str" cm="1">
        <f t="array" ref="AA1317">_xlfn.IFS(AND(Z1317&lt;36, Z1317&gt;23), "24-35", AND(Z1317&lt;51, Z1317&gt;35),"36-50", AND(Z1317&lt;66, Z1317&gt;50), "51-66", Z1317&gt;65, "66+", TRUE, "?")</f>
        <v>36-50</v>
      </c>
      <c r="AB1317" s="1">
        <v>2786</v>
      </c>
      <c r="AC1317" s="1">
        <v>0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1</v>
      </c>
      <c r="AJ1317" s="1">
        <v>0</v>
      </c>
      <c r="AK1317" s="1">
        <v>0</v>
      </c>
      <c r="AL1317" s="1">
        <v>114</v>
      </c>
      <c r="AM1317" s="2">
        <v>42063</v>
      </c>
      <c r="AN1317" t="str">
        <f t="shared" si="41"/>
        <v>40548,117,0.00288546907369044,0,1,31,110,0,5,2,0,3,2,2,1,4,5,0,0,0,1,0,0,0,50,36-50,2786,0,0,0,1,0,0,1,0,0,114,42063</v>
      </c>
    </row>
    <row r="1318" spans="1:40" ht="13" hidden="1" x14ac:dyDescent="0.15">
      <c r="A1318">
        <v>410</v>
      </c>
      <c r="B1318" s="1">
        <v>32011</v>
      </c>
      <c r="C1318" s="1">
        <v>117</v>
      </c>
      <c r="D1318" s="4">
        <f t="shared" si="40"/>
        <v>3.6549935959513916E-3</v>
      </c>
      <c r="E1318" s="1">
        <v>1</v>
      </c>
      <c r="F1318" s="1">
        <v>0</v>
      </c>
      <c r="G1318" s="1">
        <v>89</v>
      </c>
      <c r="H1318" s="1">
        <v>99</v>
      </c>
      <c r="I1318" s="1">
        <v>0</v>
      </c>
      <c r="J1318" s="1">
        <v>15</v>
      </c>
      <c r="K1318" s="1">
        <v>2</v>
      </c>
      <c r="L1318" s="1">
        <v>1</v>
      </c>
      <c r="M1318" s="1">
        <v>5</v>
      </c>
      <c r="N1318" s="1">
        <v>3</v>
      </c>
      <c r="O1318" s="1">
        <v>2</v>
      </c>
      <c r="P1318" s="1">
        <v>1</v>
      </c>
      <c r="Q1318" s="1">
        <v>4</v>
      </c>
      <c r="R1318" s="1">
        <v>7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49</v>
      </c>
      <c r="AA1318" s="1" t="str" cm="1">
        <f t="array" ref="AA1318">_xlfn.IFS(AND(Z1318&lt;36, Z1318&gt;23), "24-35", AND(Z1318&lt;51, Z1318&gt;35),"36-50", AND(Z1318&lt;66, Z1318&gt;50), "51-66", Z1318&gt;65, "66+", TRUE, "?")</f>
        <v>36-50</v>
      </c>
      <c r="AB1318" s="1">
        <v>2470</v>
      </c>
      <c r="AC1318" s="1">
        <v>0</v>
      </c>
      <c r="AD1318" s="1">
        <v>1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1</v>
      </c>
      <c r="AL1318" s="1">
        <v>112</v>
      </c>
      <c r="AM1318" s="2">
        <v>42379</v>
      </c>
      <c r="AN1318" t="str">
        <f t="shared" si="41"/>
        <v>32011,117,0.00365499359595139,1,0,89,99,0,15,2,1,5,3,2,1,4,7,0,0,0,0,0,0,0,49,36-50,2470,0,1,0,0,0,0,0,0,1,112,42379</v>
      </c>
    </row>
    <row r="1319" spans="1:40" ht="13" hidden="1" x14ac:dyDescent="0.15">
      <c r="A1319">
        <v>477</v>
      </c>
      <c r="B1319" s="1">
        <v>34935</v>
      </c>
      <c r="C1319" s="1">
        <v>117</v>
      </c>
      <c r="D1319" s="4">
        <f t="shared" si="40"/>
        <v>3.3490768570201804E-3</v>
      </c>
      <c r="E1319" s="1">
        <v>0</v>
      </c>
      <c r="F1319" s="1">
        <v>0</v>
      </c>
      <c r="G1319" s="1">
        <v>71</v>
      </c>
      <c r="H1319" s="1">
        <v>34</v>
      </c>
      <c r="I1319" s="1">
        <v>4</v>
      </c>
      <c r="J1319" s="1">
        <v>66</v>
      </c>
      <c r="K1319" s="1">
        <v>3</v>
      </c>
      <c r="L1319" s="1">
        <v>10</v>
      </c>
      <c r="M1319" s="1">
        <v>20</v>
      </c>
      <c r="N1319" s="1">
        <v>1</v>
      </c>
      <c r="O1319" s="1">
        <v>2</v>
      </c>
      <c r="P1319" s="1">
        <v>1</v>
      </c>
      <c r="Q1319" s="1">
        <v>4</v>
      </c>
      <c r="R1319" s="1">
        <v>7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28</v>
      </c>
      <c r="AA1319" s="1" t="str" cm="1">
        <f t="array" ref="AA1319">_xlfn.IFS(AND(Z1319&lt;36, Z1319&gt;23), "24-35", AND(Z1319&lt;51, Z1319&gt;35),"36-50", AND(Z1319&lt;66, Z1319&gt;50), "51-66", Z1319&gt;65, "66+", TRUE, "?")</f>
        <v>24-35</v>
      </c>
      <c r="AB1319" s="1">
        <v>2532</v>
      </c>
      <c r="AC1319" s="1">
        <v>0</v>
      </c>
      <c r="AD1319" s="1">
        <v>1</v>
      </c>
      <c r="AE1319" s="1">
        <v>0</v>
      </c>
      <c r="AF1319" s="1">
        <v>0</v>
      </c>
      <c r="AG1319" s="1">
        <v>0</v>
      </c>
      <c r="AH1319" s="1">
        <v>0</v>
      </c>
      <c r="AI1319" s="1">
        <v>1</v>
      </c>
      <c r="AJ1319" s="1">
        <v>0</v>
      </c>
      <c r="AK1319" s="1">
        <v>0</v>
      </c>
      <c r="AL1319" s="1">
        <v>97</v>
      </c>
      <c r="AM1319" s="2">
        <v>42317</v>
      </c>
      <c r="AN1319" t="str">
        <f t="shared" si="41"/>
        <v>34935,117,0.00334907685702018,0,0,71,34,4,66,3,10,20,1,2,1,4,7,0,0,0,0,0,0,0,28,24-35,2532,0,1,0,0,0,0,1,0,0,97,42317</v>
      </c>
    </row>
    <row r="1320" spans="1:40" ht="13" hidden="1" x14ac:dyDescent="0.15">
      <c r="A1320">
        <v>1028</v>
      </c>
      <c r="B1320" s="1">
        <v>57236</v>
      </c>
      <c r="C1320" s="1">
        <v>117</v>
      </c>
      <c r="D1320" s="4">
        <f t="shared" si="40"/>
        <v>2.0441680061499753E-3</v>
      </c>
      <c r="E1320" s="1">
        <v>1</v>
      </c>
      <c r="F1320" s="1">
        <v>1</v>
      </c>
      <c r="G1320" s="1">
        <v>22</v>
      </c>
      <c r="H1320" s="1">
        <v>105</v>
      </c>
      <c r="I1320" s="1">
        <v>0</v>
      </c>
      <c r="J1320" s="1">
        <v>9</v>
      </c>
      <c r="K1320" s="1">
        <v>2</v>
      </c>
      <c r="L1320" s="1">
        <v>1</v>
      </c>
      <c r="M1320" s="1">
        <v>4</v>
      </c>
      <c r="N1320" s="1">
        <v>3</v>
      </c>
      <c r="O1320" s="1">
        <v>2</v>
      </c>
      <c r="P1320" s="1">
        <v>1</v>
      </c>
      <c r="Q1320" s="1">
        <v>4</v>
      </c>
      <c r="R1320" s="1">
        <v>3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55</v>
      </c>
      <c r="AA1320" s="1" t="str" cm="1">
        <f t="array" ref="AA1320">_xlfn.IFS(AND(Z1320&lt;36, Z1320&gt;23), "24-35", AND(Z1320&lt;51, Z1320&gt;35),"36-50", AND(Z1320&lt;66, Z1320&gt;50), "51-66", Z1320&gt;65, "66+", TRUE, "?")</f>
        <v>51-66</v>
      </c>
      <c r="AB1320" s="1">
        <v>2268</v>
      </c>
      <c r="AC1320" s="1">
        <v>0</v>
      </c>
      <c r="AD1320" s="1">
        <v>1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1</v>
      </c>
      <c r="AL1320" s="1">
        <v>113</v>
      </c>
      <c r="AM1320" s="2">
        <v>42581</v>
      </c>
      <c r="AN1320" t="str">
        <f t="shared" si="41"/>
        <v>57236,117,0.00204416800614998,1,1,22,105,0,9,2,1,4,3,2,1,4,3,0,0,0,0,0,0,0,55,51-66,2268,0,1,0,0,0,0,0,0,1,113,42581</v>
      </c>
    </row>
    <row r="1321" spans="1:40" ht="13" hidden="1" x14ac:dyDescent="0.15">
      <c r="A1321">
        <v>1308</v>
      </c>
      <c r="B1321" s="1">
        <v>36947</v>
      </c>
      <c r="C1321" s="1">
        <v>117</v>
      </c>
      <c r="D1321" s="4">
        <f t="shared" si="40"/>
        <v>3.166698243429778E-3</v>
      </c>
      <c r="E1321" s="1">
        <v>1</v>
      </c>
      <c r="F1321" s="1">
        <v>1</v>
      </c>
      <c r="G1321" s="1">
        <v>49</v>
      </c>
      <c r="H1321" s="1">
        <v>88</v>
      </c>
      <c r="I1321" s="1">
        <v>3</v>
      </c>
      <c r="J1321" s="1">
        <v>21</v>
      </c>
      <c r="K1321" s="1">
        <v>4</v>
      </c>
      <c r="L1321" s="1">
        <v>1</v>
      </c>
      <c r="M1321" s="1">
        <v>29</v>
      </c>
      <c r="N1321" s="1">
        <v>4</v>
      </c>
      <c r="O1321" s="1">
        <v>3</v>
      </c>
      <c r="P1321" s="1">
        <v>0</v>
      </c>
      <c r="Q1321" s="1">
        <v>4</v>
      </c>
      <c r="R1321" s="1">
        <v>9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53</v>
      </c>
      <c r="AA1321" s="1" t="str" cm="1">
        <f t="array" ref="AA1321">_xlfn.IFS(AND(Z1321&lt;36, Z1321&gt;23), "24-35", AND(Z1321&lt;51, Z1321&gt;35),"36-50", AND(Z1321&lt;66, Z1321&gt;50), "51-66", Z1321&gt;65, "66+", TRUE, "?")</f>
        <v>51-66</v>
      </c>
      <c r="AB1321" s="1">
        <v>2850</v>
      </c>
      <c r="AC1321" s="1">
        <v>0</v>
      </c>
      <c r="AD1321" s="1">
        <v>1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1</v>
      </c>
      <c r="AL1321" s="1">
        <v>88</v>
      </c>
      <c r="AM1321" s="2">
        <v>41999</v>
      </c>
      <c r="AN1321" t="str">
        <f t="shared" si="41"/>
        <v>36947,117,0.00316669824342978,1,1,49,88,3,21,4,1,29,4,3,0,4,9,0,0,0,0,0,0,0,53,51-66,2850,0,1,0,0,0,0,0,0,1,88,41999</v>
      </c>
    </row>
    <row r="1322" spans="1:40" ht="13" hidden="1" x14ac:dyDescent="0.15">
      <c r="A1322">
        <v>1489</v>
      </c>
      <c r="B1322" s="1">
        <v>51717</v>
      </c>
      <c r="C1322" s="1">
        <v>117</v>
      </c>
      <c r="D1322" s="4">
        <f t="shared" si="40"/>
        <v>2.2623121990834735E-3</v>
      </c>
      <c r="E1322" s="1">
        <v>0</v>
      </c>
      <c r="F1322" s="1">
        <v>1</v>
      </c>
      <c r="G1322" s="1">
        <v>55</v>
      </c>
      <c r="H1322" s="1">
        <v>98</v>
      </c>
      <c r="I1322" s="1">
        <v>1</v>
      </c>
      <c r="J1322" s="1">
        <v>17</v>
      </c>
      <c r="K1322" s="1">
        <v>0</v>
      </c>
      <c r="L1322" s="1">
        <v>1</v>
      </c>
      <c r="M1322" s="1">
        <v>5</v>
      </c>
      <c r="N1322" s="1">
        <v>1</v>
      </c>
      <c r="O1322" s="1">
        <v>3</v>
      </c>
      <c r="P1322" s="1">
        <v>0</v>
      </c>
      <c r="Q1322" s="1">
        <v>4</v>
      </c>
      <c r="R1322" s="1">
        <v>7</v>
      </c>
      <c r="S1322" s="1">
        <v>0</v>
      </c>
      <c r="T1322" s="1">
        <v>0</v>
      </c>
      <c r="U1322" s="1">
        <v>0</v>
      </c>
      <c r="V1322" s="1">
        <v>1</v>
      </c>
      <c r="W1322" s="1">
        <v>0</v>
      </c>
      <c r="X1322" s="1">
        <v>0</v>
      </c>
      <c r="Y1322" s="1">
        <v>0</v>
      </c>
      <c r="Z1322" s="1">
        <v>55</v>
      </c>
      <c r="AA1322" s="1" t="str" cm="1">
        <f t="array" ref="AA1322">_xlfn.IFS(AND(Z1322&lt;36, Z1322&gt;23), "24-35", AND(Z1322&lt;51, Z1322&gt;35),"36-50", AND(Z1322&lt;66, Z1322&gt;50), "51-66", Z1322&gt;65, "66+", TRUE, "?")</f>
        <v>51-66</v>
      </c>
      <c r="AB1322" s="1">
        <v>2472</v>
      </c>
      <c r="AC1322" s="1">
        <v>0</v>
      </c>
      <c r="AD1322" s="1">
        <v>0</v>
      </c>
      <c r="AE1322" s="1">
        <v>0</v>
      </c>
      <c r="AF1322" s="1">
        <v>1</v>
      </c>
      <c r="AG1322" s="1">
        <v>0</v>
      </c>
      <c r="AH1322" s="1">
        <v>0</v>
      </c>
      <c r="AI1322" s="1">
        <v>0</v>
      </c>
      <c r="AJ1322" s="1">
        <v>0</v>
      </c>
      <c r="AK1322" s="1">
        <v>1</v>
      </c>
      <c r="AL1322" s="1">
        <v>112</v>
      </c>
      <c r="AM1322" s="2">
        <v>42377</v>
      </c>
      <c r="AN1322" t="str">
        <f t="shared" si="41"/>
        <v>51717,117,0.00226231219908347,0,1,55,98,1,17,0,1,5,1,3,0,4,7,0,0,0,1,0,0,0,55,51-66,2472,0,0,0,1,0,0,0,0,1,112,42377</v>
      </c>
    </row>
    <row r="1323" spans="1:40" ht="13" hidden="1" x14ac:dyDescent="0.15">
      <c r="A1323">
        <v>149</v>
      </c>
      <c r="B1323" s="1">
        <v>23228</v>
      </c>
      <c r="C1323" s="1">
        <v>116</v>
      </c>
      <c r="D1323" s="4">
        <f t="shared" si="40"/>
        <v>4.9939727914585846E-3</v>
      </c>
      <c r="E1323" s="1">
        <v>1</v>
      </c>
      <c r="F1323" s="1">
        <v>0</v>
      </c>
      <c r="G1323" s="1">
        <v>91</v>
      </c>
      <c r="H1323" s="1">
        <v>53</v>
      </c>
      <c r="I1323" s="1">
        <v>3</v>
      </c>
      <c r="J1323" s="1">
        <v>49</v>
      </c>
      <c r="K1323" s="1">
        <v>7</v>
      </c>
      <c r="L1323" s="1">
        <v>4</v>
      </c>
      <c r="M1323" s="1">
        <v>5</v>
      </c>
      <c r="N1323" s="1">
        <v>4</v>
      </c>
      <c r="O1323" s="1">
        <v>3</v>
      </c>
      <c r="P1323" s="1">
        <v>0</v>
      </c>
      <c r="Q1323" s="1">
        <v>4</v>
      </c>
      <c r="R1323" s="1">
        <v>8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36</v>
      </c>
      <c r="AA1323" s="1" t="str" cm="1">
        <f t="array" ref="AA1323">_xlfn.IFS(AND(Z1323&lt;36, Z1323&gt;23), "24-35", AND(Z1323&lt;51, Z1323&gt;35),"36-50", AND(Z1323&lt;66, Z1323&gt;50), "51-66", Z1323&gt;65, "66+", TRUE, "?")</f>
        <v>36-50</v>
      </c>
      <c r="AB1323" s="1">
        <v>2334</v>
      </c>
      <c r="AC1323" s="1">
        <v>0</v>
      </c>
      <c r="AD1323" s="1">
        <v>1</v>
      </c>
      <c r="AE1323" s="1">
        <v>0</v>
      </c>
      <c r="AF1323" s="1">
        <v>0</v>
      </c>
      <c r="AG1323" s="1">
        <v>0</v>
      </c>
      <c r="AH1323" s="1">
        <v>0</v>
      </c>
      <c r="AI1323" s="1">
        <v>1</v>
      </c>
      <c r="AJ1323" s="1">
        <v>0</v>
      </c>
      <c r="AK1323" s="1">
        <v>0</v>
      </c>
      <c r="AL1323" s="1">
        <v>111</v>
      </c>
      <c r="AM1323" s="2">
        <v>42515</v>
      </c>
      <c r="AN1323" t="str">
        <f t="shared" si="41"/>
        <v>23228,116,0.00499397279145858,1,0,91,53,3,49,7,4,5,4,3,0,4,8,0,0,0,0,0,0,0,36,36-50,2334,0,1,0,0,0,0,1,0,0,111,42515</v>
      </c>
    </row>
    <row r="1324" spans="1:40" ht="13" hidden="1" x14ac:dyDescent="0.15">
      <c r="A1324">
        <v>949</v>
      </c>
      <c r="B1324" s="1">
        <v>49187</v>
      </c>
      <c r="C1324" s="1">
        <v>116</v>
      </c>
      <c r="D1324" s="4">
        <f t="shared" si="40"/>
        <v>2.3583467176286417E-3</v>
      </c>
      <c r="E1324" s="1">
        <v>0</v>
      </c>
      <c r="F1324" s="1">
        <v>1</v>
      </c>
      <c r="G1324" s="1">
        <v>63</v>
      </c>
      <c r="H1324" s="1">
        <v>81</v>
      </c>
      <c r="I1324" s="1">
        <v>1</v>
      </c>
      <c r="J1324" s="1">
        <v>31</v>
      </c>
      <c r="K1324" s="1">
        <v>2</v>
      </c>
      <c r="L1324" s="1">
        <v>1</v>
      </c>
      <c r="M1324" s="1">
        <v>0</v>
      </c>
      <c r="N1324" s="1">
        <v>1</v>
      </c>
      <c r="O1324" s="1">
        <v>1</v>
      </c>
      <c r="P1324" s="1">
        <v>1</v>
      </c>
      <c r="Q1324" s="1">
        <v>5</v>
      </c>
      <c r="R1324" s="1">
        <v>2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44</v>
      </c>
      <c r="AA1324" s="1" t="str" cm="1">
        <f t="array" ref="AA1324">_xlfn.IFS(AND(Z1324&lt;36, Z1324&gt;23), "24-35", AND(Z1324&lt;51, Z1324&gt;35),"36-50", AND(Z1324&lt;66, Z1324&gt;50), "51-66", Z1324&gt;65, "66+", TRUE, "?")</f>
        <v>36-50</v>
      </c>
      <c r="AB1324" s="1">
        <v>2328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0</v>
      </c>
      <c r="AI1324" s="1">
        <v>0</v>
      </c>
      <c r="AJ1324" s="1">
        <v>0</v>
      </c>
      <c r="AK1324" s="1">
        <v>1</v>
      </c>
      <c r="AL1324" s="1">
        <v>116</v>
      </c>
      <c r="AM1324" s="2">
        <v>42521</v>
      </c>
      <c r="AN1324" t="str">
        <f t="shared" si="41"/>
        <v>49187,116,0.00235834671762864,0,1,63,81,1,31,2,1,0,1,1,1,5,2,0,0,0,0,0,0,0,44,36-50,2328,0,0,0,1,0,0,0,0,1,116,42521</v>
      </c>
    </row>
    <row r="1325" spans="1:40" ht="13" hidden="1" x14ac:dyDescent="0.15">
      <c r="A1325">
        <v>1122</v>
      </c>
      <c r="B1325" s="1">
        <v>43641</v>
      </c>
      <c r="C1325" s="1">
        <v>116</v>
      </c>
      <c r="D1325" s="4">
        <f t="shared" si="40"/>
        <v>2.6580509154235698E-3</v>
      </c>
      <c r="E1325" s="1">
        <v>1</v>
      </c>
      <c r="F1325" s="1">
        <v>1</v>
      </c>
      <c r="G1325" s="1">
        <v>50</v>
      </c>
      <c r="H1325" s="1">
        <v>57</v>
      </c>
      <c r="I1325" s="1">
        <v>2</v>
      </c>
      <c r="J1325" s="1">
        <v>51</v>
      </c>
      <c r="K1325" s="1">
        <v>4</v>
      </c>
      <c r="L1325" s="1">
        <v>2</v>
      </c>
      <c r="M1325" s="1">
        <v>23</v>
      </c>
      <c r="N1325" s="1">
        <v>3</v>
      </c>
      <c r="O1325" s="1">
        <v>2</v>
      </c>
      <c r="P1325" s="1">
        <v>1</v>
      </c>
      <c r="Q1325" s="1">
        <v>4</v>
      </c>
      <c r="R1325" s="1">
        <v>6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51</v>
      </c>
      <c r="AA1325" s="1" t="str" cm="1">
        <f t="array" ref="AA1325">_xlfn.IFS(AND(Z1325&lt;36, Z1325&gt;23), "24-35", AND(Z1325&lt;51, Z1325&gt;35),"36-50", AND(Z1325&lt;66, Z1325&gt;50), "51-66", Z1325&gt;65, "66+", TRUE, "?")</f>
        <v>51-66</v>
      </c>
      <c r="AB1325" s="1">
        <v>2592</v>
      </c>
      <c r="AC1325" s="1">
        <v>0</v>
      </c>
      <c r="AD1325" s="1">
        <v>1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1</v>
      </c>
      <c r="AK1325" s="1">
        <v>0</v>
      </c>
      <c r="AL1325" s="1">
        <v>93</v>
      </c>
      <c r="AM1325" s="2">
        <v>42257</v>
      </c>
      <c r="AN1325" t="str">
        <f t="shared" si="41"/>
        <v>43641,116,0.00265805091542357,1,1,50,57,2,51,4,2,23,3,2,1,4,6,0,0,0,0,0,0,0,51,51-66,2592,0,1,0,0,0,0,0,1,0,93,42257</v>
      </c>
    </row>
    <row r="1326" spans="1:40" ht="13" hidden="1" x14ac:dyDescent="0.15">
      <c r="A1326">
        <v>1499</v>
      </c>
      <c r="B1326" s="1">
        <v>52854</v>
      </c>
      <c r="C1326" s="1">
        <v>116</v>
      </c>
      <c r="D1326" s="4">
        <f t="shared" si="40"/>
        <v>2.1947250917622131E-3</v>
      </c>
      <c r="E1326" s="1">
        <v>1</v>
      </c>
      <c r="F1326" s="1">
        <v>1</v>
      </c>
      <c r="G1326" s="1">
        <v>43</v>
      </c>
      <c r="H1326" s="1">
        <v>105</v>
      </c>
      <c r="I1326" s="1">
        <v>0</v>
      </c>
      <c r="J1326" s="1">
        <v>10</v>
      </c>
      <c r="K1326" s="1">
        <v>0</v>
      </c>
      <c r="L1326" s="1">
        <v>1</v>
      </c>
      <c r="M1326" s="1">
        <v>0</v>
      </c>
      <c r="N1326" s="1">
        <v>2</v>
      </c>
      <c r="O1326" s="1">
        <v>2</v>
      </c>
      <c r="P1326" s="1">
        <v>1</v>
      </c>
      <c r="Q1326" s="1">
        <v>4</v>
      </c>
      <c r="R1326" s="1">
        <v>5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61</v>
      </c>
      <c r="AA1326" s="1" t="str" cm="1">
        <f t="array" ref="AA1326">_xlfn.IFS(AND(Z1326&lt;36, Z1326&gt;23), "24-35", AND(Z1326&lt;51, Z1326&gt;35),"36-50", AND(Z1326&lt;66, Z1326&gt;50), "51-66", Z1326&gt;65, "66+", TRUE, "?")</f>
        <v>51-66</v>
      </c>
      <c r="AB1326" s="1">
        <v>2256</v>
      </c>
      <c r="AC1326" s="1">
        <v>0</v>
      </c>
      <c r="AD1326" s="1">
        <v>1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1</v>
      </c>
      <c r="AL1326" s="1">
        <v>116</v>
      </c>
      <c r="AM1326" s="2">
        <v>42593</v>
      </c>
      <c r="AN1326" t="str">
        <f t="shared" si="41"/>
        <v>52854,116,0.00219472509176221,1,1,43,105,0,10,0,1,0,2,2,1,4,5,0,0,0,0,0,0,0,61,51-66,2256,0,1,0,0,0,0,0,0,1,116,42593</v>
      </c>
    </row>
    <row r="1327" spans="1:40" ht="13" x14ac:dyDescent="0.15">
      <c r="A1327">
        <v>1687</v>
      </c>
      <c r="B1327" s="1">
        <v>29435</v>
      </c>
      <c r="C1327" s="1">
        <v>116</v>
      </c>
      <c r="D1327" s="4">
        <f t="shared" si="40"/>
        <v>3.9408866995073889E-3</v>
      </c>
      <c r="E1327" s="1">
        <v>1</v>
      </c>
      <c r="F1327" s="1">
        <v>1</v>
      </c>
      <c r="G1327" s="1">
        <v>11</v>
      </c>
      <c r="H1327" s="1">
        <v>70</v>
      </c>
      <c r="I1327" s="1">
        <v>3</v>
      </c>
      <c r="J1327" s="1">
        <v>37</v>
      </c>
      <c r="K1327" s="1">
        <v>4</v>
      </c>
      <c r="L1327" s="1">
        <v>2</v>
      </c>
      <c r="M1327" s="1">
        <v>64</v>
      </c>
      <c r="N1327" s="1">
        <v>4</v>
      </c>
      <c r="O1327" s="1">
        <v>3</v>
      </c>
      <c r="P1327" s="1">
        <v>2</v>
      </c>
      <c r="Q1327" s="1">
        <v>2</v>
      </c>
      <c r="R1327" s="1">
        <v>9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1</v>
      </c>
      <c r="Z1327" s="1">
        <v>54</v>
      </c>
      <c r="AA1327" s="1" t="str" cm="1">
        <f t="array" ref="AA1327">_xlfn.IFS(AND(Z1327&lt;36, Z1327&gt;23), "24-35", AND(Z1327&lt;51, Z1327&gt;35),"36-50", AND(Z1327&lt;66, Z1327&gt;50), "51-66", Z1327&gt;65, "66+", TRUE, "?")</f>
        <v>51-66</v>
      </c>
      <c r="AB1327" s="1">
        <v>2851</v>
      </c>
      <c r="AC1327" s="1">
        <v>1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1</v>
      </c>
      <c r="AK1327" s="1">
        <v>0</v>
      </c>
      <c r="AL1327" s="1">
        <v>52</v>
      </c>
      <c r="AM1327" s="2">
        <v>41998</v>
      </c>
      <c r="AN1327" t="str">
        <f t="shared" si="41"/>
        <v>29435,116,0.00394088669950739,1,1,11,70,3,37,4,2,64,4,3,2,2,9,0,0,0,0,0,0,1,54,51-66,2851,1,0,0,0,0,0,0,1,0,52,41998</v>
      </c>
    </row>
    <row r="1328" spans="1:40" ht="13" hidden="1" x14ac:dyDescent="0.15">
      <c r="A1328">
        <v>1924</v>
      </c>
      <c r="B1328" s="1">
        <v>43586</v>
      </c>
      <c r="C1328" s="1">
        <v>116</v>
      </c>
      <c r="D1328" s="4">
        <f t="shared" si="40"/>
        <v>2.6614050383150555E-3</v>
      </c>
      <c r="E1328" s="1">
        <v>0</v>
      </c>
      <c r="F1328" s="1">
        <v>1</v>
      </c>
      <c r="G1328" s="1">
        <v>26</v>
      </c>
      <c r="H1328" s="1">
        <v>99</v>
      </c>
      <c r="I1328" s="1">
        <v>2</v>
      </c>
      <c r="J1328" s="1">
        <v>11</v>
      </c>
      <c r="K1328" s="1">
        <v>4</v>
      </c>
      <c r="L1328" s="1">
        <v>0</v>
      </c>
      <c r="M1328" s="1">
        <v>16</v>
      </c>
      <c r="N1328" s="1">
        <v>3</v>
      </c>
      <c r="O1328" s="1">
        <v>3</v>
      </c>
      <c r="P1328" s="1">
        <v>0</v>
      </c>
      <c r="Q1328" s="1">
        <v>4</v>
      </c>
      <c r="R1328" s="1">
        <v>8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40</v>
      </c>
      <c r="AA1328" s="1" t="str" cm="1">
        <f t="array" ref="AA1328">_xlfn.IFS(AND(Z1328&lt;36, Z1328&gt;23), "24-35", AND(Z1328&lt;51, Z1328&gt;35),"36-50", AND(Z1328&lt;66, Z1328&gt;50), "51-66", Z1328&gt;65, "66+", TRUE, "?")</f>
        <v>36-50</v>
      </c>
      <c r="AB1328" s="1">
        <v>2827</v>
      </c>
      <c r="AC1328" s="1">
        <v>0</v>
      </c>
      <c r="AD1328" s="1">
        <v>1</v>
      </c>
      <c r="AE1328" s="1">
        <v>0</v>
      </c>
      <c r="AF1328" s="1">
        <v>0</v>
      </c>
      <c r="AG1328" s="1">
        <v>0</v>
      </c>
      <c r="AH1328" s="1">
        <v>0</v>
      </c>
      <c r="AI1328" s="1">
        <v>1</v>
      </c>
      <c r="AJ1328" s="1">
        <v>0</v>
      </c>
      <c r="AK1328" s="1">
        <v>0</v>
      </c>
      <c r="AL1328" s="1">
        <v>100</v>
      </c>
      <c r="AM1328" s="2">
        <v>42022</v>
      </c>
      <c r="AN1328" t="str">
        <f t="shared" si="41"/>
        <v>43586,116,0.00266140503831506,0,1,26,99,2,11,4,0,16,3,3,0,4,8,0,0,0,0,0,0,0,40,36-50,2827,0,1,0,0,0,0,1,0,0,100,42022</v>
      </c>
    </row>
    <row r="1329" spans="1:40" ht="13" hidden="1" x14ac:dyDescent="0.15">
      <c r="A1329">
        <v>571</v>
      </c>
      <c r="B1329" s="1">
        <v>49618</v>
      </c>
      <c r="C1329" s="1">
        <v>115</v>
      </c>
      <c r="D1329" s="4">
        <f t="shared" si="40"/>
        <v>2.3177072836470637E-3</v>
      </c>
      <c r="E1329" s="1">
        <v>1</v>
      </c>
      <c r="F1329" s="1">
        <v>1</v>
      </c>
      <c r="G1329" s="1">
        <v>77</v>
      </c>
      <c r="H1329" s="1">
        <v>80</v>
      </c>
      <c r="I1329" s="1">
        <v>3</v>
      </c>
      <c r="J1329" s="1">
        <v>26</v>
      </c>
      <c r="K1329" s="1">
        <v>4</v>
      </c>
      <c r="L1329" s="1">
        <v>2</v>
      </c>
      <c r="M1329" s="1">
        <v>14</v>
      </c>
      <c r="N1329" s="1">
        <v>4</v>
      </c>
      <c r="O1329" s="1">
        <v>3</v>
      </c>
      <c r="P1329" s="1">
        <v>1</v>
      </c>
      <c r="Q1329" s="1">
        <v>3</v>
      </c>
      <c r="R1329" s="1">
        <v>7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54</v>
      </c>
      <c r="AA1329" s="1" t="str" cm="1">
        <f t="array" ref="AA1329">_xlfn.IFS(AND(Z1329&lt;36, Z1329&gt;23), "24-35", AND(Z1329&lt;51, Z1329&gt;35),"36-50", AND(Z1329&lt;66, Z1329&gt;50), "51-66", Z1329&gt;65, "66+", TRUE, "?")</f>
        <v>51-66</v>
      </c>
      <c r="AB1329" s="1">
        <v>2678</v>
      </c>
      <c r="AC1329" s="1">
        <v>0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0</v>
      </c>
      <c r="AJ1329" s="1">
        <v>1</v>
      </c>
      <c r="AK1329" s="1">
        <v>0</v>
      </c>
      <c r="AL1329" s="1">
        <v>101</v>
      </c>
      <c r="AM1329" s="2">
        <v>42171</v>
      </c>
      <c r="AN1329" t="str">
        <f t="shared" si="41"/>
        <v>49618,115,0.00231770728364706,1,1,77,80,3,26,4,2,14,4,3,1,3,7,0,0,0,0,0,0,0,54,51-66,2678,0,0,0,1,0,0,0,1,0,101,42171</v>
      </c>
    </row>
    <row r="1330" spans="1:40" ht="13" hidden="1" x14ac:dyDescent="0.15">
      <c r="A1330">
        <v>1253</v>
      </c>
      <c r="B1330" s="1">
        <v>35876</v>
      </c>
      <c r="C1330" s="1">
        <v>115</v>
      </c>
      <c r="D1330" s="4">
        <f t="shared" si="40"/>
        <v>3.20548556137808E-3</v>
      </c>
      <c r="E1330" s="1">
        <v>0</v>
      </c>
      <c r="F1330" s="1">
        <v>0</v>
      </c>
      <c r="G1330" s="1">
        <v>13</v>
      </c>
      <c r="H1330" s="1">
        <v>66</v>
      </c>
      <c r="I1330" s="1">
        <v>2</v>
      </c>
      <c r="J1330" s="1">
        <v>40</v>
      </c>
      <c r="K1330" s="1">
        <v>4</v>
      </c>
      <c r="L1330" s="1">
        <v>3</v>
      </c>
      <c r="M1330" s="1">
        <v>14</v>
      </c>
      <c r="N1330" s="1">
        <v>1</v>
      </c>
      <c r="O1330" s="1">
        <v>3</v>
      </c>
      <c r="P1330" s="1">
        <v>1</v>
      </c>
      <c r="Q1330" s="1">
        <v>3</v>
      </c>
      <c r="R1330" s="1">
        <v>6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37</v>
      </c>
      <c r="AA1330" s="1" t="str" cm="1">
        <f t="array" ref="AA1330">_xlfn.IFS(AND(Z1330&lt;36, Z1330&gt;23), "24-35", AND(Z1330&lt;51, Z1330&gt;35),"36-50", AND(Z1330&lt;66, Z1330&gt;50), "51-66", Z1330&gt;65, "66+", TRUE, "?")</f>
        <v>36-50</v>
      </c>
      <c r="AB1330" s="1">
        <v>2229</v>
      </c>
      <c r="AC1330" s="1">
        <v>0</v>
      </c>
      <c r="AD1330" s="1">
        <v>1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1</v>
      </c>
      <c r="AK1330" s="1">
        <v>0</v>
      </c>
      <c r="AL1330" s="1">
        <v>101</v>
      </c>
      <c r="AM1330" s="2">
        <v>42620</v>
      </c>
      <c r="AN1330" t="str">
        <f t="shared" si="41"/>
        <v>35876,115,0.00320548556137808,0,0,13,66,2,40,4,3,14,1,3,1,3,6,0,0,0,0,0,0,0,37,36-50,2229,0,1,0,0,0,0,0,1,0,101,42620</v>
      </c>
    </row>
    <row r="1331" spans="1:40" ht="13" x14ac:dyDescent="0.15">
      <c r="A1331">
        <v>1690</v>
      </c>
      <c r="B1331" s="1">
        <v>38097</v>
      </c>
      <c r="C1331" s="1">
        <v>115</v>
      </c>
      <c r="D1331" s="4">
        <f t="shared" si="40"/>
        <v>3.0186103892694961E-3</v>
      </c>
      <c r="E1331" s="1">
        <v>1</v>
      </c>
      <c r="F1331" s="1">
        <v>1</v>
      </c>
      <c r="G1331" s="1">
        <v>70</v>
      </c>
      <c r="H1331" s="1">
        <v>77</v>
      </c>
      <c r="I1331" s="1">
        <v>2</v>
      </c>
      <c r="J1331" s="1">
        <v>35</v>
      </c>
      <c r="K1331" s="1">
        <v>0</v>
      </c>
      <c r="L1331" s="1">
        <v>1</v>
      </c>
      <c r="M1331" s="1">
        <v>69</v>
      </c>
      <c r="N1331" s="1">
        <v>4</v>
      </c>
      <c r="O1331" s="1">
        <v>3</v>
      </c>
      <c r="P1331" s="1">
        <v>2</v>
      </c>
      <c r="Q1331" s="1">
        <v>2</v>
      </c>
      <c r="R1331" s="1">
        <v>7</v>
      </c>
      <c r="S1331" s="1">
        <v>0</v>
      </c>
      <c r="T1331" s="1">
        <v>0</v>
      </c>
      <c r="U1331" s="1">
        <v>1</v>
      </c>
      <c r="V1331" s="1">
        <v>0</v>
      </c>
      <c r="W1331" s="1">
        <v>0</v>
      </c>
      <c r="X1331" s="1">
        <v>0</v>
      </c>
      <c r="Y1331" s="1">
        <v>1</v>
      </c>
      <c r="Z1331" s="1">
        <v>50</v>
      </c>
      <c r="AA1331" s="1" t="str" cm="1">
        <f t="array" ref="AA1331">_xlfn.IFS(AND(Z1331&lt;36, Z1331&gt;23), "24-35", AND(Z1331&lt;51, Z1331&gt;35),"36-50", AND(Z1331&lt;66, Z1331&gt;50), "51-66", Z1331&gt;65, "66+", TRUE, "?")</f>
        <v>36-50</v>
      </c>
      <c r="AB1331" s="1">
        <v>2781</v>
      </c>
      <c r="AC1331" s="1">
        <v>0</v>
      </c>
      <c r="AD1331" s="1">
        <v>1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1</v>
      </c>
      <c r="AL1331" s="1">
        <v>46</v>
      </c>
      <c r="AM1331" s="2">
        <v>42068</v>
      </c>
      <c r="AN1331" t="str">
        <f t="shared" si="41"/>
        <v>38097,115,0.0030186103892695,1,1,70,77,2,35,0,1,69,4,3,2,2,7,0,0,1,0,0,0,1,50,36-50,2781,0,1,0,0,0,0,0,0,1,46,42068</v>
      </c>
    </row>
    <row r="1332" spans="1:40" ht="13" hidden="1" x14ac:dyDescent="0.15">
      <c r="A1332">
        <v>1244</v>
      </c>
      <c r="B1332" s="1">
        <v>6560</v>
      </c>
      <c r="C1332" s="1">
        <v>111</v>
      </c>
      <c r="D1332" s="4">
        <f t="shared" si="40"/>
        <v>1.6920731707317074E-2</v>
      </c>
      <c r="E1332" s="1">
        <v>0</v>
      </c>
      <c r="F1332" s="1">
        <v>0</v>
      </c>
      <c r="G1332" s="1">
        <v>2</v>
      </c>
      <c r="H1332" s="1">
        <v>67</v>
      </c>
      <c r="I1332" s="1">
        <v>11</v>
      </c>
      <c r="J1332" s="1">
        <v>26</v>
      </c>
      <c r="K1332" s="1">
        <v>4</v>
      </c>
      <c r="L1332" s="1">
        <v>3</v>
      </c>
      <c r="M1332" s="1">
        <v>262</v>
      </c>
      <c r="N1332" s="1">
        <v>0</v>
      </c>
      <c r="O1332" s="1">
        <v>1</v>
      </c>
      <c r="P1332" s="1">
        <v>0</v>
      </c>
      <c r="Q1332" s="1">
        <v>1</v>
      </c>
      <c r="R1332" s="1">
        <v>17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38</v>
      </c>
      <c r="AA1332" s="1" t="str" cm="1">
        <f t="array" ref="AA1332">_xlfn.IFS(AND(Z1332&lt;36, Z1332&gt;23), "24-35", AND(Z1332&lt;51, Z1332&gt;35),"36-50", AND(Z1332&lt;66, Z1332&gt;50), "51-66", Z1332&gt;65, "66+", TRUE, "?")</f>
        <v>36-50</v>
      </c>
      <c r="AB1332" s="1">
        <v>2358</v>
      </c>
      <c r="AC1332" s="1">
        <v>0</v>
      </c>
      <c r="AD1332" s="1">
        <v>0</v>
      </c>
      <c r="AE1332" s="1">
        <v>1</v>
      </c>
      <c r="AF1332" s="1">
        <v>0</v>
      </c>
      <c r="AG1332" s="1">
        <v>0</v>
      </c>
      <c r="AH1332" s="1">
        <v>0</v>
      </c>
      <c r="AI1332" s="1">
        <v>0</v>
      </c>
      <c r="AJ1332" s="1">
        <v>1</v>
      </c>
      <c r="AK1332" s="1">
        <v>0</v>
      </c>
      <c r="AL1332" s="1">
        <v>-151</v>
      </c>
      <c r="AM1332" s="2">
        <v>42491</v>
      </c>
      <c r="AN1332" t="str">
        <f t="shared" si="41"/>
        <v>6560,111,0.0169207317073171,0,0,2,67,11,26,4,3,262,0,1,0,1,17,0,0,0,0,0,0,0,38,36-50,2358,0,0,1,0,0,0,0,1,0,-151,42491</v>
      </c>
    </row>
    <row r="1333" spans="1:40" ht="13" hidden="1" x14ac:dyDescent="0.15">
      <c r="A1333">
        <v>202</v>
      </c>
      <c r="B1333" s="1">
        <v>45204</v>
      </c>
      <c r="C1333" s="1">
        <v>96</v>
      </c>
      <c r="D1333" s="4">
        <f t="shared" si="40"/>
        <v>2.123705866737457E-3</v>
      </c>
      <c r="E1333" s="1">
        <v>1</v>
      </c>
      <c r="F1333" s="1">
        <v>0</v>
      </c>
      <c r="G1333" s="1">
        <v>93</v>
      </c>
      <c r="H1333" s="1">
        <v>30</v>
      </c>
      <c r="I1333" s="1">
        <v>11</v>
      </c>
      <c r="J1333" s="1">
        <v>25</v>
      </c>
      <c r="K1333" s="1">
        <v>29</v>
      </c>
      <c r="L1333" s="1">
        <v>1</v>
      </c>
      <c r="M1333" s="1">
        <v>18</v>
      </c>
      <c r="N1333" s="1">
        <v>1</v>
      </c>
      <c r="O1333" s="1">
        <v>1</v>
      </c>
      <c r="P1333" s="1">
        <v>1</v>
      </c>
      <c r="Q1333" s="1">
        <v>4</v>
      </c>
      <c r="R1333" s="1">
        <v>3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32</v>
      </c>
      <c r="AA1333" s="1" t="str" cm="1">
        <f t="array" ref="AA1333">_xlfn.IFS(AND(Z1333&lt;36, Z1333&gt;23), "24-35", AND(Z1333&lt;51, Z1333&gt;35),"36-50", AND(Z1333&lt;66, Z1333&gt;50), "51-66", Z1333&gt;65, "66+", TRUE, "?")</f>
        <v>24-35</v>
      </c>
      <c r="AB1333" s="1">
        <v>2238</v>
      </c>
      <c r="AC1333" s="1">
        <v>0</v>
      </c>
      <c r="AD1333" s="1">
        <v>0</v>
      </c>
      <c r="AE1333" s="1">
        <v>0</v>
      </c>
      <c r="AF1333" s="1">
        <v>1</v>
      </c>
      <c r="AG1333" s="1">
        <v>0</v>
      </c>
      <c r="AH1333" s="1">
        <v>1</v>
      </c>
      <c r="AI1333" s="1">
        <v>0</v>
      </c>
      <c r="AJ1333" s="1">
        <v>0</v>
      </c>
      <c r="AK1333" s="1">
        <v>0</v>
      </c>
      <c r="AL1333" s="1">
        <v>78</v>
      </c>
      <c r="AM1333" s="2">
        <v>42611</v>
      </c>
      <c r="AN1333" t="str">
        <f t="shared" si="41"/>
        <v>45204,96,0.00212370586673746,1,0,93,30,11,25,29,1,18,1,1,1,4,3,0,0,0,0,0,0,0,32,24-35,2238,0,0,0,1,0,1,0,0,0,78,42611</v>
      </c>
    </row>
    <row r="1334" spans="1:40" ht="13" hidden="1" x14ac:dyDescent="0.15">
      <c r="A1334">
        <v>592</v>
      </c>
      <c r="B1334" s="1">
        <v>34487</v>
      </c>
      <c r="C1334" s="1">
        <v>95</v>
      </c>
      <c r="D1334" s="4">
        <f t="shared" si="40"/>
        <v>2.7546611766752689E-3</v>
      </c>
      <c r="E1334" s="1">
        <v>1</v>
      </c>
      <c r="F1334" s="1">
        <v>1</v>
      </c>
      <c r="G1334" s="1">
        <v>94</v>
      </c>
      <c r="H1334" s="1">
        <v>19</v>
      </c>
      <c r="I1334" s="1">
        <v>18</v>
      </c>
      <c r="J1334" s="1">
        <v>33</v>
      </c>
      <c r="K1334" s="1">
        <v>24</v>
      </c>
      <c r="L1334" s="1">
        <v>1</v>
      </c>
      <c r="M1334" s="1">
        <v>8</v>
      </c>
      <c r="N1334" s="1">
        <v>3</v>
      </c>
      <c r="O1334" s="1">
        <v>3</v>
      </c>
      <c r="P1334" s="1">
        <v>0</v>
      </c>
      <c r="Q1334" s="1">
        <v>3</v>
      </c>
      <c r="R1334" s="1">
        <v>9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43</v>
      </c>
      <c r="AA1334" s="1" t="str" cm="1">
        <f t="array" ref="AA1334">_xlfn.IFS(AND(Z1334&lt;36, Z1334&gt;23), "24-35", AND(Z1334&lt;51, Z1334&gt;35),"36-50", AND(Z1334&lt;66, Z1334&gt;50), "51-66", Z1334&gt;65, "66+", TRUE, "?")</f>
        <v>36-50</v>
      </c>
      <c r="AB1334" s="1">
        <v>2820</v>
      </c>
      <c r="AC1334" s="1">
        <v>1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1</v>
      </c>
      <c r="AL1334" s="1">
        <v>87</v>
      </c>
      <c r="AM1334" s="2">
        <v>42029</v>
      </c>
      <c r="AN1334" t="str">
        <f t="shared" si="41"/>
        <v>34487,95,0.00275466117667527,1,1,94,19,18,33,24,1,8,3,3,0,3,9,0,0,0,0,0,0,0,43,36-50,2820,1,0,0,0,0,0,0,0,1,87,42029</v>
      </c>
    </row>
    <row r="1335" spans="1:40" ht="13" hidden="1" x14ac:dyDescent="0.15">
      <c r="A1335">
        <v>19</v>
      </c>
      <c r="B1335" s="1">
        <v>33812</v>
      </c>
      <c r="C1335" s="1">
        <v>94</v>
      </c>
      <c r="D1335" s="4">
        <f t="shared" si="40"/>
        <v>2.7800780787885959E-3</v>
      </c>
      <c r="E1335" s="1">
        <v>1</v>
      </c>
      <c r="F1335" s="1">
        <v>0</v>
      </c>
      <c r="G1335" s="1">
        <v>86</v>
      </c>
      <c r="H1335" s="1">
        <v>4</v>
      </c>
      <c r="I1335" s="1">
        <v>17</v>
      </c>
      <c r="J1335" s="1">
        <v>19</v>
      </c>
      <c r="K1335" s="1">
        <v>30</v>
      </c>
      <c r="L1335" s="1">
        <v>24</v>
      </c>
      <c r="M1335" s="1">
        <v>39</v>
      </c>
      <c r="N1335" s="1">
        <v>2</v>
      </c>
      <c r="O1335" s="1">
        <v>2</v>
      </c>
      <c r="P1335" s="1">
        <v>1</v>
      </c>
      <c r="Q1335" s="1">
        <v>3</v>
      </c>
      <c r="R1335" s="1">
        <v>6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35</v>
      </c>
      <c r="AA1335" s="1" t="str" cm="1">
        <f t="array" ref="AA1335">_xlfn.IFS(AND(Z1335&lt;36, Z1335&gt;23), "24-35", AND(Z1335&lt;51, Z1335&gt;35),"36-50", AND(Z1335&lt;66, Z1335&gt;50), "51-66", Z1335&gt;65, "66+", TRUE, "?")</f>
        <v>24-35</v>
      </c>
      <c r="AB1335" s="1">
        <v>2762</v>
      </c>
      <c r="AC1335" s="1">
        <v>0</v>
      </c>
      <c r="AD1335" s="1">
        <v>0</v>
      </c>
      <c r="AE1335" s="1">
        <v>1</v>
      </c>
      <c r="AF1335" s="1">
        <v>0</v>
      </c>
      <c r="AG1335" s="1">
        <v>0</v>
      </c>
      <c r="AH1335" s="1">
        <v>1</v>
      </c>
      <c r="AI1335" s="1">
        <v>0</v>
      </c>
      <c r="AJ1335" s="1">
        <v>0</v>
      </c>
      <c r="AK1335" s="1">
        <v>0</v>
      </c>
      <c r="AL1335" s="1">
        <v>55</v>
      </c>
      <c r="AM1335" s="2">
        <v>42087</v>
      </c>
      <c r="AN1335" t="str">
        <f t="shared" si="41"/>
        <v>33812,94,0.0027800780787886,1,0,86,4,17,19,30,24,39,2,2,1,3,6,0,0,0,0,0,0,0,35,24-35,2762,0,0,1,0,0,1,0,0,0,55,42087</v>
      </c>
    </row>
    <row r="1336" spans="1:40" ht="13" hidden="1" x14ac:dyDescent="0.15">
      <c r="A1336">
        <v>896</v>
      </c>
      <c r="B1336" s="1">
        <v>42767</v>
      </c>
      <c r="C1336" s="1">
        <v>93</v>
      </c>
      <c r="D1336" s="4">
        <f t="shared" si="40"/>
        <v>2.174573853672224E-3</v>
      </c>
      <c r="E1336" s="1">
        <v>2</v>
      </c>
      <c r="F1336" s="1">
        <v>0</v>
      </c>
      <c r="G1336" s="1">
        <v>53</v>
      </c>
      <c r="H1336" s="1">
        <v>20</v>
      </c>
      <c r="I1336" s="1">
        <v>6</v>
      </c>
      <c r="J1336" s="1">
        <v>43</v>
      </c>
      <c r="K1336" s="1">
        <v>19</v>
      </c>
      <c r="L1336" s="1">
        <v>5</v>
      </c>
      <c r="M1336" s="1">
        <v>38</v>
      </c>
      <c r="N1336" s="1">
        <v>1</v>
      </c>
      <c r="O1336" s="1">
        <v>3</v>
      </c>
      <c r="P1336" s="1">
        <v>1</v>
      </c>
      <c r="Q1336" s="1">
        <v>2</v>
      </c>
      <c r="R1336" s="1">
        <v>8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49</v>
      </c>
      <c r="AA1336" s="1" t="str" cm="1">
        <f t="array" ref="AA1336">_xlfn.IFS(AND(Z1336&lt;36, Z1336&gt;23), "24-35", AND(Z1336&lt;51, Z1336&gt;35),"36-50", AND(Z1336&lt;66, Z1336&gt;50), "51-66", Z1336&gt;65, "66+", TRUE, "?")</f>
        <v>36-50</v>
      </c>
      <c r="AB1336" s="1">
        <v>2573</v>
      </c>
      <c r="AC1336" s="1">
        <v>0</v>
      </c>
      <c r="AD1336" s="1">
        <v>0</v>
      </c>
      <c r="AE1336" s="1">
        <v>1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1</v>
      </c>
      <c r="AL1336" s="1">
        <v>55</v>
      </c>
      <c r="AM1336" s="2">
        <v>42276</v>
      </c>
      <c r="AN1336" t="str">
        <f t="shared" si="41"/>
        <v>42767,93,0.00217457385367222,2,0,53,20,6,43,19,5,38,1,3,1,2,8,0,0,0,0,0,0,0,49,36-50,2573,0,0,1,0,0,0,0,0,1,55,42276</v>
      </c>
    </row>
    <row r="1337" spans="1:40" ht="13" hidden="1" x14ac:dyDescent="0.15">
      <c r="A1337">
        <v>983</v>
      </c>
      <c r="B1337" s="1">
        <v>33585</v>
      </c>
      <c r="C1337" s="1">
        <v>93</v>
      </c>
      <c r="D1337" s="4">
        <f t="shared" si="40"/>
        <v>2.7690933452434122E-3</v>
      </c>
      <c r="E1337" s="1">
        <v>0</v>
      </c>
      <c r="F1337" s="1">
        <v>1</v>
      </c>
      <c r="G1337" s="1">
        <v>91</v>
      </c>
      <c r="H1337" s="1">
        <v>30</v>
      </c>
      <c r="I1337" s="1">
        <v>11</v>
      </c>
      <c r="J1337" s="1">
        <v>33</v>
      </c>
      <c r="K1337" s="1">
        <v>13</v>
      </c>
      <c r="L1337" s="1">
        <v>6</v>
      </c>
      <c r="M1337" s="1">
        <v>29</v>
      </c>
      <c r="N1337" s="1">
        <v>1</v>
      </c>
      <c r="O1337" s="1">
        <v>2</v>
      </c>
      <c r="P1337" s="1">
        <v>0</v>
      </c>
      <c r="Q1337" s="1">
        <v>4</v>
      </c>
      <c r="R1337" s="1">
        <v>4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54</v>
      </c>
      <c r="AA1337" s="1" t="str" cm="1">
        <f t="array" ref="AA1337">_xlfn.IFS(AND(Z1337&lt;36, Z1337&gt;23), "24-35", AND(Z1337&lt;51, Z1337&gt;35),"36-50", AND(Z1337&lt;66, Z1337&gt;50), "51-66", Z1337&gt;65, "66+", TRUE, "?")</f>
        <v>51-66</v>
      </c>
      <c r="AB1337" s="1">
        <v>2436</v>
      </c>
      <c r="AC1337" s="1">
        <v>0</v>
      </c>
      <c r="AD1337" s="1">
        <v>1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1</v>
      </c>
      <c r="AK1337" s="1">
        <v>0</v>
      </c>
      <c r="AL1337" s="1">
        <v>64</v>
      </c>
      <c r="AM1337" s="2">
        <v>42413</v>
      </c>
      <c r="AN1337" t="str">
        <f t="shared" si="41"/>
        <v>33585,93,0.00276909334524341,0,1,91,30,11,33,13,6,29,1,2,0,4,4,0,0,0,0,0,0,0,54,51-66,2436,0,1,0,0,0,0,0,1,0,64,42413</v>
      </c>
    </row>
    <row r="1338" spans="1:40" ht="13" hidden="1" x14ac:dyDescent="0.15">
      <c r="A1338">
        <v>1096</v>
      </c>
      <c r="B1338" s="1">
        <v>35322</v>
      </c>
      <c r="C1338" s="1">
        <v>93</v>
      </c>
      <c r="D1338" s="4">
        <f t="shared" si="40"/>
        <v>2.6329199932053678E-3</v>
      </c>
      <c r="E1338" s="1">
        <v>1</v>
      </c>
      <c r="F1338" s="1">
        <v>2</v>
      </c>
      <c r="G1338" s="1">
        <v>34</v>
      </c>
      <c r="H1338" s="1">
        <v>28</v>
      </c>
      <c r="I1338" s="1">
        <v>9</v>
      </c>
      <c r="J1338" s="1">
        <v>37</v>
      </c>
      <c r="K1338" s="1">
        <v>12</v>
      </c>
      <c r="L1338" s="1">
        <v>7</v>
      </c>
      <c r="M1338" s="1">
        <v>13</v>
      </c>
      <c r="N1338" s="1">
        <v>3</v>
      </c>
      <c r="O1338" s="1">
        <v>2</v>
      </c>
      <c r="P1338" s="1">
        <v>0</v>
      </c>
      <c r="Q1338" s="1">
        <v>4</v>
      </c>
      <c r="R1338" s="1">
        <v>8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52</v>
      </c>
      <c r="AA1338" s="1" t="str" cm="1">
        <f t="array" ref="AA1338">_xlfn.IFS(AND(Z1338&lt;36, Z1338&gt;23), "24-35", AND(Z1338&lt;51, Z1338&gt;35),"36-50", AND(Z1338&lt;66, Z1338&gt;50), "51-66", Z1338&gt;65, "66+", TRUE, "?")</f>
        <v>51-66</v>
      </c>
      <c r="AB1338" s="1">
        <v>2835</v>
      </c>
      <c r="AC1338" s="1">
        <v>0</v>
      </c>
      <c r="AD1338" s="1">
        <v>0</v>
      </c>
      <c r="AE1338" s="1">
        <v>0</v>
      </c>
      <c r="AF1338" s="1">
        <v>1</v>
      </c>
      <c r="AG1338" s="1">
        <v>0</v>
      </c>
      <c r="AH1338" s="1">
        <v>0</v>
      </c>
      <c r="AI1338" s="1">
        <v>1</v>
      </c>
      <c r="AJ1338" s="1">
        <v>0</v>
      </c>
      <c r="AK1338" s="1">
        <v>0</v>
      </c>
      <c r="AL1338" s="1">
        <v>80</v>
      </c>
      <c r="AM1338" s="2">
        <v>42014</v>
      </c>
      <c r="AN1338" t="str">
        <f t="shared" si="41"/>
        <v>35322,93,0.00263291999320537,1,2,34,28,9,37,12,7,13,3,2,0,4,8,0,0,0,0,0,0,0,52,51-66,2835,0,0,0,1,0,0,1,0,0,80,42014</v>
      </c>
    </row>
    <row r="1339" spans="1:40" ht="13" x14ac:dyDescent="0.15">
      <c r="A1339">
        <v>1691</v>
      </c>
      <c r="B1339" s="1">
        <v>22979</v>
      </c>
      <c r="C1339" s="1">
        <v>93</v>
      </c>
      <c r="D1339" s="4">
        <f t="shared" si="40"/>
        <v>4.0471735062448319E-3</v>
      </c>
      <c r="E1339" s="1">
        <v>1</v>
      </c>
      <c r="F1339" s="1">
        <v>0</v>
      </c>
      <c r="G1339" s="1">
        <v>29</v>
      </c>
      <c r="H1339" s="1">
        <v>16</v>
      </c>
      <c r="I1339" s="1">
        <v>17</v>
      </c>
      <c r="J1339" s="1">
        <v>19</v>
      </c>
      <c r="K1339" s="1">
        <v>20</v>
      </c>
      <c r="L1339" s="1">
        <v>21</v>
      </c>
      <c r="M1339" s="1">
        <v>22</v>
      </c>
      <c r="N1339" s="1">
        <v>3</v>
      </c>
      <c r="O1339" s="1">
        <v>3</v>
      </c>
      <c r="P1339" s="1">
        <v>2</v>
      </c>
      <c r="Q1339" s="1">
        <v>2</v>
      </c>
      <c r="R1339" s="1">
        <v>8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1</v>
      </c>
      <c r="Z1339" s="1">
        <v>50</v>
      </c>
      <c r="AA1339" s="1" t="str" cm="1">
        <f t="array" ref="AA1339">_xlfn.IFS(AND(Z1339&lt;36, Z1339&gt;23), "24-35", AND(Z1339&lt;51, Z1339&gt;35),"36-50", AND(Z1339&lt;66, Z1339&gt;50), "51-66", Z1339&gt;65, "66+", TRUE, "?")</f>
        <v>36-50</v>
      </c>
      <c r="AB1339" s="1">
        <v>2820</v>
      </c>
      <c r="AC1339" s="1">
        <v>0</v>
      </c>
      <c r="AD1339" s="1">
        <v>1</v>
      </c>
      <c r="AE1339" s="1">
        <v>0</v>
      </c>
      <c r="AF1339" s="1">
        <v>0</v>
      </c>
      <c r="AG1339" s="1">
        <v>0</v>
      </c>
      <c r="AH1339" s="1">
        <v>0</v>
      </c>
      <c r="AI1339" s="1">
        <v>1</v>
      </c>
      <c r="AJ1339" s="1">
        <v>0</v>
      </c>
      <c r="AK1339" s="1">
        <v>0</v>
      </c>
      <c r="AL1339" s="1">
        <v>71</v>
      </c>
      <c r="AM1339" s="2">
        <v>42029</v>
      </c>
      <c r="AN1339" t="str">
        <f t="shared" si="41"/>
        <v>22979,93,0.00404717350624483,1,0,29,16,17,19,20,21,22,3,3,2,2,8,0,0,0,0,0,0,1,50,36-50,2820,0,1,0,0,0,0,1,0,0,71,42029</v>
      </c>
    </row>
    <row r="1340" spans="1:40" ht="13" hidden="1" x14ac:dyDescent="0.15">
      <c r="A1340">
        <v>1879</v>
      </c>
      <c r="B1340" s="1">
        <v>42192</v>
      </c>
      <c r="C1340" s="1">
        <v>93</v>
      </c>
      <c r="D1340" s="4">
        <f t="shared" si="40"/>
        <v>2.2042093287827076E-3</v>
      </c>
      <c r="E1340" s="1">
        <v>0</v>
      </c>
      <c r="F1340" s="1">
        <v>0</v>
      </c>
      <c r="G1340" s="1">
        <v>40</v>
      </c>
      <c r="H1340" s="1">
        <v>40</v>
      </c>
      <c r="I1340" s="1">
        <v>15</v>
      </c>
      <c r="J1340" s="1">
        <v>15</v>
      </c>
      <c r="K1340" s="1">
        <v>17</v>
      </c>
      <c r="L1340" s="1">
        <v>6</v>
      </c>
      <c r="M1340" s="1">
        <v>7</v>
      </c>
      <c r="N1340" s="1">
        <v>1</v>
      </c>
      <c r="O1340" s="1">
        <v>2</v>
      </c>
      <c r="P1340" s="1">
        <v>1</v>
      </c>
      <c r="Q1340" s="1">
        <v>3</v>
      </c>
      <c r="R1340" s="1">
        <v>4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72</v>
      </c>
      <c r="AA1340" s="1" t="str" cm="1">
        <f t="array" ref="AA1340">_xlfn.IFS(AND(Z1340&lt;36, Z1340&gt;23), "24-35", AND(Z1340&lt;51, Z1340&gt;35),"36-50", AND(Z1340&lt;66, Z1340&gt;50), "51-66", Z1340&gt;65, "66+", TRUE, "?")</f>
        <v>66+</v>
      </c>
      <c r="AB1340" s="1">
        <v>2455</v>
      </c>
      <c r="AC1340" s="1">
        <v>0</v>
      </c>
      <c r="AD1340" s="1">
        <v>1</v>
      </c>
      <c r="AE1340" s="1">
        <v>0</v>
      </c>
      <c r="AF1340" s="1">
        <v>0</v>
      </c>
      <c r="AG1340" s="1">
        <v>0</v>
      </c>
      <c r="AH1340" s="1">
        <v>0</v>
      </c>
      <c r="AI1340" s="1">
        <v>1</v>
      </c>
      <c r="AJ1340" s="1">
        <v>0</v>
      </c>
      <c r="AK1340" s="1">
        <v>0</v>
      </c>
      <c r="AL1340" s="1">
        <v>86</v>
      </c>
      <c r="AM1340" s="2">
        <v>42394</v>
      </c>
      <c r="AN1340" t="str">
        <f t="shared" si="41"/>
        <v>42192,93,0.00220420932878271,0,0,40,40,15,15,17,6,7,1,2,1,3,4,0,0,0,0,0,0,0,72,66+,2455,0,1,0,0,0,0,1,0,0,86,42394</v>
      </c>
    </row>
    <row r="1341" spans="1:40" ht="13" hidden="1" x14ac:dyDescent="0.15">
      <c r="A1341">
        <v>16</v>
      </c>
      <c r="B1341" s="1">
        <v>41850</v>
      </c>
      <c r="C1341" s="1">
        <v>92</v>
      </c>
      <c r="D1341" s="4">
        <f t="shared" si="40"/>
        <v>2.1983273596176823E-3</v>
      </c>
      <c r="E1341" s="1">
        <v>1</v>
      </c>
      <c r="F1341" s="1">
        <v>1</v>
      </c>
      <c r="G1341" s="1">
        <v>51</v>
      </c>
      <c r="H1341" s="1">
        <v>53</v>
      </c>
      <c r="I1341" s="1">
        <v>5</v>
      </c>
      <c r="J1341" s="1">
        <v>19</v>
      </c>
      <c r="K1341" s="1">
        <v>2</v>
      </c>
      <c r="L1341" s="1">
        <v>13</v>
      </c>
      <c r="M1341" s="1">
        <v>4</v>
      </c>
      <c r="N1341" s="1">
        <v>3</v>
      </c>
      <c r="O1341" s="1">
        <v>3</v>
      </c>
      <c r="P1341" s="1">
        <v>0</v>
      </c>
      <c r="Q1341" s="1">
        <v>3</v>
      </c>
      <c r="R1341" s="1">
        <v>8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40</v>
      </c>
      <c r="AA1341" s="1" t="str" cm="1">
        <f t="array" ref="AA1341">_xlfn.IFS(AND(Z1341&lt;36, Z1341&gt;23), "24-35", AND(Z1341&lt;51, Z1341&gt;35),"36-50", AND(Z1341&lt;66, Z1341&gt;50), "51-66", Z1341&gt;65, "66+", TRUE, "?")</f>
        <v>36-50</v>
      </c>
      <c r="AB1341" s="1">
        <v>2711</v>
      </c>
      <c r="AC1341" s="1">
        <v>0</v>
      </c>
      <c r="AD1341" s="1">
        <v>1</v>
      </c>
      <c r="AE1341" s="1">
        <v>0</v>
      </c>
      <c r="AF1341" s="1">
        <v>0</v>
      </c>
      <c r="AG1341" s="1">
        <v>0</v>
      </c>
      <c r="AH1341" s="1">
        <v>0</v>
      </c>
      <c r="AI1341" s="1">
        <v>1</v>
      </c>
      <c r="AJ1341" s="1">
        <v>0</v>
      </c>
      <c r="AK1341" s="1">
        <v>0</v>
      </c>
      <c r="AL1341" s="1">
        <v>88</v>
      </c>
      <c r="AM1341" s="2">
        <v>42138</v>
      </c>
      <c r="AN1341" t="str">
        <f t="shared" si="41"/>
        <v>41850,92,0.00219832735961768,1,1,51,53,5,19,2,13,4,3,3,0,3,8,0,0,0,0,0,0,0,40,36-50,2711,0,1,0,0,0,0,1,0,0,88,42138</v>
      </c>
    </row>
    <row r="1342" spans="1:40" ht="13" hidden="1" x14ac:dyDescent="0.15">
      <c r="A1342">
        <v>875</v>
      </c>
      <c r="B1342" s="1">
        <v>46107</v>
      </c>
      <c r="C1342" s="1">
        <v>92</v>
      </c>
      <c r="D1342" s="4">
        <f t="shared" si="40"/>
        <v>1.9953586223350034E-3</v>
      </c>
      <c r="E1342" s="1">
        <v>1</v>
      </c>
      <c r="F1342" s="1">
        <v>0</v>
      </c>
      <c r="G1342" s="1">
        <v>78</v>
      </c>
      <c r="H1342" s="1">
        <v>31</v>
      </c>
      <c r="I1342" s="1">
        <v>9</v>
      </c>
      <c r="J1342" s="1">
        <v>27</v>
      </c>
      <c r="K1342" s="1">
        <v>16</v>
      </c>
      <c r="L1342" s="1">
        <v>9</v>
      </c>
      <c r="M1342" s="1">
        <v>33</v>
      </c>
      <c r="N1342" s="1">
        <v>1</v>
      </c>
      <c r="O1342" s="1">
        <v>1</v>
      </c>
      <c r="P1342" s="1">
        <v>1</v>
      </c>
      <c r="Q1342" s="1">
        <v>4</v>
      </c>
      <c r="R1342" s="1">
        <v>3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31</v>
      </c>
      <c r="AA1342" s="1" t="str" cm="1">
        <f t="array" ref="AA1342">_xlfn.IFS(AND(Z1342&lt;36, Z1342&gt;23), "24-35", AND(Z1342&lt;51, Z1342&gt;35),"36-50", AND(Z1342&lt;66, Z1342&gt;50), "51-66", Z1342&gt;65, "66+", TRUE, "?")</f>
        <v>24-35</v>
      </c>
      <c r="AB1342" s="1">
        <v>2298</v>
      </c>
      <c r="AC1342" s="1">
        <v>0</v>
      </c>
      <c r="AD1342" s="1">
        <v>0</v>
      </c>
      <c r="AE1342" s="1">
        <v>1</v>
      </c>
      <c r="AF1342" s="1">
        <v>0</v>
      </c>
      <c r="AG1342" s="1">
        <v>0</v>
      </c>
      <c r="AH1342" s="1">
        <v>0</v>
      </c>
      <c r="AI1342" s="1">
        <v>1</v>
      </c>
      <c r="AJ1342" s="1">
        <v>0</v>
      </c>
      <c r="AK1342" s="1">
        <v>0</v>
      </c>
      <c r="AL1342" s="1">
        <v>59</v>
      </c>
      <c r="AM1342" s="2">
        <v>42551</v>
      </c>
      <c r="AN1342" t="str">
        <f t="shared" si="41"/>
        <v>46107,92,0.001995358622335,1,0,78,31,9,27,16,9,33,1,1,1,4,3,0,0,0,0,0,0,0,31,24-35,2298,0,0,1,0,0,0,1,0,0,59,42551</v>
      </c>
    </row>
    <row r="1343" spans="1:40" ht="13" x14ac:dyDescent="0.15">
      <c r="A1343">
        <v>1700</v>
      </c>
      <c r="B1343" s="1">
        <v>27038</v>
      </c>
      <c r="C1343" s="1">
        <v>92</v>
      </c>
      <c r="D1343" s="4">
        <f t="shared" si="40"/>
        <v>3.4026185368740292E-3</v>
      </c>
      <c r="E1343" s="1">
        <v>0</v>
      </c>
      <c r="F1343" s="1">
        <v>0</v>
      </c>
      <c r="G1343" s="1">
        <v>64</v>
      </c>
      <c r="H1343" s="1">
        <v>1</v>
      </c>
      <c r="I1343" s="1">
        <v>26</v>
      </c>
      <c r="J1343" s="1">
        <v>25</v>
      </c>
      <c r="K1343" s="1">
        <v>17</v>
      </c>
      <c r="L1343" s="1">
        <v>23</v>
      </c>
      <c r="M1343" s="1">
        <v>15</v>
      </c>
      <c r="N1343" s="1">
        <v>1</v>
      </c>
      <c r="O1343" s="1">
        <v>3</v>
      </c>
      <c r="P1343" s="1">
        <v>0</v>
      </c>
      <c r="Q1343" s="1">
        <v>3</v>
      </c>
      <c r="R1343" s="1">
        <v>9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1</v>
      </c>
      <c r="Z1343" s="1">
        <v>54</v>
      </c>
      <c r="AA1343" s="1" t="str" cm="1">
        <f t="array" ref="AA1343">_xlfn.IFS(AND(Z1343&lt;36, Z1343&gt;23), "24-35", AND(Z1343&lt;51, Z1343&gt;35),"36-50", AND(Z1343&lt;66, Z1343&gt;50), "51-66", Z1343&gt;65, "66+", TRUE, "?")</f>
        <v>51-66</v>
      </c>
      <c r="AB1343" s="1">
        <v>2808</v>
      </c>
      <c r="AC1343" s="1">
        <v>0</v>
      </c>
      <c r="AD1343" s="1">
        <v>0</v>
      </c>
      <c r="AE1343" s="1">
        <v>0</v>
      </c>
      <c r="AF1343" s="1">
        <v>0</v>
      </c>
      <c r="AG1343" s="1">
        <v>1</v>
      </c>
      <c r="AH1343" s="1">
        <v>0</v>
      </c>
      <c r="AI1343" s="1">
        <v>1</v>
      </c>
      <c r="AJ1343" s="1">
        <v>0</v>
      </c>
      <c r="AK1343" s="1">
        <v>0</v>
      </c>
      <c r="AL1343" s="1">
        <v>77</v>
      </c>
      <c r="AM1343" s="2">
        <v>42041</v>
      </c>
      <c r="AN1343" t="str">
        <f t="shared" si="41"/>
        <v>27038,92,0.00340261853687403,0,0,64,1,26,25,17,23,15,1,3,0,3,9,0,0,0,0,0,0,1,54,51-66,2808,0,0,0,0,1,0,1,0,0,77,42041</v>
      </c>
    </row>
    <row r="1344" spans="1:40" ht="13" hidden="1" x14ac:dyDescent="0.15">
      <c r="A1344">
        <v>361</v>
      </c>
      <c r="B1344" s="1">
        <v>38823</v>
      </c>
      <c r="C1344" s="1">
        <v>91</v>
      </c>
      <c r="D1344" s="4">
        <f t="shared" si="40"/>
        <v>2.3439713571851736E-3</v>
      </c>
      <c r="E1344" s="1">
        <v>0</v>
      </c>
      <c r="F1344" s="1">
        <v>1</v>
      </c>
      <c r="G1344" s="1">
        <v>56</v>
      </c>
      <c r="H1344" s="1">
        <v>70</v>
      </c>
      <c r="I1344" s="1">
        <v>0</v>
      </c>
      <c r="J1344" s="1">
        <v>11</v>
      </c>
      <c r="K1344" s="1">
        <v>2</v>
      </c>
      <c r="L1344" s="1">
        <v>8</v>
      </c>
      <c r="M1344" s="1">
        <v>23</v>
      </c>
      <c r="N1344" s="1">
        <v>1</v>
      </c>
      <c r="O1344" s="1">
        <v>2</v>
      </c>
      <c r="P1344" s="1">
        <v>1</v>
      </c>
      <c r="Q1344" s="1">
        <v>3</v>
      </c>
      <c r="R1344" s="1">
        <v>6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71</v>
      </c>
      <c r="AA1344" s="1" t="str" cm="1">
        <f t="array" ref="AA1344">_xlfn.IFS(AND(Z1344&lt;36, Z1344&gt;23), "24-35", AND(Z1344&lt;51, Z1344&gt;35),"36-50", AND(Z1344&lt;66, Z1344&gt;50), "51-66", Z1344&gt;65, "66+", TRUE, "?")</f>
        <v>66+</v>
      </c>
      <c r="AB1344" s="1">
        <v>2827</v>
      </c>
      <c r="AC1344" s="1">
        <v>0</v>
      </c>
      <c r="AD1344" s="1">
        <v>0</v>
      </c>
      <c r="AE1344" s="1">
        <v>0</v>
      </c>
      <c r="AF1344" s="1">
        <v>1</v>
      </c>
      <c r="AG1344" s="1">
        <v>0</v>
      </c>
      <c r="AH1344" s="1">
        <v>0</v>
      </c>
      <c r="AI1344" s="1">
        <v>1</v>
      </c>
      <c r="AJ1344" s="1">
        <v>0</v>
      </c>
      <c r="AK1344" s="1">
        <v>0</v>
      </c>
      <c r="AL1344" s="1">
        <v>68</v>
      </c>
      <c r="AM1344" s="2">
        <v>42022</v>
      </c>
      <c r="AN1344" t="str">
        <f t="shared" si="41"/>
        <v>38823,91,0.00234397135718517,0,1,56,70,0,11,2,8,23,1,2,1,3,6,0,0,0,0,0,0,0,71,66+,2827,0,0,0,1,0,0,1,0,0,68,42022</v>
      </c>
    </row>
    <row r="1345" spans="1:40" ht="13" hidden="1" x14ac:dyDescent="0.15">
      <c r="A1345">
        <v>550</v>
      </c>
      <c r="B1345" s="1">
        <v>27450</v>
      </c>
      <c r="C1345" s="1">
        <v>91</v>
      </c>
      <c r="D1345" s="4">
        <f t="shared" si="40"/>
        <v>3.3151183970856102E-3</v>
      </c>
      <c r="E1345" s="1">
        <v>0</v>
      </c>
      <c r="F1345" s="1">
        <v>0</v>
      </c>
      <c r="G1345" s="1">
        <v>57</v>
      </c>
      <c r="H1345" s="1">
        <v>37</v>
      </c>
      <c r="I1345" s="1">
        <v>12</v>
      </c>
      <c r="J1345" s="1">
        <v>23</v>
      </c>
      <c r="K1345" s="1">
        <v>8</v>
      </c>
      <c r="L1345" s="1">
        <v>11</v>
      </c>
      <c r="M1345" s="1">
        <v>52</v>
      </c>
      <c r="N1345" s="1">
        <v>1</v>
      </c>
      <c r="O1345" s="1">
        <v>2</v>
      </c>
      <c r="P1345" s="1">
        <v>1</v>
      </c>
      <c r="Q1345" s="1">
        <v>3</v>
      </c>
      <c r="R1345" s="1">
        <v>7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69</v>
      </c>
      <c r="AA1345" s="1" t="str" cm="1">
        <f t="array" ref="AA1345">_xlfn.IFS(AND(Z1345&lt;36, Z1345&gt;23), "24-35", AND(Z1345&lt;51, Z1345&gt;35),"36-50", AND(Z1345&lt;66, Z1345&gt;50), "51-66", Z1345&gt;65, "66+", TRUE, "?")</f>
        <v>66+</v>
      </c>
      <c r="AB1345" s="1">
        <v>2599</v>
      </c>
      <c r="AC1345" s="1">
        <v>0</v>
      </c>
      <c r="AD1345" s="1">
        <v>1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1</v>
      </c>
      <c r="AK1345" s="1">
        <v>0</v>
      </c>
      <c r="AL1345" s="1">
        <v>39</v>
      </c>
      <c r="AM1345" s="2">
        <v>42250</v>
      </c>
      <c r="AN1345" t="str">
        <f t="shared" si="41"/>
        <v>27450,91,0.00331511839708561,0,0,57,37,12,23,8,11,52,1,2,1,3,7,0,0,0,0,0,0,0,69,66+,2599,0,1,0,0,0,0,0,1,0,39,42250</v>
      </c>
    </row>
    <row r="1346" spans="1:40" ht="13" hidden="1" x14ac:dyDescent="0.15">
      <c r="A1346">
        <v>951</v>
      </c>
      <c r="B1346" s="1">
        <v>34053</v>
      </c>
      <c r="C1346" s="1">
        <v>91</v>
      </c>
      <c r="D1346" s="4">
        <f t="shared" ref="D1346:D1409" si="42">C1346/B1346</f>
        <v>2.6723049364226351E-3</v>
      </c>
      <c r="E1346" s="1">
        <v>0</v>
      </c>
      <c r="F1346" s="1">
        <v>1</v>
      </c>
      <c r="G1346" s="1">
        <v>14</v>
      </c>
      <c r="H1346" s="1">
        <v>63</v>
      </c>
      <c r="I1346" s="1">
        <v>0</v>
      </c>
      <c r="J1346" s="1">
        <v>21</v>
      </c>
      <c r="K1346" s="1">
        <v>7</v>
      </c>
      <c r="L1346" s="1">
        <v>0</v>
      </c>
      <c r="M1346" s="1">
        <v>12</v>
      </c>
      <c r="N1346" s="1">
        <v>1</v>
      </c>
      <c r="O1346" s="1">
        <v>3</v>
      </c>
      <c r="P1346" s="1">
        <v>0</v>
      </c>
      <c r="Q1346" s="1">
        <v>3</v>
      </c>
      <c r="R1346" s="1">
        <v>8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52</v>
      </c>
      <c r="AA1346" s="1" t="str" cm="1">
        <f t="array" ref="AA1346">_xlfn.IFS(AND(Z1346&lt;36, Z1346&gt;23), "24-35", AND(Z1346&lt;51, Z1346&gt;35),"36-50", AND(Z1346&lt;66, Z1346&gt;50), "51-66", Z1346&gt;65, "66+", TRUE, "?")</f>
        <v>51-66</v>
      </c>
      <c r="AB1346" s="1">
        <v>2816</v>
      </c>
      <c r="AC1346" s="1">
        <v>0</v>
      </c>
      <c r="AD1346" s="1">
        <v>0</v>
      </c>
      <c r="AE1346" s="1">
        <v>0</v>
      </c>
      <c r="AF1346" s="1">
        <v>1</v>
      </c>
      <c r="AG1346" s="1">
        <v>0</v>
      </c>
      <c r="AH1346" s="1">
        <v>0</v>
      </c>
      <c r="AI1346" s="1">
        <v>0</v>
      </c>
      <c r="AJ1346" s="1">
        <v>1</v>
      </c>
      <c r="AK1346" s="1">
        <v>0</v>
      </c>
      <c r="AL1346" s="1">
        <v>79</v>
      </c>
      <c r="AM1346" s="2">
        <v>42033</v>
      </c>
      <c r="AN1346" t="str">
        <f t="shared" ref="AN1346:AN1409" si="43">_xlfn.TEXTJOIN(",",TRUE,B1346:AM1346)</f>
        <v>34053,91,0.00267230493642264,0,1,14,63,0,21,7,0,12,1,3,0,3,8,0,0,0,0,0,0,0,52,51-66,2816,0,0,0,1,0,0,0,1,0,79,42033</v>
      </c>
    </row>
    <row r="1347" spans="1:40" ht="13" hidden="1" x14ac:dyDescent="0.15">
      <c r="A1347">
        <v>1412</v>
      </c>
      <c r="B1347" s="1">
        <v>28087</v>
      </c>
      <c r="C1347" s="1">
        <v>91</v>
      </c>
      <c r="D1347" s="4">
        <f t="shared" si="42"/>
        <v>3.2399330651190941E-3</v>
      </c>
      <c r="E1347" s="1">
        <v>1</v>
      </c>
      <c r="F1347" s="1">
        <v>1</v>
      </c>
      <c r="G1347" s="1">
        <v>77</v>
      </c>
      <c r="H1347" s="1">
        <v>53</v>
      </c>
      <c r="I1347" s="1">
        <v>8</v>
      </c>
      <c r="J1347" s="1">
        <v>17</v>
      </c>
      <c r="K1347" s="1">
        <v>13</v>
      </c>
      <c r="L1347" s="1">
        <v>0</v>
      </c>
      <c r="M1347" s="1">
        <v>21</v>
      </c>
      <c r="N1347" s="1">
        <v>3</v>
      </c>
      <c r="O1347" s="1">
        <v>2</v>
      </c>
      <c r="P1347" s="1">
        <v>2</v>
      </c>
      <c r="Q1347" s="1">
        <v>2</v>
      </c>
      <c r="R1347" s="1">
        <v>7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62</v>
      </c>
      <c r="AA1347" s="1" t="str" cm="1">
        <f t="array" ref="AA1347">_xlfn.IFS(AND(Z1347&lt;36, Z1347&gt;23), "24-35", AND(Z1347&lt;51, Z1347&gt;35),"36-50", AND(Z1347&lt;66, Z1347&gt;50), "51-66", Z1347&gt;65, "66+", TRUE, "?")</f>
        <v>51-66</v>
      </c>
      <c r="AB1347" s="1">
        <v>2724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1</v>
      </c>
      <c r="AJ1347" s="1">
        <v>0</v>
      </c>
      <c r="AK1347" s="1">
        <v>0</v>
      </c>
      <c r="AL1347" s="1">
        <v>70</v>
      </c>
      <c r="AM1347" s="2">
        <v>42125</v>
      </c>
      <c r="AN1347" t="str">
        <f t="shared" si="43"/>
        <v>28087,91,0.00323993306511909,1,1,77,53,8,17,13,0,21,3,2,2,2,7,0,0,0,0,0,0,0,62,51-66,2724,0,0,0,1,0,0,1,0,0,70,42125</v>
      </c>
    </row>
    <row r="1348" spans="1:40" ht="13" hidden="1" x14ac:dyDescent="0.15">
      <c r="A1348">
        <v>1433</v>
      </c>
      <c r="B1348" s="1">
        <v>57530</v>
      </c>
      <c r="C1348" s="1">
        <v>91</v>
      </c>
      <c r="D1348" s="4">
        <f t="shared" si="42"/>
        <v>1.5817834173474708E-3</v>
      </c>
      <c r="E1348" s="1">
        <v>0</v>
      </c>
      <c r="F1348" s="1">
        <v>1</v>
      </c>
      <c r="G1348" s="1">
        <v>68</v>
      </c>
      <c r="H1348" s="1">
        <v>50</v>
      </c>
      <c r="I1348" s="1">
        <v>1</v>
      </c>
      <c r="J1348" s="1">
        <v>27</v>
      </c>
      <c r="K1348" s="1">
        <v>6</v>
      </c>
      <c r="L1348" s="1">
        <v>7</v>
      </c>
      <c r="M1348" s="1">
        <v>1</v>
      </c>
      <c r="N1348" s="1">
        <v>1</v>
      </c>
      <c r="O1348" s="1">
        <v>1</v>
      </c>
      <c r="P1348" s="1">
        <v>1</v>
      </c>
      <c r="Q1348" s="1">
        <v>4</v>
      </c>
      <c r="R1348" s="1">
        <v>1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69</v>
      </c>
      <c r="AA1348" s="1" t="str" cm="1">
        <f t="array" ref="AA1348">_xlfn.IFS(AND(Z1348&lt;36, Z1348&gt;23), "24-35", AND(Z1348&lt;51, Z1348&gt;35),"36-50", AND(Z1348&lt;66, Z1348&gt;50), "51-66", Z1348&gt;65, "66+", TRUE, "?")</f>
        <v>66+</v>
      </c>
      <c r="AB1348" s="1">
        <v>2419</v>
      </c>
      <c r="AC1348" s="1">
        <v>1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1</v>
      </c>
      <c r="AK1348" s="1">
        <v>0</v>
      </c>
      <c r="AL1348" s="1">
        <v>90</v>
      </c>
      <c r="AM1348" s="2">
        <v>42430</v>
      </c>
      <c r="AN1348" t="str">
        <f t="shared" si="43"/>
        <v>57530,91,0.00158178341734747,0,1,68,50,1,27,6,7,1,1,1,1,4,1,0,0,0,0,0,0,0,69,66+,2419,1,0,0,0,0,0,0,1,0,90,42430</v>
      </c>
    </row>
    <row r="1349" spans="1:40" ht="13" x14ac:dyDescent="0.15">
      <c r="A1349">
        <v>1701</v>
      </c>
      <c r="B1349" s="1">
        <v>34213</v>
      </c>
      <c r="C1349" s="1">
        <v>91</v>
      </c>
      <c r="D1349" s="4">
        <f t="shared" si="42"/>
        <v>2.6598076754450065E-3</v>
      </c>
      <c r="E1349" s="1">
        <v>1</v>
      </c>
      <c r="F1349" s="1">
        <v>1</v>
      </c>
      <c r="G1349" s="1">
        <v>2</v>
      </c>
      <c r="H1349" s="1">
        <v>50</v>
      </c>
      <c r="I1349" s="1">
        <v>4</v>
      </c>
      <c r="J1349" s="1">
        <v>28</v>
      </c>
      <c r="K1349" s="1">
        <v>6</v>
      </c>
      <c r="L1349" s="1">
        <v>3</v>
      </c>
      <c r="M1349" s="1">
        <v>26</v>
      </c>
      <c r="N1349" s="1">
        <v>3</v>
      </c>
      <c r="O1349" s="1">
        <v>3</v>
      </c>
      <c r="P1349" s="1">
        <v>1</v>
      </c>
      <c r="Q1349" s="1">
        <v>2</v>
      </c>
      <c r="R1349" s="1">
        <v>9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1</v>
      </c>
      <c r="Z1349" s="1">
        <v>57</v>
      </c>
      <c r="AA1349" s="1" t="str" cm="1">
        <f t="array" ref="AA1349">_xlfn.IFS(AND(Z1349&lt;36, Z1349&gt;23), "24-35", AND(Z1349&lt;51, Z1349&gt;35),"36-50", AND(Z1349&lt;66, Z1349&gt;50), "51-66", Z1349&gt;65, "66+", TRUE, "?")</f>
        <v>51-66</v>
      </c>
      <c r="AB1349" s="1">
        <v>2819</v>
      </c>
      <c r="AC1349" s="1">
        <v>0</v>
      </c>
      <c r="AD1349" s="1">
        <v>0</v>
      </c>
      <c r="AE1349" s="1">
        <v>0</v>
      </c>
      <c r="AF1349" s="1">
        <v>0</v>
      </c>
      <c r="AG1349" s="1">
        <v>1</v>
      </c>
      <c r="AH1349" s="1">
        <v>0</v>
      </c>
      <c r="AI1349" s="1">
        <v>1</v>
      </c>
      <c r="AJ1349" s="1">
        <v>0</v>
      </c>
      <c r="AK1349" s="1">
        <v>0</v>
      </c>
      <c r="AL1349" s="1">
        <v>65</v>
      </c>
      <c r="AM1349" s="2">
        <v>42030</v>
      </c>
      <c r="AN1349" t="str">
        <f t="shared" si="43"/>
        <v>34213,91,0.00265980767544501,1,1,2,50,4,28,6,3,26,3,3,1,2,9,0,0,0,0,0,0,1,57,51-66,2819,0,0,0,0,1,0,1,0,0,65,42030</v>
      </c>
    </row>
    <row r="1350" spans="1:40" ht="13" hidden="1" x14ac:dyDescent="0.15">
      <c r="A1350">
        <v>124</v>
      </c>
      <c r="B1350" s="1">
        <v>33762</v>
      </c>
      <c r="C1350" s="1">
        <v>90</v>
      </c>
      <c r="D1350" s="4">
        <f t="shared" si="42"/>
        <v>2.665718855518038E-3</v>
      </c>
      <c r="E1350" s="1">
        <v>2</v>
      </c>
      <c r="F1350" s="1">
        <v>1</v>
      </c>
      <c r="G1350" s="1">
        <v>61</v>
      </c>
      <c r="H1350" s="1">
        <v>53</v>
      </c>
      <c r="I1350" s="1">
        <v>1</v>
      </c>
      <c r="J1350" s="1">
        <v>34</v>
      </c>
      <c r="K1350" s="1">
        <v>2</v>
      </c>
      <c r="L1350" s="1">
        <v>0</v>
      </c>
      <c r="M1350" s="1">
        <v>16</v>
      </c>
      <c r="N1350" s="1">
        <v>3</v>
      </c>
      <c r="O1350" s="1">
        <v>2</v>
      </c>
      <c r="P1350" s="1">
        <v>2</v>
      </c>
      <c r="Q1350" s="1">
        <v>2</v>
      </c>
      <c r="R1350" s="1">
        <v>8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61</v>
      </c>
      <c r="AA1350" s="1" t="str" cm="1">
        <f t="array" ref="AA1350">_xlfn.IFS(AND(Z1350&lt;36, Z1350&gt;23), "24-35", AND(Z1350&lt;51, Z1350&gt;35),"36-50", AND(Z1350&lt;66, Z1350&gt;50), "51-66", Z1350&gt;65, "66+", TRUE, "?")</f>
        <v>51-66</v>
      </c>
      <c r="AB1350" s="1">
        <v>2516</v>
      </c>
      <c r="AC1350" s="1">
        <v>0</v>
      </c>
      <c r="AD1350" s="1">
        <v>1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1</v>
      </c>
      <c r="AL1350" s="1">
        <v>74</v>
      </c>
      <c r="AM1350" s="2">
        <v>42333</v>
      </c>
      <c r="AN1350" t="str">
        <f t="shared" si="43"/>
        <v>33762,90,0.00266571885551804,2,1,61,53,1,34,2,0,16,3,2,2,2,8,0,0,0,0,0,0,0,61,51-66,2516,0,1,0,0,0,0,0,0,1,74,42333</v>
      </c>
    </row>
    <row r="1351" spans="1:40" ht="13" hidden="1" x14ac:dyDescent="0.15">
      <c r="A1351">
        <v>280</v>
      </c>
      <c r="B1351" s="1">
        <v>46377</v>
      </c>
      <c r="C1351" s="1">
        <v>90</v>
      </c>
      <c r="D1351" s="4">
        <f t="shared" si="42"/>
        <v>1.9406171162429653E-3</v>
      </c>
      <c r="E1351" s="1">
        <v>1</v>
      </c>
      <c r="F1351" s="1">
        <v>0</v>
      </c>
      <c r="G1351" s="1">
        <v>89</v>
      </c>
      <c r="H1351" s="1">
        <v>37</v>
      </c>
      <c r="I1351" s="1">
        <v>0</v>
      </c>
      <c r="J1351" s="1">
        <v>46</v>
      </c>
      <c r="K1351" s="1">
        <v>4</v>
      </c>
      <c r="L1351" s="1">
        <v>3</v>
      </c>
      <c r="M1351" s="1">
        <v>0</v>
      </c>
      <c r="N1351" s="1">
        <v>1</v>
      </c>
      <c r="O1351" s="1">
        <v>2</v>
      </c>
      <c r="P1351" s="1">
        <v>1</v>
      </c>
      <c r="Q1351" s="1">
        <v>3</v>
      </c>
      <c r="R1351" s="1">
        <v>4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42</v>
      </c>
      <c r="AA1351" s="1" t="str" cm="1">
        <f t="array" ref="AA1351">_xlfn.IFS(AND(Z1351&lt;36, Z1351&gt;23), "24-35", AND(Z1351&lt;51, Z1351&gt;35),"36-50", AND(Z1351&lt;66, Z1351&gt;50), "51-66", Z1351&gt;65, "66+", TRUE, "?")</f>
        <v>36-50</v>
      </c>
      <c r="AB1351" s="1">
        <v>2279</v>
      </c>
      <c r="AC1351" s="1">
        <v>0</v>
      </c>
      <c r="AD1351" s="1">
        <v>1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1</v>
      </c>
      <c r="AL1351" s="1">
        <v>90</v>
      </c>
      <c r="AM1351" s="2">
        <v>42570</v>
      </c>
      <c r="AN1351" t="str">
        <f t="shared" si="43"/>
        <v>46377,90,0.00194061711624297,1,0,89,37,0,46,4,3,0,1,2,1,3,4,0,0,0,0,0,0,0,42,36-50,2279,0,1,0,0,0,0,0,0,1,90,42570</v>
      </c>
    </row>
    <row r="1352" spans="1:40" ht="13" hidden="1" x14ac:dyDescent="0.15">
      <c r="A1352">
        <v>901</v>
      </c>
      <c r="B1352" s="1">
        <v>59041</v>
      </c>
      <c r="C1352" s="1">
        <v>90</v>
      </c>
      <c r="D1352" s="4">
        <f t="shared" si="42"/>
        <v>1.5243644247218036E-3</v>
      </c>
      <c r="E1352" s="1">
        <v>1</v>
      </c>
      <c r="F1352" s="1">
        <v>1</v>
      </c>
      <c r="G1352" s="1">
        <v>25</v>
      </c>
      <c r="H1352" s="1">
        <v>69</v>
      </c>
      <c r="I1352" s="1">
        <v>2</v>
      </c>
      <c r="J1352" s="1">
        <v>15</v>
      </c>
      <c r="K1352" s="1">
        <v>2</v>
      </c>
      <c r="L1352" s="1">
        <v>2</v>
      </c>
      <c r="M1352" s="1">
        <v>6</v>
      </c>
      <c r="N1352" s="1">
        <v>2</v>
      </c>
      <c r="O1352" s="1">
        <v>2</v>
      </c>
      <c r="P1352" s="1">
        <v>0</v>
      </c>
      <c r="Q1352" s="1">
        <v>4</v>
      </c>
      <c r="R1352" s="1">
        <v>5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47</v>
      </c>
      <c r="AA1352" s="1" t="str" cm="1">
        <f t="array" ref="AA1352">_xlfn.IFS(AND(Z1352&lt;36, Z1352&gt;23), "24-35", AND(Z1352&lt;51, Z1352&gt;35),"36-50", AND(Z1352&lt;66, Z1352&gt;50), "51-66", Z1352&gt;65, "66+", TRUE, "?")</f>
        <v>36-50</v>
      </c>
      <c r="AB1352" s="1">
        <v>2212</v>
      </c>
      <c r="AC1352" s="1">
        <v>0</v>
      </c>
      <c r="AD1352" s="1">
        <v>1</v>
      </c>
      <c r="AE1352" s="1">
        <v>0</v>
      </c>
      <c r="AF1352" s="1">
        <v>0</v>
      </c>
      <c r="AG1352" s="1">
        <v>0</v>
      </c>
      <c r="AH1352" s="1">
        <v>0</v>
      </c>
      <c r="AI1352" s="1">
        <v>1</v>
      </c>
      <c r="AJ1352" s="1">
        <v>0</v>
      </c>
      <c r="AK1352" s="1">
        <v>0</v>
      </c>
      <c r="AL1352" s="1">
        <v>84</v>
      </c>
      <c r="AM1352" s="2">
        <v>42637</v>
      </c>
      <c r="AN1352" t="str">
        <f t="shared" si="43"/>
        <v>59041,90,0.0015243644247218,1,1,25,69,2,15,2,2,6,2,2,0,4,5,0,0,0,0,0,0,0,47,36-50,2212,0,1,0,0,0,0,1,0,0,84,42637</v>
      </c>
    </row>
    <row r="1353" spans="1:40" ht="13" hidden="1" x14ac:dyDescent="0.15">
      <c r="A1353">
        <v>1283</v>
      </c>
      <c r="B1353" s="1">
        <v>50523</v>
      </c>
      <c r="C1353" s="1">
        <v>90</v>
      </c>
      <c r="D1353" s="4">
        <f t="shared" si="42"/>
        <v>1.781366902202957E-3</v>
      </c>
      <c r="E1353" s="1">
        <v>1</v>
      </c>
      <c r="F1353" s="1">
        <v>1</v>
      </c>
      <c r="G1353" s="1">
        <v>89</v>
      </c>
      <c r="H1353" s="1">
        <v>51</v>
      </c>
      <c r="I1353" s="1">
        <v>4</v>
      </c>
      <c r="J1353" s="1">
        <v>24</v>
      </c>
      <c r="K1353" s="1">
        <v>4</v>
      </c>
      <c r="L1353" s="1">
        <v>7</v>
      </c>
      <c r="M1353" s="1">
        <v>1</v>
      </c>
      <c r="N1353" s="1">
        <v>2</v>
      </c>
      <c r="O1353" s="1">
        <v>2</v>
      </c>
      <c r="P1353" s="1">
        <v>0</v>
      </c>
      <c r="Q1353" s="1">
        <v>4</v>
      </c>
      <c r="R1353" s="1">
        <v>6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60</v>
      </c>
      <c r="AA1353" s="1" t="str" cm="1">
        <f t="array" ref="AA1353">_xlfn.IFS(AND(Z1353&lt;36, Z1353&gt;23), "24-35", AND(Z1353&lt;51, Z1353&gt;35),"36-50", AND(Z1353&lt;66, Z1353&gt;50), "51-66", Z1353&gt;65, "66+", TRUE, "?")</f>
        <v>51-66</v>
      </c>
      <c r="AB1353" s="1">
        <v>2345</v>
      </c>
      <c r="AC1353" s="1">
        <v>0</v>
      </c>
      <c r="AD1353" s="1">
        <v>0</v>
      </c>
      <c r="AE1353" s="1">
        <v>0</v>
      </c>
      <c r="AF1353" s="1">
        <v>1</v>
      </c>
      <c r="AG1353" s="1">
        <v>0</v>
      </c>
      <c r="AH1353" s="1">
        <v>1</v>
      </c>
      <c r="AI1353" s="1">
        <v>0</v>
      </c>
      <c r="AJ1353" s="1">
        <v>0</v>
      </c>
      <c r="AK1353" s="1">
        <v>0</v>
      </c>
      <c r="AL1353" s="1">
        <v>89</v>
      </c>
      <c r="AM1353" s="2">
        <v>42504</v>
      </c>
      <c r="AN1353" t="str">
        <f t="shared" si="43"/>
        <v>50523,90,0.00178136690220296,1,1,89,51,4,24,4,7,1,2,2,0,4,6,0,0,0,0,0,0,0,60,51-66,2345,0,0,0,1,0,1,0,0,0,89,42504</v>
      </c>
    </row>
    <row r="1354" spans="1:40" ht="13" hidden="1" x14ac:dyDescent="0.15">
      <c r="A1354">
        <v>1335</v>
      </c>
      <c r="B1354" s="1">
        <v>42523</v>
      </c>
      <c r="C1354" s="1">
        <v>90</v>
      </c>
      <c r="D1354" s="4">
        <f t="shared" si="42"/>
        <v>2.1165016579262987E-3</v>
      </c>
      <c r="E1354" s="1">
        <v>0</v>
      </c>
      <c r="F1354" s="1">
        <v>0</v>
      </c>
      <c r="G1354" s="1">
        <v>96</v>
      </c>
      <c r="H1354" s="1">
        <v>14</v>
      </c>
      <c r="I1354" s="1">
        <v>36</v>
      </c>
      <c r="J1354" s="1">
        <v>11</v>
      </c>
      <c r="K1354" s="1">
        <v>3</v>
      </c>
      <c r="L1354" s="1">
        <v>26</v>
      </c>
      <c r="M1354" s="1">
        <v>35</v>
      </c>
      <c r="N1354" s="1">
        <v>1</v>
      </c>
      <c r="O1354" s="1">
        <v>1</v>
      </c>
      <c r="P1354" s="1">
        <v>1</v>
      </c>
      <c r="Q1354" s="1">
        <v>4</v>
      </c>
      <c r="R1354" s="1">
        <v>2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56</v>
      </c>
      <c r="AA1354" s="1" t="str" cm="1">
        <f t="array" ref="AA1354">_xlfn.IFS(AND(Z1354&lt;36, Z1354&gt;23), "24-35", AND(Z1354&lt;51, Z1354&gt;35),"36-50", AND(Z1354&lt;66, Z1354&gt;50), "51-66", Z1354&gt;65, "66+", TRUE, "?")</f>
        <v>51-66</v>
      </c>
      <c r="AB1354" s="1">
        <v>2226</v>
      </c>
      <c r="AC1354" s="1">
        <v>0</v>
      </c>
      <c r="AD1354" s="1">
        <v>1</v>
      </c>
      <c r="AE1354" s="1">
        <v>0</v>
      </c>
      <c r="AF1354" s="1">
        <v>0</v>
      </c>
      <c r="AG1354" s="1">
        <v>0</v>
      </c>
      <c r="AH1354" s="1">
        <v>0</v>
      </c>
      <c r="AI1354" s="1">
        <v>1</v>
      </c>
      <c r="AJ1354" s="1">
        <v>0</v>
      </c>
      <c r="AK1354" s="1">
        <v>0</v>
      </c>
      <c r="AL1354" s="1">
        <v>55</v>
      </c>
      <c r="AM1354" s="2">
        <v>42623</v>
      </c>
      <c r="AN1354" t="str">
        <f t="shared" si="43"/>
        <v>42523,90,0.0021165016579263,0,0,96,14,36,11,3,26,35,1,1,1,4,2,0,0,0,0,0,0,0,56,51-66,2226,0,1,0,0,0,0,1,0,0,55,42623</v>
      </c>
    </row>
    <row r="1355" spans="1:40" ht="13" hidden="1" x14ac:dyDescent="0.15">
      <c r="A1355">
        <v>1667</v>
      </c>
      <c r="B1355" s="1">
        <v>29236</v>
      </c>
      <c r="C1355" s="1">
        <v>90</v>
      </c>
      <c r="D1355" s="4">
        <f t="shared" si="42"/>
        <v>3.078396497468874E-3</v>
      </c>
      <c r="E1355" s="1">
        <v>1</v>
      </c>
      <c r="F1355" s="1">
        <v>0</v>
      </c>
      <c r="G1355" s="1">
        <v>30</v>
      </c>
      <c r="H1355" s="1">
        <v>37</v>
      </c>
      <c r="I1355" s="1">
        <v>4</v>
      </c>
      <c r="J1355" s="1">
        <v>24</v>
      </c>
      <c r="K1355" s="1">
        <v>16</v>
      </c>
      <c r="L1355" s="1">
        <v>9</v>
      </c>
      <c r="M1355" s="1">
        <v>9</v>
      </c>
      <c r="N1355" s="1">
        <v>2</v>
      </c>
      <c r="O1355" s="1">
        <v>4</v>
      </c>
      <c r="P1355" s="1">
        <v>0</v>
      </c>
      <c r="Q1355" s="1">
        <v>3</v>
      </c>
      <c r="R1355" s="1">
        <v>9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33</v>
      </c>
      <c r="AA1355" s="1" t="str" cm="1">
        <f t="array" ref="AA1355">_xlfn.IFS(AND(Z1355&lt;36, Z1355&gt;23), "24-35", AND(Z1355&lt;51, Z1355&gt;35),"36-50", AND(Z1355&lt;66, Z1355&gt;50), "51-66", Z1355&gt;65, "66+", TRUE, "?")</f>
        <v>24-35</v>
      </c>
      <c r="AB1355" s="1">
        <v>2423</v>
      </c>
      <c r="AC1355" s="1">
        <v>0</v>
      </c>
      <c r="AD1355" s="1">
        <v>0</v>
      </c>
      <c r="AE1355" s="1">
        <v>1</v>
      </c>
      <c r="AF1355" s="1">
        <v>0</v>
      </c>
      <c r="AG1355" s="1">
        <v>0</v>
      </c>
      <c r="AH1355" s="1">
        <v>0</v>
      </c>
      <c r="AI1355" s="1">
        <v>1</v>
      </c>
      <c r="AJ1355" s="1">
        <v>0</v>
      </c>
      <c r="AK1355" s="1">
        <v>0</v>
      </c>
      <c r="AL1355" s="1">
        <v>81</v>
      </c>
      <c r="AM1355" s="2">
        <v>42426</v>
      </c>
      <c r="AN1355" t="str">
        <f t="shared" si="43"/>
        <v>29236,90,0.00307839649746887,1,0,30,37,4,24,16,9,9,2,4,0,3,9,0,0,0,0,0,0,0,33,24-35,2423,0,0,1,0,0,0,1,0,0,81,42426</v>
      </c>
    </row>
    <row r="1356" spans="1:40" ht="13" hidden="1" x14ac:dyDescent="0.15">
      <c r="A1356">
        <v>1693</v>
      </c>
      <c r="B1356" s="1">
        <v>58217</v>
      </c>
      <c r="C1356" s="1">
        <v>90</v>
      </c>
      <c r="D1356" s="4">
        <f t="shared" si="42"/>
        <v>1.5459401892917875E-3</v>
      </c>
      <c r="E1356" s="1">
        <v>2</v>
      </c>
      <c r="F1356" s="1">
        <v>1</v>
      </c>
      <c r="G1356" s="1">
        <v>84</v>
      </c>
      <c r="H1356" s="1">
        <v>68</v>
      </c>
      <c r="I1356" s="1">
        <v>1</v>
      </c>
      <c r="J1356" s="1">
        <v>13</v>
      </c>
      <c r="K1356" s="1">
        <v>3</v>
      </c>
      <c r="L1356" s="1">
        <v>5</v>
      </c>
      <c r="M1356" s="1">
        <v>13</v>
      </c>
      <c r="N1356" s="1">
        <v>1</v>
      </c>
      <c r="O1356" s="1">
        <v>2</v>
      </c>
      <c r="P1356" s="1">
        <v>0</v>
      </c>
      <c r="Q1356" s="1">
        <v>4</v>
      </c>
      <c r="R1356" s="1">
        <v>6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69</v>
      </c>
      <c r="AA1356" s="1" t="str" cm="1">
        <f t="array" ref="AA1356">_xlfn.IFS(AND(Z1356&lt;36, Z1356&gt;23), "24-35", AND(Z1356&lt;51, Z1356&gt;35),"36-50", AND(Z1356&lt;66, Z1356&gt;50), "51-66", Z1356&gt;65, "66+", TRUE, "?")</f>
        <v>66+</v>
      </c>
      <c r="AB1356" s="1">
        <v>2748</v>
      </c>
      <c r="AC1356" s="1">
        <v>0</v>
      </c>
      <c r="AD1356" s="1">
        <v>0</v>
      </c>
      <c r="AE1356" s="1">
        <v>1</v>
      </c>
      <c r="AF1356" s="1">
        <v>0</v>
      </c>
      <c r="AG1356" s="1">
        <v>0</v>
      </c>
      <c r="AH1356" s="1">
        <v>0</v>
      </c>
      <c r="AI1356" s="1">
        <v>0</v>
      </c>
      <c r="AJ1356" s="1">
        <v>1</v>
      </c>
      <c r="AK1356" s="1">
        <v>0</v>
      </c>
      <c r="AL1356" s="1">
        <v>77</v>
      </c>
      <c r="AM1356" s="2">
        <v>42101</v>
      </c>
      <c r="AN1356" t="str">
        <f t="shared" si="43"/>
        <v>58217,90,0.00154594018929179,2,1,84,68,1,13,3,5,13,1,2,0,4,6,0,0,0,0,0,0,0,69,66+,2748,0,0,1,0,0,0,0,1,0,77,42101</v>
      </c>
    </row>
    <row r="1357" spans="1:40" ht="13" x14ac:dyDescent="0.15">
      <c r="A1357">
        <v>1705</v>
      </c>
      <c r="B1357" s="1">
        <v>47570</v>
      </c>
      <c r="C1357" s="1">
        <v>90</v>
      </c>
      <c r="D1357" s="4">
        <f t="shared" si="42"/>
        <v>1.8919487071683834E-3</v>
      </c>
      <c r="E1357" s="1">
        <v>1</v>
      </c>
      <c r="F1357" s="1">
        <v>1</v>
      </c>
      <c r="G1357" s="1">
        <v>3</v>
      </c>
      <c r="H1357" s="1">
        <v>67</v>
      </c>
      <c r="I1357" s="1">
        <v>1</v>
      </c>
      <c r="J1357" s="1">
        <v>20</v>
      </c>
      <c r="K1357" s="1">
        <v>0</v>
      </c>
      <c r="L1357" s="1">
        <v>2</v>
      </c>
      <c r="M1357" s="1">
        <v>31</v>
      </c>
      <c r="N1357" s="1">
        <v>3</v>
      </c>
      <c r="O1357" s="1">
        <v>2</v>
      </c>
      <c r="P1357" s="1">
        <v>2</v>
      </c>
      <c r="Q1357" s="1">
        <v>2</v>
      </c>
      <c r="R1357" s="1">
        <v>7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1</v>
      </c>
      <c r="Z1357" s="1">
        <v>71</v>
      </c>
      <c r="AA1357" s="1" t="str" cm="1">
        <f t="array" ref="AA1357">_xlfn.IFS(AND(Z1357&lt;36, Z1357&gt;23), "24-35", AND(Z1357&lt;51, Z1357&gt;35),"36-50", AND(Z1357&lt;66, Z1357&gt;50), "51-66", Z1357&gt;65, "66+", TRUE, "?")</f>
        <v>66+</v>
      </c>
      <c r="AB1357" s="1">
        <v>2555</v>
      </c>
      <c r="AC1357" s="1">
        <v>0</v>
      </c>
      <c r="AD1357" s="1">
        <v>0</v>
      </c>
      <c r="AE1357" s="1">
        <v>0</v>
      </c>
      <c r="AF1357" s="1">
        <v>0</v>
      </c>
      <c r="AG1357" s="1">
        <v>1</v>
      </c>
      <c r="AH1357" s="1">
        <v>0</v>
      </c>
      <c r="AI1357" s="1">
        <v>0</v>
      </c>
      <c r="AJ1357" s="1">
        <v>1</v>
      </c>
      <c r="AK1357" s="1">
        <v>0</v>
      </c>
      <c r="AL1357" s="1">
        <v>59</v>
      </c>
      <c r="AM1357" s="2">
        <v>42294</v>
      </c>
      <c r="AN1357" t="str">
        <f t="shared" si="43"/>
        <v>47570,90,0.00189194870716838,1,1,3,67,1,20,0,2,31,3,2,2,2,7,0,0,0,0,0,0,1,71,66+,2555,0,0,0,0,1,0,0,1,0,59,42294</v>
      </c>
    </row>
    <row r="1358" spans="1:40" ht="13" x14ac:dyDescent="0.15">
      <c r="A1358">
        <v>1712</v>
      </c>
      <c r="B1358" s="1">
        <v>25509</v>
      </c>
      <c r="C1358" s="1">
        <v>90</v>
      </c>
      <c r="D1358" s="4">
        <f t="shared" si="42"/>
        <v>3.5281665294601906E-3</v>
      </c>
      <c r="E1358" s="1">
        <v>1</v>
      </c>
      <c r="F1358" s="1">
        <v>0</v>
      </c>
      <c r="G1358" s="1">
        <v>15</v>
      </c>
      <c r="H1358" s="1">
        <v>40</v>
      </c>
      <c r="I1358" s="1">
        <v>3</v>
      </c>
      <c r="J1358" s="1">
        <v>30</v>
      </c>
      <c r="K1358" s="1">
        <v>10</v>
      </c>
      <c r="L1358" s="1">
        <v>7</v>
      </c>
      <c r="M1358" s="1">
        <v>11</v>
      </c>
      <c r="N1358" s="1">
        <v>3</v>
      </c>
      <c r="O1358" s="1">
        <v>3</v>
      </c>
      <c r="P1358" s="1">
        <v>0</v>
      </c>
      <c r="Q1358" s="1">
        <v>3</v>
      </c>
      <c r="R1358" s="1">
        <v>9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1</v>
      </c>
      <c r="Z1358" s="1">
        <v>46</v>
      </c>
      <c r="AA1358" s="1" t="str" cm="1">
        <f t="array" ref="AA1358">_xlfn.IFS(AND(Z1358&lt;36, Z1358&gt;23), "24-35", AND(Z1358&lt;51, Z1358&gt;35),"36-50", AND(Z1358&lt;66, Z1358&gt;50), "51-66", Z1358&gt;65, "66+", TRUE, "?")</f>
        <v>36-50</v>
      </c>
      <c r="AB1358" s="1">
        <v>2808</v>
      </c>
      <c r="AC1358" s="1">
        <v>1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1</v>
      </c>
      <c r="AL1358" s="1">
        <v>79</v>
      </c>
      <c r="AM1358" s="2">
        <v>42041</v>
      </c>
      <c r="AN1358" t="str">
        <f t="shared" si="43"/>
        <v>25509,90,0.00352816652946019,1,0,15,40,3,30,10,7,11,3,3,0,3,9,0,0,0,0,0,0,1,46,36-50,2808,1,0,0,0,0,0,0,0,1,79,42041</v>
      </c>
    </row>
    <row r="1359" spans="1:40" ht="13" hidden="1" x14ac:dyDescent="0.15">
      <c r="A1359">
        <v>1756</v>
      </c>
      <c r="B1359" s="1">
        <v>61917</v>
      </c>
      <c r="C1359" s="1">
        <v>90</v>
      </c>
      <c r="D1359" s="4">
        <f t="shared" si="42"/>
        <v>1.4535587964533165E-3</v>
      </c>
      <c r="E1359" s="1">
        <v>1</v>
      </c>
      <c r="F1359" s="1">
        <v>1</v>
      </c>
      <c r="G1359" s="1">
        <v>83</v>
      </c>
      <c r="H1359" s="1">
        <v>46</v>
      </c>
      <c r="I1359" s="1">
        <v>4</v>
      </c>
      <c r="J1359" s="1">
        <v>36</v>
      </c>
      <c r="K1359" s="1">
        <v>2</v>
      </c>
      <c r="L1359" s="1">
        <v>2</v>
      </c>
      <c r="M1359" s="1">
        <v>1</v>
      </c>
      <c r="N1359" s="1">
        <v>1</v>
      </c>
      <c r="O1359" s="1">
        <v>2</v>
      </c>
      <c r="P1359" s="1">
        <v>0</v>
      </c>
      <c r="Q1359" s="1">
        <v>4</v>
      </c>
      <c r="R1359" s="1">
        <v>5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46</v>
      </c>
      <c r="AA1359" s="1" t="str" cm="1">
        <f t="array" ref="AA1359">_xlfn.IFS(AND(Z1359&lt;36, Z1359&gt;23), "24-35", AND(Z1359&lt;51, Z1359&gt;35),"36-50", AND(Z1359&lt;66, Z1359&gt;50), "51-66", Z1359&gt;65, "66+", TRUE, "?")</f>
        <v>36-50</v>
      </c>
      <c r="AB1359" s="1">
        <v>2380</v>
      </c>
      <c r="AC1359" s="1">
        <v>0</v>
      </c>
      <c r="AD1359" s="1">
        <v>1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1</v>
      </c>
      <c r="AL1359" s="1">
        <v>89</v>
      </c>
      <c r="AM1359" s="2">
        <v>42469</v>
      </c>
      <c r="AN1359" t="str">
        <f t="shared" si="43"/>
        <v>61917,90,0.00145355879645332,1,1,83,46,4,36,2,2,1,1,2,0,4,5,0,0,0,0,0,0,0,46,36-50,2380,0,1,0,0,0,0,0,0,1,89,42469</v>
      </c>
    </row>
    <row r="1360" spans="1:40" ht="13" hidden="1" x14ac:dyDescent="0.15">
      <c r="A1360">
        <v>1874</v>
      </c>
      <c r="B1360" s="1">
        <v>23478</v>
      </c>
      <c r="C1360" s="1">
        <v>90</v>
      </c>
      <c r="D1360" s="4">
        <f t="shared" si="42"/>
        <v>3.8333759263991822E-3</v>
      </c>
      <c r="E1360" s="1">
        <v>0</v>
      </c>
      <c r="F1360" s="1">
        <v>0</v>
      </c>
      <c r="G1360" s="1">
        <v>51</v>
      </c>
      <c r="H1360" s="1">
        <v>28</v>
      </c>
      <c r="I1360" s="1">
        <v>6</v>
      </c>
      <c r="J1360" s="1">
        <v>27</v>
      </c>
      <c r="K1360" s="1">
        <v>12</v>
      </c>
      <c r="L1360" s="1">
        <v>17</v>
      </c>
      <c r="M1360" s="1">
        <v>39</v>
      </c>
      <c r="N1360" s="1">
        <v>1</v>
      </c>
      <c r="O1360" s="1">
        <v>3</v>
      </c>
      <c r="P1360" s="1">
        <v>0</v>
      </c>
      <c r="Q1360" s="1">
        <v>3</v>
      </c>
      <c r="R1360" s="1">
        <v>8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55</v>
      </c>
      <c r="AA1360" s="1" t="str" cm="1">
        <f t="array" ref="AA1360">_xlfn.IFS(AND(Z1360&lt;36, Z1360&gt;23), "24-35", AND(Z1360&lt;51, Z1360&gt;35),"36-50", AND(Z1360&lt;66, Z1360&gt;50), "51-66", Z1360&gt;65, "66+", TRUE, "?")</f>
        <v>51-66</v>
      </c>
      <c r="AB1360" s="1">
        <v>2626</v>
      </c>
      <c r="AC1360" s="1">
        <v>0</v>
      </c>
      <c r="AD1360" s="1">
        <v>0</v>
      </c>
      <c r="AE1360" s="1">
        <v>1</v>
      </c>
      <c r="AF1360" s="1">
        <v>0</v>
      </c>
      <c r="AG1360" s="1">
        <v>0</v>
      </c>
      <c r="AH1360" s="1">
        <v>0</v>
      </c>
      <c r="AI1360" s="1">
        <v>1</v>
      </c>
      <c r="AJ1360" s="1">
        <v>0</v>
      </c>
      <c r="AK1360" s="1">
        <v>0</v>
      </c>
      <c r="AL1360" s="1">
        <v>51</v>
      </c>
      <c r="AM1360" s="2">
        <v>42223</v>
      </c>
      <c r="AN1360" t="str">
        <f t="shared" si="43"/>
        <v>23478,90,0.00383337592639918,0,0,51,28,6,27,12,17,39,1,3,0,3,8,0,0,0,0,0,0,0,55,51-66,2626,0,0,1,0,0,0,1,0,0,51,42223</v>
      </c>
    </row>
    <row r="1361" spans="1:40" ht="13" hidden="1" x14ac:dyDescent="0.15">
      <c r="A1361">
        <v>255</v>
      </c>
      <c r="B1361" s="1">
        <v>33378</v>
      </c>
      <c r="C1361" s="1">
        <v>89</v>
      </c>
      <c r="D1361" s="4">
        <f t="shared" si="42"/>
        <v>2.6664269878362993E-3</v>
      </c>
      <c r="E1361" s="1">
        <v>1</v>
      </c>
      <c r="F1361" s="1">
        <v>1</v>
      </c>
      <c r="G1361" s="1">
        <v>38</v>
      </c>
      <c r="H1361" s="1">
        <v>33</v>
      </c>
      <c r="I1361" s="1">
        <v>6</v>
      </c>
      <c r="J1361" s="1">
        <v>40</v>
      </c>
      <c r="K1361" s="1">
        <v>3</v>
      </c>
      <c r="L1361" s="1">
        <v>7</v>
      </c>
      <c r="M1361" s="1">
        <v>10</v>
      </c>
      <c r="N1361" s="1">
        <v>3</v>
      </c>
      <c r="O1361" s="1">
        <v>2</v>
      </c>
      <c r="P1361" s="1">
        <v>0</v>
      </c>
      <c r="Q1361" s="1">
        <v>4</v>
      </c>
      <c r="R1361" s="1">
        <v>7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57</v>
      </c>
      <c r="AA1361" s="1" t="str" cm="1">
        <f t="array" ref="AA1361">_xlfn.IFS(AND(Z1361&lt;36, Z1361&gt;23), "24-35", AND(Z1361&lt;51, Z1361&gt;35),"36-50", AND(Z1361&lt;66, Z1361&gt;50), "51-66", Z1361&gt;65, "66+", TRUE, "?")</f>
        <v>51-66</v>
      </c>
      <c r="AB1361" s="1">
        <v>2667</v>
      </c>
      <c r="AC1361" s="1">
        <v>1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1</v>
      </c>
      <c r="AJ1361" s="1">
        <v>0</v>
      </c>
      <c r="AK1361" s="1">
        <v>0</v>
      </c>
      <c r="AL1361" s="1">
        <v>79</v>
      </c>
      <c r="AM1361" s="2">
        <v>42182</v>
      </c>
      <c r="AN1361" t="str">
        <f t="shared" si="43"/>
        <v>33378,89,0.0026664269878363,1,1,38,33,6,40,3,7,10,3,2,0,4,7,0,0,0,0,0,0,0,57,51-66,2667,1,0,0,0,0,0,1,0,0,79,42182</v>
      </c>
    </row>
    <row r="1362" spans="1:40" ht="13" hidden="1" x14ac:dyDescent="0.15">
      <c r="A1362">
        <v>275</v>
      </c>
      <c r="B1362" s="1">
        <v>42386</v>
      </c>
      <c r="C1362" s="1">
        <v>89</v>
      </c>
      <c r="D1362" s="4">
        <f t="shared" si="42"/>
        <v>2.0997499174255649E-3</v>
      </c>
      <c r="E1362" s="1">
        <v>1</v>
      </c>
      <c r="F1362" s="1">
        <v>0</v>
      </c>
      <c r="G1362" s="1">
        <v>43</v>
      </c>
      <c r="H1362" s="1">
        <v>65</v>
      </c>
      <c r="I1362" s="1">
        <v>4</v>
      </c>
      <c r="J1362" s="1">
        <v>16</v>
      </c>
      <c r="K1362" s="1">
        <v>0</v>
      </c>
      <c r="L1362" s="1">
        <v>4</v>
      </c>
      <c r="M1362" s="1">
        <v>11</v>
      </c>
      <c r="N1362" s="1">
        <v>1</v>
      </c>
      <c r="O1362" s="1">
        <v>3</v>
      </c>
      <c r="P1362" s="1">
        <v>0</v>
      </c>
      <c r="Q1362" s="1">
        <v>3</v>
      </c>
      <c r="R1362" s="1">
        <v>8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34</v>
      </c>
      <c r="AA1362" s="1" t="str" cm="1">
        <f t="array" ref="AA1362">_xlfn.IFS(AND(Z1362&lt;36, Z1362&gt;23), "24-35", AND(Z1362&lt;51, Z1362&gt;35),"36-50", AND(Z1362&lt;66, Z1362&gt;50), "51-66", Z1362&gt;65, "66+", TRUE, "?")</f>
        <v>24-35</v>
      </c>
      <c r="AB1362" s="1">
        <v>2691</v>
      </c>
      <c r="AC1362" s="1">
        <v>0</v>
      </c>
      <c r="AD1362" s="1">
        <v>0</v>
      </c>
      <c r="AE1362" s="1">
        <v>0</v>
      </c>
      <c r="AF1362" s="1">
        <v>1</v>
      </c>
      <c r="AG1362" s="1">
        <v>0</v>
      </c>
      <c r="AH1362" s="1">
        <v>0</v>
      </c>
      <c r="AI1362" s="1">
        <v>0</v>
      </c>
      <c r="AJ1362" s="1">
        <v>1</v>
      </c>
      <c r="AK1362" s="1">
        <v>0</v>
      </c>
      <c r="AL1362" s="1">
        <v>78</v>
      </c>
      <c r="AM1362" s="2">
        <v>42158</v>
      </c>
      <c r="AN1362" t="str">
        <f t="shared" si="43"/>
        <v>42386,89,0.00209974991742556,1,0,43,65,4,16,0,4,11,1,3,0,3,8,0,0,0,0,0,0,0,34,24-35,2691,0,0,0,1,0,0,0,1,0,78,42158</v>
      </c>
    </row>
    <row r="1363" spans="1:40" ht="13" hidden="1" x14ac:dyDescent="0.15">
      <c r="A1363">
        <v>331</v>
      </c>
      <c r="B1363" s="1">
        <v>50737</v>
      </c>
      <c r="C1363" s="1">
        <v>89</v>
      </c>
      <c r="D1363" s="4">
        <f t="shared" si="42"/>
        <v>1.7541439186392574E-3</v>
      </c>
      <c r="E1363" s="1">
        <v>0</v>
      </c>
      <c r="F1363" s="1">
        <v>1</v>
      </c>
      <c r="G1363" s="1">
        <v>61</v>
      </c>
      <c r="H1363" s="1">
        <v>78</v>
      </c>
      <c r="I1363" s="1">
        <v>0</v>
      </c>
      <c r="J1363" s="1">
        <v>11</v>
      </c>
      <c r="K1363" s="1">
        <v>0</v>
      </c>
      <c r="L1363" s="1">
        <v>0</v>
      </c>
      <c r="M1363" s="1">
        <v>10</v>
      </c>
      <c r="N1363" s="1">
        <v>1</v>
      </c>
      <c r="O1363" s="1">
        <v>2</v>
      </c>
      <c r="P1363" s="1">
        <v>0</v>
      </c>
      <c r="Q1363" s="1">
        <v>4</v>
      </c>
      <c r="R1363" s="1">
        <v>6</v>
      </c>
      <c r="S1363" s="1">
        <v>0</v>
      </c>
      <c r="T1363" s="1">
        <v>0</v>
      </c>
      <c r="U1363" s="1">
        <v>0</v>
      </c>
      <c r="V1363" s="1">
        <v>1</v>
      </c>
      <c r="W1363" s="1">
        <v>0</v>
      </c>
      <c r="X1363" s="1">
        <v>0</v>
      </c>
      <c r="Y1363" s="1">
        <v>0</v>
      </c>
      <c r="Z1363" s="1">
        <v>65</v>
      </c>
      <c r="AA1363" s="1" t="str" cm="1">
        <f t="array" ref="AA1363">_xlfn.IFS(AND(Z1363&lt;36, Z1363&gt;23), "24-35", AND(Z1363&lt;51, Z1363&gt;35),"36-50", AND(Z1363&lt;66, Z1363&gt;50), "51-66", Z1363&gt;65, "66+", TRUE, "?")</f>
        <v>51-66</v>
      </c>
      <c r="AB1363" s="1">
        <v>2573</v>
      </c>
      <c r="AC1363" s="1">
        <v>0</v>
      </c>
      <c r="AD1363" s="1">
        <v>1</v>
      </c>
      <c r="AE1363" s="1">
        <v>0</v>
      </c>
      <c r="AF1363" s="1">
        <v>0</v>
      </c>
      <c r="AG1363" s="1">
        <v>0</v>
      </c>
      <c r="AH1363" s="1">
        <v>0</v>
      </c>
      <c r="AI1363" s="1">
        <v>1</v>
      </c>
      <c r="AJ1363" s="1">
        <v>0</v>
      </c>
      <c r="AK1363" s="1">
        <v>0</v>
      </c>
      <c r="AL1363" s="1">
        <v>79</v>
      </c>
      <c r="AM1363" s="2">
        <v>42276</v>
      </c>
      <c r="AN1363" t="str">
        <f t="shared" si="43"/>
        <v>50737,89,0.00175414391863926,0,1,61,78,0,11,0,0,10,1,2,0,4,6,0,0,0,1,0,0,0,65,51-66,2573,0,1,0,0,0,0,1,0,0,79,42276</v>
      </c>
    </row>
    <row r="1364" spans="1:40" ht="13" hidden="1" x14ac:dyDescent="0.15">
      <c r="A1364">
        <v>505</v>
      </c>
      <c r="B1364" s="1">
        <v>44931</v>
      </c>
      <c r="C1364" s="1">
        <v>89</v>
      </c>
      <c r="D1364" s="4">
        <f t="shared" si="42"/>
        <v>1.9808150274865906E-3</v>
      </c>
      <c r="E1364" s="1">
        <v>0</v>
      </c>
      <c r="F1364" s="1">
        <v>1</v>
      </c>
      <c r="G1364" s="1">
        <v>0</v>
      </c>
      <c r="H1364" s="1">
        <v>78</v>
      </c>
      <c r="I1364" s="1">
        <v>0</v>
      </c>
      <c r="J1364" s="1">
        <v>11</v>
      </c>
      <c r="K1364" s="1">
        <v>0</v>
      </c>
      <c r="L1364" s="1">
        <v>0</v>
      </c>
      <c r="M1364" s="1">
        <v>7</v>
      </c>
      <c r="N1364" s="1">
        <v>1</v>
      </c>
      <c r="O1364" s="1">
        <v>2</v>
      </c>
      <c r="P1364" s="1">
        <v>1</v>
      </c>
      <c r="Q1364" s="1">
        <v>3</v>
      </c>
      <c r="R1364" s="1">
        <v>5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53</v>
      </c>
      <c r="AA1364" s="1" t="str" cm="1">
        <f t="array" ref="AA1364">_xlfn.IFS(AND(Z1364&lt;36, Z1364&gt;23), "24-35", AND(Z1364&lt;51, Z1364&gt;35),"36-50", AND(Z1364&lt;66, Z1364&gt;50), "51-66", Z1364&gt;65, "66+", TRUE, "?")</f>
        <v>51-66</v>
      </c>
      <c r="AB1364" s="1">
        <v>2321</v>
      </c>
      <c r="AC1364" s="1">
        <v>0</v>
      </c>
      <c r="AD1364" s="1">
        <v>0</v>
      </c>
      <c r="AE1364" s="1">
        <v>0</v>
      </c>
      <c r="AF1364" s="1">
        <v>1</v>
      </c>
      <c r="AG1364" s="1">
        <v>0</v>
      </c>
      <c r="AH1364" s="1">
        <v>0</v>
      </c>
      <c r="AI1364" s="1">
        <v>1</v>
      </c>
      <c r="AJ1364" s="1">
        <v>0</v>
      </c>
      <c r="AK1364" s="1">
        <v>0</v>
      </c>
      <c r="AL1364" s="1">
        <v>82</v>
      </c>
      <c r="AM1364" s="2">
        <v>42528</v>
      </c>
      <c r="AN1364" t="str">
        <f t="shared" si="43"/>
        <v>44931,89,0.00198081502748659,0,1,0,78,0,11,0,0,7,1,2,1,3,5,0,0,0,0,0,0,0,53,51-66,2321,0,0,0,1,0,0,1,0,0,82,42528</v>
      </c>
    </row>
    <row r="1365" spans="1:40" ht="13" hidden="1" x14ac:dyDescent="0.15">
      <c r="A1365">
        <v>1196</v>
      </c>
      <c r="B1365" s="1">
        <v>40800</v>
      </c>
      <c r="C1365" s="1">
        <v>89</v>
      </c>
      <c r="D1365" s="4">
        <f t="shared" si="42"/>
        <v>2.181372549019608E-3</v>
      </c>
      <c r="E1365" s="1">
        <v>1</v>
      </c>
      <c r="F1365" s="1">
        <v>2</v>
      </c>
      <c r="G1365" s="1">
        <v>77</v>
      </c>
      <c r="H1365" s="1">
        <v>24</v>
      </c>
      <c r="I1365" s="1">
        <v>0</v>
      </c>
      <c r="J1365" s="1">
        <v>27</v>
      </c>
      <c r="K1365" s="1">
        <v>8</v>
      </c>
      <c r="L1365" s="1">
        <v>30</v>
      </c>
      <c r="M1365" s="1">
        <v>10</v>
      </c>
      <c r="N1365" s="1">
        <v>2</v>
      </c>
      <c r="O1365" s="1">
        <v>3</v>
      </c>
      <c r="P1365" s="1">
        <v>0</v>
      </c>
      <c r="Q1365" s="1">
        <v>3</v>
      </c>
      <c r="R1365" s="1">
        <v>7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1</v>
      </c>
      <c r="Y1365" s="1">
        <v>0</v>
      </c>
      <c r="Z1365" s="1">
        <v>56</v>
      </c>
      <c r="AA1365" s="1" t="str" cm="1">
        <f t="array" ref="AA1365">_xlfn.IFS(AND(Z1365&lt;36, Z1365&gt;23), "24-35", AND(Z1365&lt;51, Z1365&gt;35),"36-50", AND(Z1365&lt;66, Z1365&gt;50), "51-66", Z1365&gt;65, "66+", TRUE, "?")</f>
        <v>51-66</v>
      </c>
      <c r="AB1365" s="1">
        <v>2703</v>
      </c>
      <c r="AC1365" s="1">
        <v>0</v>
      </c>
      <c r="AD1365" s="1">
        <v>1</v>
      </c>
      <c r="AE1365" s="1">
        <v>0</v>
      </c>
      <c r="AF1365" s="1">
        <v>0</v>
      </c>
      <c r="AG1365" s="1">
        <v>0</v>
      </c>
      <c r="AH1365" s="1">
        <v>0</v>
      </c>
      <c r="AI1365" s="1">
        <v>1</v>
      </c>
      <c r="AJ1365" s="1">
        <v>0</v>
      </c>
      <c r="AK1365" s="1">
        <v>0</v>
      </c>
      <c r="AL1365" s="1">
        <v>79</v>
      </c>
      <c r="AM1365" s="2">
        <v>42146</v>
      </c>
      <c r="AN1365" t="str">
        <f t="shared" si="43"/>
        <v>40800,89,0.00218137254901961,1,2,77,24,0,27,8,30,10,2,3,0,3,7,0,0,0,0,0,1,0,56,51-66,2703,0,1,0,0,0,0,1,0,0,79,42146</v>
      </c>
    </row>
    <row r="1366" spans="1:40" ht="13" hidden="1" x14ac:dyDescent="0.15">
      <c r="A1366">
        <v>1443</v>
      </c>
      <c r="B1366" s="1">
        <v>44322</v>
      </c>
      <c r="C1366" s="1">
        <v>89</v>
      </c>
      <c r="D1366" s="4">
        <f t="shared" si="42"/>
        <v>2.008032128514056E-3</v>
      </c>
      <c r="E1366" s="1">
        <v>1</v>
      </c>
      <c r="F1366" s="1">
        <v>0</v>
      </c>
      <c r="G1366" s="1">
        <v>30</v>
      </c>
      <c r="H1366" s="1">
        <v>46</v>
      </c>
      <c r="I1366" s="1">
        <v>0</v>
      </c>
      <c r="J1366" s="1">
        <v>40</v>
      </c>
      <c r="K1366" s="1">
        <v>3</v>
      </c>
      <c r="L1366" s="1">
        <v>0</v>
      </c>
      <c r="M1366" s="1">
        <v>3</v>
      </c>
      <c r="N1366" s="1">
        <v>2</v>
      </c>
      <c r="O1366" s="1">
        <v>3</v>
      </c>
      <c r="P1366" s="1">
        <v>0</v>
      </c>
      <c r="Q1366" s="1">
        <v>3</v>
      </c>
      <c r="R1366" s="1">
        <v>8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35</v>
      </c>
      <c r="AA1366" s="1" t="str" cm="1">
        <f t="array" ref="AA1366">_xlfn.IFS(AND(Z1366&lt;36, Z1366&gt;23), "24-35", AND(Z1366&lt;51, Z1366&gt;35),"36-50", AND(Z1366&lt;66, Z1366&gt;50), "51-66", Z1366&gt;65, "66+", TRUE, "?")</f>
        <v>24-35</v>
      </c>
      <c r="AB1366" s="1">
        <v>2172</v>
      </c>
      <c r="AC1366" s="1">
        <v>0</v>
      </c>
      <c r="AD1366" s="1">
        <v>1</v>
      </c>
      <c r="AE1366" s="1">
        <v>0</v>
      </c>
      <c r="AF1366" s="1">
        <v>0</v>
      </c>
      <c r="AG1366" s="1">
        <v>0</v>
      </c>
      <c r="AH1366" s="1">
        <v>0</v>
      </c>
      <c r="AI1366" s="1">
        <v>1</v>
      </c>
      <c r="AJ1366" s="1">
        <v>0</v>
      </c>
      <c r="AK1366" s="1">
        <v>0</v>
      </c>
      <c r="AL1366" s="1">
        <v>86</v>
      </c>
      <c r="AM1366" s="2">
        <v>42677</v>
      </c>
      <c r="AN1366" t="str">
        <f t="shared" si="43"/>
        <v>44322,89,0.00200803212851406,1,0,30,46,0,40,3,0,3,2,3,0,3,8,0,0,0,0,0,0,0,35,24-35,2172,0,1,0,0,0,0,1,0,0,86,42677</v>
      </c>
    </row>
    <row r="1367" spans="1:40" ht="13" hidden="1" x14ac:dyDescent="0.15">
      <c r="A1367">
        <v>1541</v>
      </c>
      <c r="B1367" s="1">
        <v>38232</v>
      </c>
      <c r="C1367" s="1">
        <v>89</v>
      </c>
      <c r="D1367" s="4">
        <f t="shared" si="42"/>
        <v>2.3278928646160283E-3</v>
      </c>
      <c r="E1367" s="1">
        <v>1</v>
      </c>
      <c r="F1367" s="1">
        <v>1</v>
      </c>
      <c r="G1367" s="1">
        <v>84</v>
      </c>
      <c r="H1367" s="1">
        <v>43</v>
      </c>
      <c r="I1367" s="1">
        <v>5</v>
      </c>
      <c r="J1367" s="1">
        <v>28</v>
      </c>
      <c r="K1367" s="1">
        <v>7</v>
      </c>
      <c r="L1367" s="1">
        <v>6</v>
      </c>
      <c r="M1367" s="1">
        <v>33</v>
      </c>
      <c r="N1367" s="1">
        <v>4</v>
      </c>
      <c r="O1367" s="1">
        <v>3</v>
      </c>
      <c r="P1367" s="1">
        <v>1</v>
      </c>
      <c r="Q1367" s="1">
        <v>3</v>
      </c>
      <c r="R1367" s="1">
        <v>5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49</v>
      </c>
      <c r="AA1367" s="1" t="str" cm="1">
        <f t="array" ref="AA1367">_xlfn.IFS(AND(Z1367&lt;36, Z1367&gt;23), "24-35", AND(Z1367&lt;51, Z1367&gt;35),"36-50", AND(Z1367&lt;66, Z1367&gt;50), "51-66", Z1367&gt;65, "66+", TRUE, "?")</f>
        <v>36-50</v>
      </c>
      <c r="AB1367" s="1">
        <v>2322</v>
      </c>
      <c r="AC1367" s="1">
        <v>0</v>
      </c>
      <c r="AD1367" s="1">
        <v>0</v>
      </c>
      <c r="AE1367" s="1">
        <v>0</v>
      </c>
      <c r="AF1367" s="1">
        <v>1</v>
      </c>
      <c r="AG1367" s="1">
        <v>0</v>
      </c>
      <c r="AH1367" s="1">
        <v>0</v>
      </c>
      <c r="AI1367" s="1">
        <v>1</v>
      </c>
      <c r="AJ1367" s="1">
        <v>0</v>
      </c>
      <c r="AK1367" s="1">
        <v>0</v>
      </c>
      <c r="AL1367" s="1">
        <v>56</v>
      </c>
      <c r="AM1367" s="2">
        <v>42527</v>
      </c>
      <c r="AN1367" t="str">
        <f t="shared" si="43"/>
        <v>38232,89,0.00232789286461603,1,1,84,43,5,28,7,6,33,4,3,1,3,5,0,0,0,0,0,0,0,49,36-50,2322,0,0,0,1,0,0,1,0,0,56,42527</v>
      </c>
    </row>
    <row r="1368" spans="1:40" ht="13" hidden="1" x14ac:dyDescent="0.15">
      <c r="A1368">
        <v>1624</v>
      </c>
      <c r="B1368" s="1">
        <v>39435</v>
      </c>
      <c r="C1368" s="1">
        <v>89</v>
      </c>
      <c r="D1368" s="4">
        <f t="shared" si="42"/>
        <v>2.2568784075060228E-3</v>
      </c>
      <c r="E1368" s="1">
        <v>1</v>
      </c>
      <c r="F1368" s="1">
        <v>0</v>
      </c>
      <c r="G1368" s="1">
        <v>16</v>
      </c>
      <c r="H1368" s="1">
        <v>71</v>
      </c>
      <c r="I1368" s="1">
        <v>0</v>
      </c>
      <c r="J1368" s="1">
        <v>18</v>
      </c>
      <c r="K1368" s="1">
        <v>0</v>
      </c>
      <c r="L1368" s="1">
        <v>0</v>
      </c>
      <c r="M1368" s="1">
        <v>13</v>
      </c>
      <c r="N1368" s="1">
        <v>1</v>
      </c>
      <c r="O1368" s="1">
        <v>3</v>
      </c>
      <c r="P1368" s="1">
        <v>1</v>
      </c>
      <c r="Q1368" s="1">
        <v>2</v>
      </c>
      <c r="R1368" s="1">
        <v>7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47</v>
      </c>
      <c r="AA1368" s="1" t="str" cm="1">
        <f t="array" ref="AA1368">_xlfn.IFS(AND(Z1368&lt;36, Z1368&gt;23), "24-35", AND(Z1368&lt;51, Z1368&gt;35),"36-50", AND(Z1368&lt;66, Z1368&gt;50), "51-66", Z1368&gt;65, "66+", TRUE, "?")</f>
        <v>36-50</v>
      </c>
      <c r="AB1368" s="1">
        <v>2486</v>
      </c>
      <c r="AC1368" s="1">
        <v>0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0</v>
      </c>
      <c r="AJ1368" s="1">
        <v>0</v>
      </c>
      <c r="AK1368" s="1">
        <v>1</v>
      </c>
      <c r="AL1368" s="1">
        <v>76</v>
      </c>
      <c r="AM1368" s="2">
        <v>42363</v>
      </c>
      <c r="AN1368" t="str">
        <f t="shared" si="43"/>
        <v>39435,89,0.00225687840750602,1,0,16,71,0,18,0,0,13,1,3,1,2,7,0,0,0,0,0,0,0,47,36-50,2486,0,0,0,1,0,0,0,0,1,76,42363</v>
      </c>
    </row>
    <row r="1369" spans="1:40" ht="13" hidden="1" x14ac:dyDescent="0.15">
      <c r="A1369">
        <v>1633</v>
      </c>
      <c r="B1369" s="1">
        <v>36075</v>
      </c>
      <c r="C1369" s="1">
        <v>89</v>
      </c>
      <c r="D1369" s="4">
        <f t="shared" si="42"/>
        <v>2.4670824670824671E-3</v>
      </c>
      <c r="E1369" s="1">
        <v>1</v>
      </c>
      <c r="F1369" s="1">
        <v>0</v>
      </c>
      <c r="G1369" s="1">
        <v>54</v>
      </c>
      <c r="H1369" s="1">
        <v>46</v>
      </c>
      <c r="I1369" s="1">
        <v>0</v>
      </c>
      <c r="J1369" s="1">
        <v>30</v>
      </c>
      <c r="K1369" s="1">
        <v>12</v>
      </c>
      <c r="L1369" s="1">
        <v>1</v>
      </c>
      <c r="M1369" s="1">
        <v>30</v>
      </c>
      <c r="N1369" s="1">
        <v>1</v>
      </c>
      <c r="O1369" s="1">
        <v>2</v>
      </c>
      <c r="P1369" s="1">
        <v>0</v>
      </c>
      <c r="Q1369" s="1">
        <v>4</v>
      </c>
      <c r="R1369" s="1">
        <v>6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37</v>
      </c>
      <c r="AA1369" s="1" t="str" cm="1">
        <f t="array" ref="AA1369">_xlfn.IFS(AND(Z1369&lt;36, Z1369&gt;23), "24-35", AND(Z1369&lt;51, Z1369&gt;35),"36-50", AND(Z1369&lt;66, Z1369&gt;50), "51-66", Z1369&gt;65, "66+", TRUE, "?")</f>
        <v>36-50</v>
      </c>
      <c r="AB1369" s="1">
        <v>2361</v>
      </c>
      <c r="AC1369" s="1">
        <v>0</v>
      </c>
      <c r="AD1369" s="1">
        <v>0</v>
      </c>
      <c r="AE1369" s="1">
        <v>0</v>
      </c>
      <c r="AF1369" s="1">
        <v>1</v>
      </c>
      <c r="AG1369" s="1">
        <v>0</v>
      </c>
      <c r="AH1369" s="1">
        <v>0</v>
      </c>
      <c r="AI1369" s="1">
        <v>1</v>
      </c>
      <c r="AJ1369" s="1">
        <v>0</v>
      </c>
      <c r="AK1369" s="1">
        <v>0</v>
      </c>
      <c r="AL1369" s="1">
        <v>59</v>
      </c>
      <c r="AM1369" s="2">
        <v>42488</v>
      </c>
      <c r="AN1369" t="str">
        <f t="shared" si="43"/>
        <v>36075,89,0.00246708246708247,1,0,54,46,0,30,12,1,30,1,2,0,4,6,0,0,0,0,0,0,0,37,36-50,2361,0,0,0,1,0,0,1,0,0,59,42488</v>
      </c>
    </row>
    <row r="1370" spans="1:40" ht="13" hidden="1" x14ac:dyDescent="0.15">
      <c r="A1370">
        <v>1672</v>
      </c>
      <c r="B1370" s="1">
        <v>41580</v>
      </c>
      <c r="C1370" s="1">
        <v>89</v>
      </c>
      <c r="D1370" s="4">
        <f t="shared" si="42"/>
        <v>2.1404521404521405E-3</v>
      </c>
      <c r="E1370" s="1">
        <v>1</v>
      </c>
      <c r="F1370" s="1">
        <v>1</v>
      </c>
      <c r="G1370" s="1">
        <v>15</v>
      </c>
      <c r="H1370" s="1">
        <v>56</v>
      </c>
      <c r="I1370" s="1">
        <v>5</v>
      </c>
      <c r="J1370" s="1">
        <v>24</v>
      </c>
      <c r="K1370" s="1">
        <v>4</v>
      </c>
      <c r="L1370" s="1">
        <v>0</v>
      </c>
      <c r="M1370" s="1">
        <v>3</v>
      </c>
      <c r="N1370" s="1">
        <v>3</v>
      </c>
      <c r="O1370" s="1">
        <v>2</v>
      </c>
      <c r="P1370" s="1">
        <v>1</v>
      </c>
      <c r="Q1370" s="1">
        <v>3</v>
      </c>
      <c r="R1370" s="1">
        <v>5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42</v>
      </c>
      <c r="AA1370" s="1" t="str" cm="1">
        <f t="array" ref="AA1370">_xlfn.IFS(AND(Z1370&lt;36, Z1370&gt;23), "24-35", AND(Z1370&lt;51, Z1370&gt;35),"36-50", AND(Z1370&lt;66, Z1370&gt;50), "51-66", Z1370&gt;65, "66+", TRUE, "?")</f>
        <v>36-50</v>
      </c>
      <c r="AB1370" s="1">
        <v>2725</v>
      </c>
      <c r="AC1370" s="1">
        <v>0</v>
      </c>
      <c r="AD1370" s="1">
        <v>0</v>
      </c>
      <c r="AE1370" s="1">
        <v>0</v>
      </c>
      <c r="AF1370" s="1">
        <v>1</v>
      </c>
      <c r="AG1370" s="1">
        <v>0</v>
      </c>
      <c r="AH1370" s="1">
        <v>0</v>
      </c>
      <c r="AI1370" s="1">
        <v>1</v>
      </c>
      <c r="AJ1370" s="1">
        <v>0</v>
      </c>
      <c r="AK1370" s="1">
        <v>0</v>
      </c>
      <c r="AL1370" s="1">
        <v>86</v>
      </c>
      <c r="AM1370" s="2">
        <v>42124</v>
      </c>
      <c r="AN1370" t="str">
        <f t="shared" si="43"/>
        <v>41580,89,0.00214045214045214,1,1,15,56,5,24,4,0,3,3,2,1,3,5,0,0,0,0,0,0,0,42,36-50,2725,0,0,0,1,0,0,1,0,0,86,42124</v>
      </c>
    </row>
    <row r="1371" spans="1:40" ht="13" hidden="1" x14ac:dyDescent="0.15">
      <c r="A1371">
        <v>935</v>
      </c>
      <c r="B1371" s="1">
        <v>64587</v>
      </c>
      <c r="C1371" s="1">
        <v>88</v>
      </c>
      <c r="D1371" s="4">
        <f t="shared" si="42"/>
        <v>1.3625032901357858E-3</v>
      </c>
      <c r="E1371" s="1">
        <v>1</v>
      </c>
      <c r="F1371" s="1">
        <v>1</v>
      </c>
      <c r="G1371" s="1">
        <v>49</v>
      </c>
      <c r="H1371" s="1">
        <v>66</v>
      </c>
      <c r="I1371" s="1">
        <v>0</v>
      </c>
      <c r="J1371" s="1">
        <v>16</v>
      </c>
      <c r="K1371" s="1">
        <v>0</v>
      </c>
      <c r="L1371" s="1">
        <v>6</v>
      </c>
      <c r="M1371" s="1">
        <v>20</v>
      </c>
      <c r="N1371" s="1">
        <v>2</v>
      </c>
      <c r="O1371" s="1">
        <v>1</v>
      </c>
      <c r="P1371" s="1">
        <v>1</v>
      </c>
      <c r="Q1371" s="1">
        <v>4</v>
      </c>
      <c r="R1371" s="1">
        <v>3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66</v>
      </c>
      <c r="AA1371" s="1" t="str" cm="1">
        <f t="array" ref="AA1371">_xlfn.IFS(AND(Z1371&lt;36, Z1371&gt;23), "24-35", AND(Z1371&lt;51, Z1371&gt;35),"36-50", AND(Z1371&lt;66, Z1371&gt;50), "51-66", Z1371&gt;65, "66+", TRUE, "?")</f>
        <v>66+</v>
      </c>
      <c r="AB1371" s="1">
        <v>2166</v>
      </c>
      <c r="AC1371" s="1">
        <v>1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1</v>
      </c>
      <c r="AJ1371" s="1">
        <v>0</v>
      </c>
      <c r="AK1371" s="1">
        <v>0</v>
      </c>
      <c r="AL1371" s="1">
        <v>68</v>
      </c>
      <c r="AM1371" s="2">
        <v>42683</v>
      </c>
      <c r="AN1371" t="str">
        <f t="shared" si="43"/>
        <v>64587,88,0.00136250329013579,1,1,49,66,0,16,0,6,20,2,1,1,4,3,0,0,0,0,0,0,0,66,66+,2166,1,0,0,0,0,0,1,0,0,68,42683</v>
      </c>
    </row>
    <row r="1372" spans="1:40" ht="13" hidden="1" x14ac:dyDescent="0.15">
      <c r="A1372">
        <v>1143</v>
      </c>
      <c r="B1372" s="1">
        <v>34377</v>
      </c>
      <c r="C1372" s="1">
        <v>88</v>
      </c>
      <c r="D1372" s="4">
        <f t="shared" si="42"/>
        <v>2.5598510632108677E-3</v>
      </c>
      <c r="E1372" s="1">
        <v>0</v>
      </c>
      <c r="F1372" s="1">
        <v>1</v>
      </c>
      <c r="G1372" s="1">
        <v>55</v>
      </c>
      <c r="H1372" s="1">
        <v>62</v>
      </c>
      <c r="I1372" s="1">
        <v>0</v>
      </c>
      <c r="J1372" s="1">
        <v>22</v>
      </c>
      <c r="K1372" s="1">
        <v>3</v>
      </c>
      <c r="L1372" s="1">
        <v>1</v>
      </c>
      <c r="M1372" s="1">
        <v>26</v>
      </c>
      <c r="N1372" s="1">
        <v>2</v>
      </c>
      <c r="O1372" s="1">
        <v>2</v>
      </c>
      <c r="P1372" s="1">
        <v>2</v>
      </c>
      <c r="Q1372" s="1">
        <v>2</v>
      </c>
      <c r="R1372" s="1">
        <v>7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57</v>
      </c>
      <c r="AA1372" s="1" t="str" cm="1">
        <f t="array" ref="AA1372">_xlfn.IFS(AND(Z1372&lt;36, Z1372&gt;23), "24-35", AND(Z1372&lt;51, Z1372&gt;35),"36-50", AND(Z1372&lt;66, Z1372&gt;50), "51-66", Z1372&gt;65, "66+", TRUE, "?")</f>
        <v>51-66</v>
      </c>
      <c r="AB1372" s="1">
        <v>2685</v>
      </c>
      <c r="AC1372" s="1">
        <v>0</v>
      </c>
      <c r="AD1372" s="1">
        <v>0</v>
      </c>
      <c r="AE1372" s="1">
        <v>1</v>
      </c>
      <c r="AF1372" s="1">
        <v>0</v>
      </c>
      <c r="AG1372" s="1">
        <v>0</v>
      </c>
      <c r="AH1372" s="1">
        <v>0</v>
      </c>
      <c r="AI1372" s="1">
        <v>1</v>
      </c>
      <c r="AJ1372" s="1">
        <v>0</v>
      </c>
      <c r="AK1372" s="1">
        <v>0</v>
      </c>
      <c r="AL1372" s="1">
        <v>62</v>
      </c>
      <c r="AM1372" s="2">
        <v>42164</v>
      </c>
      <c r="AN1372" t="str">
        <f t="shared" si="43"/>
        <v>34377,88,0.00255985106321087,0,1,55,62,0,22,3,1,26,2,2,2,2,7,0,0,0,0,0,0,0,57,51-66,2685,0,0,1,0,0,0,1,0,0,62,42164</v>
      </c>
    </row>
    <row r="1373" spans="1:40" ht="13" hidden="1" x14ac:dyDescent="0.15">
      <c r="A1373">
        <v>1404</v>
      </c>
      <c r="B1373" s="1">
        <v>37787</v>
      </c>
      <c r="C1373" s="1">
        <v>88</v>
      </c>
      <c r="D1373" s="4">
        <f t="shared" si="42"/>
        <v>2.3288432529705982E-3</v>
      </c>
      <c r="E1373" s="1">
        <v>1</v>
      </c>
      <c r="F1373" s="1">
        <v>0</v>
      </c>
      <c r="G1373" s="1">
        <v>50</v>
      </c>
      <c r="H1373" s="1">
        <v>40</v>
      </c>
      <c r="I1373" s="1">
        <v>1</v>
      </c>
      <c r="J1373" s="1">
        <v>40</v>
      </c>
      <c r="K1373" s="1">
        <v>4</v>
      </c>
      <c r="L1373" s="1">
        <v>3</v>
      </c>
      <c r="M1373" s="1">
        <v>18</v>
      </c>
      <c r="N1373" s="1">
        <v>1</v>
      </c>
      <c r="O1373" s="1">
        <v>3</v>
      </c>
      <c r="P1373" s="1">
        <v>0</v>
      </c>
      <c r="Q1373" s="1">
        <v>3</v>
      </c>
      <c r="R1373" s="1">
        <v>8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48</v>
      </c>
      <c r="AA1373" s="1" t="str" cm="1">
        <f t="array" ref="AA1373">_xlfn.IFS(AND(Z1373&lt;36, Z1373&gt;23), "24-35", AND(Z1373&lt;51, Z1373&gt;35),"36-50", AND(Z1373&lt;66, Z1373&gt;50), "51-66", Z1373&gt;65, "66+", TRUE, "?")</f>
        <v>36-50</v>
      </c>
      <c r="AB1373" s="1">
        <v>2441</v>
      </c>
      <c r="AC1373" s="1">
        <v>0</v>
      </c>
      <c r="AD1373" s="1">
        <v>1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1</v>
      </c>
      <c r="AK1373" s="1">
        <v>0</v>
      </c>
      <c r="AL1373" s="1">
        <v>70</v>
      </c>
      <c r="AM1373" s="2">
        <v>42408</v>
      </c>
      <c r="AN1373" t="str">
        <f t="shared" si="43"/>
        <v>37787,88,0.0023288432529706,1,0,50,40,1,40,4,3,18,1,3,0,3,8,0,0,0,0,0,0,0,48,36-50,2441,0,1,0,0,0,0,0,1,0,70,42408</v>
      </c>
    </row>
    <row r="1374" spans="1:40" ht="13" hidden="1" x14ac:dyDescent="0.15">
      <c r="A1374">
        <v>1467</v>
      </c>
      <c r="B1374" s="1">
        <v>52569</v>
      </c>
      <c r="C1374" s="1">
        <v>88</v>
      </c>
      <c r="D1374" s="4">
        <f t="shared" si="42"/>
        <v>1.6739903745553464E-3</v>
      </c>
      <c r="E1374" s="1">
        <v>0</v>
      </c>
      <c r="F1374" s="1">
        <v>1</v>
      </c>
      <c r="G1374" s="1">
        <v>54</v>
      </c>
      <c r="H1374" s="1">
        <v>85</v>
      </c>
      <c r="I1374" s="1">
        <v>0</v>
      </c>
      <c r="J1374" s="1">
        <v>3</v>
      </c>
      <c r="K1374" s="1">
        <v>0</v>
      </c>
      <c r="L1374" s="1">
        <v>0</v>
      </c>
      <c r="M1374" s="1">
        <v>7</v>
      </c>
      <c r="N1374" s="1">
        <v>1</v>
      </c>
      <c r="O1374" s="1">
        <v>2</v>
      </c>
      <c r="P1374" s="1">
        <v>0</v>
      </c>
      <c r="Q1374" s="1">
        <v>4</v>
      </c>
      <c r="R1374" s="1">
        <v>3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53</v>
      </c>
      <c r="AA1374" s="1" t="str" cm="1">
        <f t="array" ref="AA1374">_xlfn.IFS(AND(Z1374&lt;36, Z1374&gt;23), "24-35", AND(Z1374&lt;51, Z1374&gt;35),"36-50", AND(Z1374&lt;66, Z1374&gt;50), "51-66", Z1374&gt;65, "66+", TRUE, "?")</f>
        <v>51-66</v>
      </c>
      <c r="AB1374" s="1">
        <v>2244</v>
      </c>
      <c r="AC1374" s="1">
        <v>0</v>
      </c>
      <c r="AD1374" s="1">
        <v>0</v>
      </c>
      <c r="AE1374" s="1">
        <v>1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1</v>
      </c>
      <c r="AL1374" s="1">
        <v>81</v>
      </c>
      <c r="AM1374" s="2">
        <v>42605</v>
      </c>
      <c r="AN1374" t="str">
        <f t="shared" si="43"/>
        <v>52569,88,0.00167399037455535,0,1,54,85,0,3,0,0,7,1,2,0,4,3,0,0,0,0,0,0,0,53,51-66,2244,0,0,1,0,0,0,0,0,1,81,42605</v>
      </c>
    </row>
    <row r="1375" spans="1:40" ht="13" hidden="1" x14ac:dyDescent="0.15">
      <c r="A1375">
        <v>1946</v>
      </c>
      <c r="B1375" s="1">
        <v>42769</v>
      </c>
      <c r="C1375" s="1">
        <v>88</v>
      </c>
      <c r="D1375" s="4">
        <f t="shared" si="42"/>
        <v>2.0575650588042743E-3</v>
      </c>
      <c r="E1375" s="1">
        <v>0</v>
      </c>
      <c r="F1375" s="1">
        <v>1</v>
      </c>
      <c r="G1375" s="1">
        <v>15</v>
      </c>
      <c r="H1375" s="1">
        <v>71</v>
      </c>
      <c r="I1375" s="1">
        <v>0</v>
      </c>
      <c r="J1375" s="1">
        <v>13</v>
      </c>
      <c r="K1375" s="1">
        <v>3</v>
      </c>
      <c r="L1375" s="1">
        <v>1</v>
      </c>
      <c r="M1375" s="1">
        <v>0</v>
      </c>
      <c r="N1375" s="1">
        <v>2</v>
      </c>
      <c r="O1375" s="1">
        <v>1</v>
      </c>
      <c r="P1375" s="1">
        <v>1</v>
      </c>
      <c r="Q1375" s="1">
        <v>4</v>
      </c>
      <c r="R1375" s="1">
        <v>4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58</v>
      </c>
      <c r="AA1375" s="1" t="str" cm="1">
        <f t="array" ref="AA1375">_xlfn.IFS(AND(Z1375&lt;36, Z1375&gt;23), "24-35", AND(Z1375&lt;51, Z1375&gt;35),"36-50", AND(Z1375&lt;66, Z1375&gt;50), "51-66", Z1375&gt;65, "66+", TRUE, "?")</f>
        <v>51-66</v>
      </c>
      <c r="AB1375" s="1">
        <v>2419</v>
      </c>
      <c r="AC1375" s="1">
        <v>0</v>
      </c>
      <c r="AD1375" s="1">
        <v>1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1</v>
      </c>
      <c r="AL1375" s="1">
        <v>88</v>
      </c>
      <c r="AM1375" s="2">
        <v>42430</v>
      </c>
      <c r="AN1375" t="str">
        <f t="shared" si="43"/>
        <v>42769,88,0.00205756505880427,0,1,15,71,0,13,3,1,0,2,1,1,4,4,0,0,0,0,0,0,0,58,51-66,2419,0,1,0,0,0,0,0,0,1,88,42430</v>
      </c>
    </row>
    <row r="1376" spans="1:40" ht="13" hidden="1" x14ac:dyDescent="0.15">
      <c r="A1376">
        <v>104</v>
      </c>
      <c r="B1376" s="1">
        <v>50785</v>
      </c>
      <c r="C1376" s="1">
        <v>87</v>
      </c>
      <c r="D1376" s="4">
        <f t="shared" si="42"/>
        <v>1.713104263069804E-3</v>
      </c>
      <c r="E1376" s="1">
        <v>1</v>
      </c>
      <c r="F1376" s="1">
        <v>1</v>
      </c>
      <c r="G1376" s="1">
        <v>27</v>
      </c>
      <c r="H1376" s="1">
        <v>64</v>
      </c>
      <c r="I1376" s="1">
        <v>1</v>
      </c>
      <c r="J1376" s="1">
        <v>21</v>
      </c>
      <c r="K1376" s="1">
        <v>0</v>
      </c>
      <c r="L1376" s="1">
        <v>1</v>
      </c>
      <c r="M1376" s="1">
        <v>27</v>
      </c>
      <c r="N1376" s="1">
        <v>2</v>
      </c>
      <c r="O1376" s="1">
        <v>2</v>
      </c>
      <c r="P1376" s="1">
        <v>1</v>
      </c>
      <c r="Q1376" s="1">
        <v>3</v>
      </c>
      <c r="R1376" s="1">
        <v>6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58</v>
      </c>
      <c r="AA1376" s="1" t="str" cm="1">
        <f t="array" ref="AA1376">_xlfn.IFS(AND(Z1376&lt;36, Z1376&gt;23), "24-35", AND(Z1376&lt;51, Z1376&gt;35),"36-50", AND(Z1376&lt;66, Z1376&gt;50), "51-66", Z1376&gt;65, "66+", TRUE, "?")</f>
        <v>51-66</v>
      </c>
      <c r="AB1376" s="1">
        <v>2451</v>
      </c>
      <c r="AC1376" s="1">
        <v>0</v>
      </c>
      <c r="AD1376" s="1">
        <v>0</v>
      </c>
      <c r="AE1376" s="1">
        <v>1</v>
      </c>
      <c r="AF1376" s="1">
        <v>0</v>
      </c>
      <c r="AG1376" s="1">
        <v>0</v>
      </c>
      <c r="AH1376" s="1">
        <v>0</v>
      </c>
      <c r="AI1376" s="1">
        <v>1</v>
      </c>
      <c r="AJ1376" s="1">
        <v>0</v>
      </c>
      <c r="AK1376" s="1">
        <v>0</v>
      </c>
      <c r="AL1376" s="1">
        <v>60</v>
      </c>
      <c r="AM1376" s="2">
        <v>42398</v>
      </c>
      <c r="AN1376" t="str">
        <f t="shared" si="43"/>
        <v>50785,87,0.0017131042630698,1,1,27,64,1,21,0,1,27,2,2,1,3,6,0,0,0,0,0,0,0,58,51-66,2451,0,0,1,0,0,0,1,0,0,60,42398</v>
      </c>
    </row>
    <row r="1377" spans="1:40" ht="13" hidden="1" x14ac:dyDescent="0.15">
      <c r="A1377">
        <v>159</v>
      </c>
      <c r="B1377" s="1">
        <v>53537</v>
      </c>
      <c r="C1377" s="1">
        <v>87</v>
      </c>
      <c r="D1377" s="4">
        <f t="shared" si="42"/>
        <v>1.6250443618432112E-3</v>
      </c>
      <c r="E1377" s="1">
        <v>1</v>
      </c>
      <c r="F1377" s="1">
        <v>1</v>
      </c>
      <c r="G1377" s="1">
        <v>17</v>
      </c>
      <c r="H1377" s="1">
        <v>81</v>
      </c>
      <c r="I1377" s="1">
        <v>0</v>
      </c>
      <c r="J1377" s="1">
        <v>6</v>
      </c>
      <c r="K1377" s="1">
        <v>0</v>
      </c>
      <c r="L1377" s="1">
        <v>0</v>
      </c>
      <c r="M1377" s="1">
        <v>6</v>
      </c>
      <c r="N1377" s="1">
        <v>2</v>
      </c>
      <c r="O1377" s="1">
        <v>2</v>
      </c>
      <c r="P1377" s="1">
        <v>1</v>
      </c>
      <c r="Q1377" s="1">
        <v>3</v>
      </c>
      <c r="R1377" s="1">
        <v>5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61</v>
      </c>
      <c r="AA1377" s="1" t="str" cm="1">
        <f t="array" ref="AA1377">_xlfn.IFS(AND(Z1377&lt;36, Z1377&gt;23), "24-35", AND(Z1377&lt;51, Z1377&gt;35),"36-50", AND(Z1377&lt;66, Z1377&gt;50), "51-66", Z1377&gt;65, "66+", TRUE, "?")</f>
        <v>51-66</v>
      </c>
      <c r="AB1377" s="1">
        <v>2309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0</v>
      </c>
      <c r="AJ1377" s="1">
        <v>0</v>
      </c>
      <c r="AK1377" s="1">
        <v>1</v>
      </c>
      <c r="AL1377" s="1">
        <v>81</v>
      </c>
      <c r="AM1377" s="2">
        <v>42540</v>
      </c>
      <c r="AN1377" t="str">
        <f t="shared" si="43"/>
        <v>53537,87,0.00162504436184321,1,1,17,81,0,6,0,0,6,2,2,1,3,5,0,0,0,0,0,0,0,61,51-66,2309,0,0,0,1,0,0,0,0,1,81,42540</v>
      </c>
    </row>
    <row r="1378" spans="1:40" ht="13" hidden="1" x14ac:dyDescent="0.15">
      <c r="A1378">
        <v>727</v>
      </c>
      <c r="B1378" s="1">
        <v>40760</v>
      </c>
      <c r="C1378" s="1">
        <v>87</v>
      </c>
      <c r="D1378" s="4">
        <f t="shared" si="42"/>
        <v>2.1344455348380766E-3</v>
      </c>
      <c r="E1378" s="1">
        <v>0</v>
      </c>
      <c r="F1378" s="1">
        <v>1</v>
      </c>
      <c r="G1378" s="1">
        <v>64</v>
      </c>
      <c r="H1378" s="1">
        <v>70</v>
      </c>
      <c r="I1378" s="1">
        <v>0</v>
      </c>
      <c r="J1378" s="1">
        <v>17</v>
      </c>
      <c r="K1378" s="1">
        <v>0</v>
      </c>
      <c r="L1378" s="1">
        <v>0</v>
      </c>
      <c r="M1378" s="1">
        <v>6</v>
      </c>
      <c r="N1378" s="1">
        <v>2</v>
      </c>
      <c r="O1378" s="1">
        <v>2</v>
      </c>
      <c r="P1378" s="1">
        <v>1</v>
      </c>
      <c r="Q1378" s="1">
        <v>3</v>
      </c>
      <c r="R1378" s="1">
        <v>6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55</v>
      </c>
      <c r="AA1378" s="1" t="str" cm="1">
        <f t="array" ref="AA1378">_xlfn.IFS(AND(Z1378&lt;36, Z1378&gt;23), "24-35", AND(Z1378&lt;51, Z1378&gt;35),"36-50", AND(Z1378&lt;66, Z1378&gt;50), "51-66", Z1378&gt;65, "66+", TRUE, "?")</f>
        <v>51-66</v>
      </c>
      <c r="AB1378" s="1">
        <v>2462</v>
      </c>
      <c r="AC1378" s="1">
        <v>0</v>
      </c>
      <c r="AD1378" s="1">
        <v>0</v>
      </c>
      <c r="AE1378" s="1">
        <v>1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1</v>
      </c>
      <c r="AL1378" s="1">
        <v>81</v>
      </c>
      <c r="AM1378" s="2">
        <v>42387</v>
      </c>
      <c r="AN1378" t="str">
        <f t="shared" si="43"/>
        <v>40760,87,0.00213444553483808,0,1,64,70,0,17,0,0,6,2,2,1,3,6,0,0,0,0,0,0,0,55,51-66,2462,0,0,1,0,0,0,0,0,1,81,42387</v>
      </c>
    </row>
    <row r="1379" spans="1:40" ht="13" hidden="1" x14ac:dyDescent="0.15">
      <c r="A1379">
        <v>1369</v>
      </c>
      <c r="B1379" s="1">
        <v>59892</v>
      </c>
      <c r="C1379" s="1">
        <v>87</v>
      </c>
      <c r="D1379" s="4">
        <f t="shared" si="42"/>
        <v>1.4526147064716491E-3</v>
      </c>
      <c r="E1379" s="1">
        <v>0</v>
      </c>
      <c r="F1379" s="1">
        <v>1</v>
      </c>
      <c r="G1379" s="1">
        <v>26</v>
      </c>
      <c r="H1379" s="1">
        <v>73</v>
      </c>
      <c r="I1379" s="1">
        <v>0</v>
      </c>
      <c r="J1379" s="1">
        <v>13</v>
      </c>
      <c r="K1379" s="1">
        <v>0</v>
      </c>
      <c r="L1379" s="1">
        <v>1</v>
      </c>
      <c r="M1379" s="1">
        <v>0</v>
      </c>
      <c r="N1379" s="1">
        <v>1</v>
      </c>
      <c r="O1379" s="1">
        <v>2</v>
      </c>
      <c r="P1379" s="1">
        <v>1</v>
      </c>
      <c r="Q1379" s="1">
        <v>3</v>
      </c>
      <c r="R1379" s="1">
        <v>3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50</v>
      </c>
      <c r="AA1379" s="1" t="str" cm="1">
        <f t="array" ref="AA1379">_xlfn.IFS(AND(Z1379&lt;36, Z1379&gt;23), "24-35", AND(Z1379&lt;51, Z1379&gt;35),"36-50", AND(Z1379&lt;66, Z1379&gt;50), "51-66", Z1379&gt;65, "66+", TRUE, "?")</f>
        <v>36-50</v>
      </c>
      <c r="AB1379" s="1">
        <v>2398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1</v>
      </c>
      <c r="AL1379" s="1">
        <v>87</v>
      </c>
      <c r="AM1379" s="2">
        <v>42451</v>
      </c>
      <c r="AN1379" t="str">
        <f t="shared" si="43"/>
        <v>59892,87,0.00145261470647165,0,1,26,73,0,13,0,1,0,1,2,1,3,3,0,0,0,0,0,0,0,50,36-50,2398,0,1,0,0,0,0,0,0,1,87,42451</v>
      </c>
    </row>
    <row r="1380" spans="1:40" ht="13" hidden="1" x14ac:dyDescent="0.15">
      <c r="A1380">
        <v>1960</v>
      </c>
      <c r="B1380" s="1">
        <v>31560</v>
      </c>
      <c r="C1380" s="1">
        <v>87</v>
      </c>
      <c r="D1380" s="4">
        <f t="shared" si="42"/>
        <v>2.7566539923954371E-3</v>
      </c>
      <c r="E1380" s="1">
        <v>1</v>
      </c>
      <c r="F1380" s="1">
        <v>0</v>
      </c>
      <c r="G1380" s="1">
        <v>98</v>
      </c>
      <c r="H1380" s="1">
        <v>62</v>
      </c>
      <c r="I1380" s="1">
        <v>1</v>
      </c>
      <c r="J1380" s="1">
        <v>20</v>
      </c>
      <c r="K1380" s="1">
        <v>4</v>
      </c>
      <c r="L1380" s="1">
        <v>0</v>
      </c>
      <c r="M1380" s="1">
        <v>7</v>
      </c>
      <c r="N1380" s="1">
        <v>2</v>
      </c>
      <c r="O1380" s="1">
        <v>2</v>
      </c>
      <c r="P1380" s="1">
        <v>1</v>
      </c>
      <c r="Q1380" s="1">
        <v>3</v>
      </c>
      <c r="R1380" s="1">
        <v>8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46</v>
      </c>
      <c r="AA1380" s="1" t="str" cm="1">
        <f t="array" ref="AA1380">_xlfn.IFS(AND(Z1380&lt;36, Z1380&gt;23), "24-35", AND(Z1380&lt;51, Z1380&gt;35),"36-50", AND(Z1380&lt;66, Z1380&gt;50), "51-66", Z1380&gt;65, "66+", TRUE, "?")</f>
        <v>36-50</v>
      </c>
      <c r="AB1380" s="1">
        <v>2529</v>
      </c>
      <c r="AC1380" s="1">
        <v>0</v>
      </c>
      <c r="AD1380" s="1">
        <v>0</v>
      </c>
      <c r="AE1380" s="1">
        <v>1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1</v>
      </c>
      <c r="AL1380" s="1">
        <v>80</v>
      </c>
      <c r="AM1380" s="2">
        <v>42320</v>
      </c>
      <c r="AN1380" t="str">
        <f t="shared" si="43"/>
        <v>31560,87,0.00275665399239544,1,0,98,62,1,20,4,0,7,2,2,1,3,8,0,0,0,0,0,0,0,46,36-50,2529,0,0,1,0,0,0,0,0,1,80,42320</v>
      </c>
    </row>
    <row r="1381" spans="1:40" ht="13" hidden="1" x14ac:dyDescent="0.15">
      <c r="A1381">
        <v>116</v>
      </c>
      <c r="B1381" s="1">
        <v>54348</v>
      </c>
      <c r="C1381" s="1">
        <v>86</v>
      </c>
      <c r="D1381" s="4">
        <f t="shared" si="42"/>
        <v>1.5823949363362037E-3</v>
      </c>
      <c r="E1381" s="1">
        <v>1</v>
      </c>
      <c r="F1381" s="1">
        <v>1</v>
      </c>
      <c r="G1381" s="1">
        <v>51</v>
      </c>
      <c r="H1381" s="1">
        <v>70</v>
      </c>
      <c r="I1381" s="1">
        <v>0</v>
      </c>
      <c r="J1381" s="1">
        <v>16</v>
      </c>
      <c r="K1381" s="1">
        <v>0</v>
      </c>
      <c r="L1381" s="1">
        <v>0</v>
      </c>
      <c r="M1381" s="1">
        <v>4</v>
      </c>
      <c r="N1381" s="1">
        <v>2</v>
      </c>
      <c r="O1381" s="1">
        <v>2</v>
      </c>
      <c r="P1381" s="1">
        <v>0</v>
      </c>
      <c r="Q1381" s="1">
        <v>4</v>
      </c>
      <c r="R1381" s="1">
        <v>6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67</v>
      </c>
      <c r="AA1381" s="1" t="str" cm="1">
        <f t="array" ref="AA1381">_xlfn.IFS(AND(Z1381&lt;36, Z1381&gt;23), "24-35", AND(Z1381&lt;51, Z1381&gt;35),"36-50", AND(Z1381&lt;66, Z1381&gt;50), "51-66", Z1381&gt;65, "66+", TRUE, "?")</f>
        <v>66+</v>
      </c>
      <c r="AB1381" s="1">
        <v>2180</v>
      </c>
      <c r="AC1381" s="1">
        <v>0</v>
      </c>
      <c r="AD1381" s="1">
        <v>1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1</v>
      </c>
      <c r="AK1381" s="1">
        <v>0</v>
      </c>
      <c r="AL1381" s="1">
        <v>82</v>
      </c>
      <c r="AM1381" s="2">
        <v>42669</v>
      </c>
      <c r="AN1381" t="str">
        <f t="shared" si="43"/>
        <v>54348,86,0.0015823949363362,1,1,51,70,0,16,0,0,4,2,2,0,4,6,0,0,0,0,0,0,0,67,66+,2180,0,1,0,0,0,0,0,1,0,82,42669</v>
      </c>
    </row>
    <row r="1382" spans="1:40" ht="13" hidden="1" x14ac:dyDescent="0.15">
      <c r="A1382">
        <v>260</v>
      </c>
      <c r="B1382" s="1">
        <v>24480</v>
      </c>
      <c r="C1382" s="1">
        <v>85</v>
      </c>
      <c r="D1382" s="4">
        <f t="shared" si="42"/>
        <v>3.472222222222222E-3</v>
      </c>
      <c r="E1382" s="1">
        <v>1</v>
      </c>
      <c r="F1382" s="1">
        <v>0</v>
      </c>
      <c r="G1382" s="1">
        <v>46</v>
      </c>
      <c r="H1382" s="1">
        <v>4</v>
      </c>
      <c r="I1382" s="1">
        <v>19</v>
      </c>
      <c r="J1382" s="1">
        <v>9</v>
      </c>
      <c r="K1382" s="1">
        <v>28</v>
      </c>
      <c r="L1382" s="1">
        <v>25</v>
      </c>
      <c r="M1382" s="1">
        <v>17</v>
      </c>
      <c r="N1382" s="1">
        <v>3</v>
      </c>
      <c r="O1382" s="1">
        <v>3</v>
      </c>
      <c r="P1382" s="1">
        <v>0</v>
      </c>
      <c r="Q1382" s="1">
        <v>4</v>
      </c>
      <c r="R1382" s="1">
        <v>7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39</v>
      </c>
      <c r="AA1382" s="1" t="str" cm="1">
        <f t="array" ref="AA1382">_xlfn.IFS(AND(Z1382&lt;36, Z1382&gt;23), "24-35", AND(Z1382&lt;51, Z1382&gt;35),"36-50", AND(Z1382&lt;66, Z1382&gt;50), "51-66", Z1382&gt;65, "66+", TRUE, "?")</f>
        <v>36-50</v>
      </c>
      <c r="AB1382" s="1">
        <v>2662</v>
      </c>
      <c r="AC1382" s="1">
        <v>0</v>
      </c>
      <c r="AD1382" s="1">
        <v>1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68</v>
      </c>
      <c r="AM1382" s="2">
        <v>42187</v>
      </c>
      <c r="AN1382" t="str">
        <f t="shared" si="43"/>
        <v>24480,85,0.00347222222222222,1,0,46,4,19,9,28,25,17,3,3,0,4,7,0,0,0,0,0,0,0,39,36-50,2662,0,1,0,0,0,0,0,0,0,68,42187</v>
      </c>
    </row>
    <row r="1383" spans="1:40" ht="13" hidden="1" x14ac:dyDescent="0.15">
      <c r="A1383">
        <v>349</v>
      </c>
      <c r="B1383" s="1">
        <v>46098</v>
      </c>
      <c r="C1383" s="1">
        <v>84</v>
      </c>
      <c r="D1383" s="4">
        <f t="shared" si="42"/>
        <v>1.8222048678901471E-3</v>
      </c>
      <c r="E1383" s="1">
        <v>1</v>
      </c>
      <c r="F1383" s="1">
        <v>1</v>
      </c>
      <c r="G1383" s="1">
        <v>86</v>
      </c>
      <c r="H1383" s="1">
        <v>57</v>
      </c>
      <c r="I1383" s="1">
        <v>0</v>
      </c>
      <c r="J1383" s="1">
        <v>27</v>
      </c>
      <c r="K1383" s="1">
        <v>0</v>
      </c>
      <c r="L1383" s="1">
        <v>0</v>
      </c>
      <c r="M1383" s="1">
        <v>36</v>
      </c>
      <c r="N1383" s="1">
        <v>4</v>
      </c>
      <c r="O1383" s="1">
        <v>3</v>
      </c>
      <c r="P1383" s="1">
        <v>2</v>
      </c>
      <c r="Q1383" s="1">
        <v>2</v>
      </c>
      <c r="R1383" s="1">
        <v>8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45</v>
      </c>
      <c r="AA1383" s="1" t="str" cm="1">
        <f t="array" ref="AA1383">_xlfn.IFS(AND(Z1383&lt;36, Z1383&gt;23), "24-35", AND(Z1383&lt;51, Z1383&gt;35),"36-50", AND(Z1383&lt;66, Z1383&gt;50), "51-66", Z1383&gt;65, "66+", TRUE, "?")</f>
        <v>36-50</v>
      </c>
      <c r="AB1383" s="1">
        <v>2839</v>
      </c>
      <c r="AC1383" s="1">
        <v>0</v>
      </c>
      <c r="AD1383" s="1">
        <v>0</v>
      </c>
      <c r="AE1383" s="1">
        <v>1</v>
      </c>
      <c r="AF1383" s="1">
        <v>0</v>
      </c>
      <c r="AG1383" s="1">
        <v>0</v>
      </c>
      <c r="AH1383" s="1">
        <v>0</v>
      </c>
      <c r="AI1383" s="1">
        <v>0</v>
      </c>
      <c r="AJ1383" s="1">
        <v>1</v>
      </c>
      <c r="AK1383" s="1">
        <v>0</v>
      </c>
      <c r="AL1383" s="1">
        <v>48</v>
      </c>
      <c r="AM1383" s="2">
        <v>42010</v>
      </c>
      <c r="AN1383" t="str">
        <f t="shared" si="43"/>
        <v>46098,84,0.00182220486789015,1,1,86,57,0,27,0,0,36,4,3,2,2,8,0,0,0,0,0,0,0,45,36-50,2839,0,0,1,0,0,0,0,1,0,48,42010</v>
      </c>
    </row>
    <row r="1384" spans="1:40" ht="13" hidden="1" x14ac:dyDescent="0.15">
      <c r="A1384">
        <v>974</v>
      </c>
      <c r="B1384" s="1">
        <v>46423</v>
      </c>
      <c r="C1384" s="1">
        <v>84</v>
      </c>
      <c r="D1384" s="4">
        <f t="shared" si="42"/>
        <v>1.8094479029791266E-3</v>
      </c>
      <c r="E1384" s="1">
        <v>1</v>
      </c>
      <c r="F1384" s="1">
        <v>1</v>
      </c>
      <c r="G1384" s="1">
        <v>6</v>
      </c>
      <c r="H1384" s="1">
        <v>68</v>
      </c>
      <c r="I1384" s="1">
        <v>0</v>
      </c>
      <c r="J1384" s="1">
        <v>16</v>
      </c>
      <c r="K1384" s="1">
        <v>0</v>
      </c>
      <c r="L1384" s="1">
        <v>0</v>
      </c>
      <c r="M1384" s="1">
        <v>8</v>
      </c>
      <c r="N1384" s="1">
        <v>3</v>
      </c>
      <c r="O1384" s="1">
        <v>2</v>
      </c>
      <c r="P1384" s="1">
        <v>0</v>
      </c>
      <c r="Q1384" s="1">
        <v>4</v>
      </c>
      <c r="R1384" s="1">
        <v>7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48</v>
      </c>
      <c r="AA1384" s="1" t="str" cm="1">
        <f t="array" ref="AA1384">_xlfn.IFS(AND(Z1384&lt;36, Z1384&gt;23), "24-35", AND(Z1384&lt;51, Z1384&gt;35),"36-50", AND(Z1384&lt;66, Z1384&gt;50), "51-66", Z1384&gt;65, "66+", TRUE, "?")</f>
        <v>36-50</v>
      </c>
      <c r="AB1384" s="1">
        <v>2443</v>
      </c>
      <c r="AC1384" s="1">
        <v>0</v>
      </c>
      <c r="AD1384" s="1">
        <v>0</v>
      </c>
      <c r="AE1384" s="1">
        <v>1</v>
      </c>
      <c r="AF1384" s="1">
        <v>0</v>
      </c>
      <c r="AG1384" s="1">
        <v>0</v>
      </c>
      <c r="AH1384" s="1">
        <v>0</v>
      </c>
      <c r="AI1384" s="1">
        <v>0</v>
      </c>
      <c r="AJ1384" s="1">
        <v>1</v>
      </c>
      <c r="AK1384" s="1">
        <v>0</v>
      </c>
      <c r="AL1384" s="1">
        <v>76</v>
      </c>
      <c r="AM1384" s="2">
        <v>42406</v>
      </c>
      <c r="AN1384" t="str">
        <f t="shared" si="43"/>
        <v>46423,84,0.00180944790297913,1,1,6,68,0,16,0,0,8,3,2,0,4,7,0,0,0,0,0,0,0,48,36-50,2443,0,0,1,0,0,0,0,1,0,76,42406</v>
      </c>
    </row>
    <row r="1385" spans="1:40" ht="13" hidden="1" x14ac:dyDescent="0.15">
      <c r="A1385">
        <v>1148</v>
      </c>
      <c r="B1385" s="1">
        <v>33438</v>
      </c>
      <c r="C1385" s="1">
        <v>84</v>
      </c>
      <c r="D1385" s="4">
        <f t="shared" si="42"/>
        <v>2.5121119684191639E-3</v>
      </c>
      <c r="E1385" s="1">
        <v>1</v>
      </c>
      <c r="F1385" s="1">
        <v>1</v>
      </c>
      <c r="G1385" s="1">
        <v>81</v>
      </c>
      <c r="H1385" s="1">
        <v>62</v>
      </c>
      <c r="I1385" s="1">
        <v>1</v>
      </c>
      <c r="J1385" s="1">
        <v>16</v>
      </c>
      <c r="K1385" s="1">
        <v>3</v>
      </c>
      <c r="L1385" s="1">
        <v>2</v>
      </c>
      <c r="M1385" s="1">
        <v>6</v>
      </c>
      <c r="N1385" s="1">
        <v>4</v>
      </c>
      <c r="O1385" s="1">
        <v>2</v>
      </c>
      <c r="P1385" s="1">
        <v>1</v>
      </c>
      <c r="Q1385" s="1">
        <v>4</v>
      </c>
      <c r="R1385" s="1">
        <v>5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62</v>
      </c>
      <c r="AA1385" s="1" t="str" cm="1">
        <f t="array" ref="AA1385">_xlfn.IFS(AND(Z1385&lt;36, Z1385&gt;23), "24-35", AND(Z1385&lt;51, Z1385&gt;35),"36-50", AND(Z1385&lt;66, Z1385&gt;50), "51-66", Z1385&gt;65, "66+", TRUE, "?")</f>
        <v>51-66</v>
      </c>
      <c r="AB1385" s="1">
        <v>2439</v>
      </c>
      <c r="AC1385" s="1">
        <v>0</v>
      </c>
      <c r="AD1385" s="1">
        <v>0</v>
      </c>
      <c r="AE1385" s="1">
        <v>0</v>
      </c>
      <c r="AF1385" s="1">
        <v>0</v>
      </c>
      <c r="AG1385" s="1">
        <v>1</v>
      </c>
      <c r="AH1385" s="1">
        <v>0</v>
      </c>
      <c r="AI1385" s="1">
        <v>0</v>
      </c>
      <c r="AJ1385" s="1">
        <v>0</v>
      </c>
      <c r="AK1385" s="1">
        <v>1</v>
      </c>
      <c r="AL1385" s="1">
        <v>78</v>
      </c>
      <c r="AM1385" s="2">
        <v>42410</v>
      </c>
      <c r="AN1385" t="str">
        <f t="shared" si="43"/>
        <v>33438,84,0.00251211196841916,1,1,81,62,1,16,3,2,6,4,2,1,4,5,0,0,0,0,0,0,0,62,51-66,2439,0,0,0,0,1,0,0,0,1,78,42410</v>
      </c>
    </row>
    <row r="1386" spans="1:40" ht="13" x14ac:dyDescent="0.15">
      <c r="A1386">
        <v>1716</v>
      </c>
      <c r="B1386" s="1">
        <v>46098</v>
      </c>
      <c r="C1386" s="1">
        <v>84</v>
      </c>
      <c r="D1386" s="4">
        <f t="shared" si="42"/>
        <v>1.8222048678901471E-3</v>
      </c>
      <c r="E1386" s="1">
        <v>1</v>
      </c>
      <c r="F1386" s="1">
        <v>1</v>
      </c>
      <c r="G1386" s="1">
        <v>86</v>
      </c>
      <c r="H1386" s="1">
        <v>57</v>
      </c>
      <c r="I1386" s="1">
        <v>0</v>
      </c>
      <c r="J1386" s="1">
        <v>27</v>
      </c>
      <c r="K1386" s="1">
        <v>0</v>
      </c>
      <c r="L1386" s="1">
        <v>0</v>
      </c>
      <c r="M1386" s="1">
        <v>36</v>
      </c>
      <c r="N1386" s="1">
        <v>4</v>
      </c>
      <c r="O1386" s="1">
        <v>3</v>
      </c>
      <c r="P1386" s="1">
        <v>2</v>
      </c>
      <c r="Q1386" s="1">
        <v>2</v>
      </c>
      <c r="R1386" s="1">
        <v>8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1</v>
      </c>
      <c r="Z1386" s="1">
        <v>45</v>
      </c>
      <c r="AA1386" s="1" t="str" cm="1">
        <f t="array" ref="AA1386">_xlfn.IFS(AND(Z1386&lt;36, Z1386&gt;23), "24-35", AND(Z1386&lt;51, Z1386&gt;35),"36-50", AND(Z1386&lt;66, Z1386&gt;50), "51-66", Z1386&gt;65, "66+", TRUE, "?")</f>
        <v>36-50</v>
      </c>
      <c r="AB1386" s="1">
        <v>2839</v>
      </c>
      <c r="AC1386" s="1">
        <v>0</v>
      </c>
      <c r="AD1386" s="1">
        <v>0</v>
      </c>
      <c r="AE1386" s="1">
        <v>1</v>
      </c>
      <c r="AF1386" s="1">
        <v>0</v>
      </c>
      <c r="AG1386" s="1">
        <v>0</v>
      </c>
      <c r="AH1386" s="1">
        <v>0</v>
      </c>
      <c r="AI1386" s="1">
        <v>0</v>
      </c>
      <c r="AJ1386" s="1">
        <v>1</v>
      </c>
      <c r="AK1386" s="1">
        <v>0</v>
      </c>
      <c r="AL1386" s="1">
        <v>48</v>
      </c>
      <c r="AM1386" s="2">
        <v>42010</v>
      </c>
      <c r="AN1386" t="str">
        <f t="shared" si="43"/>
        <v>46098,84,0.00182220486789015,1,1,86,57,0,27,0,0,36,4,3,2,2,8,0,0,0,0,0,0,1,45,36-50,2839,0,0,1,0,0,0,0,1,0,48,42010</v>
      </c>
    </row>
    <row r="1387" spans="1:40" ht="13" hidden="1" x14ac:dyDescent="0.15">
      <c r="A1387">
        <v>434</v>
      </c>
      <c r="B1387" s="1">
        <v>33183</v>
      </c>
      <c r="C1387" s="1">
        <v>83</v>
      </c>
      <c r="D1387" s="4">
        <f t="shared" si="42"/>
        <v>2.5012807763011178E-3</v>
      </c>
      <c r="E1387" s="1">
        <v>1</v>
      </c>
      <c r="F1387" s="1">
        <v>0</v>
      </c>
      <c r="G1387" s="1">
        <v>46</v>
      </c>
      <c r="H1387" s="1">
        <v>7</v>
      </c>
      <c r="I1387" s="1">
        <v>5</v>
      </c>
      <c r="J1387" s="1">
        <v>39</v>
      </c>
      <c r="K1387" s="1">
        <v>17</v>
      </c>
      <c r="L1387" s="1">
        <v>15</v>
      </c>
      <c r="M1387" s="1">
        <v>37</v>
      </c>
      <c r="N1387" s="1">
        <v>2</v>
      </c>
      <c r="O1387" s="1">
        <v>4</v>
      </c>
      <c r="P1387" s="1">
        <v>0</v>
      </c>
      <c r="Q1387" s="1">
        <v>3</v>
      </c>
      <c r="R1387" s="1">
        <v>7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45</v>
      </c>
      <c r="AA1387" s="1" t="str" cm="1">
        <f t="array" ref="AA1387">_xlfn.IFS(AND(Z1387&lt;36, Z1387&gt;23), "24-35", AND(Z1387&lt;51, Z1387&gt;35),"36-50", AND(Z1387&lt;66, Z1387&gt;50), "51-66", Z1387&gt;65, "66+", TRUE, "?")</f>
        <v>36-50</v>
      </c>
      <c r="AB1387" s="1">
        <v>2284</v>
      </c>
      <c r="AC1387" s="1">
        <v>0</v>
      </c>
      <c r="AD1387" s="1">
        <v>1</v>
      </c>
      <c r="AE1387" s="1">
        <v>0</v>
      </c>
      <c r="AF1387" s="1">
        <v>0</v>
      </c>
      <c r="AG1387" s="1">
        <v>0</v>
      </c>
      <c r="AH1387" s="1">
        <v>0</v>
      </c>
      <c r="AI1387" s="1">
        <v>1</v>
      </c>
      <c r="AJ1387" s="1">
        <v>0</v>
      </c>
      <c r="AK1387" s="1">
        <v>0</v>
      </c>
      <c r="AL1387" s="1">
        <v>46</v>
      </c>
      <c r="AM1387" s="2">
        <v>42565</v>
      </c>
      <c r="AN1387" t="str">
        <f t="shared" si="43"/>
        <v>33183,83,0.00250128077630112,1,0,46,7,5,39,17,15,37,2,4,0,3,7,0,0,0,0,0,0,0,45,36-50,2284,0,1,0,0,0,0,1,0,0,46,42565</v>
      </c>
    </row>
    <row r="1388" spans="1:40" ht="13" hidden="1" x14ac:dyDescent="0.15">
      <c r="A1388">
        <v>710</v>
      </c>
      <c r="B1388" s="1">
        <v>38829</v>
      </c>
      <c r="C1388" s="1">
        <v>83</v>
      </c>
      <c r="D1388" s="4">
        <f t="shared" si="42"/>
        <v>2.1375775837647118E-3</v>
      </c>
      <c r="E1388" s="1">
        <v>0</v>
      </c>
      <c r="F1388" s="1">
        <v>1</v>
      </c>
      <c r="G1388" s="1">
        <v>86</v>
      </c>
      <c r="H1388" s="1">
        <v>76</v>
      </c>
      <c r="I1388" s="1">
        <v>0</v>
      </c>
      <c r="J1388" s="1">
        <v>7</v>
      </c>
      <c r="K1388" s="1">
        <v>0</v>
      </c>
      <c r="L1388" s="1">
        <v>0</v>
      </c>
      <c r="M1388" s="1">
        <v>16</v>
      </c>
      <c r="N1388" s="1">
        <v>1</v>
      </c>
      <c r="O1388" s="1">
        <v>3</v>
      </c>
      <c r="P1388" s="1">
        <v>2</v>
      </c>
      <c r="Q1388" s="1">
        <v>2</v>
      </c>
      <c r="R1388" s="1">
        <v>5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61</v>
      </c>
      <c r="AA1388" s="1" t="str" cm="1">
        <f t="array" ref="AA1388">_xlfn.IFS(AND(Z1388&lt;36, Z1388&gt;23), "24-35", AND(Z1388&lt;51, Z1388&gt;35),"36-50", AND(Z1388&lt;66, Z1388&gt;50), "51-66", Z1388&gt;65, "66+", TRUE, "?")</f>
        <v>51-66</v>
      </c>
      <c r="AB1388" s="1">
        <v>2243</v>
      </c>
      <c r="AC1388" s="1">
        <v>0</v>
      </c>
      <c r="AD1388" s="1">
        <v>1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1</v>
      </c>
      <c r="AL1388" s="1">
        <v>67</v>
      </c>
      <c r="AM1388" s="2">
        <v>42606</v>
      </c>
      <c r="AN1388" t="str">
        <f t="shared" si="43"/>
        <v>38829,83,0.00213757758376471,0,1,86,76,0,7,0,0,16,1,3,2,2,5,0,0,0,0,0,0,0,61,51-66,2243,0,1,0,0,0,0,0,0,1,67,42606</v>
      </c>
    </row>
    <row r="1389" spans="1:40" ht="13" hidden="1" x14ac:dyDescent="0.15">
      <c r="A1389">
        <v>910</v>
      </c>
      <c r="B1389" s="1">
        <v>33471</v>
      </c>
      <c r="C1389" s="1">
        <v>81</v>
      </c>
      <c r="D1389" s="4">
        <f t="shared" si="42"/>
        <v>2.4200053777897286E-3</v>
      </c>
      <c r="E1389" s="1">
        <v>1</v>
      </c>
      <c r="F1389" s="1">
        <v>0</v>
      </c>
      <c r="G1389" s="1">
        <v>47</v>
      </c>
      <c r="H1389" s="1">
        <v>43</v>
      </c>
      <c r="I1389" s="1">
        <v>2</v>
      </c>
      <c r="J1389" s="1">
        <v>27</v>
      </c>
      <c r="K1389" s="1">
        <v>0</v>
      </c>
      <c r="L1389" s="1">
        <v>9</v>
      </c>
      <c r="M1389" s="1">
        <v>12</v>
      </c>
      <c r="N1389" s="1">
        <v>3</v>
      </c>
      <c r="O1389" s="1">
        <v>3</v>
      </c>
      <c r="P1389" s="1">
        <v>0</v>
      </c>
      <c r="Q1389" s="1">
        <v>4</v>
      </c>
      <c r="R1389" s="1">
        <v>7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47</v>
      </c>
      <c r="AA1389" s="1" t="str" cm="1">
        <f t="array" ref="AA1389">_xlfn.IFS(AND(Z1389&lt;36, Z1389&gt;23), "24-35", AND(Z1389&lt;51, Z1389&gt;35),"36-50", AND(Z1389&lt;66, Z1389&gt;50), "51-66", Z1389&gt;65, "66+", TRUE, "?")</f>
        <v>36-50</v>
      </c>
      <c r="AB1389" s="1">
        <v>2784</v>
      </c>
      <c r="AC1389" s="1">
        <v>0</v>
      </c>
      <c r="AD1389" s="1">
        <v>1</v>
      </c>
      <c r="AE1389" s="1">
        <v>0</v>
      </c>
      <c r="AF1389" s="1">
        <v>0</v>
      </c>
      <c r="AG1389" s="1">
        <v>0</v>
      </c>
      <c r="AH1389" s="1">
        <v>0</v>
      </c>
      <c r="AI1389" s="1">
        <v>1</v>
      </c>
      <c r="AJ1389" s="1">
        <v>0</v>
      </c>
      <c r="AK1389" s="1">
        <v>0</v>
      </c>
      <c r="AL1389" s="1">
        <v>69</v>
      </c>
      <c r="AM1389" s="2">
        <v>42065</v>
      </c>
      <c r="AN1389" t="str">
        <f t="shared" si="43"/>
        <v>33471,81,0.00242000537778973,1,0,47,43,2,27,0,9,12,3,3,0,4,7,0,0,0,0,0,0,0,47,36-50,2784,0,1,0,0,0,0,1,0,0,69,42065</v>
      </c>
    </row>
    <row r="1390" spans="1:40" ht="13" hidden="1" x14ac:dyDescent="0.15">
      <c r="A1390">
        <v>1169</v>
      </c>
      <c r="B1390" s="1">
        <v>7500</v>
      </c>
      <c r="C1390" s="1">
        <v>79</v>
      </c>
      <c r="D1390" s="4">
        <f t="shared" si="42"/>
        <v>1.0533333333333334E-2</v>
      </c>
      <c r="E1390" s="1">
        <v>1</v>
      </c>
      <c r="F1390" s="1">
        <v>0</v>
      </c>
      <c r="G1390" s="1">
        <v>63</v>
      </c>
      <c r="H1390" s="1">
        <v>10</v>
      </c>
      <c r="I1390" s="1">
        <v>17</v>
      </c>
      <c r="J1390" s="1">
        <v>18</v>
      </c>
      <c r="K1390" s="1">
        <v>8</v>
      </c>
      <c r="L1390" s="1">
        <v>26</v>
      </c>
      <c r="M1390" s="1">
        <v>40</v>
      </c>
      <c r="N1390" s="1">
        <v>4</v>
      </c>
      <c r="O1390" s="1">
        <v>3</v>
      </c>
      <c r="P1390" s="1">
        <v>2</v>
      </c>
      <c r="Q1390" s="1">
        <v>2</v>
      </c>
      <c r="R1390" s="1">
        <v>9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28</v>
      </c>
      <c r="AA1390" s="1" t="str" cm="1">
        <f t="array" ref="AA1390">_xlfn.IFS(AND(Z1390&lt;36, Z1390&gt;23), "24-35", AND(Z1390&lt;51, Z1390&gt;35),"36-50", AND(Z1390&lt;66, Z1390&gt;50), "51-66", Z1390&gt;65, "66+", TRUE, "?")</f>
        <v>24-35</v>
      </c>
      <c r="AB1390" s="1">
        <v>2732</v>
      </c>
      <c r="AC1390" s="1">
        <v>0</v>
      </c>
      <c r="AD1390" s="1">
        <v>0</v>
      </c>
      <c r="AE1390" s="1">
        <v>1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39</v>
      </c>
      <c r="AM1390" s="2">
        <v>42117</v>
      </c>
      <c r="AN1390" t="str">
        <f t="shared" si="43"/>
        <v>7500,79,0.0105333333333333,1,0,63,10,17,18,8,26,40,4,3,2,2,9,0,0,0,0,0,0,0,28,24-35,2732,0,0,1,0,0,0,0,0,0,39,42117</v>
      </c>
    </row>
    <row r="1391" spans="1:40" ht="13" hidden="1" x14ac:dyDescent="0.15">
      <c r="A1391">
        <v>958</v>
      </c>
      <c r="B1391" s="1">
        <v>34961</v>
      </c>
      <c r="C1391" s="1">
        <v>78</v>
      </c>
      <c r="D1391" s="4">
        <f t="shared" si="42"/>
        <v>2.2310574640313492E-3</v>
      </c>
      <c r="E1391" s="1">
        <v>1</v>
      </c>
      <c r="F1391" s="1">
        <v>0</v>
      </c>
      <c r="G1391" s="1">
        <v>77</v>
      </c>
      <c r="H1391" s="1">
        <v>45</v>
      </c>
      <c r="I1391" s="1">
        <v>2</v>
      </c>
      <c r="J1391" s="1">
        <v>26</v>
      </c>
      <c r="K1391" s="1">
        <v>4</v>
      </c>
      <c r="L1391" s="1">
        <v>1</v>
      </c>
      <c r="M1391" s="1">
        <v>1</v>
      </c>
      <c r="N1391" s="1">
        <v>3</v>
      </c>
      <c r="O1391" s="1">
        <v>3</v>
      </c>
      <c r="P1391" s="1">
        <v>1</v>
      </c>
      <c r="Q1391" s="1">
        <v>3</v>
      </c>
      <c r="R1391" s="1">
        <v>7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47</v>
      </c>
      <c r="AA1391" s="1" t="str" cm="1">
        <f t="array" ref="AA1391">_xlfn.IFS(AND(Z1391&lt;36, Z1391&gt;23), "24-35", AND(Z1391&lt;51, Z1391&gt;35),"36-50", AND(Z1391&lt;66, Z1391&gt;50), "51-66", Z1391&gt;65, "66+", TRUE, "?")</f>
        <v>36-50</v>
      </c>
      <c r="AB1391" s="1">
        <v>2169</v>
      </c>
      <c r="AC1391" s="1">
        <v>0</v>
      </c>
      <c r="AD1391" s="1">
        <v>1</v>
      </c>
      <c r="AE1391" s="1">
        <v>0</v>
      </c>
      <c r="AF1391" s="1">
        <v>0</v>
      </c>
      <c r="AG1391" s="1">
        <v>0</v>
      </c>
      <c r="AH1391" s="1">
        <v>0</v>
      </c>
      <c r="AI1391" s="1">
        <v>1</v>
      </c>
      <c r="AJ1391" s="1">
        <v>0</v>
      </c>
      <c r="AK1391" s="1">
        <v>0</v>
      </c>
      <c r="AL1391" s="1">
        <v>77</v>
      </c>
      <c r="AM1391" s="2">
        <v>42680</v>
      </c>
      <c r="AN1391" t="str">
        <f t="shared" si="43"/>
        <v>34961,78,0.00223105746403135,1,0,77,45,2,26,4,1,1,3,3,1,3,7,0,0,0,0,0,0,0,47,36-50,2169,0,1,0,0,0,0,1,0,0,77,42680</v>
      </c>
    </row>
    <row r="1392" spans="1:40" ht="13" hidden="1" x14ac:dyDescent="0.15">
      <c r="A1392">
        <v>1800</v>
      </c>
      <c r="B1392" s="1">
        <v>38236</v>
      </c>
      <c r="C1392" s="1">
        <v>78</v>
      </c>
      <c r="D1392" s="4">
        <f t="shared" si="42"/>
        <v>2.0399623391568157E-3</v>
      </c>
      <c r="E1392" s="1">
        <v>1</v>
      </c>
      <c r="F1392" s="1">
        <v>1</v>
      </c>
      <c r="G1392" s="1">
        <v>2</v>
      </c>
      <c r="H1392" s="1">
        <v>58</v>
      </c>
      <c r="I1392" s="1">
        <v>0</v>
      </c>
      <c r="J1392" s="1">
        <v>18</v>
      </c>
      <c r="K1392" s="1">
        <v>2</v>
      </c>
      <c r="L1392" s="1">
        <v>0</v>
      </c>
      <c r="M1392" s="1">
        <v>10</v>
      </c>
      <c r="N1392" s="1">
        <v>4</v>
      </c>
      <c r="O1392" s="1">
        <v>3</v>
      </c>
      <c r="P1392" s="1">
        <v>0</v>
      </c>
      <c r="Q1392" s="1">
        <v>4</v>
      </c>
      <c r="R1392" s="1">
        <v>7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52</v>
      </c>
      <c r="AA1392" s="1" t="str" cm="1">
        <f t="array" ref="AA1392">_xlfn.IFS(AND(Z1392&lt;36, Z1392&gt;23), "24-35", AND(Z1392&lt;51, Z1392&gt;35),"36-50", AND(Z1392&lt;66, Z1392&gt;50), "51-66", Z1392&gt;65, "66+", TRUE, "?")</f>
        <v>51-66</v>
      </c>
      <c r="AB1392" s="1">
        <v>2441</v>
      </c>
      <c r="AC1392" s="1">
        <v>0</v>
      </c>
      <c r="AD1392" s="1">
        <v>0</v>
      </c>
      <c r="AE1392" s="1">
        <v>1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1</v>
      </c>
      <c r="AL1392" s="1">
        <v>68</v>
      </c>
      <c r="AM1392" s="2">
        <v>42408</v>
      </c>
      <c r="AN1392" t="str">
        <f t="shared" si="43"/>
        <v>38236,78,0.00203996233915682,1,1,2,58,0,18,2,0,10,4,3,0,4,7,0,0,0,0,0,0,0,52,51-66,2441,0,0,1,0,0,0,0,0,1,68,42408</v>
      </c>
    </row>
    <row r="1393" spans="1:40" ht="13" hidden="1" x14ac:dyDescent="0.15">
      <c r="A1393">
        <v>914</v>
      </c>
      <c r="B1393" s="1">
        <v>40706</v>
      </c>
      <c r="C1393" s="1">
        <v>76</v>
      </c>
      <c r="D1393" s="4">
        <f t="shared" si="42"/>
        <v>1.8670466270328699E-3</v>
      </c>
      <c r="E1393" s="1">
        <v>2</v>
      </c>
      <c r="F1393" s="1">
        <v>1</v>
      </c>
      <c r="G1393" s="1">
        <v>37</v>
      </c>
      <c r="H1393" s="1">
        <v>59</v>
      </c>
      <c r="I1393" s="1">
        <v>0</v>
      </c>
      <c r="J1393" s="1">
        <v>11</v>
      </c>
      <c r="K1393" s="1">
        <v>4</v>
      </c>
      <c r="L1393" s="1">
        <v>2</v>
      </c>
      <c r="M1393" s="1">
        <v>5</v>
      </c>
      <c r="N1393" s="1">
        <v>4</v>
      </c>
      <c r="O1393" s="1">
        <v>3</v>
      </c>
      <c r="P1393" s="1">
        <v>0</v>
      </c>
      <c r="Q1393" s="1">
        <v>4</v>
      </c>
      <c r="R1393" s="1">
        <v>7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52</v>
      </c>
      <c r="AA1393" s="1" t="str" cm="1">
        <f t="array" ref="AA1393">_xlfn.IFS(AND(Z1393&lt;36, Z1393&gt;23), "24-35", AND(Z1393&lt;51, Z1393&gt;35),"36-50", AND(Z1393&lt;66, Z1393&gt;50), "51-66", Z1393&gt;65, "66+", TRUE, "?")</f>
        <v>51-66</v>
      </c>
      <c r="AB1393" s="1">
        <v>2687</v>
      </c>
      <c r="AC1393" s="1">
        <v>0</v>
      </c>
      <c r="AD1393" s="1">
        <v>0</v>
      </c>
      <c r="AE1393" s="1">
        <v>0</v>
      </c>
      <c r="AF1393" s="1">
        <v>1</v>
      </c>
      <c r="AG1393" s="1">
        <v>0</v>
      </c>
      <c r="AH1393" s="1">
        <v>0</v>
      </c>
      <c r="AI1393" s="1">
        <v>0</v>
      </c>
      <c r="AJ1393" s="1">
        <v>0</v>
      </c>
      <c r="AK1393" s="1">
        <v>1</v>
      </c>
      <c r="AL1393" s="1">
        <v>71</v>
      </c>
      <c r="AM1393" s="2">
        <v>42162</v>
      </c>
      <c r="AN1393" t="str">
        <f t="shared" si="43"/>
        <v>40706,76,0.00186704662703287,2,1,37,59,0,11,4,2,5,4,3,0,4,7,0,0,0,0,0,0,0,52,51-66,2687,0,0,0,1,0,0,0,0,1,71,42162</v>
      </c>
    </row>
    <row r="1394" spans="1:40" ht="13" hidden="1" x14ac:dyDescent="0.15">
      <c r="A1394">
        <v>1408</v>
      </c>
      <c r="B1394" s="1">
        <v>37697</v>
      </c>
      <c r="C1394" s="1">
        <v>76</v>
      </c>
      <c r="D1394" s="4">
        <f t="shared" si="42"/>
        <v>2.016075549778497E-3</v>
      </c>
      <c r="E1394" s="1">
        <v>1</v>
      </c>
      <c r="F1394" s="1">
        <v>0</v>
      </c>
      <c r="G1394" s="1">
        <v>82</v>
      </c>
      <c r="H1394" s="1">
        <v>34</v>
      </c>
      <c r="I1394" s="1">
        <v>6</v>
      </c>
      <c r="J1394" s="1">
        <v>21</v>
      </c>
      <c r="K1394" s="1">
        <v>11</v>
      </c>
      <c r="L1394" s="1">
        <v>4</v>
      </c>
      <c r="M1394" s="1">
        <v>8</v>
      </c>
      <c r="N1394" s="1">
        <v>1</v>
      </c>
      <c r="O1394" s="1">
        <v>2</v>
      </c>
      <c r="P1394" s="1">
        <v>1</v>
      </c>
      <c r="Q1394" s="1">
        <v>3</v>
      </c>
      <c r="R1394" s="1">
        <v>6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44</v>
      </c>
      <c r="AA1394" s="1" t="str" cm="1">
        <f t="array" ref="AA1394">_xlfn.IFS(AND(Z1394&lt;36, Z1394&gt;23), "24-35", AND(Z1394&lt;51, Z1394&gt;35),"36-50", AND(Z1394&lt;66, Z1394&gt;50), "51-66", Z1394&gt;65, "66+", TRUE, "?")</f>
        <v>36-50</v>
      </c>
      <c r="AB1394" s="1">
        <v>2301</v>
      </c>
      <c r="AC1394" s="1">
        <v>0</v>
      </c>
      <c r="AD1394" s="1">
        <v>0</v>
      </c>
      <c r="AE1394" s="1">
        <v>1</v>
      </c>
      <c r="AF1394" s="1">
        <v>0</v>
      </c>
      <c r="AG1394" s="1">
        <v>0</v>
      </c>
      <c r="AH1394" s="1">
        <v>0</v>
      </c>
      <c r="AI1394" s="1">
        <v>1</v>
      </c>
      <c r="AJ1394" s="1">
        <v>0</v>
      </c>
      <c r="AK1394" s="1">
        <v>0</v>
      </c>
      <c r="AL1394" s="1">
        <v>68</v>
      </c>
      <c r="AM1394" s="2">
        <v>42548</v>
      </c>
      <c r="AN1394" t="str">
        <f t="shared" si="43"/>
        <v>37697,76,0.0020160755497785,1,0,82,34,6,21,11,4,8,1,2,1,3,6,0,0,0,0,0,0,0,44,36-50,2301,0,0,1,0,0,0,1,0,0,68,42548</v>
      </c>
    </row>
    <row r="1395" spans="1:40" ht="13" hidden="1" x14ac:dyDescent="0.15">
      <c r="A1395">
        <v>293</v>
      </c>
      <c r="B1395" s="1">
        <v>40321</v>
      </c>
      <c r="C1395" s="1">
        <v>75</v>
      </c>
      <c r="D1395" s="4">
        <f t="shared" si="42"/>
        <v>1.8600729148582624E-3</v>
      </c>
      <c r="E1395" s="1">
        <v>1</v>
      </c>
      <c r="F1395" s="1">
        <v>1</v>
      </c>
      <c r="G1395" s="1">
        <v>59</v>
      </c>
      <c r="H1395" s="1">
        <v>44</v>
      </c>
      <c r="I1395" s="1">
        <v>4</v>
      </c>
      <c r="J1395" s="1">
        <v>21</v>
      </c>
      <c r="K1395" s="1">
        <v>6</v>
      </c>
      <c r="L1395" s="1">
        <v>0</v>
      </c>
      <c r="M1395" s="1">
        <v>27</v>
      </c>
      <c r="N1395" s="1">
        <v>2</v>
      </c>
      <c r="O1395" s="1">
        <v>3</v>
      </c>
      <c r="P1395" s="1">
        <v>0</v>
      </c>
      <c r="Q1395" s="1">
        <v>3</v>
      </c>
      <c r="R1395" s="1">
        <v>7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48</v>
      </c>
      <c r="AA1395" s="1" t="str" cm="1">
        <f t="array" ref="AA1395">_xlfn.IFS(AND(Z1395&lt;36, Z1395&gt;23), "24-35", AND(Z1395&lt;51, Z1395&gt;35),"36-50", AND(Z1395&lt;66, Z1395&gt;50), "51-66", Z1395&gt;65, "66+", TRUE, "?")</f>
        <v>36-50</v>
      </c>
      <c r="AB1395" s="1">
        <v>2494</v>
      </c>
      <c r="AC1395" s="1">
        <v>0</v>
      </c>
      <c r="AD1395" s="1">
        <v>1</v>
      </c>
      <c r="AE1395" s="1">
        <v>0</v>
      </c>
      <c r="AF1395" s="1">
        <v>0</v>
      </c>
      <c r="AG1395" s="1">
        <v>0</v>
      </c>
      <c r="AH1395" s="1">
        <v>0</v>
      </c>
      <c r="AI1395" s="1">
        <v>1</v>
      </c>
      <c r="AJ1395" s="1">
        <v>0</v>
      </c>
      <c r="AK1395" s="1">
        <v>0</v>
      </c>
      <c r="AL1395" s="1">
        <v>48</v>
      </c>
      <c r="AM1395" s="2">
        <v>42355</v>
      </c>
      <c r="AN1395" t="str">
        <f t="shared" si="43"/>
        <v>40321,75,0.00186007291485826,1,1,59,44,4,21,6,0,27,2,3,0,3,7,0,0,0,0,0,0,0,48,36-50,2494,0,1,0,0,0,0,1,0,0,48,42355</v>
      </c>
    </row>
    <row r="1396" spans="1:40" ht="13" hidden="1" x14ac:dyDescent="0.15">
      <c r="A1396">
        <v>566</v>
      </c>
      <c r="B1396" s="1">
        <v>31089</v>
      </c>
      <c r="C1396" s="1">
        <v>75</v>
      </c>
      <c r="D1396" s="4">
        <f t="shared" si="42"/>
        <v>2.4124288333494163E-3</v>
      </c>
      <c r="E1396" s="1">
        <v>1</v>
      </c>
      <c r="F1396" s="1">
        <v>0</v>
      </c>
      <c r="G1396" s="1">
        <v>57</v>
      </c>
      <c r="H1396" s="1">
        <v>31</v>
      </c>
      <c r="I1396" s="1">
        <v>3</v>
      </c>
      <c r="J1396" s="1">
        <v>31</v>
      </c>
      <c r="K1396" s="1">
        <v>2</v>
      </c>
      <c r="L1396" s="1">
        <v>8</v>
      </c>
      <c r="M1396" s="1">
        <v>4</v>
      </c>
      <c r="N1396" s="1">
        <v>3</v>
      </c>
      <c r="O1396" s="1">
        <v>3</v>
      </c>
      <c r="P1396" s="1">
        <v>0</v>
      </c>
      <c r="Q1396" s="1">
        <v>4</v>
      </c>
      <c r="R1396" s="1">
        <v>8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39</v>
      </c>
      <c r="AA1396" s="1" t="str" cm="1">
        <f t="array" ref="AA1396">_xlfn.IFS(AND(Z1396&lt;36, Z1396&gt;23), "24-35", AND(Z1396&lt;51, Z1396&gt;35),"36-50", AND(Z1396&lt;66, Z1396&gt;50), "51-66", Z1396&gt;65, "66+", TRUE, "?")</f>
        <v>36-50</v>
      </c>
      <c r="AB1396" s="1">
        <v>2840</v>
      </c>
      <c r="AC1396" s="1">
        <v>0</v>
      </c>
      <c r="AD1396" s="1">
        <v>0</v>
      </c>
      <c r="AE1396" s="1">
        <v>0</v>
      </c>
      <c r="AF1396" s="1">
        <v>1</v>
      </c>
      <c r="AG1396" s="1">
        <v>0</v>
      </c>
      <c r="AH1396" s="1">
        <v>0</v>
      </c>
      <c r="AI1396" s="1">
        <v>1</v>
      </c>
      <c r="AJ1396" s="1">
        <v>0</v>
      </c>
      <c r="AK1396" s="1">
        <v>0</v>
      </c>
      <c r="AL1396" s="1">
        <v>71</v>
      </c>
      <c r="AM1396" s="2">
        <v>42009</v>
      </c>
      <c r="AN1396" t="str">
        <f t="shared" si="43"/>
        <v>31089,75,0.00241242883334942,1,0,57,31,3,31,2,8,4,3,3,0,4,8,0,0,0,0,0,0,0,39,36-50,2840,0,0,0,1,0,0,1,0,0,71,42009</v>
      </c>
    </row>
    <row r="1397" spans="1:40" ht="13" hidden="1" x14ac:dyDescent="0.15">
      <c r="A1397">
        <v>1439</v>
      </c>
      <c r="B1397" s="1">
        <v>27215</v>
      </c>
      <c r="C1397" s="1">
        <v>74</v>
      </c>
      <c r="D1397" s="4">
        <f t="shared" si="42"/>
        <v>2.7190887378284036E-3</v>
      </c>
      <c r="E1397" s="1">
        <v>2</v>
      </c>
      <c r="F1397" s="1">
        <v>1</v>
      </c>
      <c r="G1397" s="1">
        <v>50</v>
      </c>
      <c r="H1397" s="1">
        <v>30</v>
      </c>
      <c r="I1397" s="1">
        <v>5</v>
      </c>
      <c r="J1397" s="1">
        <v>22</v>
      </c>
      <c r="K1397" s="1">
        <v>8</v>
      </c>
      <c r="L1397" s="1">
        <v>9</v>
      </c>
      <c r="M1397" s="1">
        <v>28</v>
      </c>
      <c r="N1397" s="1">
        <v>4</v>
      </c>
      <c r="O1397" s="1">
        <v>2</v>
      </c>
      <c r="P1397" s="1">
        <v>1</v>
      </c>
      <c r="Q1397" s="1">
        <v>4</v>
      </c>
      <c r="R1397" s="1">
        <v>6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59</v>
      </c>
      <c r="AA1397" s="1" t="str" cm="1">
        <f t="array" ref="AA1397">_xlfn.IFS(AND(Z1397&lt;36, Z1397&gt;23), "24-35", AND(Z1397&lt;51, Z1397&gt;35),"36-50", AND(Z1397&lt;66, Z1397&gt;50), "51-66", Z1397&gt;65, "66+", TRUE, "?")</f>
        <v>51-66</v>
      </c>
      <c r="AB1397" s="1">
        <v>2681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1</v>
      </c>
      <c r="AJ1397" s="1">
        <v>0</v>
      </c>
      <c r="AK1397" s="1">
        <v>0</v>
      </c>
      <c r="AL1397" s="1">
        <v>46</v>
      </c>
      <c r="AM1397" s="2">
        <v>42168</v>
      </c>
      <c r="AN1397" t="str">
        <f t="shared" si="43"/>
        <v>27215,74,0.0027190887378284,2,1,50,30,5,22,8,9,28,4,2,1,4,6,0,0,0,0,0,0,0,59,51-66,2681,1,0,0,0,0,0,1,0,0,46,42168</v>
      </c>
    </row>
    <row r="1398" spans="1:40" ht="13" hidden="1" x14ac:dyDescent="0.15">
      <c r="A1398">
        <v>693</v>
      </c>
      <c r="B1398" s="1">
        <v>34941</v>
      </c>
      <c r="C1398" s="1">
        <v>73</v>
      </c>
      <c r="D1398" s="4">
        <f t="shared" si="42"/>
        <v>2.0892361409232708E-3</v>
      </c>
      <c r="E1398" s="1">
        <v>1</v>
      </c>
      <c r="F1398" s="1">
        <v>1</v>
      </c>
      <c r="G1398" s="1">
        <v>26</v>
      </c>
      <c r="H1398" s="1">
        <v>39</v>
      </c>
      <c r="I1398" s="1">
        <v>2</v>
      </c>
      <c r="J1398" s="1">
        <v>25</v>
      </c>
      <c r="K1398" s="1">
        <v>4</v>
      </c>
      <c r="L1398" s="1">
        <v>3</v>
      </c>
      <c r="M1398" s="1">
        <v>24</v>
      </c>
      <c r="N1398" s="1">
        <v>2</v>
      </c>
      <c r="O1398" s="1">
        <v>3</v>
      </c>
      <c r="P1398" s="1">
        <v>0</v>
      </c>
      <c r="Q1398" s="1">
        <v>3</v>
      </c>
      <c r="R1398" s="1">
        <v>8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64</v>
      </c>
      <c r="AA1398" s="1" t="str" cm="1">
        <f t="array" ref="AA1398">_xlfn.IFS(AND(Z1398&lt;36, Z1398&gt;23), "24-35", AND(Z1398&lt;51, Z1398&gt;35),"36-50", AND(Z1398&lt;66, Z1398&gt;50), "51-66", Z1398&gt;65, "66+", TRUE, "?")</f>
        <v>51-66</v>
      </c>
      <c r="AB1398" s="1">
        <v>2639</v>
      </c>
      <c r="AC1398" s="1">
        <v>0</v>
      </c>
      <c r="AD1398" s="1">
        <v>0</v>
      </c>
      <c r="AE1398" s="1">
        <v>0</v>
      </c>
      <c r="AF1398" s="1">
        <v>1</v>
      </c>
      <c r="AG1398" s="1">
        <v>0</v>
      </c>
      <c r="AH1398" s="1">
        <v>0</v>
      </c>
      <c r="AI1398" s="1">
        <v>0</v>
      </c>
      <c r="AJ1398" s="1">
        <v>1</v>
      </c>
      <c r="AK1398" s="1">
        <v>0</v>
      </c>
      <c r="AL1398" s="1">
        <v>49</v>
      </c>
      <c r="AM1398" s="2">
        <v>42210</v>
      </c>
      <c r="AN1398" t="str">
        <f t="shared" si="43"/>
        <v>34941,73,0.00208923614092327,1,1,26,39,2,25,4,3,24,2,3,0,3,8,0,0,0,0,0,0,0,64,51-66,2639,0,0,0,1,0,0,0,1,0,49,42210</v>
      </c>
    </row>
    <row r="1399" spans="1:40" ht="13" hidden="1" x14ac:dyDescent="0.15">
      <c r="A1399">
        <v>1068</v>
      </c>
      <c r="B1399" s="1">
        <v>36778</v>
      </c>
      <c r="C1399" s="1">
        <v>73</v>
      </c>
      <c r="D1399" s="4">
        <f t="shared" si="42"/>
        <v>1.9848822665724073E-3</v>
      </c>
      <c r="E1399" s="1">
        <v>1</v>
      </c>
      <c r="F1399" s="1">
        <v>1</v>
      </c>
      <c r="G1399" s="1">
        <v>63</v>
      </c>
      <c r="H1399" s="1">
        <v>29</v>
      </c>
      <c r="I1399" s="1">
        <v>4</v>
      </c>
      <c r="J1399" s="1">
        <v>34</v>
      </c>
      <c r="K1399" s="1">
        <v>2</v>
      </c>
      <c r="L1399" s="1">
        <v>4</v>
      </c>
      <c r="M1399" s="1">
        <v>4</v>
      </c>
      <c r="N1399" s="1">
        <v>3</v>
      </c>
      <c r="O1399" s="1">
        <v>3</v>
      </c>
      <c r="P1399" s="1">
        <v>0</v>
      </c>
      <c r="Q1399" s="1">
        <v>3</v>
      </c>
      <c r="R1399" s="1">
        <v>9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52</v>
      </c>
      <c r="AA1399" s="1" t="str" cm="1">
        <f t="array" ref="AA1399">_xlfn.IFS(AND(Z1399&lt;36, Z1399&gt;23), "24-35", AND(Z1399&lt;51, Z1399&gt;35),"36-50", AND(Z1399&lt;66, Z1399&gt;50), "51-66", Z1399&gt;65, "66+", TRUE, "?")</f>
        <v>51-66</v>
      </c>
      <c r="AB1399" s="1">
        <v>2852</v>
      </c>
      <c r="AC1399" s="1">
        <v>0</v>
      </c>
      <c r="AD1399" s="1">
        <v>1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1</v>
      </c>
      <c r="AL1399" s="1">
        <v>69</v>
      </c>
      <c r="AM1399" s="2">
        <v>41997</v>
      </c>
      <c r="AN1399" t="str">
        <f t="shared" si="43"/>
        <v>36778,73,0.00198488226657241,1,1,63,29,4,34,2,4,4,3,3,0,3,9,0,0,0,0,0,0,0,52,51-66,2852,0,1,0,0,0,0,0,0,1,69,41997</v>
      </c>
    </row>
    <row r="1400" spans="1:40" ht="13" hidden="1" x14ac:dyDescent="0.15">
      <c r="A1400">
        <v>1535</v>
      </c>
      <c r="B1400" s="1">
        <v>20193</v>
      </c>
      <c r="C1400" s="1">
        <v>73</v>
      </c>
      <c r="D1400" s="4">
        <f t="shared" si="42"/>
        <v>3.6151141484672905E-3</v>
      </c>
      <c r="E1400" s="1">
        <v>0</v>
      </c>
      <c r="F1400" s="1">
        <v>0</v>
      </c>
      <c r="G1400" s="1">
        <v>18</v>
      </c>
      <c r="H1400" s="1">
        <v>8</v>
      </c>
      <c r="I1400" s="1">
        <v>8</v>
      </c>
      <c r="J1400" s="1">
        <v>22</v>
      </c>
      <c r="K1400" s="1">
        <v>24</v>
      </c>
      <c r="L1400" s="1">
        <v>11</v>
      </c>
      <c r="M1400" s="1">
        <v>9</v>
      </c>
      <c r="N1400" s="1">
        <v>1</v>
      </c>
      <c r="O1400" s="1">
        <v>1</v>
      </c>
      <c r="P1400" s="1">
        <v>1</v>
      </c>
      <c r="Q1400" s="1">
        <v>4</v>
      </c>
      <c r="R1400" s="1">
        <v>4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29</v>
      </c>
      <c r="AA1400" s="1" t="str" cm="1">
        <f t="array" ref="AA1400">_xlfn.IFS(AND(Z1400&lt;36, Z1400&gt;23), "24-35", AND(Z1400&lt;51, Z1400&gt;35),"36-50", AND(Z1400&lt;66, Z1400&gt;50), "51-66", Z1400&gt;65, "66+", TRUE, "?")</f>
        <v>24-35</v>
      </c>
      <c r="AB1400" s="1">
        <v>2737</v>
      </c>
      <c r="AC1400" s="1">
        <v>0</v>
      </c>
      <c r="AD1400" s="1">
        <v>0</v>
      </c>
      <c r="AE1400" s="1">
        <v>0</v>
      </c>
      <c r="AF1400" s="1">
        <v>1</v>
      </c>
      <c r="AG1400" s="1">
        <v>0</v>
      </c>
      <c r="AH1400" s="1">
        <v>1</v>
      </c>
      <c r="AI1400" s="1">
        <v>0</v>
      </c>
      <c r="AJ1400" s="1">
        <v>0</v>
      </c>
      <c r="AK1400" s="1">
        <v>0</v>
      </c>
      <c r="AL1400" s="1">
        <v>64</v>
      </c>
      <c r="AM1400" s="2">
        <v>42112</v>
      </c>
      <c r="AN1400" t="str">
        <f t="shared" si="43"/>
        <v>20193,73,0.00361511414846729,0,0,18,8,8,22,24,11,9,1,1,1,4,4,0,0,0,0,0,0,0,29,24-35,2737,0,0,0,1,0,1,0,0,0,64,42112</v>
      </c>
    </row>
    <row r="1401" spans="1:40" ht="13" hidden="1" x14ac:dyDescent="0.15">
      <c r="A1401">
        <v>1106</v>
      </c>
      <c r="B1401" s="1">
        <v>28510</v>
      </c>
      <c r="C1401" s="1">
        <v>72</v>
      </c>
      <c r="D1401" s="4">
        <f t="shared" si="42"/>
        <v>2.5254296737986671E-3</v>
      </c>
      <c r="E1401" s="1">
        <v>1</v>
      </c>
      <c r="F1401" s="1">
        <v>1</v>
      </c>
      <c r="G1401" s="1">
        <v>72</v>
      </c>
      <c r="H1401" s="1">
        <v>44</v>
      </c>
      <c r="I1401" s="1">
        <v>5</v>
      </c>
      <c r="J1401" s="1">
        <v>19</v>
      </c>
      <c r="K1401" s="1">
        <v>0</v>
      </c>
      <c r="L1401" s="1">
        <v>4</v>
      </c>
      <c r="M1401" s="1">
        <v>19</v>
      </c>
      <c r="N1401" s="1">
        <v>3</v>
      </c>
      <c r="O1401" s="1">
        <v>2</v>
      </c>
      <c r="P1401" s="1">
        <v>0</v>
      </c>
      <c r="Q1401" s="1">
        <v>4</v>
      </c>
      <c r="R1401" s="1">
        <v>5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39</v>
      </c>
      <c r="AA1401" s="1" t="str" cm="1">
        <f t="array" ref="AA1401">_xlfn.IFS(AND(Z1401&lt;36, Z1401&gt;23), "24-35", AND(Z1401&lt;51, Z1401&gt;35),"36-50", AND(Z1401&lt;66, Z1401&gt;50), "51-66", Z1401&gt;65, "66+", TRUE, "?")</f>
        <v>36-50</v>
      </c>
      <c r="AB1401" s="1">
        <v>2601</v>
      </c>
      <c r="AC1401" s="1">
        <v>1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1</v>
      </c>
      <c r="AJ1401" s="1">
        <v>0</v>
      </c>
      <c r="AK1401" s="1">
        <v>0</v>
      </c>
      <c r="AL1401" s="1">
        <v>53</v>
      </c>
      <c r="AM1401" s="2">
        <v>42248</v>
      </c>
      <c r="AN1401" t="str">
        <f t="shared" si="43"/>
        <v>28510,72,0.00252542967379867,1,1,72,44,5,19,0,4,19,3,2,0,4,5,0,0,0,0,0,0,0,39,36-50,2601,1,0,0,0,0,0,1,0,0,53,42248</v>
      </c>
    </row>
    <row r="1402" spans="1:40" ht="13" x14ac:dyDescent="0.15">
      <c r="A1402">
        <v>1722</v>
      </c>
      <c r="B1402" s="1">
        <v>7500</v>
      </c>
      <c r="C1402" s="1">
        <v>72</v>
      </c>
      <c r="D1402" s="4">
        <f t="shared" si="42"/>
        <v>9.5999999999999992E-3</v>
      </c>
      <c r="E1402" s="1">
        <v>0</v>
      </c>
      <c r="F1402" s="1">
        <v>0</v>
      </c>
      <c r="G1402" s="1">
        <v>24</v>
      </c>
      <c r="H1402" s="1">
        <v>3</v>
      </c>
      <c r="I1402" s="1">
        <v>18</v>
      </c>
      <c r="J1402" s="1">
        <v>14</v>
      </c>
      <c r="K1402" s="1">
        <v>15</v>
      </c>
      <c r="L1402" s="1">
        <v>22</v>
      </c>
      <c r="M1402" s="1">
        <v>50</v>
      </c>
      <c r="N1402" s="1">
        <v>3</v>
      </c>
      <c r="O1402" s="1">
        <v>3</v>
      </c>
      <c r="P1402" s="1">
        <v>1</v>
      </c>
      <c r="Q1402" s="1">
        <v>3</v>
      </c>
      <c r="R1402" s="1">
        <v>9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1</v>
      </c>
      <c r="Z1402" s="1">
        <v>24</v>
      </c>
      <c r="AA1402" s="1" t="str" cm="1">
        <f t="array" ref="AA1402">_xlfn.IFS(AND(Z1402&lt;36, Z1402&gt;23), "24-35", AND(Z1402&lt;51, Z1402&gt;35),"36-50", AND(Z1402&lt;66, Z1402&gt;50), "51-66", Z1402&gt;65, "66+", TRUE, "?")</f>
        <v>24-35</v>
      </c>
      <c r="AB1402" s="1">
        <v>2756</v>
      </c>
      <c r="AC1402" s="1">
        <v>0</v>
      </c>
      <c r="AD1402" s="1">
        <v>1</v>
      </c>
      <c r="AE1402" s="1">
        <v>0</v>
      </c>
      <c r="AF1402" s="1">
        <v>0</v>
      </c>
      <c r="AG1402" s="1">
        <v>0</v>
      </c>
      <c r="AH1402" s="1">
        <v>1</v>
      </c>
      <c r="AI1402" s="1">
        <v>0</v>
      </c>
      <c r="AJ1402" s="1">
        <v>0</v>
      </c>
      <c r="AK1402" s="1">
        <v>0</v>
      </c>
      <c r="AL1402" s="1">
        <v>22</v>
      </c>
      <c r="AM1402" s="2">
        <v>42093</v>
      </c>
      <c r="AN1402" t="str">
        <f t="shared" si="43"/>
        <v>7500,72,0.0096,0,0,24,3,18,14,15,22,50,3,3,1,3,9,0,0,0,0,0,0,1,24,24-35,2756,0,1,0,0,0,1,0,0,0,22,42093</v>
      </c>
    </row>
    <row r="1403" spans="1:40" ht="13" hidden="1" x14ac:dyDescent="0.15">
      <c r="A1403">
        <v>160</v>
      </c>
      <c r="B1403" s="1">
        <v>52074</v>
      </c>
      <c r="C1403" s="1">
        <v>71</v>
      </c>
      <c r="D1403" s="4">
        <f t="shared" si="42"/>
        <v>1.363444329223797E-3</v>
      </c>
      <c r="E1403" s="1">
        <v>0</v>
      </c>
      <c r="F1403" s="1">
        <v>1</v>
      </c>
      <c r="G1403" s="1">
        <v>77</v>
      </c>
      <c r="H1403" s="1">
        <v>59</v>
      </c>
      <c r="I1403" s="1">
        <v>0</v>
      </c>
      <c r="J1403" s="1">
        <v>12</v>
      </c>
      <c r="K1403" s="1">
        <v>0</v>
      </c>
      <c r="L1403" s="1">
        <v>0</v>
      </c>
      <c r="M1403" s="1">
        <v>48</v>
      </c>
      <c r="N1403" s="1">
        <v>1</v>
      </c>
      <c r="O1403" s="1">
        <v>2</v>
      </c>
      <c r="P1403" s="1">
        <v>2</v>
      </c>
      <c r="Q1403" s="1">
        <v>2</v>
      </c>
      <c r="R1403" s="1">
        <v>4</v>
      </c>
      <c r="S1403" s="1">
        <v>0</v>
      </c>
      <c r="T1403" s="1">
        <v>0</v>
      </c>
      <c r="U1403" s="1">
        <v>1</v>
      </c>
      <c r="V1403" s="1">
        <v>0</v>
      </c>
      <c r="W1403" s="1">
        <v>0</v>
      </c>
      <c r="X1403" s="1">
        <v>0</v>
      </c>
      <c r="Y1403" s="1">
        <v>0</v>
      </c>
      <c r="Z1403" s="1">
        <v>53</v>
      </c>
      <c r="AA1403" s="1" t="str" cm="1">
        <f t="array" ref="AA1403">_xlfn.IFS(AND(Z1403&lt;36, Z1403&gt;23), "24-35", AND(Z1403&lt;51, Z1403&gt;35),"36-50", AND(Z1403&lt;66, Z1403&gt;50), "51-66", Z1403&gt;65, "66+", TRUE, "?")</f>
        <v>51-66</v>
      </c>
      <c r="AB1403" s="1">
        <v>2245</v>
      </c>
      <c r="AC1403" s="1">
        <v>0</v>
      </c>
      <c r="AD1403" s="1">
        <v>0</v>
      </c>
      <c r="AE1403" s="1">
        <v>1</v>
      </c>
      <c r="AF1403" s="1">
        <v>0</v>
      </c>
      <c r="AG1403" s="1">
        <v>0</v>
      </c>
      <c r="AH1403" s="1">
        <v>0</v>
      </c>
      <c r="AI1403" s="1">
        <v>1</v>
      </c>
      <c r="AJ1403" s="1">
        <v>0</v>
      </c>
      <c r="AK1403" s="1">
        <v>0</v>
      </c>
      <c r="AL1403" s="1">
        <v>23</v>
      </c>
      <c r="AM1403" s="2">
        <v>42604</v>
      </c>
      <c r="AN1403" t="str">
        <f t="shared" si="43"/>
        <v>52074,71,0.0013634443292238,0,1,77,59,0,12,0,0,48,1,2,2,2,4,0,0,1,0,0,0,0,53,51-66,2245,0,0,1,0,0,0,1,0,0,23,42604</v>
      </c>
    </row>
    <row r="1404" spans="1:40" ht="13" hidden="1" x14ac:dyDescent="0.15">
      <c r="A1404">
        <v>1071</v>
      </c>
      <c r="B1404" s="1">
        <v>37155</v>
      </c>
      <c r="C1404" s="1">
        <v>71</v>
      </c>
      <c r="D1404" s="4">
        <f t="shared" si="42"/>
        <v>1.9109137397389315E-3</v>
      </c>
      <c r="E1404" s="1">
        <v>1</v>
      </c>
      <c r="F1404" s="1">
        <v>0</v>
      </c>
      <c r="G1404" s="1">
        <v>51</v>
      </c>
      <c r="H1404" s="1">
        <v>23</v>
      </c>
      <c r="I1404" s="1">
        <v>0</v>
      </c>
      <c r="J1404" s="1">
        <v>26</v>
      </c>
      <c r="K1404" s="1">
        <v>7</v>
      </c>
      <c r="L1404" s="1">
        <v>15</v>
      </c>
      <c r="M1404" s="1">
        <v>3</v>
      </c>
      <c r="N1404" s="1">
        <v>1</v>
      </c>
      <c r="O1404" s="1">
        <v>2</v>
      </c>
      <c r="P1404" s="1">
        <v>0</v>
      </c>
      <c r="Q1404" s="1">
        <v>4</v>
      </c>
      <c r="R1404" s="1">
        <v>5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31</v>
      </c>
      <c r="AA1404" s="1" t="str" cm="1">
        <f t="array" ref="AA1404">_xlfn.IFS(AND(Z1404&lt;36, Z1404&gt;23), "24-35", AND(Z1404&lt;51, Z1404&gt;35),"36-50", AND(Z1404&lt;66, Z1404&gt;50), "51-66", Z1404&gt;65, "66+", TRUE, "?")</f>
        <v>24-35</v>
      </c>
      <c r="AB1404" s="1">
        <v>2673</v>
      </c>
      <c r="AC1404" s="1">
        <v>0</v>
      </c>
      <c r="AD1404" s="1">
        <v>1</v>
      </c>
      <c r="AE1404" s="1">
        <v>0</v>
      </c>
      <c r="AF1404" s="1">
        <v>0</v>
      </c>
      <c r="AG1404" s="1">
        <v>0</v>
      </c>
      <c r="AH1404" s="1">
        <v>0</v>
      </c>
      <c r="AI1404" s="1">
        <v>1</v>
      </c>
      <c r="AJ1404" s="1">
        <v>0</v>
      </c>
      <c r="AK1404" s="1">
        <v>0</v>
      </c>
      <c r="AL1404" s="1">
        <v>68</v>
      </c>
      <c r="AM1404" s="2">
        <v>42176</v>
      </c>
      <c r="AN1404" t="str">
        <f t="shared" si="43"/>
        <v>37155,71,0.00191091373973893,1,0,51,23,0,26,7,15,3,1,2,0,4,5,0,0,0,0,0,0,0,31,24-35,2673,0,1,0,0,0,0,1,0,0,68,42176</v>
      </c>
    </row>
    <row r="1405" spans="1:40" ht="13" hidden="1" x14ac:dyDescent="0.15">
      <c r="A1405">
        <v>1774</v>
      </c>
      <c r="B1405" s="1">
        <v>36065</v>
      </c>
      <c r="C1405" s="1">
        <v>71</v>
      </c>
      <c r="D1405" s="4">
        <f t="shared" si="42"/>
        <v>1.968667683349508E-3</v>
      </c>
      <c r="E1405" s="1">
        <v>1</v>
      </c>
      <c r="F1405" s="1">
        <v>1</v>
      </c>
      <c r="G1405" s="1">
        <v>54</v>
      </c>
      <c r="H1405" s="1">
        <v>18</v>
      </c>
      <c r="I1405" s="1">
        <v>7</v>
      </c>
      <c r="J1405" s="1">
        <v>34</v>
      </c>
      <c r="K1405" s="1">
        <v>10</v>
      </c>
      <c r="L1405" s="1">
        <v>2</v>
      </c>
      <c r="M1405" s="1">
        <v>3</v>
      </c>
      <c r="N1405" s="1">
        <v>3</v>
      </c>
      <c r="O1405" s="1">
        <v>3</v>
      </c>
      <c r="P1405" s="1">
        <v>0</v>
      </c>
      <c r="Q1405" s="1">
        <v>3</v>
      </c>
      <c r="R1405" s="1">
        <v>8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52</v>
      </c>
      <c r="AA1405" s="1" t="str" cm="1">
        <f t="array" ref="AA1405">_xlfn.IFS(AND(Z1405&lt;36, Z1405&gt;23), "24-35", AND(Z1405&lt;51, Z1405&gt;35),"36-50", AND(Z1405&lt;66, Z1405&gt;50), "51-66", Z1405&gt;65, "66+", TRUE, "?")</f>
        <v>51-66</v>
      </c>
      <c r="AB1405" s="1">
        <v>2614</v>
      </c>
      <c r="AC1405" s="1">
        <v>0</v>
      </c>
      <c r="AD1405" s="1">
        <v>0</v>
      </c>
      <c r="AE1405" s="1">
        <v>1</v>
      </c>
      <c r="AF1405" s="1">
        <v>0</v>
      </c>
      <c r="AG1405" s="1">
        <v>0</v>
      </c>
      <c r="AH1405" s="1">
        <v>0</v>
      </c>
      <c r="AI1405" s="1">
        <v>1</v>
      </c>
      <c r="AJ1405" s="1">
        <v>0</v>
      </c>
      <c r="AK1405" s="1">
        <v>0</v>
      </c>
      <c r="AL1405" s="1">
        <v>68</v>
      </c>
      <c r="AM1405" s="2">
        <v>42235</v>
      </c>
      <c r="AN1405" t="str">
        <f t="shared" si="43"/>
        <v>36065,71,0.00196866768334951,1,1,54,18,7,34,10,2,3,3,3,0,3,8,0,0,0,0,0,0,0,52,51-66,2614,0,0,1,0,0,0,1,0,0,68,42235</v>
      </c>
    </row>
    <row r="1406" spans="1:40" ht="13" hidden="1" x14ac:dyDescent="0.15">
      <c r="A1406">
        <v>1888</v>
      </c>
      <c r="B1406" s="1">
        <v>22123</v>
      </c>
      <c r="C1406" s="1">
        <v>71</v>
      </c>
      <c r="D1406" s="4">
        <f t="shared" si="42"/>
        <v>3.2093296569181396E-3</v>
      </c>
      <c r="E1406" s="1">
        <v>0</v>
      </c>
      <c r="F1406" s="1">
        <v>0</v>
      </c>
      <c r="G1406" s="1">
        <v>77</v>
      </c>
      <c r="H1406" s="1">
        <v>3</v>
      </c>
      <c r="I1406" s="1">
        <v>3</v>
      </c>
      <c r="J1406" s="1">
        <v>24</v>
      </c>
      <c r="K1406" s="1">
        <v>34</v>
      </c>
      <c r="L1406" s="1">
        <v>7</v>
      </c>
      <c r="M1406" s="1">
        <v>31</v>
      </c>
      <c r="N1406" s="1">
        <v>1</v>
      </c>
      <c r="O1406" s="1">
        <v>2</v>
      </c>
      <c r="P1406" s="1">
        <v>1</v>
      </c>
      <c r="Q1406" s="1">
        <v>3</v>
      </c>
      <c r="R1406" s="1">
        <v>5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60</v>
      </c>
      <c r="AA1406" s="1" t="str" cm="1">
        <f t="array" ref="AA1406">_xlfn.IFS(AND(Z1406&lt;36, Z1406&gt;23), "24-35", AND(Z1406&lt;51, Z1406&gt;35),"36-50", AND(Z1406&lt;66, Z1406&gt;50), "51-66", Z1406&gt;65, "66+", TRUE, "?")</f>
        <v>51-66</v>
      </c>
      <c r="AB1406" s="1">
        <v>2253</v>
      </c>
      <c r="AC1406" s="1">
        <v>0</v>
      </c>
      <c r="AD1406" s="1">
        <v>0</v>
      </c>
      <c r="AE1406" s="1">
        <v>0</v>
      </c>
      <c r="AF1406" s="1">
        <v>0</v>
      </c>
      <c r="AG1406" s="1">
        <v>1</v>
      </c>
      <c r="AH1406" s="1">
        <v>0</v>
      </c>
      <c r="AI1406" s="1">
        <v>0</v>
      </c>
      <c r="AJ1406" s="1">
        <v>0</v>
      </c>
      <c r="AK1406" s="1">
        <v>0</v>
      </c>
      <c r="AL1406" s="1">
        <v>40</v>
      </c>
      <c r="AM1406" s="2">
        <v>42596</v>
      </c>
      <c r="AN1406" t="str">
        <f t="shared" si="43"/>
        <v>22123,71,0.00320932965691814,0,0,77,3,3,24,34,7,31,1,2,1,3,5,0,0,0,0,0,0,0,60,51-66,2253,0,0,0,0,1,0,0,0,0,40,42596</v>
      </c>
    </row>
    <row r="1407" spans="1:40" ht="13" hidden="1" x14ac:dyDescent="0.15">
      <c r="A1407">
        <v>246</v>
      </c>
      <c r="B1407" s="1">
        <v>38179</v>
      </c>
      <c r="C1407" s="1">
        <v>70</v>
      </c>
      <c r="D1407" s="4">
        <f t="shared" si="42"/>
        <v>1.8334686607821052E-3</v>
      </c>
      <c r="E1407" s="1">
        <v>1</v>
      </c>
      <c r="F1407" s="1">
        <v>1</v>
      </c>
      <c r="G1407" s="1">
        <v>30</v>
      </c>
      <c r="H1407" s="1">
        <v>38</v>
      </c>
      <c r="I1407" s="1">
        <v>4</v>
      </c>
      <c r="J1407" s="1">
        <v>22</v>
      </c>
      <c r="K1407" s="1">
        <v>4</v>
      </c>
      <c r="L1407" s="1">
        <v>2</v>
      </c>
      <c r="M1407" s="1">
        <v>20</v>
      </c>
      <c r="N1407" s="1">
        <v>4</v>
      </c>
      <c r="O1407" s="1">
        <v>3</v>
      </c>
      <c r="P1407" s="1">
        <v>1</v>
      </c>
      <c r="Q1407" s="1">
        <v>3</v>
      </c>
      <c r="R1407" s="1">
        <v>7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54</v>
      </c>
      <c r="AA1407" s="1" t="str" cm="1">
        <f t="array" ref="AA1407">_xlfn.IFS(AND(Z1407&lt;36, Z1407&gt;23), "24-35", AND(Z1407&lt;51, Z1407&gt;35),"36-50", AND(Z1407&lt;66, Z1407&gt;50), "51-66", Z1407&gt;65, "66+", TRUE, "?")</f>
        <v>51-66</v>
      </c>
      <c r="AB1407" s="1">
        <v>2631</v>
      </c>
      <c r="AC1407" s="1">
        <v>0</v>
      </c>
      <c r="AD1407" s="1">
        <v>1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1</v>
      </c>
      <c r="AK1407" s="1">
        <v>0</v>
      </c>
      <c r="AL1407" s="1">
        <v>50</v>
      </c>
      <c r="AM1407" s="2">
        <v>42218</v>
      </c>
      <c r="AN1407" t="str">
        <f t="shared" si="43"/>
        <v>38179,70,0.00183346866078211,1,1,30,38,4,22,4,2,20,4,3,1,3,7,0,0,0,0,0,0,0,54,51-66,2631,0,1,0,0,0,0,0,1,0,50,42218</v>
      </c>
    </row>
    <row r="1408" spans="1:40" ht="13" hidden="1" x14ac:dyDescent="0.15">
      <c r="A1408">
        <v>667</v>
      </c>
      <c r="B1408" s="1">
        <v>33249</v>
      </c>
      <c r="C1408" s="1">
        <v>70</v>
      </c>
      <c r="D1408" s="4">
        <f t="shared" si="42"/>
        <v>2.1053264759842401E-3</v>
      </c>
      <c r="E1408" s="1">
        <v>1</v>
      </c>
      <c r="F1408" s="1">
        <v>0</v>
      </c>
      <c r="G1408" s="1">
        <v>11</v>
      </c>
      <c r="H1408" s="1">
        <v>6</v>
      </c>
      <c r="I1408" s="1">
        <v>10</v>
      </c>
      <c r="J1408" s="1">
        <v>21</v>
      </c>
      <c r="K1408" s="1">
        <v>19</v>
      </c>
      <c r="L1408" s="1">
        <v>14</v>
      </c>
      <c r="M1408" s="1">
        <v>42</v>
      </c>
      <c r="N1408" s="1">
        <v>2</v>
      </c>
      <c r="O1408" s="1">
        <v>2</v>
      </c>
      <c r="P1408" s="1">
        <v>1</v>
      </c>
      <c r="Q1408" s="1">
        <v>3</v>
      </c>
      <c r="R1408" s="1">
        <v>6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45</v>
      </c>
      <c r="AA1408" s="1" t="str" cm="1">
        <f t="array" ref="AA1408">_xlfn.IFS(AND(Z1408&lt;36, Z1408&gt;23), "24-35", AND(Z1408&lt;51, Z1408&gt;35),"36-50", AND(Z1408&lt;66, Z1408&gt;50), "51-66", Z1408&gt;65, "66+", TRUE, "?")</f>
        <v>36-50</v>
      </c>
      <c r="AB1408" s="1">
        <v>2653</v>
      </c>
      <c r="AC1408" s="1">
        <v>0</v>
      </c>
      <c r="AD1408" s="1">
        <v>0</v>
      </c>
      <c r="AE1408" s="1">
        <v>1</v>
      </c>
      <c r="AF1408" s="1">
        <v>0</v>
      </c>
      <c r="AG1408" s="1">
        <v>0</v>
      </c>
      <c r="AH1408" s="1">
        <v>0</v>
      </c>
      <c r="AI1408" s="1">
        <v>1</v>
      </c>
      <c r="AJ1408" s="1">
        <v>0</v>
      </c>
      <c r="AK1408" s="1">
        <v>0</v>
      </c>
      <c r="AL1408" s="1">
        <v>28</v>
      </c>
      <c r="AM1408" s="2">
        <v>42196</v>
      </c>
      <c r="AN1408" t="str">
        <f t="shared" si="43"/>
        <v>33249,70,0.00210532647598424,1,0,11,6,10,21,19,14,42,2,2,1,3,6,0,0,0,0,0,0,0,45,36-50,2653,0,0,1,0,0,0,1,0,0,28,42196</v>
      </c>
    </row>
    <row r="1409" spans="1:40" ht="13" hidden="1" x14ac:dyDescent="0.15">
      <c r="A1409">
        <v>1027</v>
      </c>
      <c r="B1409" s="1">
        <v>38578</v>
      </c>
      <c r="C1409" s="1">
        <v>70</v>
      </c>
      <c r="D1409" s="4">
        <f t="shared" si="42"/>
        <v>1.8145056768106174E-3</v>
      </c>
      <c r="E1409" s="1">
        <v>1</v>
      </c>
      <c r="F1409" s="1">
        <v>1</v>
      </c>
      <c r="G1409" s="1">
        <v>2</v>
      </c>
      <c r="H1409" s="1">
        <v>38</v>
      </c>
      <c r="I1409" s="1">
        <v>4</v>
      </c>
      <c r="J1409" s="1">
        <v>22</v>
      </c>
      <c r="K1409" s="1">
        <v>3</v>
      </c>
      <c r="L1409" s="1">
        <v>3</v>
      </c>
      <c r="M1409" s="1">
        <v>3</v>
      </c>
      <c r="N1409" s="1">
        <v>3</v>
      </c>
      <c r="O1409" s="1">
        <v>3</v>
      </c>
      <c r="P1409" s="1">
        <v>0</v>
      </c>
      <c r="Q1409" s="1">
        <v>3</v>
      </c>
      <c r="R1409" s="1">
        <v>8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48</v>
      </c>
      <c r="AA1409" s="1" t="str" cm="1">
        <f t="array" ref="AA1409">_xlfn.IFS(AND(Z1409&lt;36, Z1409&gt;23), "24-35", AND(Z1409&lt;51, Z1409&gt;35),"36-50", AND(Z1409&lt;66, Z1409&gt;50), "51-66", Z1409&gt;65, "66+", TRUE, "?")</f>
        <v>36-50</v>
      </c>
      <c r="AB1409" s="1">
        <v>2531</v>
      </c>
      <c r="AC1409" s="1">
        <v>0</v>
      </c>
      <c r="AD1409" s="1">
        <v>0</v>
      </c>
      <c r="AE1409" s="1">
        <v>1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1</v>
      </c>
      <c r="AL1409" s="1">
        <v>67</v>
      </c>
      <c r="AM1409" s="2">
        <v>42318</v>
      </c>
      <c r="AN1409" t="str">
        <f t="shared" si="43"/>
        <v>38578,70,0.00181450567681062,1,1,2,38,4,22,3,3,3,3,3,0,3,8,0,0,0,0,0,0,0,48,36-50,2531,0,0,1,0,0,0,0,0,1,67,42318</v>
      </c>
    </row>
    <row r="1410" spans="1:40" ht="13" hidden="1" x14ac:dyDescent="0.15">
      <c r="A1410">
        <v>1153</v>
      </c>
      <c r="B1410" s="1">
        <v>38452</v>
      </c>
      <c r="C1410" s="1">
        <v>70</v>
      </c>
      <c r="D1410" s="4">
        <f t="shared" ref="D1410:D1473" si="44">C1410/B1410</f>
        <v>1.8204514719650474E-3</v>
      </c>
      <c r="E1410" s="1">
        <v>1</v>
      </c>
      <c r="F1410" s="1">
        <v>1</v>
      </c>
      <c r="G1410" s="1">
        <v>62</v>
      </c>
      <c r="H1410" s="1">
        <v>56</v>
      </c>
      <c r="I1410" s="1">
        <v>0</v>
      </c>
      <c r="J1410" s="1">
        <v>14</v>
      </c>
      <c r="K1410" s="1">
        <v>0</v>
      </c>
      <c r="L1410" s="1">
        <v>0</v>
      </c>
      <c r="M1410" s="1">
        <v>2</v>
      </c>
      <c r="N1410" s="1">
        <v>3</v>
      </c>
      <c r="O1410" s="1">
        <v>3</v>
      </c>
      <c r="P1410" s="1">
        <v>0</v>
      </c>
      <c r="Q1410" s="1">
        <v>3</v>
      </c>
      <c r="R1410" s="1">
        <v>7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65</v>
      </c>
      <c r="AA1410" s="1" t="str" cm="1">
        <f t="array" ref="AA1410">_xlfn.IFS(AND(Z1410&lt;36, Z1410&gt;23), "24-35", AND(Z1410&lt;51, Z1410&gt;35),"36-50", AND(Z1410&lt;66, Z1410&gt;50), "51-66", Z1410&gt;65, "66+", TRUE, "?")</f>
        <v>51-66</v>
      </c>
      <c r="AB1410" s="1">
        <v>2250</v>
      </c>
      <c r="AC1410" s="1">
        <v>0</v>
      </c>
      <c r="AD1410" s="1">
        <v>1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1</v>
      </c>
      <c r="AK1410" s="1">
        <v>0</v>
      </c>
      <c r="AL1410" s="1">
        <v>68</v>
      </c>
      <c r="AM1410" s="2">
        <v>42599</v>
      </c>
      <c r="AN1410" t="str">
        <f t="shared" ref="AN1410:AN1473" si="45">_xlfn.TEXTJOIN(",",TRUE,B1410:AM1410)</f>
        <v>38452,70,0.00182045147196505,1,1,62,56,0,14,0,0,2,3,3,0,3,7,0,0,0,0,0,0,0,65,51-66,2250,0,1,0,0,0,0,0,1,0,68,42599</v>
      </c>
    </row>
    <row r="1411" spans="1:40" ht="13" hidden="1" x14ac:dyDescent="0.15">
      <c r="A1411">
        <v>1269</v>
      </c>
      <c r="B1411" s="1">
        <v>38136</v>
      </c>
      <c r="C1411" s="1">
        <v>70</v>
      </c>
      <c r="D1411" s="4">
        <f t="shared" si="44"/>
        <v>1.8355359765051395E-3</v>
      </c>
      <c r="E1411" s="1">
        <v>1</v>
      </c>
      <c r="F1411" s="1">
        <v>0</v>
      </c>
      <c r="G1411" s="1">
        <v>69</v>
      </c>
      <c r="H1411" s="1">
        <v>8</v>
      </c>
      <c r="I1411" s="1">
        <v>15</v>
      </c>
      <c r="J1411" s="1">
        <v>27</v>
      </c>
      <c r="K1411" s="1">
        <v>0</v>
      </c>
      <c r="L1411" s="1">
        <v>20</v>
      </c>
      <c r="M1411" s="1">
        <v>33</v>
      </c>
      <c r="N1411" s="1">
        <v>2</v>
      </c>
      <c r="O1411" s="1">
        <v>3</v>
      </c>
      <c r="P1411" s="1">
        <v>1</v>
      </c>
      <c r="Q1411" s="1">
        <v>2</v>
      </c>
      <c r="R1411" s="1">
        <v>8</v>
      </c>
      <c r="S1411" s="1">
        <v>0</v>
      </c>
      <c r="T1411" s="1">
        <v>0</v>
      </c>
      <c r="U1411" s="1">
        <v>1</v>
      </c>
      <c r="V1411" s="1">
        <v>0</v>
      </c>
      <c r="W1411" s="1">
        <v>0</v>
      </c>
      <c r="X1411" s="1">
        <v>0</v>
      </c>
      <c r="Y1411" s="1">
        <v>0</v>
      </c>
      <c r="Z1411" s="1">
        <v>42</v>
      </c>
      <c r="AA1411" s="1" t="str" cm="1">
        <f t="array" ref="AA1411">_xlfn.IFS(AND(Z1411&lt;36, Z1411&gt;23), "24-35", AND(Z1411&lt;51, Z1411&gt;35),"36-50", AND(Z1411&lt;66, Z1411&gt;50), "51-66", Z1411&gt;65, "66+", TRUE, "?")</f>
        <v>36-50</v>
      </c>
      <c r="AB1411" s="1">
        <v>2592</v>
      </c>
      <c r="AC1411" s="1">
        <v>0</v>
      </c>
      <c r="AD1411" s="1">
        <v>1</v>
      </c>
      <c r="AE1411" s="1">
        <v>0</v>
      </c>
      <c r="AF1411" s="1">
        <v>0</v>
      </c>
      <c r="AG1411" s="1">
        <v>0</v>
      </c>
      <c r="AH1411" s="1">
        <v>0</v>
      </c>
      <c r="AI1411" s="1">
        <v>1</v>
      </c>
      <c r="AJ1411" s="1">
        <v>0</v>
      </c>
      <c r="AK1411" s="1">
        <v>0</v>
      </c>
      <c r="AL1411" s="1">
        <v>37</v>
      </c>
      <c r="AM1411" s="2">
        <v>42257</v>
      </c>
      <c r="AN1411" t="str">
        <f t="shared" si="45"/>
        <v>38136,70,0.00183553597650514,1,0,69,8,15,27,0,20,33,2,3,1,2,8,0,0,1,0,0,0,0,42,36-50,2592,0,1,0,0,0,0,1,0,0,37,42257</v>
      </c>
    </row>
    <row r="1412" spans="1:40" ht="13" x14ac:dyDescent="0.15">
      <c r="A1412">
        <v>1744</v>
      </c>
      <c r="B1412" s="1">
        <v>38578</v>
      </c>
      <c r="C1412" s="1">
        <v>70</v>
      </c>
      <c r="D1412" s="4">
        <f t="shared" si="44"/>
        <v>1.8145056768106174E-3</v>
      </c>
      <c r="E1412" s="1">
        <v>1</v>
      </c>
      <c r="F1412" s="1">
        <v>1</v>
      </c>
      <c r="G1412" s="1">
        <v>2</v>
      </c>
      <c r="H1412" s="1">
        <v>38</v>
      </c>
      <c r="I1412" s="1">
        <v>4</v>
      </c>
      <c r="J1412" s="1">
        <v>22</v>
      </c>
      <c r="K1412" s="1">
        <v>3</v>
      </c>
      <c r="L1412" s="1">
        <v>3</v>
      </c>
      <c r="M1412" s="1">
        <v>3</v>
      </c>
      <c r="N1412" s="1">
        <v>3</v>
      </c>
      <c r="O1412" s="1">
        <v>3</v>
      </c>
      <c r="P1412" s="1">
        <v>0</v>
      </c>
      <c r="Q1412" s="1">
        <v>3</v>
      </c>
      <c r="R1412" s="1">
        <v>8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1</v>
      </c>
      <c r="Z1412" s="1">
        <v>48</v>
      </c>
      <c r="AA1412" s="1" t="str" cm="1">
        <f t="array" ref="AA1412">_xlfn.IFS(AND(Z1412&lt;36, Z1412&gt;23), "24-35", AND(Z1412&lt;51, Z1412&gt;35),"36-50", AND(Z1412&lt;66, Z1412&gt;50), "51-66", Z1412&gt;65, "66+", TRUE, "?")</f>
        <v>36-50</v>
      </c>
      <c r="AB1412" s="1">
        <v>2531</v>
      </c>
      <c r="AC1412" s="1">
        <v>0</v>
      </c>
      <c r="AD1412" s="1">
        <v>0</v>
      </c>
      <c r="AE1412" s="1">
        <v>1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1</v>
      </c>
      <c r="AL1412" s="1">
        <v>67</v>
      </c>
      <c r="AM1412" s="2">
        <v>42318</v>
      </c>
      <c r="AN1412" t="str">
        <f t="shared" si="45"/>
        <v>38578,70,0.00181450567681062,1,1,2,38,4,22,3,3,3,3,3,0,3,8,0,0,0,0,0,0,1,48,36-50,2531,0,0,1,0,0,0,0,0,1,67,42318</v>
      </c>
    </row>
    <row r="1413" spans="1:40" ht="13" x14ac:dyDescent="0.15">
      <c r="A1413">
        <v>1742</v>
      </c>
      <c r="B1413" s="1">
        <v>32557</v>
      </c>
      <c r="C1413" s="1">
        <v>70</v>
      </c>
      <c r="D1413" s="4">
        <f t="shared" si="44"/>
        <v>2.1500752526338422E-3</v>
      </c>
      <c r="E1413" s="1">
        <v>1</v>
      </c>
      <c r="F1413" s="1">
        <v>0</v>
      </c>
      <c r="G1413" s="1">
        <v>13</v>
      </c>
      <c r="H1413" s="1">
        <v>34</v>
      </c>
      <c r="I1413" s="1">
        <v>3</v>
      </c>
      <c r="J1413" s="1">
        <v>29</v>
      </c>
      <c r="K1413" s="1">
        <v>0</v>
      </c>
      <c r="L1413" s="1">
        <v>4</v>
      </c>
      <c r="M1413" s="1">
        <v>10</v>
      </c>
      <c r="N1413" s="1">
        <v>3</v>
      </c>
      <c r="O1413" s="1">
        <v>2</v>
      </c>
      <c r="P1413" s="1">
        <v>1</v>
      </c>
      <c r="Q1413" s="1">
        <v>3</v>
      </c>
      <c r="R1413" s="1">
        <v>5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1</v>
      </c>
      <c r="Z1413" s="1">
        <v>53</v>
      </c>
      <c r="AA1413" s="1" t="str" cm="1">
        <f t="array" ref="AA1413">_xlfn.IFS(AND(Z1413&lt;36, Z1413&gt;23), "24-35", AND(Z1413&lt;51, Z1413&gt;35),"36-50", AND(Z1413&lt;66, Z1413&gt;50), "51-66", Z1413&gt;65, "66+", TRUE, "?")</f>
        <v>51-66</v>
      </c>
      <c r="AB1413" s="1">
        <v>2284</v>
      </c>
      <c r="AC1413" s="1">
        <v>0</v>
      </c>
      <c r="AD1413" s="1">
        <v>0</v>
      </c>
      <c r="AE1413" s="1">
        <v>1</v>
      </c>
      <c r="AF1413" s="1">
        <v>0</v>
      </c>
      <c r="AG1413" s="1">
        <v>0</v>
      </c>
      <c r="AH1413" s="1">
        <v>0</v>
      </c>
      <c r="AI1413" s="1">
        <v>0</v>
      </c>
      <c r="AJ1413" s="1">
        <v>1</v>
      </c>
      <c r="AK1413" s="1">
        <v>0</v>
      </c>
      <c r="AL1413" s="1">
        <v>60</v>
      </c>
      <c r="AM1413" s="2">
        <v>42565</v>
      </c>
      <c r="AN1413" t="str">
        <f t="shared" si="45"/>
        <v>32557,70,0.00215007525263384,1,0,13,34,3,29,0,4,10,3,2,1,3,5,0,0,0,0,0,0,1,53,51-66,2284,0,0,1,0,0,0,0,1,0,60,42565</v>
      </c>
    </row>
    <row r="1414" spans="1:40" ht="13" hidden="1" x14ac:dyDescent="0.15">
      <c r="A1414">
        <v>1881</v>
      </c>
      <c r="B1414" s="1">
        <v>31761</v>
      </c>
      <c r="C1414" s="1">
        <v>70</v>
      </c>
      <c r="D1414" s="4">
        <f t="shared" si="44"/>
        <v>2.2039608324674917E-3</v>
      </c>
      <c r="E1414" s="1">
        <v>1</v>
      </c>
      <c r="F1414" s="1">
        <v>0</v>
      </c>
      <c r="G1414" s="1">
        <v>96</v>
      </c>
      <c r="H1414" s="1">
        <v>19</v>
      </c>
      <c r="I1414" s="1">
        <v>1</v>
      </c>
      <c r="J1414" s="1">
        <v>20</v>
      </c>
      <c r="K1414" s="1">
        <v>16</v>
      </c>
      <c r="L1414" s="1">
        <v>14</v>
      </c>
      <c r="M1414" s="1">
        <v>28</v>
      </c>
      <c r="N1414" s="1">
        <v>2</v>
      </c>
      <c r="O1414" s="1">
        <v>3</v>
      </c>
      <c r="P1414" s="1">
        <v>0</v>
      </c>
      <c r="Q1414" s="1">
        <v>4</v>
      </c>
      <c r="R1414" s="1">
        <v>5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36</v>
      </c>
      <c r="AA1414" s="1" t="str" cm="1">
        <f t="array" ref="AA1414">_xlfn.IFS(AND(Z1414&lt;36, Z1414&gt;23), "24-35", AND(Z1414&lt;51, Z1414&gt;35),"36-50", AND(Z1414&lt;66, Z1414&gt;50), "51-66", Z1414&gt;65, "66+", TRUE, "?")</f>
        <v>36-50</v>
      </c>
      <c r="AB1414" s="1">
        <v>2244</v>
      </c>
      <c r="AC1414" s="1">
        <v>0</v>
      </c>
      <c r="AD1414" s="1">
        <v>1</v>
      </c>
      <c r="AE1414" s="1">
        <v>0</v>
      </c>
      <c r="AF1414" s="1">
        <v>0</v>
      </c>
      <c r="AG1414" s="1">
        <v>0</v>
      </c>
      <c r="AH1414" s="1">
        <v>0</v>
      </c>
      <c r="AI1414" s="1">
        <v>1</v>
      </c>
      <c r="AJ1414" s="1">
        <v>0</v>
      </c>
      <c r="AK1414" s="1">
        <v>0</v>
      </c>
      <c r="AL1414" s="1">
        <v>42</v>
      </c>
      <c r="AM1414" s="2">
        <v>42605</v>
      </c>
      <c r="AN1414" t="str">
        <f t="shared" si="45"/>
        <v>31761,70,0.00220396083246749,1,0,96,19,1,20,16,14,28,2,3,0,4,5,0,0,0,0,0,0,0,36,36-50,2244,0,1,0,0,0,0,1,0,0,42,42605</v>
      </c>
    </row>
    <row r="1415" spans="1:40" ht="13" hidden="1" x14ac:dyDescent="0.15">
      <c r="A1415">
        <v>49</v>
      </c>
      <c r="B1415" s="1">
        <v>35790</v>
      </c>
      <c r="C1415" s="1">
        <v>69</v>
      </c>
      <c r="D1415" s="4">
        <f t="shared" si="44"/>
        <v>1.9279128248113999E-3</v>
      </c>
      <c r="E1415" s="1">
        <v>1</v>
      </c>
      <c r="F1415" s="1">
        <v>0</v>
      </c>
      <c r="G1415" s="1">
        <v>54</v>
      </c>
      <c r="H1415" s="1">
        <v>12</v>
      </c>
      <c r="I1415" s="1">
        <v>6</v>
      </c>
      <c r="J1415" s="1">
        <v>20</v>
      </c>
      <c r="K1415" s="1">
        <v>30</v>
      </c>
      <c r="L1415" s="1">
        <v>1</v>
      </c>
      <c r="M1415" s="1">
        <v>3</v>
      </c>
      <c r="N1415" s="1">
        <v>2</v>
      </c>
      <c r="O1415" s="1">
        <v>2</v>
      </c>
      <c r="P1415" s="1">
        <v>0</v>
      </c>
      <c r="Q1415" s="1">
        <v>3</v>
      </c>
      <c r="R1415" s="1">
        <v>7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43</v>
      </c>
      <c r="AA1415" s="1" t="str" cm="1">
        <f t="array" ref="AA1415">_xlfn.IFS(AND(Z1415&lt;36, Z1415&gt;23), "24-35", AND(Z1415&lt;51, Z1415&gt;35),"36-50", AND(Z1415&lt;66, Z1415&gt;50), "51-66", Z1415&gt;65, "66+", TRUE, "?")</f>
        <v>36-50</v>
      </c>
      <c r="AB1415" s="1">
        <v>2702</v>
      </c>
      <c r="AC1415" s="1">
        <v>0</v>
      </c>
      <c r="AD1415" s="1">
        <v>0</v>
      </c>
      <c r="AE1415" s="1">
        <v>1</v>
      </c>
      <c r="AF1415" s="1">
        <v>0</v>
      </c>
      <c r="AG1415" s="1">
        <v>0</v>
      </c>
      <c r="AH1415" s="1">
        <v>0</v>
      </c>
      <c r="AI1415" s="1">
        <v>1</v>
      </c>
      <c r="AJ1415" s="1">
        <v>0</v>
      </c>
      <c r="AK1415" s="1">
        <v>0</v>
      </c>
      <c r="AL1415" s="1">
        <v>66</v>
      </c>
      <c r="AM1415" s="2">
        <v>42147</v>
      </c>
      <c r="AN1415" t="str">
        <f t="shared" si="45"/>
        <v>35790,69,0.0019279128248114,1,0,54,12,6,20,30,1,3,2,2,0,3,7,0,0,0,0,0,0,0,43,36-50,2702,0,0,1,0,0,0,1,0,0,66,42147</v>
      </c>
    </row>
    <row r="1416" spans="1:40" ht="13" hidden="1" x14ac:dyDescent="0.15">
      <c r="A1416">
        <v>140</v>
      </c>
      <c r="B1416" s="1">
        <v>34176</v>
      </c>
      <c r="C1416" s="1">
        <v>69</v>
      </c>
      <c r="D1416" s="4">
        <f t="shared" si="44"/>
        <v>2.0189606741573035E-3</v>
      </c>
      <c r="E1416" s="1">
        <v>1</v>
      </c>
      <c r="F1416" s="1">
        <v>0</v>
      </c>
      <c r="G1416" s="1">
        <v>12</v>
      </c>
      <c r="H1416" s="1">
        <v>5</v>
      </c>
      <c r="I1416" s="1">
        <v>7</v>
      </c>
      <c r="J1416" s="1">
        <v>24</v>
      </c>
      <c r="K1416" s="1">
        <v>19</v>
      </c>
      <c r="L1416" s="1">
        <v>14</v>
      </c>
      <c r="M1416" s="1">
        <v>20</v>
      </c>
      <c r="N1416" s="1">
        <v>4</v>
      </c>
      <c r="O1416" s="1">
        <v>3</v>
      </c>
      <c r="P1416" s="1">
        <v>0</v>
      </c>
      <c r="Q1416" s="1">
        <v>4</v>
      </c>
      <c r="R1416" s="1">
        <v>6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32</v>
      </c>
      <c r="AA1416" s="1" t="str" cm="1">
        <f t="array" ref="AA1416">_xlfn.IFS(AND(Z1416&lt;36, Z1416&gt;23), "24-35", AND(Z1416&lt;51, Z1416&gt;35),"36-50", AND(Z1416&lt;66, Z1416&gt;50), "51-66", Z1416&gt;65, "66+", TRUE, "?")</f>
        <v>24-35</v>
      </c>
      <c r="AB1416" s="1">
        <v>2207</v>
      </c>
      <c r="AC1416" s="1">
        <v>0</v>
      </c>
      <c r="AD1416" s="1">
        <v>0</v>
      </c>
      <c r="AE1416" s="1">
        <v>1</v>
      </c>
      <c r="AF1416" s="1">
        <v>0</v>
      </c>
      <c r="AG1416" s="1">
        <v>0</v>
      </c>
      <c r="AH1416" s="1">
        <v>0</v>
      </c>
      <c r="AI1416" s="1">
        <v>1</v>
      </c>
      <c r="AJ1416" s="1">
        <v>0</v>
      </c>
      <c r="AK1416" s="1">
        <v>0</v>
      </c>
      <c r="AL1416" s="1">
        <v>49</v>
      </c>
      <c r="AM1416" s="2">
        <v>42642</v>
      </c>
      <c r="AN1416" t="str">
        <f t="shared" si="45"/>
        <v>34176,69,0.0020189606741573,1,0,12,5,7,24,19,14,20,4,3,0,4,6,0,0,0,0,0,0,0,32,24-35,2207,0,0,1,0,0,0,1,0,0,49,42642</v>
      </c>
    </row>
    <row r="1417" spans="1:40" ht="13" hidden="1" x14ac:dyDescent="0.15">
      <c r="A1417">
        <v>155</v>
      </c>
      <c r="B1417" s="1">
        <v>26091</v>
      </c>
      <c r="C1417" s="1">
        <v>69</v>
      </c>
      <c r="D1417" s="4">
        <f t="shared" si="44"/>
        <v>2.6445900885362769E-3</v>
      </c>
      <c r="E1417" s="1">
        <v>1</v>
      </c>
      <c r="F1417" s="1">
        <v>1</v>
      </c>
      <c r="G1417" s="1">
        <v>84</v>
      </c>
      <c r="H1417" s="1">
        <v>15</v>
      </c>
      <c r="I1417" s="1">
        <v>10</v>
      </c>
      <c r="J1417" s="1">
        <v>19</v>
      </c>
      <c r="K1417" s="1">
        <v>8</v>
      </c>
      <c r="L1417" s="1">
        <v>17</v>
      </c>
      <c r="M1417" s="1">
        <v>20</v>
      </c>
      <c r="N1417" s="1">
        <v>3</v>
      </c>
      <c r="O1417" s="1">
        <v>2</v>
      </c>
      <c r="P1417" s="1">
        <v>1</v>
      </c>
      <c r="Q1417" s="1">
        <v>3</v>
      </c>
      <c r="R1417" s="1">
        <v>5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63</v>
      </c>
      <c r="AA1417" s="1" t="str" cm="1">
        <f t="array" ref="AA1417">_xlfn.IFS(AND(Z1417&lt;36, Z1417&gt;23), "24-35", AND(Z1417&lt;51, Z1417&gt;35),"36-50", AND(Z1417&lt;66, Z1417&gt;50), "51-66", Z1417&gt;65, "66+", TRUE, "?")</f>
        <v>51-66</v>
      </c>
      <c r="AB1417" s="1">
        <v>2283</v>
      </c>
      <c r="AC1417" s="1">
        <v>0</v>
      </c>
      <c r="AD1417" s="1">
        <v>0</v>
      </c>
      <c r="AE1417" s="1">
        <v>0</v>
      </c>
      <c r="AF1417" s="1">
        <v>1</v>
      </c>
      <c r="AG1417" s="1">
        <v>0</v>
      </c>
      <c r="AH1417" s="1">
        <v>0</v>
      </c>
      <c r="AI1417" s="1">
        <v>1</v>
      </c>
      <c r="AJ1417" s="1">
        <v>0</v>
      </c>
      <c r="AK1417" s="1">
        <v>0</v>
      </c>
      <c r="AL1417" s="1">
        <v>49</v>
      </c>
      <c r="AM1417" s="2">
        <v>42566</v>
      </c>
      <c r="AN1417" t="str">
        <f t="shared" si="45"/>
        <v>26091,69,0.00264459008853628,1,1,84,15,10,19,8,17,20,3,2,1,3,5,0,0,0,0,0,0,0,63,51-66,2283,0,0,0,1,0,0,1,0,0,49,42566</v>
      </c>
    </row>
    <row r="1418" spans="1:40" ht="13" hidden="1" x14ac:dyDescent="0.15">
      <c r="A1418">
        <v>176</v>
      </c>
      <c r="B1418" s="1">
        <v>38872</v>
      </c>
      <c r="C1418" s="1">
        <v>69</v>
      </c>
      <c r="D1418" s="4">
        <f t="shared" si="44"/>
        <v>1.7750565960074089E-3</v>
      </c>
      <c r="E1418" s="1">
        <v>1</v>
      </c>
      <c r="F1418" s="1">
        <v>0</v>
      </c>
      <c r="G1418" s="1">
        <v>93</v>
      </c>
      <c r="H1418" s="1">
        <v>23</v>
      </c>
      <c r="I1418" s="1">
        <v>3</v>
      </c>
      <c r="J1418" s="1">
        <v>21</v>
      </c>
      <c r="K1418" s="1">
        <v>3</v>
      </c>
      <c r="L1418" s="1">
        <v>19</v>
      </c>
      <c r="M1418" s="1">
        <v>22</v>
      </c>
      <c r="N1418" s="1">
        <v>2</v>
      </c>
      <c r="O1418" s="1">
        <v>3</v>
      </c>
      <c r="P1418" s="1">
        <v>0</v>
      </c>
      <c r="Q1418" s="1">
        <v>3</v>
      </c>
      <c r="R1418" s="1">
        <v>8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32</v>
      </c>
      <c r="AA1418" s="1" t="str" cm="1">
        <f t="array" ref="AA1418">_xlfn.IFS(AND(Z1418&lt;36, Z1418&gt;23), "24-35", AND(Z1418&lt;51, Z1418&gt;35),"36-50", AND(Z1418&lt;66, Z1418&gt;50), "51-66", Z1418&gt;65, "66+", TRUE, "?")</f>
        <v>24-35</v>
      </c>
      <c r="AB1418" s="1">
        <v>2554</v>
      </c>
      <c r="AC1418" s="1">
        <v>0</v>
      </c>
      <c r="AD1418" s="1">
        <v>1</v>
      </c>
      <c r="AE1418" s="1">
        <v>0</v>
      </c>
      <c r="AF1418" s="1">
        <v>0</v>
      </c>
      <c r="AG1418" s="1">
        <v>0</v>
      </c>
      <c r="AH1418" s="1">
        <v>0</v>
      </c>
      <c r="AI1418" s="1">
        <v>1</v>
      </c>
      <c r="AJ1418" s="1">
        <v>0</v>
      </c>
      <c r="AK1418" s="1">
        <v>0</v>
      </c>
      <c r="AL1418" s="1">
        <v>47</v>
      </c>
      <c r="AM1418" s="2">
        <v>42295</v>
      </c>
      <c r="AN1418" t="str">
        <f t="shared" si="45"/>
        <v>38872,69,0.00177505659600741,1,0,93,23,3,21,3,19,22,2,3,0,3,8,0,0,0,0,0,0,0,32,24-35,2554,0,1,0,0,0,0,1,0,0,47,42295</v>
      </c>
    </row>
    <row r="1419" spans="1:40" ht="13" hidden="1" x14ac:dyDescent="0.15">
      <c r="A1419">
        <v>695</v>
      </c>
      <c r="B1419" s="1">
        <v>38702</v>
      </c>
      <c r="C1419" s="1">
        <v>69</v>
      </c>
      <c r="D1419" s="4">
        <f t="shared" si="44"/>
        <v>1.7828535992971939E-3</v>
      </c>
      <c r="E1419" s="1">
        <v>1</v>
      </c>
      <c r="F1419" s="1">
        <v>0</v>
      </c>
      <c r="G1419" s="1">
        <v>71</v>
      </c>
      <c r="H1419" s="1">
        <v>13</v>
      </c>
      <c r="I1419" s="1">
        <v>11</v>
      </c>
      <c r="J1419" s="1">
        <v>24</v>
      </c>
      <c r="K1419" s="1">
        <v>13</v>
      </c>
      <c r="L1419" s="1">
        <v>8</v>
      </c>
      <c r="M1419" s="1">
        <v>40</v>
      </c>
      <c r="N1419" s="1">
        <v>2</v>
      </c>
      <c r="O1419" s="1">
        <v>3</v>
      </c>
      <c r="P1419" s="1">
        <v>0</v>
      </c>
      <c r="Q1419" s="1">
        <v>4</v>
      </c>
      <c r="R1419" s="1">
        <v>6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42</v>
      </c>
      <c r="AA1419" s="1" t="str" cm="1">
        <f t="array" ref="AA1419">_xlfn.IFS(AND(Z1419&lt;36, Z1419&gt;23), "24-35", AND(Z1419&lt;51, Z1419&gt;35),"36-50", AND(Z1419&lt;66, Z1419&gt;50), "51-66", Z1419&gt;65, "66+", TRUE, "?")</f>
        <v>36-50</v>
      </c>
      <c r="AB1419" s="1">
        <v>2491</v>
      </c>
      <c r="AC1419" s="1">
        <v>0</v>
      </c>
      <c r="AD1419" s="1">
        <v>0</v>
      </c>
      <c r="AE1419" s="1">
        <v>0</v>
      </c>
      <c r="AF1419" s="1">
        <v>1</v>
      </c>
      <c r="AG1419" s="1">
        <v>0</v>
      </c>
      <c r="AH1419" s="1">
        <v>1</v>
      </c>
      <c r="AI1419" s="1">
        <v>0</v>
      </c>
      <c r="AJ1419" s="1">
        <v>0</v>
      </c>
      <c r="AK1419" s="1">
        <v>0</v>
      </c>
      <c r="AL1419" s="1">
        <v>29</v>
      </c>
      <c r="AM1419" s="2">
        <v>42358</v>
      </c>
      <c r="AN1419" t="str">
        <f t="shared" si="45"/>
        <v>38702,69,0.00178285359929719,1,0,71,13,11,24,13,8,40,2,3,0,4,6,0,0,0,0,0,0,0,42,36-50,2491,0,0,0,1,0,1,0,0,0,29,42358</v>
      </c>
    </row>
    <row r="1420" spans="1:40" ht="13" hidden="1" x14ac:dyDescent="0.15">
      <c r="A1420">
        <v>709</v>
      </c>
      <c r="B1420" s="1">
        <v>40662</v>
      </c>
      <c r="C1420" s="1">
        <v>69</v>
      </c>
      <c r="D1420" s="4">
        <f t="shared" si="44"/>
        <v>1.6969160395455217E-3</v>
      </c>
      <c r="E1420" s="1">
        <v>1</v>
      </c>
      <c r="F1420" s="1">
        <v>0</v>
      </c>
      <c r="G1420" s="1">
        <v>0</v>
      </c>
      <c r="H1420" s="1">
        <v>40</v>
      </c>
      <c r="I1420" s="1">
        <v>2</v>
      </c>
      <c r="J1420" s="1">
        <v>23</v>
      </c>
      <c r="K1420" s="1">
        <v>0</v>
      </c>
      <c r="L1420" s="1">
        <v>4</v>
      </c>
      <c r="M1420" s="1">
        <v>23</v>
      </c>
      <c r="N1420" s="1">
        <v>2</v>
      </c>
      <c r="O1420" s="1">
        <v>2</v>
      </c>
      <c r="P1420" s="1">
        <v>1</v>
      </c>
      <c r="Q1420" s="1">
        <v>3</v>
      </c>
      <c r="R1420" s="1">
        <v>4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41</v>
      </c>
      <c r="AA1420" s="1" t="str" cm="1">
        <f t="array" ref="AA1420">_xlfn.IFS(AND(Z1420&lt;36, Z1420&gt;23), "24-35", AND(Z1420&lt;51, Z1420&gt;35),"36-50", AND(Z1420&lt;66, Z1420&gt;50), "51-66", Z1420&gt;65, "66+", TRUE, "?")</f>
        <v>36-50</v>
      </c>
      <c r="AB1420" s="1">
        <v>2630</v>
      </c>
      <c r="AC1420" s="1">
        <v>0</v>
      </c>
      <c r="AD1420" s="1">
        <v>1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1</v>
      </c>
      <c r="AK1420" s="1">
        <v>0</v>
      </c>
      <c r="AL1420" s="1">
        <v>46</v>
      </c>
      <c r="AM1420" s="2">
        <v>42219</v>
      </c>
      <c r="AN1420" t="str">
        <f t="shared" si="45"/>
        <v>40662,69,0.00169691603954552,1,0,0,40,2,23,0,4,23,2,2,1,3,4,0,0,0,0,0,0,0,41,36-50,2630,0,1,0,0,0,0,0,1,0,46,42219</v>
      </c>
    </row>
    <row r="1421" spans="1:40" ht="13" hidden="1" x14ac:dyDescent="0.15">
      <c r="A1421">
        <v>724</v>
      </c>
      <c r="B1421" s="1">
        <v>33622</v>
      </c>
      <c r="C1421" s="1">
        <v>69</v>
      </c>
      <c r="D1421" s="4">
        <f t="shared" si="44"/>
        <v>2.0522277080483016E-3</v>
      </c>
      <c r="E1421" s="1">
        <v>1</v>
      </c>
      <c r="F1421" s="1">
        <v>1</v>
      </c>
      <c r="G1421" s="1">
        <v>22</v>
      </c>
      <c r="H1421" s="1">
        <v>39</v>
      </c>
      <c r="I1421" s="1">
        <v>1</v>
      </c>
      <c r="J1421" s="1">
        <v>22</v>
      </c>
      <c r="K1421" s="1">
        <v>3</v>
      </c>
      <c r="L1421" s="1">
        <v>4</v>
      </c>
      <c r="M1421" s="1">
        <v>12</v>
      </c>
      <c r="N1421" s="1">
        <v>3</v>
      </c>
      <c r="O1421" s="1">
        <v>2</v>
      </c>
      <c r="P1421" s="1">
        <v>0</v>
      </c>
      <c r="Q1421" s="1">
        <v>4</v>
      </c>
      <c r="R1421" s="1">
        <v>7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48</v>
      </c>
      <c r="AA1421" s="1" t="str" cm="1">
        <f t="array" ref="AA1421">_xlfn.IFS(AND(Z1421&lt;36, Z1421&gt;23), "24-35", AND(Z1421&lt;51, Z1421&gt;35),"36-50", AND(Z1421&lt;66, Z1421&gt;50), "51-66", Z1421&gt;65, "66+", TRUE, "?")</f>
        <v>36-50</v>
      </c>
      <c r="AB1421" s="1">
        <v>2601</v>
      </c>
      <c r="AC1421" s="1">
        <v>0</v>
      </c>
      <c r="AD1421" s="1">
        <v>1</v>
      </c>
      <c r="AE1421" s="1">
        <v>0</v>
      </c>
      <c r="AF1421" s="1">
        <v>0</v>
      </c>
      <c r="AG1421" s="1">
        <v>0</v>
      </c>
      <c r="AH1421" s="1">
        <v>0</v>
      </c>
      <c r="AI1421" s="1">
        <v>1</v>
      </c>
      <c r="AJ1421" s="1">
        <v>0</v>
      </c>
      <c r="AK1421" s="1">
        <v>0</v>
      </c>
      <c r="AL1421" s="1">
        <v>57</v>
      </c>
      <c r="AM1421" s="2">
        <v>42248</v>
      </c>
      <c r="AN1421" t="str">
        <f t="shared" si="45"/>
        <v>33622,69,0.0020522277080483,1,1,22,39,1,22,3,4,12,3,2,0,4,7,0,0,0,0,0,0,0,48,36-50,2601,0,1,0,0,0,0,1,0,0,57,42248</v>
      </c>
    </row>
    <row r="1422" spans="1:40" ht="13" x14ac:dyDescent="0.15">
      <c r="A1422">
        <v>1749</v>
      </c>
      <c r="B1422" s="1">
        <v>39858</v>
      </c>
      <c r="C1422" s="1">
        <v>69</v>
      </c>
      <c r="D1422" s="4">
        <f t="shared" si="44"/>
        <v>1.7311455667620051E-3</v>
      </c>
      <c r="E1422" s="1">
        <v>1</v>
      </c>
      <c r="F1422" s="1">
        <v>0</v>
      </c>
      <c r="G1422" s="1">
        <v>67</v>
      </c>
      <c r="H1422" s="1">
        <v>15</v>
      </c>
      <c r="I1422" s="1">
        <v>20</v>
      </c>
      <c r="J1422" s="1">
        <v>25</v>
      </c>
      <c r="K1422" s="1">
        <v>2</v>
      </c>
      <c r="L1422" s="1">
        <v>7</v>
      </c>
      <c r="M1422" s="1">
        <v>26</v>
      </c>
      <c r="N1422" s="1">
        <v>1</v>
      </c>
      <c r="O1422" s="1">
        <v>2</v>
      </c>
      <c r="P1422" s="1">
        <v>0</v>
      </c>
      <c r="Q1422" s="1">
        <v>4</v>
      </c>
      <c r="R1422" s="1">
        <v>6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1</v>
      </c>
      <c r="Z1422" s="1">
        <v>51</v>
      </c>
      <c r="AA1422" s="1" t="str" cm="1">
        <f t="array" ref="AA1422">_xlfn.IFS(AND(Z1422&lt;36, Z1422&gt;23), "24-35", AND(Z1422&lt;51, Z1422&gt;35),"36-50", AND(Z1422&lt;66, Z1422&gt;50), "51-66", Z1422&gt;65, "66+", TRUE, "?")</f>
        <v>51-66</v>
      </c>
      <c r="AB1422" s="1">
        <v>2680</v>
      </c>
      <c r="AC1422" s="1">
        <v>0</v>
      </c>
      <c r="AD1422" s="1">
        <v>0</v>
      </c>
      <c r="AE1422" s="1">
        <v>1</v>
      </c>
      <c r="AF1422" s="1">
        <v>0</v>
      </c>
      <c r="AG1422" s="1">
        <v>0</v>
      </c>
      <c r="AH1422" s="1">
        <v>0</v>
      </c>
      <c r="AI1422" s="1">
        <v>0</v>
      </c>
      <c r="AJ1422" s="1">
        <v>1</v>
      </c>
      <c r="AK1422" s="1">
        <v>0</v>
      </c>
      <c r="AL1422" s="1">
        <v>43</v>
      </c>
      <c r="AM1422" s="2">
        <v>42169</v>
      </c>
      <c r="AN1422" t="str">
        <f t="shared" si="45"/>
        <v>39858,69,0.00173114556676201,1,0,67,15,20,25,2,7,26,1,2,0,4,6,0,0,0,0,0,0,1,51,51-66,2680,0,0,1,0,0,0,0,1,0,43,42169</v>
      </c>
    </row>
    <row r="1423" spans="1:40" ht="13" hidden="1" x14ac:dyDescent="0.15">
      <c r="A1423">
        <v>1915</v>
      </c>
      <c r="B1423" s="1">
        <v>43018</v>
      </c>
      <c r="C1423" s="1">
        <v>69</v>
      </c>
      <c r="D1423" s="4">
        <f t="shared" si="44"/>
        <v>1.6039797294155934E-3</v>
      </c>
      <c r="E1423" s="1">
        <v>0</v>
      </c>
      <c r="F1423" s="1">
        <v>1</v>
      </c>
      <c r="G1423" s="1">
        <v>46</v>
      </c>
      <c r="H1423" s="1">
        <v>35</v>
      </c>
      <c r="I1423" s="1">
        <v>4</v>
      </c>
      <c r="J1423" s="1">
        <v>17</v>
      </c>
      <c r="K1423" s="1">
        <v>7</v>
      </c>
      <c r="L1423" s="1">
        <v>6</v>
      </c>
      <c r="M1423" s="1">
        <v>64</v>
      </c>
      <c r="N1423" s="1">
        <v>1</v>
      </c>
      <c r="O1423" s="1">
        <v>2</v>
      </c>
      <c r="P1423" s="1">
        <v>2</v>
      </c>
      <c r="Q1423" s="1">
        <v>2</v>
      </c>
      <c r="R1423" s="1">
        <v>5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46</v>
      </c>
      <c r="AA1423" s="1" t="str" cm="1">
        <f t="array" ref="AA1423">_xlfn.IFS(AND(Z1423&lt;36, Z1423&gt;23), "24-35", AND(Z1423&lt;51, Z1423&gt;35),"36-50", AND(Z1423&lt;66, Z1423&gt;50), "51-66", Z1423&gt;65, "66+", TRUE, "?")</f>
        <v>36-50</v>
      </c>
      <c r="AB1423" s="1">
        <v>2399</v>
      </c>
      <c r="AC1423" s="1">
        <v>0</v>
      </c>
      <c r="AD1423" s="1">
        <v>0</v>
      </c>
      <c r="AE1423" s="1">
        <v>0</v>
      </c>
      <c r="AF1423" s="1">
        <v>1</v>
      </c>
      <c r="AG1423" s="1">
        <v>0</v>
      </c>
      <c r="AH1423" s="1">
        <v>0</v>
      </c>
      <c r="AI1423" s="1">
        <v>0</v>
      </c>
      <c r="AJ1423" s="1">
        <v>1</v>
      </c>
      <c r="AK1423" s="1">
        <v>0</v>
      </c>
      <c r="AL1423" s="1">
        <v>5</v>
      </c>
      <c r="AM1423" s="2">
        <v>42450</v>
      </c>
      <c r="AN1423" t="str">
        <f t="shared" si="45"/>
        <v>43018,69,0.00160397972941559,0,1,46,35,4,17,7,6,64,1,2,2,2,5,0,0,0,0,0,0,0,46,36-50,2399,0,0,0,1,0,0,0,1,0,5,42450</v>
      </c>
    </row>
    <row r="1424" spans="1:40" ht="13" hidden="1" x14ac:dyDescent="0.15">
      <c r="A1424">
        <v>1073</v>
      </c>
      <c r="B1424" s="1">
        <v>33419</v>
      </c>
      <c r="C1424" s="1">
        <v>68</v>
      </c>
      <c r="D1424" s="4">
        <f t="shared" si="44"/>
        <v>2.0347706394565966E-3</v>
      </c>
      <c r="E1424" s="1">
        <v>0</v>
      </c>
      <c r="F1424" s="1">
        <v>1</v>
      </c>
      <c r="G1424" s="1">
        <v>76</v>
      </c>
      <c r="H1424" s="1">
        <v>56</v>
      </c>
      <c r="I1424" s="1">
        <v>0</v>
      </c>
      <c r="J1424" s="1">
        <v>12</v>
      </c>
      <c r="K1424" s="1">
        <v>0</v>
      </c>
      <c r="L1424" s="1">
        <v>0</v>
      </c>
      <c r="M1424" s="1">
        <v>18</v>
      </c>
      <c r="N1424" s="1">
        <v>2</v>
      </c>
      <c r="O1424" s="1">
        <v>2</v>
      </c>
      <c r="P1424" s="1">
        <v>0</v>
      </c>
      <c r="Q1424" s="1">
        <v>4</v>
      </c>
      <c r="R1424" s="1">
        <v>7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58</v>
      </c>
      <c r="AA1424" s="1" t="str" cm="1">
        <f t="array" ref="AA1424">_xlfn.IFS(AND(Z1424&lt;36, Z1424&gt;23), "24-35", AND(Z1424&lt;51, Z1424&gt;35),"36-50", AND(Z1424&lt;66, Z1424&gt;50), "51-66", Z1424&gt;65, "66+", TRUE, "?")</f>
        <v>51-66</v>
      </c>
      <c r="AB1424" s="1">
        <v>2475</v>
      </c>
      <c r="AC1424" s="1">
        <v>0</v>
      </c>
      <c r="AD1424" s="1">
        <v>0</v>
      </c>
      <c r="AE1424" s="1">
        <v>1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1</v>
      </c>
      <c r="AL1424" s="1">
        <v>50</v>
      </c>
      <c r="AM1424" s="2">
        <v>42374</v>
      </c>
      <c r="AN1424" t="str">
        <f t="shared" si="45"/>
        <v>33419,68,0.0020347706394566,0,1,76,56,0,12,0,0,18,2,2,0,4,7,0,0,0,0,0,0,0,58,51-66,2475,0,0,1,0,0,0,0,0,1,50,42374</v>
      </c>
    </row>
    <row r="1425" spans="1:40" ht="13" hidden="1" x14ac:dyDescent="0.15">
      <c r="A1425">
        <v>1193</v>
      </c>
      <c r="B1425" s="1">
        <v>23748</v>
      </c>
      <c r="C1425" s="1">
        <v>68</v>
      </c>
      <c r="D1425" s="4">
        <f t="shared" si="44"/>
        <v>2.8633990230756273E-3</v>
      </c>
      <c r="E1425" s="1">
        <v>1</v>
      </c>
      <c r="F1425" s="1">
        <v>0</v>
      </c>
      <c r="G1425" s="1">
        <v>97</v>
      </c>
      <c r="H1425" s="1">
        <v>6</v>
      </c>
      <c r="I1425" s="1">
        <v>6</v>
      </c>
      <c r="J1425" s="1">
        <v>29</v>
      </c>
      <c r="K1425" s="1">
        <v>12</v>
      </c>
      <c r="L1425" s="1">
        <v>15</v>
      </c>
      <c r="M1425" s="1">
        <v>8</v>
      </c>
      <c r="N1425" s="1">
        <v>3</v>
      </c>
      <c r="O1425" s="1">
        <v>2</v>
      </c>
      <c r="P1425" s="1">
        <v>1</v>
      </c>
      <c r="Q1425" s="1">
        <v>3</v>
      </c>
      <c r="R1425" s="1">
        <v>8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52</v>
      </c>
      <c r="AA1425" s="1" t="str" cm="1">
        <f t="array" ref="AA1425">_xlfn.IFS(AND(Z1425&lt;36, Z1425&gt;23), "24-35", AND(Z1425&lt;51, Z1425&gt;35),"36-50", AND(Z1425&lt;66, Z1425&gt;50), "51-66", Z1425&gt;65, "66+", TRUE, "?")</f>
        <v>51-66</v>
      </c>
      <c r="AB1425" s="1">
        <v>2744</v>
      </c>
      <c r="AC1425" s="1">
        <v>1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1</v>
      </c>
      <c r="AK1425" s="1">
        <v>0</v>
      </c>
      <c r="AL1425" s="1">
        <v>60</v>
      </c>
      <c r="AM1425" s="2">
        <v>42105</v>
      </c>
      <c r="AN1425" t="str">
        <f t="shared" si="45"/>
        <v>23748,68,0.00286339902307563,1,0,97,6,6,29,12,15,8,3,2,1,3,8,0,0,0,0,0,0,0,52,51-66,2744,1,0,0,0,0,0,0,1,0,60,42105</v>
      </c>
    </row>
    <row r="1426" spans="1:40" ht="13" hidden="1" x14ac:dyDescent="0.15">
      <c r="A1426">
        <v>1210</v>
      </c>
      <c r="B1426" s="1">
        <v>43050</v>
      </c>
      <c r="C1426" s="1">
        <v>68</v>
      </c>
      <c r="D1426" s="4">
        <f t="shared" si="44"/>
        <v>1.5795586527293844E-3</v>
      </c>
      <c r="E1426" s="1">
        <v>1</v>
      </c>
      <c r="F1426" s="1">
        <v>0</v>
      </c>
      <c r="G1426" s="1">
        <v>10</v>
      </c>
      <c r="H1426" s="1">
        <v>30</v>
      </c>
      <c r="I1426" s="1">
        <v>5</v>
      </c>
      <c r="J1426" s="1">
        <v>24</v>
      </c>
      <c r="K1426" s="1">
        <v>6</v>
      </c>
      <c r="L1426" s="1">
        <v>3</v>
      </c>
      <c r="M1426" s="1">
        <v>8</v>
      </c>
      <c r="N1426" s="1">
        <v>2</v>
      </c>
      <c r="O1426" s="1">
        <v>2</v>
      </c>
      <c r="P1426" s="1">
        <v>0</v>
      </c>
      <c r="Q1426" s="1">
        <v>4</v>
      </c>
      <c r="R1426" s="1">
        <v>5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47</v>
      </c>
      <c r="AA1426" s="1" t="str" cm="1">
        <f t="array" ref="AA1426">_xlfn.IFS(AND(Z1426&lt;36, Z1426&gt;23), "24-35", AND(Z1426&lt;51, Z1426&gt;35),"36-50", AND(Z1426&lt;66, Z1426&gt;50), "51-66", Z1426&gt;65, "66+", TRUE, "?")</f>
        <v>36-50</v>
      </c>
      <c r="AB1426" s="1">
        <v>2262</v>
      </c>
      <c r="AC1426" s="1">
        <v>0</v>
      </c>
      <c r="AD1426" s="1">
        <v>1</v>
      </c>
      <c r="AE1426" s="1">
        <v>0</v>
      </c>
      <c r="AF1426" s="1">
        <v>0</v>
      </c>
      <c r="AG1426" s="1">
        <v>0</v>
      </c>
      <c r="AH1426" s="1">
        <v>1</v>
      </c>
      <c r="AI1426" s="1">
        <v>0</v>
      </c>
      <c r="AJ1426" s="1">
        <v>0</v>
      </c>
      <c r="AK1426" s="1">
        <v>0</v>
      </c>
      <c r="AL1426" s="1">
        <v>60</v>
      </c>
      <c r="AM1426" s="2">
        <v>42587</v>
      </c>
      <c r="AN1426" t="str">
        <f t="shared" si="45"/>
        <v>43050,68,0.00157955865272938,1,0,10,30,5,24,6,3,8,2,2,0,4,5,0,0,0,0,0,0,0,47,36-50,2262,0,1,0,0,0,1,0,0,0,60,42587</v>
      </c>
    </row>
    <row r="1427" spans="1:40" ht="13" x14ac:dyDescent="0.15">
      <c r="A1427">
        <v>1754</v>
      </c>
      <c r="B1427" s="1">
        <v>28647</v>
      </c>
      <c r="C1427" s="1">
        <v>68</v>
      </c>
      <c r="D1427" s="4">
        <f t="shared" si="44"/>
        <v>2.3737215066150035E-3</v>
      </c>
      <c r="E1427" s="1">
        <v>1</v>
      </c>
      <c r="F1427" s="1">
        <v>0</v>
      </c>
      <c r="G1427" s="1">
        <v>54</v>
      </c>
      <c r="H1427" s="1">
        <v>19</v>
      </c>
      <c r="I1427" s="1">
        <v>8</v>
      </c>
      <c r="J1427" s="1">
        <v>29</v>
      </c>
      <c r="K1427" s="1">
        <v>0</v>
      </c>
      <c r="L1427" s="1">
        <v>12</v>
      </c>
      <c r="M1427" s="1">
        <v>26</v>
      </c>
      <c r="N1427" s="1">
        <v>1</v>
      </c>
      <c r="O1427" s="1">
        <v>2</v>
      </c>
      <c r="P1427" s="1">
        <v>2</v>
      </c>
      <c r="Q1427" s="1">
        <v>2</v>
      </c>
      <c r="R1427" s="1">
        <v>7</v>
      </c>
      <c r="S1427" s="1">
        <v>0</v>
      </c>
      <c r="T1427" s="1">
        <v>0</v>
      </c>
      <c r="U1427" s="1">
        <v>1</v>
      </c>
      <c r="V1427" s="1">
        <v>0</v>
      </c>
      <c r="W1427" s="1">
        <v>0</v>
      </c>
      <c r="X1427" s="1">
        <v>0</v>
      </c>
      <c r="Y1427" s="1">
        <v>1</v>
      </c>
      <c r="Z1427" s="1">
        <v>42</v>
      </c>
      <c r="AA1427" s="1" t="str" cm="1">
        <f t="array" ref="AA1427">_xlfn.IFS(AND(Z1427&lt;36, Z1427&gt;23), "24-35", AND(Z1427&lt;51, Z1427&gt;35),"36-50", AND(Z1427&lt;66, Z1427&gt;50), "51-66", Z1427&gt;65, "66+", TRUE, "?")</f>
        <v>36-50</v>
      </c>
      <c r="AB1427" s="1">
        <v>2471</v>
      </c>
      <c r="AC1427" s="1">
        <v>0</v>
      </c>
      <c r="AD1427" s="1">
        <v>0</v>
      </c>
      <c r="AE1427" s="1">
        <v>1</v>
      </c>
      <c r="AF1427" s="1">
        <v>0</v>
      </c>
      <c r="AG1427" s="1">
        <v>0</v>
      </c>
      <c r="AH1427" s="1">
        <v>0</v>
      </c>
      <c r="AI1427" s="1">
        <v>1</v>
      </c>
      <c r="AJ1427" s="1">
        <v>0</v>
      </c>
      <c r="AK1427" s="1">
        <v>0</v>
      </c>
      <c r="AL1427" s="1">
        <v>42</v>
      </c>
      <c r="AM1427" s="2">
        <v>42378</v>
      </c>
      <c r="AN1427" t="str">
        <f t="shared" si="45"/>
        <v>28647,68,0.002373721506615,1,0,54,19,8,29,0,12,26,1,2,2,2,7,0,0,1,0,0,0,1,42,36-50,2471,0,0,1,0,0,0,1,0,0,42,42378</v>
      </c>
    </row>
    <row r="1428" spans="1:40" ht="13" hidden="1" x14ac:dyDescent="0.15">
      <c r="A1428">
        <v>546</v>
      </c>
      <c r="B1428" s="1">
        <v>47472</v>
      </c>
      <c r="C1428" s="1">
        <v>67</v>
      </c>
      <c r="D1428" s="4">
        <f t="shared" si="44"/>
        <v>1.4113582743511964E-3</v>
      </c>
      <c r="E1428" s="1">
        <v>1</v>
      </c>
      <c r="F1428" s="1">
        <v>1</v>
      </c>
      <c r="G1428" s="1">
        <v>39</v>
      </c>
      <c r="H1428" s="1">
        <v>56</v>
      </c>
      <c r="I1428" s="1">
        <v>0</v>
      </c>
      <c r="J1428" s="1">
        <v>11</v>
      </c>
      <c r="K1428" s="1">
        <v>0</v>
      </c>
      <c r="L1428" s="1">
        <v>0</v>
      </c>
      <c r="M1428" s="1">
        <v>8</v>
      </c>
      <c r="N1428" s="1">
        <v>2</v>
      </c>
      <c r="O1428" s="1">
        <v>2</v>
      </c>
      <c r="P1428" s="1">
        <v>0</v>
      </c>
      <c r="Q1428" s="1">
        <v>4</v>
      </c>
      <c r="R1428" s="1">
        <v>5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54</v>
      </c>
      <c r="AA1428" s="1" t="str" cm="1">
        <f t="array" ref="AA1428">_xlfn.IFS(AND(Z1428&lt;36, Z1428&gt;23), "24-35", AND(Z1428&lt;51, Z1428&gt;35),"36-50", AND(Z1428&lt;66, Z1428&gt;50), "51-66", Z1428&gt;65, "66+", TRUE, "?")</f>
        <v>51-66</v>
      </c>
      <c r="AB1428" s="1">
        <v>2445</v>
      </c>
      <c r="AC1428" s="1">
        <v>0</v>
      </c>
      <c r="AD1428" s="1">
        <v>0</v>
      </c>
      <c r="AE1428" s="1">
        <v>0</v>
      </c>
      <c r="AF1428" s="1">
        <v>1</v>
      </c>
      <c r="AG1428" s="1">
        <v>0</v>
      </c>
      <c r="AH1428" s="1">
        <v>0</v>
      </c>
      <c r="AI1428" s="1">
        <v>0</v>
      </c>
      <c r="AJ1428" s="1">
        <v>0</v>
      </c>
      <c r="AK1428" s="1">
        <v>1</v>
      </c>
      <c r="AL1428" s="1">
        <v>59</v>
      </c>
      <c r="AM1428" s="2">
        <v>42404</v>
      </c>
      <c r="AN1428" t="str">
        <f t="shared" si="45"/>
        <v>47472,67,0.0014113582743512,1,1,39,56,0,11,0,0,8,2,2,0,4,5,0,0,0,0,0,0,0,54,51-66,2445,0,0,0,1,0,0,0,0,1,59,42404</v>
      </c>
    </row>
    <row r="1429" spans="1:40" ht="13" hidden="1" x14ac:dyDescent="0.15">
      <c r="A1429">
        <v>1095</v>
      </c>
      <c r="B1429" s="1">
        <v>48985</v>
      </c>
      <c r="C1429" s="1">
        <v>67</v>
      </c>
      <c r="D1429" s="4">
        <f t="shared" si="44"/>
        <v>1.3677656425436359E-3</v>
      </c>
      <c r="E1429" s="1">
        <v>0</v>
      </c>
      <c r="F1429" s="1">
        <v>1</v>
      </c>
      <c r="G1429" s="1">
        <v>13</v>
      </c>
      <c r="H1429" s="1">
        <v>19</v>
      </c>
      <c r="I1429" s="1">
        <v>13</v>
      </c>
      <c r="J1429" s="1">
        <v>18</v>
      </c>
      <c r="K1429" s="1">
        <v>10</v>
      </c>
      <c r="L1429" s="1">
        <v>7</v>
      </c>
      <c r="M1429" s="1">
        <v>8</v>
      </c>
      <c r="N1429" s="1">
        <v>1</v>
      </c>
      <c r="O1429" s="1">
        <v>1</v>
      </c>
      <c r="P1429" s="1">
        <v>1</v>
      </c>
      <c r="Q1429" s="1">
        <v>3</v>
      </c>
      <c r="R1429" s="1">
        <v>3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52</v>
      </c>
      <c r="AA1429" s="1" t="str" cm="1">
        <f t="array" ref="AA1429">_xlfn.IFS(AND(Z1429&lt;36, Z1429&gt;23), "24-35", AND(Z1429&lt;51, Z1429&gt;35),"36-50", AND(Z1429&lt;66, Z1429&gt;50), "51-66", Z1429&gt;65, "66+", TRUE, "?")</f>
        <v>51-66</v>
      </c>
      <c r="AB1429" s="1">
        <v>2518</v>
      </c>
      <c r="AC1429" s="1">
        <v>0</v>
      </c>
      <c r="AD1429" s="1">
        <v>1</v>
      </c>
      <c r="AE1429" s="1">
        <v>0</v>
      </c>
      <c r="AF1429" s="1">
        <v>0</v>
      </c>
      <c r="AG1429" s="1">
        <v>0</v>
      </c>
      <c r="AH1429" s="1">
        <v>1</v>
      </c>
      <c r="AI1429" s="1">
        <v>0</v>
      </c>
      <c r="AJ1429" s="1">
        <v>0</v>
      </c>
      <c r="AK1429" s="1">
        <v>0</v>
      </c>
      <c r="AL1429" s="1">
        <v>59</v>
      </c>
      <c r="AM1429" s="2">
        <v>42331</v>
      </c>
      <c r="AN1429" t="str">
        <f t="shared" si="45"/>
        <v>48985,67,0.00136776564254364,0,1,13,19,13,18,10,7,8,1,1,1,3,3,0,0,0,0,0,0,0,52,51-66,2518,0,1,0,0,0,1,0,0,0,59,42331</v>
      </c>
    </row>
    <row r="1430" spans="1:40" ht="13" hidden="1" x14ac:dyDescent="0.15">
      <c r="A1430">
        <v>1120</v>
      </c>
      <c r="B1430" s="1">
        <v>58401</v>
      </c>
      <c r="C1430" s="1">
        <v>67</v>
      </c>
      <c r="D1430" s="4">
        <f t="shared" si="44"/>
        <v>1.1472406294412768E-3</v>
      </c>
      <c r="E1430" s="1">
        <v>0</v>
      </c>
      <c r="F1430" s="1">
        <v>1</v>
      </c>
      <c r="G1430" s="1">
        <v>55</v>
      </c>
      <c r="H1430" s="1">
        <v>10</v>
      </c>
      <c r="I1430" s="1">
        <v>0</v>
      </c>
      <c r="J1430" s="1">
        <v>11</v>
      </c>
      <c r="K1430" s="1">
        <v>17</v>
      </c>
      <c r="L1430" s="1">
        <v>29</v>
      </c>
      <c r="M1430" s="1">
        <v>29</v>
      </c>
      <c r="N1430" s="1">
        <v>1</v>
      </c>
      <c r="O1430" s="1">
        <v>1</v>
      </c>
      <c r="P1430" s="1">
        <v>2</v>
      </c>
      <c r="Q1430" s="1">
        <v>2</v>
      </c>
      <c r="R1430" s="1">
        <v>4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60</v>
      </c>
      <c r="AA1430" s="1" t="str" cm="1">
        <f t="array" ref="AA1430">_xlfn.IFS(AND(Z1430&lt;36, Z1430&gt;23), "24-35", AND(Z1430&lt;51, Z1430&gt;35),"36-50", AND(Z1430&lt;66, Z1430&gt;50), "51-66", Z1430&gt;65, "66+", TRUE, "?")</f>
        <v>51-66</v>
      </c>
      <c r="AB1430" s="1">
        <v>2229</v>
      </c>
      <c r="AC1430" s="1">
        <v>1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1</v>
      </c>
      <c r="AJ1430" s="1">
        <v>0</v>
      </c>
      <c r="AK1430" s="1">
        <v>0</v>
      </c>
      <c r="AL1430" s="1">
        <v>38</v>
      </c>
      <c r="AM1430" s="2">
        <v>42620</v>
      </c>
      <c r="AN1430" t="str">
        <f t="shared" si="45"/>
        <v>58401,67,0.00114724062944128,0,1,55,10,0,11,17,29,29,1,1,2,2,4,0,0,0,0,0,0,0,60,51-66,2229,1,0,0,0,0,0,1,0,0,38,42620</v>
      </c>
    </row>
    <row r="1431" spans="1:40" ht="13" hidden="1" x14ac:dyDescent="0.15">
      <c r="A1431">
        <v>1259</v>
      </c>
      <c r="B1431" s="1">
        <v>18929</v>
      </c>
      <c r="C1431" s="1">
        <v>67</v>
      </c>
      <c r="D1431" s="4">
        <f t="shared" si="44"/>
        <v>3.5395425009245073E-3</v>
      </c>
      <c r="E1431" s="1">
        <v>0</v>
      </c>
      <c r="F1431" s="1">
        <v>0</v>
      </c>
      <c r="G1431" s="1">
        <v>15</v>
      </c>
      <c r="H1431" s="1">
        <v>32</v>
      </c>
      <c r="I1431" s="1">
        <v>0</v>
      </c>
      <c r="J1431" s="1">
        <v>8</v>
      </c>
      <c r="K1431" s="1">
        <v>23</v>
      </c>
      <c r="L1431" s="1">
        <v>4</v>
      </c>
      <c r="M1431" s="1">
        <v>18</v>
      </c>
      <c r="N1431" s="1">
        <v>1</v>
      </c>
      <c r="O1431" s="1">
        <v>1</v>
      </c>
      <c r="P1431" s="1">
        <v>0</v>
      </c>
      <c r="Q1431" s="1">
        <v>4</v>
      </c>
      <c r="R1431" s="1">
        <v>6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30</v>
      </c>
      <c r="AA1431" s="1" t="str" cm="1">
        <f t="array" ref="AA1431">_xlfn.IFS(AND(Z1431&lt;36, Z1431&gt;23), "24-35", AND(Z1431&lt;51, Z1431&gt;35),"36-50", AND(Z1431&lt;66, Z1431&gt;50), "51-66", Z1431&gt;65, "66+", TRUE, "?")</f>
        <v>24-35</v>
      </c>
      <c r="AB1431" s="1">
        <v>2657</v>
      </c>
      <c r="AC1431" s="1">
        <v>0</v>
      </c>
      <c r="AD1431" s="1">
        <v>1</v>
      </c>
      <c r="AE1431" s="1">
        <v>0</v>
      </c>
      <c r="AF1431" s="1">
        <v>0</v>
      </c>
      <c r="AG1431" s="1">
        <v>0</v>
      </c>
      <c r="AH1431" s="1">
        <v>0</v>
      </c>
      <c r="AI1431" s="1">
        <v>1</v>
      </c>
      <c r="AJ1431" s="1">
        <v>0</v>
      </c>
      <c r="AK1431" s="1">
        <v>0</v>
      </c>
      <c r="AL1431" s="1">
        <v>49</v>
      </c>
      <c r="AM1431" s="2">
        <v>42192</v>
      </c>
      <c r="AN1431" t="str">
        <f t="shared" si="45"/>
        <v>18929,67,0.00353954250092451,0,0,15,32,0,8,23,4,18,1,1,0,4,6,0,0,0,0,0,0,0,30,24-35,2657,0,1,0,0,0,0,1,0,0,49,42192</v>
      </c>
    </row>
    <row r="1432" spans="1:40" ht="13" hidden="1" x14ac:dyDescent="0.15">
      <c r="A1432">
        <v>1424</v>
      </c>
      <c r="B1432" s="1">
        <v>31928</v>
      </c>
      <c r="C1432" s="1">
        <v>67</v>
      </c>
      <c r="D1432" s="4">
        <f t="shared" si="44"/>
        <v>2.0984715610122776E-3</v>
      </c>
      <c r="E1432" s="1">
        <v>1</v>
      </c>
      <c r="F1432" s="1">
        <v>0</v>
      </c>
      <c r="G1432" s="1">
        <v>5</v>
      </c>
      <c r="H1432" s="1">
        <v>33</v>
      </c>
      <c r="I1432" s="1">
        <v>4</v>
      </c>
      <c r="J1432" s="1">
        <v>24</v>
      </c>
      <c r="K1432" s="1">
        <v>4</v>
      </c>
      <c r="L1432" s="1">
        <v>2</v>
      </c>
      <c r="M1432" s="1">
        <v>5</v>
      </c>
      <c r="N1432" s="1">
        <v>2</v>
      </c>
      <c r="O1432" s="1">
        <v>3</v>
      </c>
      <c r="P1432" s="1">
        <v>0</v>
      </c>
      <c r="Q1432" s="1">
        <v>4</v>
      </c>
      <c r="R1432" s="1">
        <v>7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31</v>
      </c>
      <c r="AA1432" s="1" t="str" cm="1">
        <f t="array" ref="AA1432">_xlfn.IFS(AND(Z1432&lt;36, Z1432&gt;23), "24-35", AND(Z1432&lt;51, Z1432&gt;35),"36-50", AND(Z1432&lt;66, Z1432&gt;50), "51-66", Z1432&gt;65, "66+", TRUE, "?")</f>
        <v>24-35</v>
      </c>
      <c r="AB1432" s="1">
        <v>2252</v>
      </c>
      <c r="AC1432" s="1">
        <v>0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1</v>
      </c>
      <c r="AJ1432" s="1">
        <v>0</v>
      </c>
      <c r="AK1432" s="1">
        <v>0</v>
      </c>
      <c r="AL1432" s="1">
        <v>62</v>
      </c>
      <c r="AM1432" s="2">
        <v>42597</v>
      </c>
      <c r="AN1432" t="str">
        <f t="shared" si="45"/>
        <v>31928,67,0.00209847156101228,1,0,5,33,4,24,4,2,5,2,3,0,4,7,0,0,0,0,0,0,0,31,24-35,2252,0,0,0,1,0,0,1,0,0,62,42597</v>
      </c>
    </row>
    <row r="1433" spans="1:40" ht="13" hidden="1" x14ac:dyDescent="0.15">
      <c r="A1433">
        <v>1527</v>
      </c>
      <c r="B1433" s="1">
        <v>41473</v>
      </c>
      <c r="C1433" s="1">
        <v>67</v>
      </c>
      <c r="D1433" s="4">
        <f t="shared" si="44"/>
        <v>1.6155088852988692E-3</v>
      </c>
      <c r="E1433" s="1">
        <v>1</v>
      </c>
      <c r="F1433" s="1">
        <v>0</v>
      </c>
      <c r="G1433" s="1">
        <v>80</v>
      </c>
      <c r="H1433" s="1">
        <v>21</v>
      </c>
      <c r="I1433" s="1">
        <v>8</v>
      </c>
      <c r="J1433" s="1">
        <v>20</v>
      </c>
      <c r="K1433" s="1">
        <v>15</v>
      </c>
      <c r="L1433" s="1">
        <v>3</v>
      </c>
      <c r="M1433" s="1">
        <v>9</v>
      </c>
      <c r="N1433" s="1">
        <v>1</v>
      </c>
      <c r="O1433" s="1">
        <v>2</v>
      </c>
      <c r="P1433" s="1">
        <v>0</v>
      </c>
      <c r="Q1433" s="1">
        <v>3</v>
      </c>
      <c r="R1433" s="1">
        <v>7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35</v>
      </c>
      <c r="AA1433" s="1" t="str" cm="1">
        <f t="array" ref="AA1433">_xlfn.IFS(AND(Z1433&lt;36, Z1433&gt;23), "24-35", AND(Z1433&lt;51, Z1433&gt;35),"36-50", AND(Z1433&lt;66, Z1433&gt;50), "51-66", Z1433&gt;65, "66+", TRUE, "?")</f>
        <v>24-35</v>
      </c>
      <c r="AB1433" s="1">
        <v>2534</v>
      </c>
      <c r="AC1433" s="1">
        <v>0</v>
      </c>
      <c r="AD1433" s="1">
        <v>0</v>
      </c>
      <c r="AE1433" s="1">
        <v>1</v>
      </c>
      <c r="AF1433" s="1">
        <v>0</v>
      </c>
      <c r="AG1433" s="1">
        <v>0</v>
      </c>
      <c r="AH1433" s="1">
        <v>1</v>
      </c>
      <c r="AI1433" s="1">
        <v>0</v>
      </c>
      <c r="AJ1433" s="1">
        <v>0</v>
      </c>
      <c r="AK1433" s="1">
        <v>0</v>
      </c>
      <c r="AL1433" s="1">
        <v>58</v>
      </c>
      <c r="AM1433" s="2">
        <v>42315</v>
      </c>
      <c r="AN1433" t="str">
        <f t="shared" si="45"/>
        <v>41473,67,0.00161550888529887,1,0,80,21,8,20,15,3,9,1,2,0,3,7,0,0,0,0,0,0,0,35,24-35,2534,0,0,1,0,0,1,0,0,0,58,42315</v>
      </c>
    </row>
    <row r="1434" spans="1:40" ht="13" hidden="1" x14ac:dyDescent="0.15">
      <c r="A1434">
        <v>1639</v>
      </c>
      <c r="B1434" s="1">
        <v>36273</v>
      </c>
      <c r="C1434" s="1">
        <v>67</v>
      </c>
      <c r="D1434" s="4">
        <f t="shared" si="44"/>
        <v>1.8471039064869186E-3</v>
      </c>
      <c r="E1434" s="1">
        <v>1</v>
      </c>
      <c r="F1434" s="1">
        <v>0</v>
      </c>
      <c r="G1434" s="1">
        <v>80</v>
      </c>
      <c r="H1434" s="1">
        <v>29</v>
      </c>
      <c r="I1434" s="1">
        <v>3</v>
      </c>
      <c r="J1434" s="1">
        <v>30</v>
      </c>
      <c r="K1434" s="1">
        <v>3</v>
      </c>
      <c r="L1434" s="1">
        <v>2</v>
      </c>
      <c r="M1434" s="1">
        <v>9</v>
      </c>
      <c r="N1434" s="1">
        <v>2</v>
      </c>
      <c r="O1434" s="1">
        <v>3</v>
      </c>
      <c r="P1434" s="1">
        <v>0</v>
      </c>
      <c r="Q1434" s="1">
        <v>3</v>
      </c>
      <c r="R1434" s="1">
        <v>6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43</v>
      </c>
      <c r="AA1434" s="1" t="str" cm="1">
        <f t="array" ref="AA1434">_xlfn.IFS(AND(Z1434&lt;36, Z1434&gt;23), "24-35", AND(Z1434&lt;51, Z1434&gt;35),"36-50", AND(Z1434&lt;66, Z1434&gt;50), "51-66", Z1434&gt;65, "66+", TRUE, "?")</f>
        <v>36-50</v>
      </c>
      <c r="AB1434" s="1">
        <v>2233</v>
      </c>
      <c r="AC1434" s="1">
        <v>0</v>
      </c>
      <c r="AD1434" s="1">
        <v>0</v>
      </c>
      <c r="AE1434" s="1">
        <v>1</v>
      </c>
      <c r="AF1434" s="1">
        <v>0</v>
      </c>
      <c r="AG1434" s="1">
        <v>0</v>
      </c>
      <c r="AH1434" s="1">
        <v>0</v>
      </c>
      <c r="AI1434" s="1">
        <v>0</v>
      </c>
      <c r="AJ1434" s="1">
        <v>1</v>
      </c>
      <c r="AK1434" s="1">
        <v>0</v>
      </c>
      <c r="AL1434" s="1">
        <v>58</v>
      </c>
      <c r="AM1434" s="2">
        <v>42616</v>
      </c>
      <c r="AN1434" t="str">
        <f t="shared" si="45"/>
        <v>36273,67,0.00184710390648692,1,0,80,29,3,30,3,2,9,2,3,0,3,6,0,0,0,0,0,0,0,43,36-50,2233,0,0,1,0,0,0,0,1,0,58,42616</v>
      </c>
    </row>
    <row r="1435" spans="1:40" ht="13" hidden="1" x14ac:dyDescent="0.15">
      <c r="A1435">
        <v>1726</v>
      </c>
      <c r="B1435" s="1">
        <v>31158</v>
      </c>
      <c r="C1435" s="1">
        <v>67</v>
      </c>
      <c r="D1435" s="4">
        <f t="shared" si="44"/>
        <v>2.1503305732075229E-3</v>
      </c>
      <c r="E1435" s="1">
        <v>1</v>
      </c>
      <c r="F1435" s="1">
        <v>0</v>
      </c>
      <c r="G1435" s="1">
        <v>62</v>
      </c>
      <c r="H1435" s="1">
        <v>25</v>
      </c>
      <c r="I1435" s="1">
        <v>6</v>
      </c>
      <c r="J1435" s="1">
        <v>16</v>
      </c>
      <c r="K1435" s="1">
        <v>20</v>
      </c>
      <c r="L1435" s="1">
        <v>0</v>
      </c>
      <c r="M1435" s="1">
        <v>5</v>
      </c>
      <c r="N1435" s="1">
        <v>2</v>
      </c>
      <c r="O1435" s="1">
        <v>2</v>
      </c>
      <c r="P1435" s="1">
        <v>0</v>
      </c>
      <c r="Q1435" s="1">
        <v>3</v>
      </c>
      <c r="R1435" s="1">
        <v>8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35</v>
      </c>
      <c r="AA1435" s="1" t="str" cm="1">
        <f t="array" ref="AA1435">_xlfn.IFS(AND(Z1435&lt;36, Z1435&gt;23), "24-35", AND(Z1435&lt;51, Z1435&gt;35),"36-50", AND(Z1435&lt;66, Z1435&gt;50), "51-66", Z1435&gt;65, "66+", TRUE, "?")</f>
        <v>24-35</v>
      </c>
      <c r="AB1435" s="1">
        <v>2677</v>
      </c>
      <c r="AC1435" s="1">
        <v>0</v>
      </c>
      <c r="AD1435" s="1">
        <v>1</v>
      </c>
      <c r="AE1435" s="1">
        <v>0</v>
      </c>
      <c r="AF1435" s="1">
        <v>0</v>
      </c>
      <c r="AG1435" s="1">
        <v>0</v>
      </c>
      <c r="AH1435" s="1">
        <v>0</v>
      </c>
      <c r="AI1435" s="1">
        <v>1</v>
      </c>
      <c r="AJ1435" s="1">
        <v>0</v>
      </c>
      <c r="AK1435" s="1">
        <v>0</v>
      </c>
      <c r="AL1435" s="1">
        <v>62</v>
      </c>
      <c r="AM1435" s="2">
        <v>42172</v>
      </c>
      <c r="AN1435" t="str">
        <f t="shared" si="45"/>
        <v>31158,67,0.00215033057320752,1,0,62,25,6,16,20,0,5,2,2,0,3,8,0,0,0,0,0,0,0,35,24-35,2677,0,1,0,0,0,0,1,0,0,62,42172</v>
      </c>
    </row>
    <row r="1436" spans="1:40" ht="13" x14ac:dyDescent="0.15">
      <c r="A1436">
        <v>1763</v>
      </c>
      <c r="B1436" s="1">
        <v>27242</v>
      </c>
      <c r="C1436" s="1">
        <v>67</v>
      </c>
      <c r="D1436" s="4">
        <f t="shared" si="44"/>
        <v>2.4594376330665884E-3</v>
      </c>
      <c r="E1436" s="1">
        <v>1</v>
      </c>
      <c r="F1436" s="1">
        <v>0</v>
      </c>
      <c r="G1436" s="1">
        <v>2</v>
      </c>
      <c r="H1436" s="1">
        <v>3</v>
      </c>
      <c r="I1436" s="1">
        <v>17</v>
      </c>
      <c r="J1436" s="1">
        <v>26</v>
      </c>
      <c r="K1436" s="1">
        <v>20</v>
      </c>
      <c r="L1436" s="1">
        <v>1</v>
      </c>
      <c r="M1436" s="1">
        <v>39</v>
      </c>
      <c r="N1436" s="1">
        <v>2</v>
      </c>
      <c r="O1436" s="1">
        <v>2</v>
      </c>
      <c r="P1436" s="1">
        <v>0</v>
      </c>
      <c r="Q1436" s="1">
        <v>3</v>
      </c>
      <c r="R1436" s="1">
        <v>9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1</v>
      </c>
      <c r="Z1436" s="1">
        <v>50</v>
      </c>
      <c r="AA1436" s="1" t="str" cm="1">
        <f t="array" ref="AA1436">_xlfn.IFS(AND(Z1436&lt;36, Z1436&gt;23), "24-35", AND(Z1436&lt;51, Z1436&gt;35),"36-50", AND(Z1436&lt;66, Z1436&gt;50), "51-66", Z1436&gt;65, "66+", TRUE, "?")</f>
        <v>36-50</v>
      </c>
      <c r="AB1436" s="1">
        <v>2754</v>
      </c>
      <c r="AC1436" s="1">
        <v>0</v>
      </c>
      <c r="AD1436" s="1">
        <v>0</v>
      </c>
      <c r="AE1436" s="1">
        <v>1</v>
      </c>
      <c r="AF1436" s="1">
        <v>0</v>
      </c>
      <c r="AG1436" s="1">
        <v>0</v>
      </c>
      <c r="AH1436" s="1">
        <v>0</v>
      </c>
      <c r="AI1436" s="1">
        <v>1</v>
      </c>
      <c r="AJ1436" s="1">
        <v>0</v>
      </c>
      <c r="AK1436" s="1">
        <v>0</v>
      </c>
      <c r="AL1436" s="1">
        <v>28</v>
      </c>
      <c r="AM1436" s="2">
        <v>42095</v>
      </c>
      <c r="AN1436" t="str">
        <f t="shared" si="45"/>
        <v>27242,67,0.00245943763306659,1,0,2,3,17,26,20,1,39,2,2,0,3,9,0,0,0,0,0,0,1,50,36-50,2754,0,0,1,0,0,0,1,0,0,28,42095</v>
      </c>
    </row>
    <row r="1437" spans="1:40" ht="13" x14ac:dyDescent="0.15">
      <c r="A1437">
        <v>1762</v>
      </c>
      <c r="B1437" s="1">
        <v>27213</v>
      </c>
      <c r="C1437" s="1">
        <v>67</v>
      </c>
      <c r="D1437" s="4">
        <f t="shared" si="44"/>
        <v>2.462058574945798E-3</v>
      </c>
      <c r="E1437" s="1">
        <v>1</v>
      </c>
      <c r="F1437" s="1">
        <v>0</v>
      </c>
      <c r="G1437" s="1">
        <v>19</v>
      </c>
      <c r="H1437" s="1">
        <v>19</v>
      </c>
      <c r="I1437" s="1">
        <v>3</v>
      </c>
      <c r="J1437" s="1">
        <v>26</v>
      </c>
      <c r="K1437" s="1">
        <v>10</v>
      </c>
      <c r="L1437" s="1">
        <v>9</v>
      </c>
      <c r="M1437" s="1">
        <v>3</v>
      </c>
      <c r="N1437" s="1">
        <v>3</v>
      </c>
      <c r="O1437" s="1">
        <v>2</v>
      </c>
      <c r="P1437" s="1">
        <v>0</v>
      </c>
      <c r="Q1437" s="1">
        <v>4</v>
      </c>
      <c r="R1437" s="1">
        <v>8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1</v>
      </c>
      <c r="Z1437" s="1">
        <v>48</v>
      </c>
      <c r="AA1437" s="1" t="str" cm="1">
        <f t="array" ref="AA1437">_xlfn.IFS(AND(Z1437&lt;36, Z1437&gt;23), "24-35", AND(Z1437&lt;51, Z1437&gt;35),"36-50", AND(Z1437&lt;66, Z1437&gt;50), "51-66", Z1437&gt;65, "66+", TRUE, "?")</f>
        <v>36-50</v>
      </c>
      <c r="AB1437" s="1">
        <v>2827</v>
      </c>
      <c r="AC1437" s="1">
        <v>0</v>
      </c>
      <c r="AD1437" s="1">
        <v>0</v>
      </c>
      <c r="AE1437" s="1">
        <v>1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1</v>
      </c>
      <c r="AL1437" s="1">
        <v>64</v>
      </c>
      <c r="AM1437" s="2">
        <v>42022</v>
      </c>
      <c r="AN1437" t="str">
        <f t="shared" si="45"/>
        <v>27213,67,0.0024620585749458,1,0,19,19,3,26,10,9,3,3,2,0,4,8,0,0,0,0,0,0,1,48,36-50,2827,0,0,1,0,0,0,0,0,1,64,42022</v>
      </c>
    </row>
    <row r="1438" spans="1:40" ht="13" hidden="1" x14ac:dyDescent="0.15">
      <c r="A1438">
        <v>1857</v>
      </c>
      <c r="B1438" s="1">
        <v>38680</v>
      </c>
      <c r="C1438" s="1">
        <v>67</v>
      </c>
      <c r="D1438" s="4">
        <f t="shared" si="44"/>
        <v>1.7321613236814892E-3</v>
      </c>
      <c r="E1438" s="1">
        <v>1</v>
      </c>
      <c r="F1438" s="1">
        <v>0</v>
      </c>
      <c r="G1438" s="1">
        <v>97</v>
      </c>
      <c r="H1438" s="1">
        <v>11</v>
      </c>
      <c r="I1438" s="1">
        <v>0</v>
      </c>
      <c r="J1438" s="1">
        <v>36</v>
      </c>
      <c r="K1438" s="1">
        <v>15</v>
      </c>
      <c r="L1438" s="1">
        <v>5</v>
      </c>
      <c r="M1438" s="1">
        <v>12</v>
      </c>
      <c r="N1438" s="1">
        <v>1</v>
      </c>
      <c r="O1438" s="1">
        <v>2</v>
      </c>
      <c r="P1438" s="1">
        <v>0</v>
      </c>
      <c r="Q1438" s="1">
        <v>3</v>
      </c>
      <c r="R1438" s="1">
        <v>7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36</v>
      </c>
      <c r="AA1438" s="1" t="str" cm="1">
        <f t="array" ref="AA1438">_xlfn.IFS(AND(Z1438&lt;36, Z1438&gt;23), "24-35", AND(Z1438&lt;51, Z1438&gt;35),"36-50", AND(Z1438&lt;66, Z1438&gt;50), "51-66", Z1438&gt;65, "66+", TRUE, "?")</f>
        <v>36-50</v>
      </c>
      <c r="AB1438" s="1">
        <v>2617</v>
      </c>
      <c r="AC1438" s="1">
        <v>0</v>
      </c>
      <c r="AD1438" s="1">
        <v>1</v>
      </c>
      <c r="AE1438" s="1">
        <v>0</v>
      </c>
      <c r="AF1438" s="1">
        <v>0</v>
      </c>
      <c r="AG1438" s="1">
        <v>0</v>
      </c>
      <c r="AH1438" s="1">
        <v>0</v>
      </c>
      <c r="AI1438" s="1">
        <v>1</v>
      </c>
      <c r="AJ1438" s="1">
        <v>0</v>
      </c>
      <c r="AK1438" s="1">
        <v>0</v>
      </c>
      <c r="AL1438" s="1">
        <v>55</v>
      </c>
      <c r="AM1438" s="2">
        <v>42232</v>
      </c>
      <c r="AN1438" t="str">
        <f t="shared" si="45"/>
        <v>38680,67,0.00173216132368149,1,0,97,11,0,36,15,5,12,1,2,0,3,7,0,0,0,0,0,0,0,36,36-50,2617,0,1,0,0,0,0,1,0,0,55,42232</v>
      </c>
    </row>
    <row r="1439" spans="1:40" ht="13" hidden="1" x14ac:dyDescent="0.15">
      <c r="A1439">
        <v>1872</v>
      </c>
      <c r="B1439" s="1">
        <v>36927</v>
      </c>
      <c r="C1439" s="1">
        <v>67</v>
      </c>
      <c r="D1439" s="4">
        <f t="shared" si="44"/>
        <v>1.814390554336935E-3</v>
      </c>
      <c r="E1439" s="1">
        <v>1</v>
      </c>
      <c r="F1439" s="1">
        <v>1</v>
      </c>
      <c r="G1439" s="1">
        <v>46</v>
      </c>
      <c r="H1439" s="1">
        <v>51</v>
      </c>
      <c r="I1439" s="1">
        <v>0</v>
      </c>
      <c r="J1439" s="1">
        <v>16</v>
      </c>
      <c r="K1439" s="1">
        <v>0</v>
      </c>
      <c r="L1439" s="1">
        <v>0</v>
      </c>
      <c r="M1439" s="1">
        <v>4</v>
      </c>
      <c r="N1439" s="1">
        <v>2</v>
      </c>
      <c r="O1439" s="1">
        <v>3</v>
      </c>
      <c r="P1439" s="1">
        <v>0</v>
      </c>
      <c r="Q1439" s="1">
        <v>3</v>
      </c>
      <c r="R1439" s="1">
        <v>8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65</v>
      </c>
      <c r="AA1439" s="1" t="str" cm="1">
        <f t="array" ref="AA1439">_xlfn.IFS(AND(Z1439&lt;36, Z1439&gt;23), "24-35", AND(Z1439&lt;51, Z1439&gt;35),"36-50", AND(Z1439&lt;66, Z1439&gt;50), "51-66", Z1439&gt;65, "66+", TRUE, "?")</f>
        <v>51-66</v>
      </c>
      <c r="AB1439" s="1">
        <v>2186</v>
      </c>
      <c r="AC1439" s="1">
        <v>0</v>
      </c>
      <c r="AD1439" s="1">
        <v>0</v>
      </c>
      <c r="AE1439" s="1">
        <v>1</v>
      </c>
      <c r="AF1439" s="1">
        <v>0</v>
      </c>
      <c r="AG1439" s="1">
        <v>0</v>
      </c>
      <c r="AH1439" s="1">
        <v>0</v>
      </c>
      <c r="AI1439" s="1">
        <v>0</v>
      </c>
      <c r="AJ1439" s="1">
        <v>1</v>
      </c>
      <c r="AK1439" s="1">
        <v>0</v>
      </c>
      <c r="AL1439" s="1">
        <v>63</v>
      </c>
      <c r="AM1439" s="2">
        <v>42663</v>
      </c>
      <c r="AN1439" t="str">
        <f t="shared" si="45"/>
        <v>36927,67,0.00181439055433694,1,1,46,51,0,16,0,0,4,2,3,0,3,8,0,0,0,0,0,0,0,65,51-66,2186,0,0,1,0,0,0,0,1,0,63,42663</v>
      </c>
    </row>
    <row r="1440" spans="1:40" ht="13" hidden="1" x14ac:dyDescent="0.15">
      <c r="A1440">
        <v>1939</v>
      </c>
      <c r="B1440" s="1">
        <v>36997</v>
      </c>
      <c r="C1440" s="1">
        <v>67</v>
      </c>
      <c r="D1440" s="4">
        <f t="shared" si="44"/>
        <v>1.8109576452144769E-3</v>
      </c>
      <c r="E1440" s="1">
        <v>1</v>
      </c>
      <c r="F1440" s="1">
        <v>1</v>
      </c>
      <c r="G1440" s="1">
        <v>72</v>
      </c>
      <c r="H1440" s="1">
        <v>43</v>
      </c>
      <c r="I1440" s="1">
        <v>4</v>
      </c>
      <c r="J1440" s="1">
        <v>12</v>
      </c>
      <c r="K1440" s="1">
        <v>8</v>
      </c>
      <c r="L1440" s="1">
        <v>0</v>
      </c>
      <c r="M1440" s="1">
        <v>27</v>
      </c>
      <c r="N1440" s="1">
        <v>5</v>
      </c>
      <c r="O1440" s="1">
        <v>2</v>
      </c>
      <c r="P1440" s="1">
        <v>1</v>
      </c>
      <c r="Q1440" s="1">
        <v>4</v>
      </c>
      <c r="R1440" s="1">
        <v>5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52</v>
      </c>
      <c r="AA1440" s="1" t="str" cm="1">
        <f t="array" ref="AA1440">_xlfn.IFS(AND(Z1440&lt;36, Z1440&gt;23), "24-35", AND(Z1440&lt;51, Z1440&gt;35),"36-50", AND(Z1440&lt;66, Z1440&gt;50), "51-66", Z1440&gt;65, "66+", TRUE, "?")</f>
        <v>51-66</v>
      </c>
      <c r="AB1440" s="1">
        <v>2672</v>
      </c>
      <c r="AC1440" s="1">
        <v>1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1</v>
      </c>
      <c r="AJ1440" s="1">
        <v>0</v>
      </c>
      <c r="AK1440" s="1">
        <v>0</v>
      </c>
      <c r="AL1440" s="1">
        <v>40</v>
      </c>
      <c r="AM1440" s="2">
        <v>42177</v>
      </c>
      <c r="AN1440" t="str">
        <f t="shared" si="45"/>
        <v>36997,67,0.00181095764521448,1,1,72,43,4,12,8,0,27,5,2,1,4,5,0,0,0,0,0,0,0,52,51-66,2672,1,0,0,0,0,0,1,0,0,40,42177</v>
      </c>
    </row>
    <row r="1441" spans="1:40" ht="13" hidden="1" x14ac:dyDescent="0.15">
      <c r="A1441">
        <v>528</v>
      </c>
      <c r="B1441" s="1">
        <v>33039</v>
      </c>
      <c r="C1441" s="1">
        <v>66</v>
      </c>
      <c r="D1441" s="4">
        <f t="shared" si="44"/>
        <v>1.997639153727413E-3</v>
      </c>
      <c r="E1441" s="1">
        <v>1</v>
      </c>
      <c r="F1441" s="1">
        <v>0</v>
      </c>
      <c r="G1441" s="1">
        <v>4</v>
      </c>
      <c r="H1441" s="1">
        <v>30</v>
      </c>
      <c r="I1441" s="1">
        <v>8</v>
      </c>
      <c r="J1441" s="1">
        <v>12</v>
      </c>
      <c r="K1441" s="1">
        <v>8</v>
      </c>
      <c r="L1441" s="1">
        <v>8</v>
      </c>
      <c r="M1441" s="1">
        <v>12</v>
      </c>
      <c r="N1441" s="1">
        <v>1</v>
      </c>
      <c r="O1441" s="1">
        <v>2</v>
      </c>
      <c r="P1441" s="1">
        <v>0</v>
      </c>
      <c r="Q1441" s="1">
        <v>4</v>
      </c>
      <c r="R1441" s="1">
        <v>5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42</v>
      </c>
      <c r="AA1441" s="1" t="str" cm="1">
        <f t="array" ref="AA1441">_xlfn.IFS(AND(Z1441&lt;36, Z1441&gt;23), "24-35", AND(Z1441&lt;51, Z1441&gt;35),"36-50", AND(Z1441&lt;66, Z1441&gt;50), "51-66", Z1441&gt;65, "66+", TRUE, "?")</f>
        <v>36-50</v>
      </c>
      <c r="AB1441" s="1">
        <v>2452</v>
      </c>
      <c r="AC1441" s="1">
        <v>0</v>
      </c>
      <c r="AD1441" s="1">
        <v>1</v>
      </c>
      <c r="AE1441" s="1">
        <v>0</v>
      </c>
      <c r="AF1441" s="1">
        <v>0</v>
      </c>
      <c r="AG1441" s="1">
        <v>0</v>
      </c>
      <c r="AH1441" s="1">
        <v>0</v>
      </c>
      <c r="AI1441" s="1">
        <v>1</v>
      </c>
      <c r="AJ1441" s="1">
        <v>0</v>
      </c>
      <c r="AK1441" s="1">
        <v>0</v>
      </c>
      <c r="AL1441" s="1">
        <v>54</v>
      </c>
      <c r="AM1441" s="2">
        <v>42397</v>
      </c>
      <c r="AN1441" t="str">
        <f t="shared" si="45"/>
        <v>33039,66,0.00199763915372741,1,0,4,30,8,12,8,8,12,1,2,0,4,5,0,0,0,0,0,0,0,42,36-50,2452,0,1,0,0,0,0,1,0,0,54,42397</v>
      </c>
    </row>
    <row r="1442" spans="1:40" ht="13" hidden="1" x14ac:dyDescent="0.15">
      <c r="A1442">
        <v>915</v>
      </c>
      <c r="B1442" s="1">
        <v>15716</v>
      </c>
      <c r="C1442" s="1">
        <v>66</v>
      </c>
      <c r="D1442" s="4">
        <f t="shared" si="44"/>
        <v>4.1995418681598368E-3</v>
      </c>
      <c r="E1442" s="1">
        <v>1</v>
      </c>
      <c r="F1442" s="1">
        <v>0</v>
      </c>
      <c r="G1442" s="1">
        <v>8</v>
      </c>
      <c r="H1442" s="1">
        <v>16</v>
      </c>
      <c r="I1442" s="1">
        <v>5</v>
      </c>
      <c r="J1442" s="1">
        <v>30</v>
      </c>
      <c r="K1442" s="1">
        <v>8</v>
      </c>
      <c r="L1442" s="1">
        <v>7</v>
      </c>
      <c r="M1442" s="1">
        <v>26</v>
      </c>
      <c r="N1442" s="1">
        <v>3</v>
      </c>
      <c r="O1442" s="1">
        <v>3</v>
      </c>
      <c r="P1442" s="1">
        <v>0</v>
      </c>
      <c r="Q1442" s="1">
        <v>4</v>
      </c>
      <c r="R1442" s="1">
        <v>8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1</v>
      </c>
      <c r="Y1442" s="1">
        <v>0</v>
      </c>
      <c r="Z1442" s="1">
        <v>32</v>
      </c>
      <c r="AA1442" s="1" t="str" cm="1">
        <f t="array" ref="AA1442">_xlfn.IFS(AND(Z1442&lt;36, Z1442&gt;23), "24-35", AND(Z1442&lt;51, Z1442&gt;35),"36-50", AND(Z1442&lt;66, Z1442&gt;50), "51-66", Z1442&gt;65, "66+", TRUE, "?")</f>
        <v>24-35</v>
      </c>
      <c r="AB1442" s="1">
        <v>2753</v>
      </c>
      <c r="AC1442" s="1">
        <v>0</v>
      </c>
      <c r="AD1442" s="1">
        <v>1</v>
      </c>
      <c r="AE1442" s="1">
        <v>0</v>
      </c>
      <c r="AF1442" s="1">
        <v>0</v>
      </c>
      <c r="AG1442" s="1">
        <v>0</v>
      </c>
      <c r="AH1442" s="1">
        <v>1</v>
      </c>
      <c r="AI1442" s="1">
        <v>0</v>
      </c>
      <c r="AJ1442" s="1">
        <v>0</v>
      </c>
      <c r="AK1442" s="1">
        <v>0</v>
      </c>
      <c r="AL1442" s="1">
        <v>40</v>
      </c>
      <c r="AM1442" s="2">
        <v>42096</v>
      </c>
      <c r="AN1442" t="str">
        <f t="shared" si="45"/>
        <v>15716,66,0.00419954186815984,1,0,8,16,5,30,8,7,26,3,3,0,4,8,0,0,0,0,0,1,0,32,24-35,2753,0,1,0,0,0,1,0,0,0,40,42096</v>
      </c>
    </row>
    <row r="1443" spans="1:40" ht="13" hidden="1" x14ac:dyDescent="0.15">
      <c r="A1443">
        <v>1324</v>
      </c>
      <c r="B1443" s="1">
        <v>28164</v>
      </c>
      <c r="C1443" s="1">
        <v>66</v>
      </c>
      <c r="D1443" s="4">
        <f t="shared" si="44"/>
        <v>2.3434171282488282E-3</v>
      </c>
      <c r="E1443" s="1">
        <v>1</v>
      </c>
      <c r="F1443" s="1">
        <v>0</v>
      </c>
      <c r="G1443" s="1">
        <v>23</v>
      </c>
      <c r="H1443" s="1">
        <v>3</v>
      </c>
      <c r="I1443" s="1">
        <v>18</v>
      </c>
      <c r="J1443" s="1">
        <v>26</v>
      </c>
      <c r="K1443" s="1">
        <v>11</v>
      </c>
      <c r="L1443" s="1">
        <v>8</v>
      </c>
      <c r="M1443" s="1">
        <v>12</v>
      </c>
      <c r="N1443" s="1">
        <v>3</v>
      </c>
      <c r="O1443" s="1">
        <v>2</v>
      </c>
      <c r="P1443" s="1">
        <v>0</v>
      </c>
      <c r="Q1443" s="1">
        <v>4</v>
      </c>
      <c r="R1443" s="1">
        <v>7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50</v>
      </c>
      <c r="AA1443" s="1" t="str" cm="1">
        <f t="array" ref="AA1443">_xlfn.IFS(AND(Z1443&lt;36, Z1443&gt;23), "24-35", AND(Z1443&lt;51, Z1443&gt;35),"36-50", AND(Z1443&lt;66, Z1443&gt;50), "51-66", Z1443&gt;65, "66+", TRUE, "?")</f>
        <v>36-50</v>
      </c>
      <c r="AB1443" s="1">
        <v>2580</v>
      </c>
      <c r="AC1443" s="1">
        <v>0</v>
      </c>
      <c r="AD1443" s="1">
        <v>1</v>
      </c>
      <c r="AE1443" s="1">
        <v>0</v>
      </c>
      <c r="AF1443" s="1">
        <v>0</v>
      </c>
      <c r="AG1443" s="1">
        <v>0</v>
      </c>
      <c r="AH1443" s="1">
        <v>0</v>
      </c>
      <c r="AI1443" s="1">
        <v>1</v>
      </c>
      <c r="AJ1443" s="1">
        <v>0</v>
      </c>
      <c r="AK1443" s="1">
        <v>0</v>
      </c>
      <c r="AL1443" s="1">
        <v>54</v>
      </c>
      <c r="AM1443" s="2">
        <v>42269</v>
      </c>
      <c r="AN1443" t="str">
        <f t="shared" si="45"/>
        <v>28164,66,0.00234341712824883,1,0,23,3,18,26,11,8,12,3,2,0,4,7,0,0,0,0,0,0,0,50,36-50,2580,0,1,0,0,0,0,1,0,0,54,42269</v>
      </c>
    </row>
    <row r="1444" spans="1:40" ht="13" hidden="1" x14ac:dyDescent="0.15">
      <c r="A1444">
        <v>1497</v>
      </c>
      <c r="B1444" s="1">
        <v>36301</v>
      </c>
      <c r="C1444" s="1">
        <v>66</v>
      </c>
      <c r="D1444" s="4">
        <f t="shared" si="44"/>
        <v>1.8181317319082119E-3</v>
      </c>
      <c r="E1444" s="1">
        <v>1</v>
      </c>
      <c r="F1444" s="1">
        <v>0</v>
      </c>
      <c r="G1444" s="1">
        <v>53</v>
      </c>
      <c r="H1444" s="1">
        <v>11</v>
      </c>
      <c r="I1444" s="1">
        <v>12</v>
      </c>
      <c r="J1444" s="1">
        <v>35</v>
      </c>
      <c r="K1444" s="1">
        <v>3</v>
      </c>
      <c r="L1444" s="1">
        <v>5</v>
      </c>
      <c r="M1444" s="1">
        <v>12</v>
      </c>
      <c r="N1444" s="1">
        <v>1</v>
      </c>
      <c r="O1444" s="1">
        <v>3</v>
      </c>
      <c r="P1444" s="1">
        <v>0</v>
      </c>
      <c r="Q1444" s="1">
        <v>3</v>
      </c>
      <c r="R1444" s="1">
        <v>7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44</v>
      </c>
      <c r="AA1444" s="1" t="str" cm="1">
        <f t="array" ref="AA1444">_xlfn.IFS(AND(Z1444&lt;36, Z1444&gt;23), "24-35", AND(Z1444&lt;51, Z1444&gt;35),"36-50", AND(Z1444&lt;66, Z1444&gt;50), "51-66", Z1444&gt;65, "66+", TRUE, "?")</f>
        <v>36-50</v>
      </c>
      <c r="AB1444" s="1">
        <v>2406</v>
      </c>
      <c r="AC1444" s="1">
        <v>0</v>
      </c>
      <c r="AD1444" s="1">
        <v>0</v>
      </c>
      <c r="AE1444" s="1">
        <v>0</v>
      </c>
      <c r="AF1444" s="1">
        <v>1</v>
      </c>
      <c r="AG1444" s="1">
        <v>0</v>
      </c>
      <c r="AH1444" s="1">
        <v>1</v>
      </c>
      <c r="AI1444" s="1">
        <v>0</v>
      </c>
      <c r="AJ1444" s="1">
        <v>0</v>
      </c>
      <c r="AK1444" s="1">
        <v>0</v>
      </c>
      <c r="AL1444" s="1">
        <v>54</v>
      </c>
      <c r="AM1444" s="2">
        <v>42443</v>
      </c>
      <c r="AN1444" t="str">
        <f t="shared" si="45"/>
        <v>36301,66,0.00181813173190821,1,0,53,11,12,35,3,5,12,1,3,0,3,7,0,0,0,0,0,0,0,44,36-50,2406,0,0,0,1,0,1,0,0,0,54,42443</v>
      </c>
    </row>
    <row r="1445" spans="1:40" ht="13" hidden="1" x14ac:dyDescent="0.15">
      <c r="A1445">
        <v>1539</v>
      </c>
      <c r="B1445" s="1">
        <v>33228</v>
      </c>
      <c r="C1445" s="1">
        <v>66</v>
      </c>
      <c r="D1445" s="4">
        <f t="shared" si="44"/>
        <v>1.9862766341639583E-3</v>
      </c>
      <c r="E1445" s="1">
        <v>1</v>
      </c>
      <c r="F1445" s="1">
        <v>0</v>
      </c>
      <c r="G1445" s="1">
        <v>28</v>
      </c>
      <c r="H1445" s="1">
        <v>22</v>
      </c>
      <c r="I1445" s="1">
        <v>2</v>
      </c>
      <c r="J1445" s="1">
        <v>31</v>
      </c>
      <c r="K1445" s="1">
        <v>7</v>
      </c>
      <c r="L1445" s="1">
        <v>4</v>
      </c>
      <c r="M1445" s="1">
        <v>5</v>
      </c>
      <c r="N1445" s="1">
        <v>1</v>
      </c>
      <c r="O1445" s="1">
        <v>2</v>
      </c>
      <c r="P1445" s="1">
        <v>0</v>
      </c>
      <c r="Q1445" s="1">
        <v>3</v>
      </c>
      <c r="R1445" s="1">
        <v>7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40</v>
      </c>
      <c r="AA1445" s="1" t="str" cm="1">
        <f t="array" ref="AA1445">_xlfn.IFS(AND(Z1445&lt;36, Z1445&gt;23), "24-35", AND(Z1445&lt;51, Z1445&gt;35),"36-50", AND(Z1445&lt;66, Z1445&gt;50), "51-66", Z1445&gt;65, "66+", TRUE, "?")</f>
        <v>36-50</v>
      </c>
      <c r="AB1445" s="1">
        <v>2316</v>
      </c>
      <c r="AC1445" s="1">
        <v>0</v>
      </c>
      <c r="AD1445" s="1">
        <v>1</v>
      </c>
      <c r="AE1445" s="1">
        <v>0</v>
      </c>
      <c r="AF1445" s="1">
        <v>0</v>
      </c>
      <c r="AG1445" s="1">
        <v>0</v>
      </c>
      <c r="AH1445" s="1">
        <v>0</v>
      </c>
      <c r="AI1445" s="1">
        <v>1</v>
      </c>
      <c r="AJ1445" s="1">
        <v>0</v>
      </c>
      <c r="AK1445" s="1">
        <v>0</v>
      </c>
      <c r="AL1445" s="1">
        <v>61</v>
      </c>
      <c r="AM1445" s="2">
        <v>42533</v>
      </c>
      <c r="AN1445" t="str">
        <f t="shared" si="45"/>
        <v>33228,66,0.00198627663416396,1,0,28,22,2,31,7,4,5,1,2,0,3,7,0,0,0,0,0,0,0,40,36-50,2316,0,1,0,0,0,0,1,0,0,61,42533</v>
      </c>
    </row>
    <row r="1446" spans="1:40" ht="13" hidden="1" x14ac:dyDescent="0.15">
      <c r="A1446">
        <v>1694</v>
      </c>
      <c r="B1446" s="1">
        <v>21024</v>
      </c>
      <c r="C1446" s="1">
        <v>66</v>
      </c>
      <c r="D1446" s="4">
        <f t="shared" si="44"/>
        <v>3.1392694063926939E-3</v>
      </c>
      <c r="E1446" s="1">
        <v>0</v>
      </c>
      <c r="F1446" s="1">
        <v>0</v>
      </c>
      <c r="G1446" s="1">
        <v>89</v>
      </c>
      <c r="H1446" s="1">
        <v>36</v>
      </c>
      <c r="I1446" s="1">
        <v>4</v>
      </c>
      <c r="J1446" s="1">
        <v>18</v>
      </c>
      <c r="K1446" s="1">
        <v>6</v>
      </c>
      <c r="L1446" s="1">
        <v>2</v>
      </c>
      <c r="M1446" s="1">
        <v>18</v>
      </c>
      <c r="N1446" s="1">
        <v>1</v>
      </c>
      <c r="O1446" s="1">
        <v>2</v>
      </c>
      <c r="P1446" s="1">
        <v>0</v>
      </c>
      <c r="Q1446" s="1">
        <v>4</v>
      </c>
      <c r="R1446" s="1">
        <v>7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44</v>
      </c>
      <c r="AA1446" s="1" t="str" cm="1">
        <f t="array" ref="AA1446">_xlfn.IFS(AND(Z1446&lt;36, Z1446&gt;23), "24-35", AND(Z1446&lt;51, Z1446&gt;35),"36-50", AND(Z1446&lt;66, Z1446&gt;50), "51-66", Z1446&gt;65, "66+", TRUE, "?")</f>
        <v>36-50</v>
      </c>
      <c r="AB1446" s="1">
        <v>2519</v>
      </c>
      <c r="AC1446" s="1">
        <v>0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0</v>
      </c>
      <c r="AJ1446" s="1">
        <v>1</v>
      </c>
      <c r="AK1446" s="1">
        <v>0</v>
      </c>
      <c r="AL1446" s="1">
        <v>48</v>
      </c>
      <c r="AM1446" s="2">
        <v>42330</v>
      </c>
      <c r="AN1446" t="str">
        <f t="shared" si="45"/>
        <v>21024,66,0.00313926940639269,0,0,89,36,4,18,6,2,18,1,2,0,4,7,0,0,0,0,0,0,0,44,36-50,2519,0,0,0,1,0,0,0,1,0,48,42330</v>
      </c>
    </row>
    <row r="1447" spans="1:40" ht="13" hidden="1" x14ac:dyDescent="0.15">
      <c r="A1447">
        <v>1848</v>
      </c>
      <c r="B1447" s="1">
        <v>7500</v>
      </c>
      <c r="C1447" s="1">
        <v>66</v>
      </c>
      <c r="D1447" s="4">
        <f t="shared" si="44"/>
        <v>8.8000000000000005E-3</v>
      </c>
      <c r="E1447" s="1">
        <v>1</v>
      </c>
      <c r="F1447" s="1">
        <v>0</v>
      </c>
      <c r="G1447" s="1">
        <v>98</v>
      </c>
      <c r="H1447" s="1">
        <v>5</v>
      </c>
      <c r="I1447" s="1">
        <v>17</v>
      </c>
      <c r="J1447" s="1">
        <v>17</v>
      </c>
      <c r="K1447" s="1">
        <v>13</v>
      </c>
      <c r="L1447" s="1">
        <v>14</v>
      </c>
      <c r="M1447" s="1">
        <v>34</v>
      </c>
      <c r="N1447" s="1">
        <v>4</v>
      </c>
      <c r="O1447" s="1">
        <v>2</v>
      </c>
      <c r="P1447" s="1">
        <v>1</v>
      </c>
      <c r="Q1447" s="1">
        <v>3</v>
      </c>
      <c r="R1447" s="1">
        <v>9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35</v>
      </c>
      <c r="AA1447" s="1" t="str" cm="1">
        <f t="array" ref="AA1447">_xlfn.IFS(AND(Z1447&lt;36, Z1447&gt;23), "24-35", AND(Z1447&lt;51, Z1447&gt;35),"36-50", AND(Z1447&lt;66, Z1447&gt;50), "51-66", Z1447&gt;65, "66+", TRUE, "?")</f>
        <v>24-35</v>
      </c>
      <c r="AB1447" s="1">
        <v>2856</v>
      </c>
      <c r="AC1447" s="1">
        <v>0</v>
      </c>
      <c r="AD1447" s="1">
        <v>0</v>
      </c>
      <c r="AE1447" s="1">
        <v>0</v>
      </c>
      <c r="AF1447" s="1">
        <v>1</v>
      </c>
      <c r="AG1447" s="1">
        <v>0</v>
      </c>
      <c r="AH1447" s="1">
        <v>1</v>
      </c>
      <c r="AI1447" s="1">
        <v>0</v>
      </c>
      <c r="AJ1447" s="1">
        <v>0</v>
      </c>
      <c r="AK1447" s="1">
        <v>0</v>
      </c>
      <c r="AL1447" s="1">
        <v>32</v>
      </c>
      <c r="AM1447" s="2">
        <v>41993</v>
      </c>
      <c r="AN1447" t="str">
        <f t="shared" si="45"/>
        <v>7500,66,0.0088,1,0,98,5,17,17,13,14,34,4,2,1,3,9,0,0,0,0,0,0,0,35,24-35,2856,0,0,0,1,0,1,0,0,0,32,41993</v>
      </c>
    </row>
    <row r="1448" spans="1:40" ht="13" hidden="1" x14ac:dyDescent="0.15">
      <c r="A1448">
        <v>307</v>
      </c>
      <c r="B1448" s="1">
        <v>33996</v>
      </c>
      <c r="C1448" s="1">
        <v>65</v>
      </c>
      <c r="D1448" s="4">
        <f t="shared" si="44"/>
        <v>1.9119896458406871E-3</v>
      </c>
      <c r="E1448" s="1">
        <v>0</v>
      </c>
      <c r="F1448" s="1">
        <v>0</v>
      </c>
      <c r="G1448" s="1">
        <v>46</v>
      </c>
      <c r="H1448" s="1">
        <v>40</v>
      </c>
      <c r="I1448" s="1">
        <v>2</v>
      </c>
      <c r="J1448" s="1">
        <v>15</v>
      </c>
      <c r="K1448" s="1">
        <v>8</v>
      </c>
      <c r="L1448" s="1">
        <v>0</v>
      </c>
      <c r="M1448" s="1">
        <v>6</v>
      </c>
      <c r="N1448" s="1">
        <v>1</v>
      </c>
      <c r="O1448" s="1">
        <v>1</v>
      </c>
      <c r="P1448" s="1">
        <v>1</v>
      </c>
      <c r="Q1448" s="1">
        <v>3</v>
      </c>
      <c r="R1448" s="1">
        <v>4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31</v>
      </c>
      <c r="AA1448" s="1" t="str" cm="1">
        <f t="array" ref="AA1448">_xlfn.IFS(AND(Z1448&lt;36, Z1448&gt;23), "24-35", AND(Z1448&lt;51, Z1448&gt;35),"36-50", AND(Z1448&lt;66, Z1448&gt;50), "51-66", Z1448&gt;65, "66+", TRUE, "?")</f>
        <v>24-35</v>
      </c>
      <c r="AB1448" s="1">
        <v>2450</v>
      </c>
      <c r="AC1448" s="1">
        <v>0</v>
      </c>
      <c r="AD1448" s="1">
        <v>0</v>
      </c>
      <c r="AE1448" s="1">
        <v>1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1</v>
      </c>
      <c r="AL1448" s="1">
        <v>59</v>
      </c>
      <c r="AM1448" s="2">
        <v>42399</v>
      </c>
      <c r="AN1448" t="str">
        <f t="shared" si="45"/>
        <v>33996,65,0.00191198964584069,0,0,46,40,2,15,8,0,6,1,1,1,3,4,0,0,0,0,0,0,0,31,24-35,2450,0,0,1,0,0,0,0,0,1,59,42399</v>
      </c>
    </row>
    <row r="1449" spans="1:40" ht="13" hidden="1" x14ac:dyDescent="0.15">
      <c r="A1449">
        <v>1659</v>
      </c>
      <c r="B1449" s="1">
        <v>44635</v>
      </c>
      <c r="C1449" s="1">
        <v>65</v>
      </c>
      <c r="D1449" s="4">
        <f t="shared" si="44"/>
        <v>1.4562563011089951E-3</v>
      </c>
      <c r="E1449" s="1">
        <v>1</v>
      </c>
      <c r="F1449" s="1">
        <v>1</v>
      </c>
      <c r="G1449" s="1">
        <v>25</v>
      </c>
      <c r="H1449" s="1">
        <v>56</v>
      </c>
      <c r="I1449" s="1">
        <v>0</v>
      </c>
      <c r="J1449" s="1">
        <v>9</v>
      </c>
      <c r="K1449" s="1">
        <v>0</v>
      </c>
      <c r="L1449" s="1">
        <v>0</v>
      </c>
      <c r="M1449" s="1">
        <v>3</v>
      </c>
      <c r="N1449" s="1">
        <v>2</v>
      </c>
      <c r="O1449" s="1">
        <v>2</v>
      </c>
      <c r="P1449" s="1">
        <v>0</v>
      </c>
      <c r="Q1449" s="1">
        <v>3</v>
      </c>
      <c r="R1449" s="1">
        <v>7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49</v>
      </c>
      <c r="AA1449" s="1" t="str" cm="1">
        <f t="array" ref="AA1449">_xlfn.IFS(AND(Z1449&lt;36, Z1449&gt;23), "24-35", AND(Z1449&lt;51, Z1449&gt;35),"36-50", AND(Z1449&lt;66, Z1449&gt;50), "51-66", Z1449&gt;65, "66+", TRUE, "?")</f>
        <v>36-50</v>
      </c>
      <c r="AB1449" s="1">
        <v>2420</v>
      </c>
      <c r="AC1449" s="1">
        <v>1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1</v>
      </c>
      <c r="AK1449" s="1">
        <v>0</v>
      </c>
      <c r="AL1449" s="1">
        <v>62</v>
      </c>
      <c r="AM1449" s="2">
        <v>42429</v>
      </c>
      <c r="AN1449" t="str">
        <f t="shared" si="45"/>
        <v>44635,65,0.001456256301109,1,1,25,56,0,9,0,0,3,2,2,0,3,7,0,0,0,0,0,0,0,49,36-50,2420,1,0,0,0,0,0,0,1,0,62,42429</v>
      </c>
    </row>
    <row r="1450" spans="1:40" ht="13" x14ac:dyDescent="0.15">
      <c r="A1450">
        <v>1766</v>
      </c>
      <c r="B1450" s="1">
        <v>37126</v>
      </c>
      <c r="C1450" s="1">
        <v>65</v>
      </c>
      <c r="D1450" s="4">
        <f t="shared" si="44"/>
        <v>1.7507945913914776E-3</v>
      </c>
      <c r="E1450" s="1">
        <v>1</v>
      </c>
      <c r="F1450" s="1">
        <v>0</v>
      </c>
      <c r="G1450" s="1">
        <v>9</v>
      </c>
      <c r="H1450" s="1">
        <v>45</v>
      </c>
      <c r="I1450" s="1">
        <v>3</v>
      </c>
      <c r="J1450" s="1">
        <v>9</v>
      </c>
      <c r="K1450" s="1">
        <v>4</v>
      </c>
      <c r="L1450" s="1">
        <v>4</v>
      </c>
      <c r="M1450" s="1">
        <v>7</v>
      </c>
      <c r="N1450" s="1">
        <v>1</v>
      </c>
      <c r="O1450" s="1">
        <v>1</v>
      </c>
      <c r="P1450" s="1">
        <v>2</v>
      </c>
      <c r="Q1450" s="1">
        <v>2</v>
      </c>
      <c r="R1450" s="1">
        <v>6</v>
      </c>
      <c r="S1450" s="1">
        <v>0</v>
      </c>
      <c r="T1450" s="1">
        <v>0</v>
      </c>
      <c r="U1450" s="1">
        <v>1</v>
      </c>
      <c r="V1450" s="1">
        <v>0</v>
      </c>
      <c r="W1450" s="1">
        <v>0</v>
      </c>
      <c r="X1450" s="1">
        <v>0</v>
      </c>
      <c r="Y1450" s="1">
        <v>1</v>
      </c>
      <c r="Z1450" s="1">
        <v>49</v>
      </c>
      <c r="AA1450" s="1" t="str" cm="1">
        <f t="array" ref="AA1450">_xlfn.IFS(AND(Z1450&lt;36, Z1450&gt;23), "24-35", AND(Z1450&lt;51, Z1450&gt;35),"36-50", AND(Z1450&lt;66, Z1450&gt;50), "51-66", Z1450&gt;65, "66+", TRUE, "?")</f>
        <v>36-50</v>
      </c>
      <c r="AB1450" s="1">
        <v>2250</v>
      </c>
      <c r="AC1450" s="1">
        <v>0</v>
      </c>
      <c r="AD1450" s="1">
        <v>1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1</v>
      </c>
      <c r="AL1450" s="1">
        <v>58</v>
      </c>
      <c r="AM1450" s="2">
        <v>42599</v>
      </c>
      <c r="AN1450" t="str">
        <f t="shared" si="45"/>
        <v>37126,65,0.00175079459139148,1,0,9,45,3,9,4,4,7,1,1,2,2,6,0,0,1,0,0,0,1,49,36-50,2250,0,1,0,0,0,0,0,0,1,58,42599</v>
      </c>
    </row>
    <row r="1451" spans="1:40" ht="13" hidden="1" x14ac:dyDescent="0.15">
      <c r="A1451">
        <v>1840</v>
      </c>
      <c r="B1451" s="1">
        <v>28587</v>
      </c>
      <c r="C1451" s="1">
        <v>65</v>
      </c>
      <c r="D1451" s="4">
        <f t="shared" si="44"/>
        <v>2.2737608003638018E-3</v>
      </c>
      <c r="E1451" s="1">
        <v>1</v>
      </c>
      <c r="F1451" s="1">
        <v>0</v>
      </c>
      <c r="G1451" s="1">
        <v>42</v>
      </c>
      <c r="H1451" s="1">
        <v>22</v>
      </c>
      <c r="I1451" s="1">
        <v>4</v>
      </c>
      <c r="J1451" s="1">
        <v>17</v>
      </c>
      <c r="K1451" s="1">
        <v>12</v>
      </c>
      <c r="L1451" s="1">
        <v>10</v>
      </c>
      <c r="M1451" s="1">
        <v>13</v>
      </c>
      <c r="N1451" s="1">
        <v>3</v>
      </c>
      <c r="O1451" s="1">
        <v>2</v>
      </c>
      <c r="P1451" s="1">
        <v>0</v>
      </c>
      <c r="Q1451" s="1">
        <v>4</v>
      </c>
      <c r="R1451" s="1">
        <v>6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42</v>
      </c>
      <c r="AA1451" s="1" t="str" cm="1">
        <f t="array" ref="AA1451">_xlfn.IFS(AND(Z1451&lt;36, Z1451&gt;23), "24-35", AND(Z1451&lt;51, Z1451&gt;35),"36-50", AND(Z1451&lt;66, Z1451&gt;50), "51-66", Z1451&gt;65, "66+", TRUE, "?")</f>
        <v>36-50</v>
      </c>
      <c r="AB1451" s="1">
        <v>2296</v>
      </c>
      <c r="AC1451" s="1">
        <v>0</v>
      </c>
      <c r="AD1451" s="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1</v>
      </c>
      <c r="AJ1451" s="1">
        <v>0</v>
      </c>
      <c r="AK1451" s="1">
        <v>0</v>
      </c>
      <c r="AL1451" s="1">
        <v>52</v>
      </c>
      <c r="AM1451" s="2">
        <v>42553</v>
      </c>
      <c r="AN1451" t="str">
        <f t="shared" si="45"/>
        <v>28587,65,0.0022737608003638,1,0,42,22,4,17,12,10,13,3,2,0,4,6,0,0,0,0,0,0,0,42,36-50,2296,0,0,0,1,0,0,1,0,0,52,42553</v>
      </c>
    </row>
    <row r="1452" spans="1:40" ht="13" hidden="1" x14ac:dyDescent="0.15">
      <c r="A1452">
        <v>173</v>
      </c>
      <c r="B1452" s="1">
        <v>45759</v>
      </c>
      <c r="C1452" s="1">
        <v>64</v>
      </c>
      <c r="D1452" s="4">
        <f t="shared" si="44"/>
        <v>1.398631963111082E-3</v>
      </c>
      <c r="E1452" s="1">
        <v>1</v>
      </c>
      <c r="F1452" s="1">
        <v>1</v>
      </c>
      <c r="G1452" s="1">
        <v>13</v>
      </c>
      <c r="H1452" s="1">
        <v>42</v>
      </c>
      <c r="I1452" s="1">
        <v>1</v>
      </c>
      <c r="J1452" s="1">
        <v>18</v>
      </c>
      <c r="K1452" s="1">
        <v>3</v>
      </c>
      <c r="L1452" s="1">
        <v>0</v>
      </c>
      <c r="M1452" s="1">
        <v>4</v>
      </c>
      <c r="N1452" s="1">
        <v>2</v>
      </c>
      <c r="O1452" s="1">
        <v>2</v>
      </c>
      <c r="P1452" s="1">
        <v>0</v>
      </c>
      <c r="Q1452" s="1">
        <v>3</v>
      </c>
      <c r="R1452" s="1">
        <v>7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56</v>
      </c>
      <c r="AA1452" s="1" t="str" cm="1">
        <f t="array" ref="AA1452">_xlfn.IFS(AND(Z1452&lt;36, Z1452&gt;23), "24-35", AND(Z1452&lt;51, Z1452&gt;35),"36-50", AND(Z1452&lt;66, Z1452&gt;50), "51-66", Z1452&gt;65, "66+", TRUE, "?")</f>
        <v>51-66</v>
      </c>
      <c r="AB1452" s="1">
        <v>2650</v>
      </c>
      <c r="AC1452" s="1">
        <v>0</v>
      </c>
      <c r="AD1452" s="1">
        <v>1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1</v>
      </c>
      <c r="AL1452" s="1">
        <v>60</v>
      </c>
      <c r="AM1452" s="2">
        <v>42199</v>
      </c>
      <c r="AN1452" t="str">
        <f t="shared" si="45"/>
        <v>45759,64,0.00139863196311108,1,1,13,42,1,18,3,0,4,2,2,0,3,7,0,0,0,0,0,0,0,56,51-66,2650,0,1,0,0,0,0,0,0,1,60,42199</v>
      </c>
    </row>
    <row r="1453" spans="1:40" ht="13" hidden="1" x14ac:dyDescent="0.15">
      <c r="A1453">
        <v>920</v>
      </c>
      <c r="B1453" s="1">
        <v>35704</v>
      </c>
      <c r="C1453" s="1">
        <v>64</v>
      </c>
      <c r="D1453" s="4">
        <f t="shared" si="44"/>
        <v>1.7925162446784674E-3</v>
      </c>
      <c r="E1453" s="1">
        <v>1</v>
      </c>
      <c r="F1453" s="1">
        <v>1</v>
      </c>
      <c r="G1453" s="1">
        <v>54</v>
      </c>
      <c r="H1453" s="1">
        <v>30</v>
      </c>
      <c r="I1453" s="1">
        <v>9</v>
      </c>
      <c r="J1453" s="1">
        <v>12</v>
      </c>
      <c r="K1453" s="1">
        <v>2</v>
      </c>
      <c r="L1453" s="1">
        <v>11</v>
      </c>
      <c r="M1453" s="1">
        <v>30</v>
      </c>
      <c r="N1453" s="1">
        <v>3</v>
      </c>
      <c r="O1453" s="1">
        <v>2</v>
      </c>
      <c r="P1453" s="1">
        <v>0</v>
      </c>
      <c r="Q1453" s="1">
        <v>4</v>
      </c>
      <c r="R1453" s="1">
        <v>4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68</v>
      </c>
      <c r="AA1453" s="1" t="str" cm="1">
        <f t="array" ref="AA1453">_xlfn.IFS(AND(Z1453&lt;36, Z1453&gt;23), "24-35", AND(Z1453&lt;51, Z1453&gt;35),"36-50", AND(Z1453&lt;66, Z1453&gt;50), "51-66", Z1453&gt;65, "66+", TRUE, "?")</f>
        <v>66+</v>
      </c>
      <c r="AB1453" s="1">
        <v>2336</v>
      </c>
      <c r="AC1453" s="1">
        <v>0</v>
      </c>
      <c r="AD1453" s="1">
        <v>1</v>
      </c>
      <c r="AE1453" s="1">
        <v>0</v>
      </c>
      <c r="AF1453" s="1">
        <v>0</v>
      </c>
      <c r="AG1453" s="1">
        <v>0</v>
      </c>
      <c r="AH1453" s="1">
        <v>0</v>
      </c>
      <c r="AI1453" s="1">
        <v>1</v>
      </c>
      <c r="AJ1453" s="1">
        <v>0</v>
      </c>
      <c r="AK1453" s="1">
        <v>0</v>
      </c>
      <c r="AL1453" s="1">
        <v>34</v>
      </c>
      <c r="AM1453" s="2">
        <v>42513</v>
      </c>
      <c r="AN1453" t="str">
        <f t="shared" si="45"/>
        <v>35704,64,0.00179251624467847,1,1,54,30,9,12,2,11,30,3,2,0,4,4,0,0,0,0,0,0,0,68,66+,2336,0,1,0,0,0,0,1,0,0,34,42513</v>
      </c>
    </row>
    <row r="1454" spans="1:40" ht="13" hidden="1" x14ac:dyDescent="0.15">
      <c r="A1454">
        <v>961</v>
      </c>
      <c r="B1454" s="1">
        <v>33564</v>
      </c>
      <c r="C1454" s="1">
        <v>64</v>
      </c>
      <c r="D1454" s="4">
        <f t="shared" si="44"/>
        <v>1.9068049100226434E-3</v>
      </c>
      <c r="E1454" s="1">
        <v>0</v>
      </c>
      <c r="F1454" s="1">
        <v>1</v>
      </c>
      <c r="G1454" s="1">
        <v>51</v>
      </c>
      <c r="H1454" s="1">
        <v>61</v>
      </c>
      <c r="I1454" s="1">
        <v>0</v>
      </c>
      <c r="J1454" s="1">
        <v>3</v>
      </c>
      <c r="K1454" s="1">
        <v>0</v>
      </c>
      <c r="L1454" s="1">
        <v>0</v>
      </c>
      <c r="M1454" s="1">
        <v>7</v>
      </c>
      <c r="N1454" s="1">
        <v>1</v>
      </c>
      <c r="O1454" s="1">
        <v>1</v>
      </c>
      <c r="P1454" s="1">
        <v>1</v>
      </c>
      <c r="Q1454" s="1">
        <v>3</v>
      </c>
      <c r="R1454" s="1">
        <v>5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54</v>
      </c>
      <c r="AA1454" s="1" t="str" cm="1">
        <f t="array" ref="AA1454">_xlfn.IFS(AND(Z1454&lt;36, Z1454&gt;23), "24-35", AND(Z1454&lt;51, Z1454&gt;35),"36-50", AND(Z1454&lt;66, Z1454&gt;50), "51-66", Z1454&gt;65, "66+", TRUE, "?")</f>
        <v>51-66</v>
      </c>
      <c r="AB1454" s="1">
        <v>2164</v>
      </c>
      <c r="AC1454" s="1">
        <v>0</v>
      </c>
      <c r="AD1454" s="1">
        <v>0</v>
      </c>
      <c r="AE1454" s="1">
        <v>0</v>
      </c>
      <c r="AF1454" s="1">
        <v>1</v>
      </c>
      <c r="AG1454" s="1">
        <v>0</v>
      </c>
      <c r="AH1454" s="1">
        <v>0</v>
      </c>
      <c r="AI1454" s="1">
        <v>0</v>
      </c>
      <c r="AJ1454" s="1">
        <v>1</v>
      </c>
      <c r="AK1454" s="1">
        <v>0</v>
      </c>
      <c r="AL1454" s="1">
        <v>57</v>
      </c>
      <c r="AM1454" s="2">
        <v>42685</v>
      </c>
      <c r="AN1454" t="str">
        <f t="shared" si="45"/>
        <v>33564,64,0.00190680491002264,0,1,51,61,0,3,0,0,7,1,1,1,3,5,0,0,0,0,0,0,0,54,51-66,2164,0,0,0,1,0,0,0,1,0,57,42685</v>
      </c>
    </row>
    <row r="1455" spans="1:40" ht="13" hidden="1" x14ac:dyDescent="0.15">
      <c r="A1455">
        <v>1737</v>
      </c>
      <c r="B1455" s="1">
        <v>33235</v>
      </c>
      <c r="C1455" s="1">
        <v>64</v>
      </c>
      <c r="D1455" s="4">
        <f t="shared" si="44"/>
        <v>1.9256807582367986E-3</v>
      </c>
      <c r="E1455" s="1">
        <v>1</v>
      </c>
      <c r="F1455" s="1">
        <v>0</v>
      </c>
      <c r="G1455" s="1">
        <v>71</v>
      </c>
      <c r="H1455" s="1">
        <v>45</v>
      </c>
      <c r="I1455" s="1">
        <v>0</v>
      </c>
      <c r="J1455" s="1">
        <v>16</v>
      </c>
      <c r="K1455" s="1">
        <v>2</v>
      </c>
      <c r="L1455" s="1">
        <v>1</v>
      </c>
      <c r="M1455" s="1">
        <v>6</v>
      </c>
      <c r="N1455" s="1">
        <v>1</v>
      </c>
      <c r="O1455" s="1">
        <v>3</v>
      </c>
      <c r="P1455" s="1">
        <v>0</v>
      </c>
      <c r="Q1455" s="1">
        <v>3</v>
      </c>
      <c r="R1455" s="1">
        <v>7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34</v>
      </c>
      <c r="AA1455" s="1" t="str" cm="1">
        <f t="array" ref="AA1455">_xlfn.IFS(AND(Z1455&lt;36, Z1455&gt;23), "24-35", AND(Z1455&lt;51, Z1455&gt;35),"36-50", AND(Z1455&lt;66, Z1455&gt;50), "51-66", Z1455&gt;65, "66+", TRUE, "?")</f>
        <v>24-35</v>
      </c>
      <c r="AB1455" s="1">
        <v>2303</v>
      </c>
      <c r="AC1455" s="1">
        <v>0</v>
      </c>
      <c r="AD1455" s="1">
        <v>0</v>
      </c>
      <c r="AE1455" s="1">
        <v>0</v>
      </c>
      <c r="AF1455" s="1">
        <v>1</v>
      </c>
      <c r="AG1455" s="1">
        <v>0</v>
      </c>
      <c r="AH1455" s="1">
        <v>0</v>
      </c>
      <c r="AI1455" s="1">
        <v>1</v>
      </c>
      <c r="AJ1455" s="1">
        <v>0</v>
      </c>
      <c r="AK1455" s="1">
        <v>0</v>
      </c>
      <c r="AL1455" s="1">
        <v>58</v>
      </c>
      <c r="AM1455" s="2">
        <v>42546</v>
      </c>
      <c r="AN1455" t="str">
        <f t="shared" si="45"/>
        <v>33235,64,0.0019256807582368,1,0,71,45,0,16,2,1,6,1,3,0,3,7,0,0,0,0,0,0,0,34,24-35,2303,0,0,0,1,0,0,1,0,0,58,42546</v>
      </c>
    </row>
    <row r="1456" spans="1:40" ht="13" x14ac:dyDescent="0.15">
      <c r="A1456">
        <v>1772</v>
      </c>
      <c r="B1456" s="1">
        <v>39684</v>
      </c>
      <c r="C1456" s="1">
        <v>64</v>
      </c>
      <c r="D1456" s="4">
        <f t="shared" si="44"/>
        <v>1.6127406511440379E-3</v>
      </c>
      <c r="E1456" s="1">
        <v>1</v>
      </c>
      <c r="F1456" s="1">
        <v>0</v>
      </c>
      <c r="G1456" s="1">
        <v>41</v>
      </c>
      <c r="H1456" s="1">
        <v>19</v>
      </c>
      <c r="I1456" s="1">
        <v>0</v>
      </c>
      <c r="J1456" s="1">
        <v>35</v>
      </c>
      <c r="K1456" s="1">
        <v>6</v>
      </c>
      <c r="L1456" s="1">
        <v>4</v>
      </c>
      <c r="M1456" s="1">
        <v>17</v>
      </c>
      <c r="N1456" s="1">
        <v>2</v>
      </c>
      <c r="O1456" s="1">
        <v>2</v>
      </c>
      <c r="P1456" s="1">
        <v>1</v>
      </c>
      <c r="Q1456" s="1">
        <v>2</v>
      </c>
      <c r="R1456" s="1">
        <v>7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1</v>
      </c>
      <c r="Y1456" s="1">
        <v>1</v>
      </c>
      <c r="Z1456" s="1">
        <v>36</v>
      </c>
      <c r="AA1456" s="1" t="str" cm="1">
        <f t="array" ref="AA1456">_xlfn.IFS(AND(Z1456&lt;36, Z1456&gt;23), "24-35", AND(Z1456&lt;51, Z1456&gt;35),"36-50", AND(Z1456&lt;66, Z1456&gt;50), "51-66", Z1456&gt;65, "66+", TRUE, "?")</f>
        <v>36-50</v>
      </c>
      <c r="AB1456" s="1">
        <v>2784</v>
      </c>
      <c r="AC1456" s="1">
        <v>0</v>
      </c>
      <c r="AD1456" s="1">
        <v>0</v>
      </c>
      <c r="AE1456" s="1">
        <v>1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1</v>
      </c>
      <c r="AL1456" s="1">
        <v>47</v>
      </c>
      <c r="AM1456" s="2">
        <v>42065</v>
      </c>
      <c r="AN1456" t="str">
        <f t="shared" si="45"/>
        <v>39684,64,0.00161274065114404,1,0,41,19,0,35,6,4,17,2,2,1,2,7,0,0,0,0,0,1,1,36,36-50,2784,0,0,1,0,0,0,0,0,1,47,42065</v>
      </c>
    </row>
    <row r="1457" spans="1:40" ht="13" hidden="1" x14ac:dyDescent="0.15">
      <c r="A1457">
        <v>1841</v>
      </c>
      <c r="B1457" s="1">
        <v>43815</v>
      </c>
      <c r="C1457" s="1">
        <v>64</v>
      </c>
      <c r="D1457" s="4">
        <f t="shared" si="44"/>
        <v>1.4606869793449733E-3</v>
      </c>
      <c r="E1457" s="1">
        <v>1</v>
      </c>
      <c r="F1457" s="1">
        <v>0</v>
      </c>
      <c r="G1457" s="1">
        <v>53</v>
      </c>
      <c r="H1457" s="1">
        <v>14</v>
      </c>
      <c r="I1457" s="1">
        <v>10</v>
      </c>
      <c r="J1457" s="1">
        <v>29</v>
      </c>
      <c r="K1457" s="1">
        <v>4</v>
      </c>
      <c r="L1457" s="1">
        <v>7</v>
      </c>
      <c r="M1457" s="1">
        <v>15</v>
      </c>
      <c r="N1457" s="1">
        <v>1</v>
      </c>
      <c r="O1457" s="1">
        <v>2</v>
      </c>
      <c r="P1457" s="1">
        <v>0</v>
      </c>
      <c r="Q1457" s="1">
        <v>3</v>
      </c>
      <c r="R1457" s="1">
        <v>6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38</v>
      </c>
      <c r="AA1457" s="1" t="str" cm="1">
        <f t="array" ref="AA1457">_xlfn.IFS(AND(Z1457&lt;36, Z1457&gt;23), "24-35", AND(Z1457&lt;51, Z1457&gt;35),"36-50", AND(Z1457&lt;66, Z1457&gt;50), "51-66", Z1457&gt;65, "66+", TRUE, "?")</f>
        <v>36-50</v>
      </c>
      <c r="AB1457" s="1">
        <v>2609</v>
      </c>
      <c r="AC1457" s="1">
        <v>0</v>
      </c>
      <c r="AD1457" s="1">
        <v>1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1</v>
      </c>
      <c r="AK1457" s="1">
        <v>0</v>
      </c>
      <c r="AL1457" s="1">
        <v>49</v>
      </c>
      <c r="AM1457" s="2">
        <v>42240</v>
      </c>
      <c r="AN1457" t="str">
        <f t="shared" si="45"/>
        <v>43815,64,0.00146068697934497,1,0,53,14,10,29,4,7,15,1,2,0,3,6,0,0,0,0,0,0,0,38,36-50,2609,0,1,0,0,0,0,0,1,0,49,42240</v>
      </c>
    </row>
    <row r="1458" spans="1:40" ht="13" hidden="1" x14ac:dyDescent="0.15">
      <c r="A1458">
        <v>1926</v>
      </c>
      <c r="B1458" s="1">
        <v>50116</v>
      </c>
      <c r="C1458" s="1">
        <v>64</v>
      </c>
      <c r="D1458" s="4">
        <f t="shared" si="44"/>
        <v>1.277037273525421E-3</v>
      </c>
      <c r="E1458" s="1">
        <v>1</v>
      </c>
      <c r="F1458" s="1">
        <v>1</v>
      </c>
      <c r="G1458" s="1">
        <v>68</v>
      </c>
      <c r="H1458" s="1">
        <v>54</v>
      </c>
      <c r="I1458" s="1">
        <v>0</v>
      </c>
      <c r="J1458" s="1">
        <v>10</v>
      </c>
      <c r="K1458" s="1">
        <v>0</v>
      </c>
      <c r="L1458" s="1">
        <v>0</v>
      </c>
      <c r="M1458" s="1">
        <v>2</v>
      </c>
      <c r="N1458" s="1">
        <v>2</v>
      </c>
      <c r="O1458" s="1">
        <v>1</v>
      </c>
      <c r="P1458" s="1">
        <v>0</v>
      </c>
      <c r="Q1458" s="1">
        <v>4</v>
      </c>
      <c r="R1458" s="1">
        <v>5</v>
      </c>
      <c r="S1458" s="1">
        <v>0</v>
      </c>
      <c r="T1458" s="1">
        <v>0</v>
      </c>
      <c r="U1458" s="1">
        <v>0</v>
      </c>
      <c r="V1458" s="1">
        <v>1</v>
      </c>
      <c r="W1458" s="1">
        <v>0</v>
      </c>
      <c r="X1458" s="1">
        <v>0</v>
      </c>
      <c r="Y1458" s="1">
        <v>0</v>
      </c>
      <c r="Z1458" s="1">
        <v>63</v>
      </c>
      <c r="AA1458" s="1" t="str" cm="1">
        <f t="array" ref="AA1458">_xlfn.IFS(AND(Z1458&lt;36, Z1458&gt;23), "24-35", AND(Z1458&lt;51, Z1458&gt;35),"36-50", AND(Z1458&lt;66, Z1458&gt;50), "51-66", Z1458&gt;65, "66+", TRUE, "?")</f>
        <v>51-66</v>
      </c>
      <c r="AB1458" s="1">
        <v>2168</v>
      </c>
      <c r="AC1458" s="1">
        <v>0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1</v>
      </c>
      <c r="AJ1458" s="1">
        <v>0</v>
      </c>
      <c r="AK1458" s="1">
        <v>0</v>
      </c>
      <c r="AL1458" s="1">
        <v>62</v>
      </c>
      <c r="AM1458" s="2">
        <v>42681</v>
      </c>
      <c r="AN1458" t="str">
        <f t="shared" si="45"/>
        <v>50116,64,0.00127703727352542,1,1,68,54,0,10,0,0,2,2,1,0,4,5,0,0,0,1,0,0,0,63,51-66,2168,0,0,0,1,0,0,1,0,0,62,42681</v>
      </c>
    </row>
    <row r="1459" spans="1:40" ht="13" hidden="1" x14ac:dyDescent="0.15">
      <c r="A1459">
        <v>37</v>
      </c>
      <c r="B1459" s="1">
        <v>42429</v>
      </c>
      <c r="C1459" s="1">
        <v>63</v>
      </c>
      <c r="D1459" s="4">
        <f t="shared" si="44"/>
        <v>1.4848334865304391E-3</v>
      </c>
      <c r="E1459" s="1">
        <v>0</v>
      </c>
      <c r="F1459" s="1">
        <v>1</v>
      </c>
      <c r="G1459" s="1">
        <v>99</v>
      </c>
      <c r="H1459" s="1">
        <v>55</v>
      </c>
      <c r="I1459" s="1">
        <v>0</v>
      </c>
      <c r="J1459" s="1">
        <v>6</v>
      </c>
      <c r="K1459" s="1">
        <v>2</v>
      </c>
      <c r="L1459" s="1">
        <v>0</v>
      </c>
      <c r="M1459" s="1">
        <v>4</v>
      </c>
      <c r="N1459" s="1">
        <v>2</v>
      </c>
      <c r="O1459" s="1">
        <v>1</v>
      </c>
      <c r="P1459" s="1">
        <v>1</v>
      </c>
      <c r="Q1459" s="1">
        <v>3</v>
      </c>
      <c r="R1459" s="1">
        <v>5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47</v>
      </c>
      <c r="AA1459" s="1" t="str" cm="1">
        <f t="array" ref="AA1459">_xlfn.IFS(AND(Z1459&lt;36, Z1459&gt;23), "24-35", AND(Z1459&lt;51, Z1459&gt;35),"36-50", AND(Z1459&lt;66, Z1459&gt;50), "51-66", Z1459&gt;65, "66+", TRUE, "?")</f>
        <v>36-50</v>
      </c>
      <c r="AB1459" s="1">
        <v>2297</v>
      </c>
      <c r="AC1459" s="1">
        <v>0</v>
      </c>
      <c r="AD1459" s="1">
        <v>0</v>
      </c>
      <c r="AE1459" s="1">
        <v>0</v>
      </c>
      <c r="AF1459" s="1">
        <v>0</v>
      </c>
      <c r="AG1459" s="1">
        <v>1</v>
      </c>
      <c r="AH1459" s="1">
        <v>0</v>
      </c>
      <c r="AI1459" s="1">
        <v>1</v>
      </c>
      <c r="AJ1459" s="1">
        <v>0</v>
      </c>
      <c r="AK1459" s="1">
        <v>0</v>
      </c>
      <c r="AL1459" s="1">
        <v>59</v>
      </c>
      <c r="AM1459" s="2">
        <v>42552</v>
      </c>
      <c r="AN1459" t="str">
        <f t="shared" si="45"/>
        <v>42429,63,0.00148483348653044,0,1,99,55,0,6,2,0,4,2,1,1,3,5,0,0,0,0,0,0,0,47,36-50,2297,0,0,0,0,1,0,1,0,0,59,42552</v>
      </c>
    </row>
    <row r="1460" spans="1:40" ht="13" hidden="1" x14ac:dyDescent="0.15">
      <c r="A1460">
        <v>585</v>
      </c>
      <c r="B1460" s="1">
        <v>31632</v>
      </c>
      <c r="C1460" s="1">
        <v>63</v>
      </c>
      <c r="D1460" s="4">
        <f t="shared" si="44"/>
        <v>1.9916540212443095E-3</v>
      </c>
      <c r="E1460" s="1">
        <v>0</v>
      </c>
      <c r="F1460" s="1">
        <v>0</v>
      </c>
      <c r="G1460" s="1">
        <v>92</v>
      </c>
      <c r="H1460" s="1">
        <v>17</v>
      </c>
      <c r="I1460" s="1">
        <v>8</v>
      </c>
      <c r="J1460" s="1">
        <v>12</v>
      </c>
      <c r="K1460" s="1">
        <v>11</v>
      </c>
      <c r="L1460" s="1">
        <v>15</v>
      </c>
      <c r="M1460" s="1">
        <v>32</v>
      </c>
      <c r="N1460" s="1">
        <v>1</v>
      </c>
      <c r="O1460" s="1">
        <v>2</v>
      </c>
      <c r="P1460" s="1">
        <v>1</v>
      </c>
      <c r="Q1460" s="1">
        <v>2</v>
      </c>
      <c r="R1460" s="1">
        <v>7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49</v>
      </c>
      <c r="AA1460" s="1" t="str" cm="1">
        <f t="array" ref="AA1460">_xlfn.IFS(AND(Z1460&lt;36, Z1460&gt;23), "24-35", AND(Z1460&lt;51, Z1460&gt;35),"36-50", AND(Z1460&lt;66, Z1460&gt;50), "51-66", Z1460&gt;65, "66+", TRUE, "?")</f>
        <v>36-50</v>
      </c>
      <c r="AB1460" s="1">
        <v>2509</v>
      </c>
      <c r="AC1460" s="1">
        <v>0</v>
      </c>
      <c r="AD1460" s="1">
        <v>0</v>
      </c>
      <c r="AE1460" s="1">
        <v>1</v>
      </c>
      <c r="AF1460" s="1">
        <v>0</v>
      </c>
      <c r="AG1460" s="1">
        <v>0</v>
      </c>
      <c r="AH1460" s="1">
        <v>0</v>
      </c>
      <c r="AI1460" s="1">
        <v>1</v>
      </c>
      <c r="AJ1460" s="1">
        <v>0</v>
      </c>
      <c r="AK1460" s="1">
        <v>0</v>
      </c>
      <c r="AL1460" s="1">
        <v>31</v>
      </c>
      <c r="AM1460" s="2">
        <v>42340</v>
      </c>
      <c r="AN1460" t="str">
        <f t="shared" si="45"/>
        <v>31632,63,0.00199165402124431,0,0,92,17,8,12,11,15,32,1,2,1,2,7,0,0,0,0,0,0,0,49,36-50,2509,0,0,1,0,0,0,1,0,0,31,42340</v>
      </c>
    </row>
    <row r="1461" spans="1:40" ht="13" hidden="1" x14ac:dyDescent="0.15">
      <c r="A1461">
        <v>621</v>
      </c>
      <c r="B1461" s="1">
        <v>25965</v>
      </c>
      <c r="C1461" s="1">
        <v>63</v>
      </c>
      <c r="D1461" s="4">
        <f t="shared" si="44"/>
        <v>2.4263431542461003E-3</v>
      </c>
      <c r="E1461" s="1">
        <v>0</v>
      </c>
      <c r="F1461" s="1">
        <v>0</v>
      </c>
      <c r="G1461" s="1">
        <v>29</v>
      </c>
      <c r="H1461" s="1">
        <v>2</v>
      </c>
      <c r="I1461" s="1">
        <v>2</v>
      </c>
      <c r="J1461" s="1">
        <v>11</v>
      </c>
      <c r="K1461" s="1">
        <v>41</v>
      </c>
      <c r="L1461" s="1">
        <v>7</v>
      </c>
      <c r="M1461" s="1">
        <v>11</v>
      </c>
      <c r="N1461" s="1">
        <v>1</v>
      </c>
      <c r="O1461" s="1">
        <v>2</v>
      </c>
      <c r="P1461" s="1">
        <v>0</v>
      </c>
      <c r="Q1461" s="1">
        <v>3</v>
      </c>
      <c r="R1461" s="1">
        <v>8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40</v>
      </c>
      <c r="AA1461" s="1" t="str" cm="1">
        <f t="array" ref="AA1461">_xlfn.IFS(AND(Z1461&lt;36, Z1461&gt;23), "24-35", AND(Z1461&lt;51, Z1461&gt;35),"36-50", AND(Z1461&lt;66, Z1461&gt;50), "51-66", Z1461&gt;65, "66+", TRUE, "?")</f>
        <v>36-50</v>
      </c>
      <c r="AB1461" s="1">
        <v>2819</v>
      </c>
      <c r="AC1461" s="1">
        <v>0</v>
      </c>
      <c r="AD1461" s="1">
        <v>1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52</v>
      </c>
      <c r="AM1461" s="2">
        <v>42030</v>
      </c>
      <c r="AN1461" t="str">
        <f t="shared" si="45"/>
        <v>25965,63,0.0024263431542461,0,0,29,2,2,11,41,7,11,1,2,0,3,8,0,0,0,0,0,0,0,40,36-50,2819,0,1,0,0,0,0,0,0,0,52,42030</v>
      </c>
    </row>
    <row r="1462" spans="1:40" ht="13" hidden="1" x14ac:dyDescent="0.15">
      <c r="A1462">
        <v>757</v>
      </c>
      <c r="B1462" s="1">
        <v>56850</v>
      </c>
      <c r="C1462" s="1">
        <v>63</v>
      </c>
      <c r="D1462" s="4">
        <f t="shared" si="44"/>
        <v>1.1081794195250659E-3</v>
      </c>
      <c r="E1462" s="1">
        <v>0</v>
      </c>
      <c r="F1462" s="1">
        <v>1</v>
      </c>
      <c r="G1462" s="1">
        <v>83</v>
      </c>
      <c r="H1462" s="1">
        <v>34</v>
      </c>
      <c r="I1462" s="1">
        <v>1</v>
      </c>
      <c r="J1462" s="1">
        <v>19</v>
      </c>
      <c r="K1462" s="1">
        <v>2</v>
      </c>
      <c r="L1462" s="1">
        <v>7</v>
      </c>
      <c r="M1462" s="1">
        <v>0</v>
      </c>
      <c r="N1462" s="1">
        <v>1</v>
      </c>
      <c r="O1462" s="1">
        <v>1</v>
      </c>
      <c r="P1462" s="1">
        <v>1</v>
      </c>
      <c r="Q1462" s="1">
        <v>3</v>
      </c>
      <c r="R1462" s="1">
        <v>2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49</v>
      </c>
      <c r="AA1462" s="1" t="str" cm="1">
        <f t="array" ref="AA1462">_xlfn.IFS(AND(Z1462&lt;36, Z1462&gt;23), "24-35", AND(Z1462&lt;51, Z1462&gt;35),"36-50", AND(Z1462&lt;66, Z1462&gt;50), "51-66", Z1462&gt;65, "66+", TRUE, "?")</f>
        <v>36-50</v>
      </c>
      <c r="AB1462" s="1">
        <v>2257</v>
      </c>
      <c r="AC1462" s="1">
        <v>0</v>
      </c>
      <c r="AD1462" s="1">
        <v>1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1</v>
      </c>
      <c r="AK1462" s="1">
        <v>0</v>
      </c>
      <c r="AL1462" s="1">
        <v>63</v>
      </c>
      <c r="AM1462" s="2">
        <v>42592</v>
      </c>
      <c r="AN1462" t="str">
        <f t="shared" si="45"/>
        <v>56850,63,0.00110817941952507,0,1,83,34,1,19,2,7,0,1,1,1,3,2,0,0,0,0,0,0,0,49,36-50,2257,0,1,0,0,0,0,0,1,0,63,42592</v>
      </c>
    </row>
    <row r="1463" spans="1:40" ht="13" hidden="1" x14ac:dyDescent="0.15">
      <c r="A1463">
        <v>791</v>
      </c>
      <c r="B1463" s="1">
        <v>19419</v>
      </c>
      <c r="C1463" s="1">
        <v>63</v>
      </c>
      <c r="D1463" s="4">
        <f t="shared" si="44"/>
        <v>3.2442453267418508E-3</v>
      </c>
      <c r="E1463" s="1">
        <v>1</v>
      </c>
      <c r="F1463" s="1">
        <v>0</v>
      </c>
      <c r="G1463" s="1">
        <v>76</v>
      </c>
      <c r="H1463" s="1">
        <v>2</v>
      </c>
      <c r="I1463" s="1">
        <v>14</v>
      </c>
      <c r="J1463" s="1">
        <v>28</v>
      </c>
      <c r="K1463" s="1">
        <v>16</v>
      </c>
      <c r="L1463" s="1">
        <v>3</v>
      </c>
      <c r="M1463" s="1">
        <v>7</v>
      </c>
      <c r="N1463" s="1">
        <v>4</v>
      </c>
      <c r="O1463" s="1">
        <v>4</v>
      </c>
      <c r="P1463" s="1">
        <v>0</v>
      </c>
      <c r="Q1463" s="1">
        <v>3</v>
      </c>
      <c r="R1463" s="1">
        <v>9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39</v>
      </c>
      <c r="AA1463" s="1" t="str" cm="1">
        <f t="array" ref="AA1463">_xlfn.IFS(AND(Z1463&lt;36, Z1463&gt;23), "24-35", AND(Z1463&lt;51, Z1463&gt;35),"36-50", AND(Z1463&lt;66, Z1463&gt;50), "51-66", Z1463&gt;65, "66+", TRUE, "?")</f>
        <v>36-50</v>
      </c>
      <c r="AB1463" s="1">
        <v>2755</v>
      </c>
      <c r="AC1463" s="1">
        <v>0</v>
      </c>
      <c r="AD1463" s="1">
        <v>1</v>
      </c>
      <c r="AE1463" s="1">
        <v>0</v>
      </c>
      <c r="AF1463" s="1">
        <v>0</v>
      </c>
      <c r="AG1463" s="1">
        <v>0</v>
      </c>
      <c r="AH1463" s="1">
        <v>0</v>
      </c>
      <c r="AI1463" s="1">
        <v>1</v>
      </c>
      <c r="AJ1463" s="1">
        <v>0</v>
      </c>
      <c r="AK1463" s="1">
        <v>0</v>
      </c>
      <c r="AL1463" s="1">
        <v>56</v>
      </c>
      <c r="AM1463" s="2">
        <v>42094</v>
      </c>
      <c r="AN1463" t="str">
        <f t="shared" si="45"/>
        <v>19419,63,0.00324424532674185,1,0,76,2,14,28,16,3,7,4,4,0,3,9,0,0,0,0,0,0,0,39,36-50,2755,0,1,0,0,0,0,1,0,0,56,42094</v>
      </c>
    </row>
    <row r="1464" spans="1:40" ht="13" hidden="1" x14ac:dyDescent="0.15">
      <c r="A1464">
        <v>837</v>
      </c>
      <c r="B1464" s="1">
        <v>31814</v>
      </c>
      <c r="C1464" s="1">
        <v>63</v>
      </c>
      <c r="D1464" s="4">
        <f t="shared" si="44"/>
        <v>1.9802602627773938E-3</v>
      </c>
      <c r="E1464" s="1">
        <v>1</v>
      </c>
      <c r="F1464" s="1">
        <v>0</v>
      </c>
      <c r="G1464" s="1">
        <v>73</v>
      </c>
      <c r="H1464" s="1">
        <v>35</v>
      </c>
      <c r="I1464" s="1">
        <v>3</v>
      </c>
      <c r="J1464" s="1">
        <v>20</v>
      </c>
      <c r="K1464" s="1">
        <v>4</v>
      </c>
      <c r="L1464" s="1">
        <v>1</v>
      </c>
      <c r="M1464" s="1">
        <v>20</v>
      </c>
      <c r="N1464" s="1">
        <v>2</v>
      </c>
      <c r="O1464" s="1">
        <v>2</v>
      </c>
      <c r="P1464" s="1">
        <v>0</v>
      </c>
      <c r="Q1464" s="1">
        <v>3</v>
      </c>
      <c r="R1464" s="1">
        <v>9</v>
      </c>
      <c r="S1464" s="1">
        <v>0</v>
      </c>
      <c r="T1464" s="1">
        <v>0</v>
      </c>
      <c r="U1464" s="1">
        <v>1</v>
      </c>
      <c r="V1464" s="1">
        <v>0</v>
      </c>
      <c r="W1464" s="1">
        <v>0</v>
      </c>
      <c r="X1464" s="1">
        <v>0</v>
      </c>
      <c r="Y1464" s="1">
        <v>0</v>
      </c>
      <c r="Z1464" s="1">
        <v>47</v>
      </c>
      <c r="AA1464" s="1" t="str" cm="1">
        <f t="array" ref="AA1464">_xlfn.IFS(AND(Z1464&lt;36, Z1464&gt;23), "24-35", AND(Z1464&lt;51, Z1464&gt;35),"36-50", AND(Z1464&lt;66, Z1464&gt;50), "51-66", Z1464&gt;65, "66+", TRUE, "?")</f>
        <v>36-50</v>
      </c>
      <c r="AB1464" s="1">
        <v>2664</v>
      </c>
      <c r="AC1464" s="1">
        <v>0</v>
      </c>
      <c r="AD1464" s="1">
        <v>1</v>
      </c>
      <c r="AE1464" s="1">
        <v>0</v>
      </c>
      <c r="AF1464" s="1">
        <v>0</v>
      </c>
      <c r="AG1464" s="1">
        <v>0</v>
      </c>
      <c r="AH1464" s="1">
        <v>0</v>
      </c>
      <c r="AI1464" s="1">
        <v>1</v>
      </c>
      <c r="AJ1464" s="1">
        <v>0</v>
      </c>
      <c r="AK1464" s="1">
        <v>0</v>
      </c>
      <c r="AL1464" s="1">
        <v>43</v>
      </c>
      <c r="AM1464" s="2">
        <v>42185</v>
      </c>
      <c r="AN1464" t="str">
        <f t="shared" si="45"/>
        <v>31814,63,0.00198026026277739,1,0,73,35,3,20,4,1,20,2,2,0,3,9,0,0,1,0,0,0,0,47,36-50,2664,0,1,0,0,0,0,1,0,0,43,42185</v>
      </c>
    </row>
    <row r="1465" spans="1:40" ht="13" hidden="1" x14ac:dyDescent="0.15">
      <c r="A1465">
        <v>854</v>
      </c>
      <c r="B1465" s="1">
        <v>47889</v>
      </c>
      <c r="C1465" s="1">
        <v>63</v>
      </c>
      <c r="D1465" s="4">
        <f t="shared" si="44"/>
        <v>1.3155421913174216E-3</v>
      </c>
      <c r="E1465" s="1">
        <v>1</v>
      </c>
      <c r="F1465" s="1">
        <v>0</v>
      </c>
      <c r="G1465" s="1">
        <v>94</v>
      </c>
      <c r="H1465" s="1">
        <v>29</v>
      </c>
      <c r="I1465" s="1">
        <v>0</v>
      </c>
      <c r="J1465" s="1">
        <v>29</v>
      </c>
      <c r="K1465" s="1">
        <v>0</v>
      </c>
      <c r="L1465" s="1">
        <v>5</v>
      </c>
      <c r="M1465" s="1">
        <v>4</v>
      </c>
      <c r="N1465" s="1">
        <v>1</v>
      </c>
      <c r="O1465" s="1">
        <v>2</v>
      </c>
      <c r="P1465" s="1">
        <v>0</v>
      </c>
      <c r="Q1465" s="1">
        <v>3</v>
      </c>
      <c r="R1465" s="1">
        <v>5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46</v>
      </c>
      <c r="AA1465" s="1" t="str" cm="1">
        <f t="array" ref="AA1465">_xlfn.IFS(AND(Z1465&lt;36, Z1465&gt;23), "24-35", AND(Z1465&lt;51, Z1465&gt;35),"36-50", AND(Z1465&lt;66, Z1465&gt;50), "51-66", Z1465&gt;65, "66+", TRUE, "?")</f>
        <v>36-50</v>
      </c>
      <c r="AB1465" s="1">
        <v>2335</v>
      </c>
      <c r="AC1465" s="1">
        <v>0</v>
      </c>
      <c r="AD1465" s="1">
        <v>0</v>
      </c>
      <c r="AE1465" s="1">
        <v>0</v>
      </c>
      <c r="AF1465" s="1">
        <v>1</v>
      </c>
      <c r="AG1465" s="1">
        <v>0</v>
      </c>
      <c r="AH1465" s="1">
        <v>0</v>
      </c>
      <c r="AI1465" s="1">
        <v>1</v>
      </c>
      <c r="AJ1465" s="1">
        <v>0</v>
      </c>
      <c r="AK1465" s="1">
        <v>0</v>
      </c>
      <c r="AL1465" s="1">
        <v>59</v>
      </c>
      <c r="AM1465" s="2">
        <v>42514</v>
      </c>
      <c r="AN1465" t="str">
        <f t="shared" si="45"/>
        <v>47889,63,0.00131554219131742,1,0,94,29,0,29,0,5,4,1,2,0,3,5,0,0,0,0,0,0,0,46,36-50,2335,0,0,0,1,0,0,1,0,0,59,42514</v>
      </c>
    </row>
    <row r="1466" spans="1:40" ht="13" hidden="1" x14ac:dyDescent="0.15">
      <c r="A1466">
        <v>959</v>
      </c>
      <c r="B1466" s="1">
        <v>28440</v>
      </c>
      <c r="C1466" s="1">
        <v>63</v>
      </c>
      <c r="D1466" s="4">
        <f t="shared" si="44"/>
        <v>2.2151898734177216E-3</v>
      </c>
      <c r="E1466" s="1">
        <v>1</v>
      </c>
      <c r="F1466" s="1">
        <v>0</v>
      </c>
      <c r="G1466" s="1">
        <v>87</v>
      </c>
      <c r="H1466" s="1">
        <v>38</v>
      </c>
      <c r="I1466" s="1">
        <v>1</v>
      </c>
      <c r="J1466" s="1">
        <v>24</v>
      </c>
      <c r="K1466" s="1">
        <v>0</v>
      </c>
      <c r="L1466" s="1">
        <v>0</v>
      </c>
      <c r="M1466" s="1">
        <v>0</v>
      </c>
      <c r="N1466" s="1">
        <v>1</v>
      </c>
      <c r="O1466" s="1">
        <v>2</v>
      </c>
      <c r="P1466" s="1">
        <v>0</v>
      </c>
      <c r="Q1466" s="1">
        <v>3</v>
      </c>
      <c r="R1466" s="1">
        <v>8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46</v>
      </c>
      <c r="AA1466" s="1" t="str" cm="1">
        <f t="array" ref="AA1466">_xlfn.IFS(AND(Z1466&lt;36, Z1466&gt;23), "24-35", AND(Z1466&lt;51, Z1466&gt;35),"36-50", AND(Z1466&lt;66, Z1466&gt;50), "51-66", Z1466&gt;65, "66+", TRUE, "?")</f>
        <v>36-50</v>
      </c>
      <c r="AB1466" s="1">
        <v>2516</v>
      </c>
      <c r="AC1466" s="1">
        <v>0</v>
      </c>
      <c r="AD1466" s="1">
        <v>0</v>
      </c>
      <c r="AE1466" s="1">
        <v>0</v>
      </c>
      <c r="AF1466" s="1">
        <v>1</v>
      </c>
      <c r="AG1466" s="1">
        <v>0</v>
      </c>
      <c r="AH1466" s="1">
        <v>0</v>
      </c>
      <c r="AI1466" s="1">
        <v>0</v>
      </c>
      <c r="AJ1466" s="1">
        <v>0</v>
      </c>
      <c r="AK1466" s="1">
        <v>1</v>
      </c>
      <c r="AL1466" s="1">
        <v>63</v>
      </c>
      <c r="AM1466" s="2">
        <v>42333</v>
      </c>
      <c r="AN1466" t="str">
        <f t="shared" si="45"/>
        <v>28440,63,0.00221518987341772,1,0,87,38,1,24,0,0,0,1,2,0,3,8,0,0,0,0,0,0,0,46,36-50,2516,0,0,0,1,0,0,0,0,1,63,42333</v>
      </c>
    </row>
    <row r="1467" spans="1:40" ht="13" hidden="1" x14ac:dyDescent="0.15">
      <c r="A1467">
        <v>1458</v>
      </c>
      <c r="B1467" s="1">
        <v>45903</v>
      </c>
      <c r="C1467" s="1">
        <v>63</v>
      </c>
      <c r="D1467" s="4">
        <f t="shared" si="44"/>
        <v>1.37245931638455E-3</v>
      </c>
      <c r="E1467" s="1">
        <v>0</v>
      </c>
      <c r="F1467" s="1">
        <v>1</v>
      </c>
      <c r="G1467" s="1">
        <v>80</v>
      </c>
      <c r="H1467" s="1">
        <v>33</v>
      </c>
      <c r="I1467" s="1">
        <v>8</v>
      </c>
      <c r="J1467" s="1">
        <v>10</v>
      </c>
      <c r="K1467" s="1">
        <v>2</v>
      </c>
      <c r="L1467" s="1">
        <v>10</v>
      </c>
      <c r="M1467" s="1">
        <v>3</v>
      </c>
      <c r="N1467" s="1">
        <v>2</v>
      </c>
      <c r="O1467" s="1">
        <v>2</v>
      </c>
      <c r="P1467" s="1">
        <v>1</v>
      </c>
      <c r="Q1467" s="1">
        <v>3</v>
      </c>
      <c r="R1467" s="1">
        <v>4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54</v>
      </c>
      <c r="AA1467" s="1" t="str" cm="1">
        <f t="array" ref="AA1467">_xlfn.IFS(AND(Z1467&lt;36, Z1467&gt;23), "24-35", AND(Z1467&lt;51, Z1467&gt;35),"36-50", AND(Z1467&lt;66, Z1467&gt;50), "51-66", Z1467&gt;65, "66+", TRUE, "?")</f>
        <v>51-66</v>
      </c>
      <c r="AB1467" s="1">
        <v>2226</v>
      </c>
      <c r="AC1467" s="1">
        <v>0</v>
      </c>
      <c r="AD1467" s="1">
        <v>0</v>
      </c>
      <c r="AE1467" s="1">
        <v>0</v>
      </c>
      <c r="AF1467" s="1">
        <v>1</v>
      </c>
      <c r="AG1467" s="1">
        <v>0</v>
      </c>
      <c r="AH1467" s="1">
        <v>0</v>
      </c>
      <c r="AI1467" s="1">
        <v>0</v>
      </c>
      <c r="AJ1467" s="1">
        <v>1</v>
      </c>
      <c r="AK1467" s="1">
        <v>0</v>
      </c>
      <c r="AL1467" s="1">
        <v>60</v>
      </c>
      <c r="AM1467" s="2">
        <v>42623</v>
      </c>
      <c r="AN1467" t="str">
        <f t="shared" si="45"/>
        <v>45903,63,0.00137245931638455,0,1,80,33,8,10,2,10,3,2,2,1,3,4,0,0,0,0,0,0,0,54,51-66,2226,0,0,0,1,0,0,0,1,0,60,42623</v>
      </c>
    </row>
    <row r="1468" spans="1:40" ht="13" hidden="1" x14ac:dyDescent="0.15">
      <c r="A1468">
        <v>1518</v>
      </c>
      <c r="B1468" s="1">
        <v>35544</v>
      </c>
      <c r="C1468" s="1">
        <v>63</v>
      </c>
      <c r="D1468" s="4">
        <f t="shared" si="44"/>
        <v>1.7724510465901419E-3</v>
      </c>
      <c r="E1468" s="1">
        <v>1</v>
      </c>
      <c r="F1468" s="1">
        <v>0</v>
      </c>
      <c r="G1468" s="1">
        <v>77</v>
      </c>
      <c r="H1468" s="1">
        <v>30</v>
      </c>
      <c r="I1468" s="1">
        <v>5</v>
      </c>
      <c r="J1468" s="1">
        <v>23</v>
      </c>
      <c r="K1468" s="1">
        <v>4</v>
      </c>
      <c r="L1468" s="1">
        <v>1</v>
      </c>
      <c r="M1468" s="1">
        <v>4</v>
      </c>
      <c r="N1468" s="1">
        <v>1</v>
      </c>
      <c r="O1468" s="1">
        <v>2</v>
      </c>
      <c r="P1468" s="1">
        <v>0</v>
      </c>
      <c r="Q1468" s="1">
        <v>3</v>
      </c>
      <c r="R1468" s="1">
        <v>7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42</v>
      </c>
      <c r="AA1468" s="1" t="str" cm="1">
        <f t="array" ref="AA1468">_xlfn.IFS(AND(Z1468&lt;36, Z1468&gt;23), "24-35", AND(Z1468&lt;51, Z1468&gt;35),"36-50", AND(Z1468&lt;66, Z1468&gt;50), "51-66", Z1468&gt;65, "66+", TRUE, "?")</f>
        <v>36-50</v>
      </c>
      <c r="AB1468" s="1">
        <v>2272</v>
      </c>
      <c r="AC1468" s="1">
        <v>0</v>
      </c>
      <c r="AD1468" s="1">
        <v>0</v>
      </c>
      <c r="AE1468" s="1">
        <v>1</v>
      </c>
      <c r="AF1468" s="1">
        <v>0</v>
      </c>
      <c r="AG1468" s="1">
        <v>0</v>
      </c>
      <c r="AH1468" s="1">
        <v>0</v>
      </c>
      <c r="AI1468" s="1">
        <v>0</v>
      </c>
      <c r="AJ1468" s="1">
        <v>1</v>
      </c>
      <c r="AK1468" s="1">
        <v>0</v>
      </c>
      <c r="AL1468" s="1">
        <v>59</v>
      </c>
      <c r="AM1468" s="2">
        <v>42577</v>
      </c>
      <c r="AN1468" t="str">
        <f t="shared" si="45"/>
        <v>35544,63,0.00177245104659014,1,0,77,30,5,23,4,1,4,1,2,0,3,7,0,0,0,0,0,0,0,42,36-50,2272,0,0,1,0,0,0,0,1,0,59,42577</v>
      </c>
    </row>
    <row r="1469" spans="1:40" ht="13" x14ac:dyDescent="0.15">
      <c r="A1469">
        <v>1778</v>
      </c>
      <c r="B1469" s="1">
        <v>32218</v>
      </c>
      <c r="C1469" s="1">
        <v>63</v>
      </c>
      <c r="D1469" s="4">
        <f t="shared" si="44"/>
        <v>1.9554286423738281E-3</v>
      </c>
      <c r="E1469" s="1">
        <v>0</v>
      </c>
      <c r="F1469" s="1">
        <v>0</v>
      </c>
      <c r="G1469" s="1">
        <v>27</v>
      </c>
      <c r="H1469" s="1">
        <v>10</v>
      </c>
      <c r="I1469" s="1">
        <v>24</v>
      </c>
      <c r="J1469" s="1">
        <v>15</v>
      </c>
      <c r="K1469" s="1">
        <v>13</v>
      </c>
      <c r="L1469" s="1">
        <v>1</v>
      </c>
      <c r="M1469" s="1">
        <v>30</v>
      </c>
      <c r="N1469" s="1">
        <v>1</v>
      </c>
      <c r="O1469" s="1">
        <v>2</v>
      </c>
      <c r="P1469" s="1">
        <v>1</v>
      </c>
      <c r="Q1469" s="1">
        <v>3</v>
      </c>
      <c r="R1469" s="1">
        <v>7</v>
      </c>
      <c r="S1469" s="1">
        <v>0</v>
      </c>
      <c r="T1469" s="1">
        <v>0</v>
      </c>
      <c r="U1469" s="1">
        <v>1</v>
      </c>
      <c r="V1469" s="1">
        <v>0</v>
      </c>
      <c r="W1469" s="1">
        <v>0</v>
      </c>
      <c r="X1469" s="1">
        <v>0</v>
      </c>
      <c r="Y1469" s="1">
        <v>1</v>
      </c>
      <c r="Z1469" s="1">
        <v>60</v>
      </c>
      <c r="AA1469" s="1" t="str" cm="1">
        <f t="array" ref="AA1469">_xlfn.IFS(AND(Z1469&lt;36, Z1469&gt;23), "24-35", AND(Z1469&lt;51, Z1469&gt;35),"36-50", AND(Z1469&lt;66, Z1469&gt;50), "51-66", Z1469&gt;65, "66+", TRUE, "?")</f>
        <v>51-66</v>
      </c>
      <c r="AB1469" s="1">
        <v>2293</v>
      </c>
      <c r="AC1469" s="1">
        <v>0</v>
      </c>
      <c r="AD1469" s="1">
        <v>0</v>
      </c>
      <c r="AE1469" s="1">
        <v>1</v>
      </c>
      <c r="AF1469" s="1">
        <v>0</v>
      </c>
      <c r="AG1469" s="1">
        <v>0</v>
      </c>
      <c r="AH1469" s="1">
        <v>1</v>
      </c>
      <c r="AI1469" s="1">
        <v>0</v>
      </c>
      <c r="AJ1469" s="1">
        <v>0</v>
      </c>
      <c r="AK1469" s="1">
        <v>0</v>
      </c>
      <c r="AL1469" s="1">
        <v>33</v>
      </c>
      <c r="AM1469" s="2">
        <v>42556</v>
      </c>
      <c r="AN1469" t="str">
        <f t="shared" si="45"/>
        <v>32218,63,0.00195542864237383,0,0,27,10,24,15,13,1,30,1,2,1,3,7,0,0,1,0,0,0,1,60,51-66,2293,0,0,1,0,0,1,0,0,0,33,42556</v>
      </c>
    </row>
    <row r="1470" spans="1:40" ht="13" hidden="1" x14ac:dyDescent="0.15">
      <c r="A1470">
        <v>1950</v>
      </c>
      <c r="B1470" s="1">
        <v>32146</v>
      </c>
      <c r="C1470" s="1">
        <v>63</v>
      </c>
      <c r="D1470" s="4">
        <f t="shared" si="44"/>
        <v>1.9598083742922916E-3</v>
      </c>
      <c r="E1470" s="1">
        <v>1</v>
      </c>
      <c r="F1470" s="1">
        <v>0</v>
      </c>
      <c r="G1470" s="1">
        <v>16</v>
      </c>
      <c r="H1470" s="1">
        <v>26</v>
      </c>
      <c r="I1470" s="1">
        <v>3</v>
      </c>
      <c r="J1470" s="1">
        <v>23</v>
      </c>
      <c r="K1470" s="1">
        <v>4</v>
      </c>
      <c r="L1470" s="1">
        <v>7</v>
      </c>
      <c r="M1470" s="1">
        <v>3</v>
      </c>
      <c r="N1470" s="1">
        <v>2</v>
      </c>
      <c r="O1470" s="1">
        <v>2</v>
      </c>
      <c r="P1470" s="1">
        <v>0</v>
      </c>
      <c r="Q1470" s="1">
        <v>4</v>
      </c>
      <c r="R1470" s="1">
        <v>6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37</v>
      </c>
      <c r="AA1470" s="1" t="str" cm="1">
        <f t="array" ref="AA1470">_xlfn.IFS(AND(Z1470&lt;36, Z1470&gt;23), "24-35", AND(Z1470&lt;51, Z1470&gt;35),"36-50", AND(Z1470&lt;66, Z1470&gt;50), "51-66", Z1470&gt;65, "66+", TRUE, "?")</f>
        <v>36-50</v>
      </c>
      <c r="AB1470" s="1">
        <v>2207</v>
      </c>
      <c r="AC1470" s="1">
        <v>0</v>
      </c>
      <c r="AD1470" s="1">
        <v>1</v>
      </c>
      <c r="AE1470" s="1">
        <v>0</v>
      </c>
      <c r="AF1470" s="1">
        <v>0</v>
      </c>
      <c r="AG1470" s="1">
        <v>0</v>
      </c>
      <c r="AH1470" s="1">
        <v>1</v>
      </c>
      <c r="AI1470" s="1">
        <v>0</v>
      </c>
      <c r="AJ1470" s="1">
        <v>0</v>
      </c>
      <c r="AK1470" s="1">
        <v>0</v>
      </c>
      <c r="AL1470" s="1">
        <v>60</v>
      </c>
      <c r="AM1470" s="2">
        <v>42642</v>
      </c>
      <c r="AN1470" t="str">
        <f t="shared" si="45"/>
        <v>32146,63,0.00195980837429229,1,0,16,26,3,23,4,7,3,2,2,0,4,6,0,0,0,0,0,0,0,37,36-50,2207,0,1,0,0,0,1,0,0,0,60,42642</v>
      </c>
    </row>
    <row r="1471" spans="1:40" ht="13" hidden="1" x14ac:dyDescent="0.15">
      <c r="A1471">
        <v>25</v>
      </c>
      <c r="B1471" s="1">
        <v>18589</v>
      </c>
      <c r="C1471" s="1">
        <v>62</v>
      </c>
      <c r="D1471" s="4">
        <f t="shared" si="44"/>
        <v>3.3353058260261444E-3</v>
      </c>
      <c r="E1471" s="1">
        <v>0</v>
      </c>
      <c r="F1471" s="1">
        <v>0</v>
      </c>
      <c r="G1471" s="1">
        <v>89</v>
      </c>
      <c r="H1471" s="1">
        <v>6</v>
      </c>
      <c r="I1471" s="1">
        <v>4</v>
      </c>
      <c r="J1471" s="1">
        <v>25</v>
      </c>
      <c r="K1471" s="1">
        <v>15</v>
      </c>
      <c r="L1471" s="1">
        <v>12</v>
      </c>
      <c r="M1471" s="1">
        <v>13</v>
      </c>
      <c r="N1471" s="1">
        <v>2</v>
      </c>
      <c r="O1471" s="1">
        <v>2</v>
      </c>
      <c r="P1471" s="1">
        <v>1</v>
      </c>
      <c r="Q1471" s="1">
        <v>3</v>
      </c>
      <c r="R1471" s="1">
        <v>7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51</v>
      </c>
      <c r="AA1471" s="1" t="str" cm="1">
        <f t="array" ref="AA1471">_xlfn.IFS(AND(Z1471&lt;36, Z1471&gt;23), "24-35", AND(Z1471&lt;51, Z1471&gt;35),"36-50", AND(Z1471&lt;66, Z1471&gt;50), "51-66", Z1471&gt;65, "66+", TRUE, "?")</f>
        <v>51-66</v>
      </c>
      <c r="AB1471" s="1">
        <v>2702</v>
      </c>
      <c r="AC1471" s="1">
        <v>0</v>
      </c>
      <c r="AD1471" s="1">
        <v>0</v>
      </c>
      <c r="AE1471" s="1">
        <v>1</v>
      </c>
      <c r="AF1471" s="1">
        <v>0</v>
      </c>
      <c r="AG1471" s="1">
        <v>0</v>
      </c>
      <c r="AH1471" s="1">
        <v>0</v>
      </c>
      <c r="AI1471" s="1">
        <v>1</v>
      </c>
      <c r="AJ1471" s="1">
        <v>0</v>
      </c>
      <c r="AK1471" s="1">
        <v>0</v>
      </c>
      <c r="AL1471" s="1">
        <v>49</v>
      </c>
      <c r="AM1471" s="2">
        <v>42147</v>
      </c>
      <c r="AN1471" t="str">
        <f t="shared" si="45"/>
        <v>18589,62,0.00333530582602614,0,0,89,6,4,25,15,12,13,2,2,1,3,7,0,0,0,0,0,0,0,51,51-66,2702,0,0,1,0,0,0,1,0,0,49,42147</v>
      </c>
    </row>
    <row r="1472" spans="1:40" ht="13" hidden="1" x14ac:dyDescent="0.15">
      <c r="A1472">
        <v>34</v>
      </c>
      <c r="B1472" s="1">
        <v>49389</v>
      </c>
      <c r="C1472" s="1">
        <v>62</v>
      </c>
      <c r="D1472" s="4">
        <f t="shared" si="44"/>
        <v>1.2553402579521757E-3</v>
      </c>
      <c r="E1472" s="1">
        <v>1</v>
      </c>
      <c r="F1472" s="1">
        <v>1</v>
      </c>
      <c r="G1472" s="1">
        <v>55</v>
      </c>
      <c r="H1472" s="1">
        <v>40</v>
      </c>
      <c r="I1472" s="1">
        <v>0</v>
      </c>
      <c r="J1472" s="1">
        <v>19</v>
      </c>
      <c r="K1472" s="1">
        <v>2</v>
      </c>
      <c r="L1472" s="1">
        <v>1</v>
      </c>
      <c r="M1472" s="1">
        <v>3</v>
      </c>
      <c r="N1472" s="1">
        <v>1</v>
      </c>
      <c r="O1472" s="1">
        <v>2</v>
      </c>
      <c r="P1472" s="1">
        <v>0</v>
      </c>
      <c r="Q1472" s="1">
        <v>3</v>
      </c>
      <c r="R1472" s="1">
        <v>7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69</v>
      </c>
      <c r="AA1472" s="1" t="str" cm="1">
        <f t="array" ref="AA1472">_xlfn.IFS(AND(Z1472&lt;36, Z1472&gt;23), "24-35", AND(Z1472&lt;51, Z1472&gt;35),"36-50", AND(Z1472&lt;66, Z1472&gt;50), "51-66", Z1472&gt;65, "66+", TRUE, "?")</f>
        <v>66+</v>
      </c>
      <c r="AB1472" s="1">
        <v>2463</v>
      </c>
      <c r="AC1472" s="1">
        <v>0</v>
      </c>
      <c r="AD1472" s="1">
        <v>0</v>
      </c>
      <c r="AE1472" s="1">
        <v>1</v>
      </c>
      <c r="AF1472" s="1">
        <v>0</v>
      </c>
      <c r="AG1472" s="1">
        <v>0</v>
      </c>
      <c r="AH1472" s="1">
        <v>0</v>
      </c>
      <c r="AI1472" s="1">
        <v>0</v>
      </c>
      <c r="AJ1472" s="1">
        <v>1</v>
      </c>
      <c r="AK1472" s="1">
        <v>0</v>
      </c>
      <c r="AL1472" s="1">
        <v>59</v>
      </c>
      <c r="AM1472" s="2">
        <v>42386</v>
      </c>
      <c r="AN1472" t="str">
        <f t="shared" si="45"/>
        <v>49389,62,0.00125534025795218,1,1,55,40,0,19,2,1,3,1,2,0,3,7,0,0,0,0,0,0,0,69,66+,2463,0,0,1,0,0,0,0,1,0,59,42386</v>
      </c>
    </row>
    <row r="1473" spans="1:40" ht="13" hidden="1" x14ac:dyDescent="0.15">
      <c r="A1473">
        <v>89</v>
      </c>
      <c r="B1473" s="1">
        <v>47823</v>
      </c>
      <c r="C1473" s="1">
        <v>62</v>
      </c>
      <c r="D1473" s="4">
        <f t="shared" si="44"/>
        <v>1.2964473161449512E-3</v>
      </c>
      <c r="E1473" s="1">
        <v>0</v>
      </c>
      <c r="F1473" s="1">
        <v>1</v>
      </c>
      <c r="G1473" s="1">
        <v>0</v>
      </c>
      <c r="H1473" s="1">
        <v>53</v>
      </c>
      <c r="I1473" s="1">
        <v>1</v>
      </c>
      <c r="J1473" s="1">
        <v>5</v>
      </c>
      <c r="K1473" s="1">
        <v>2</v>
      </c>
      <c r="L1473" s="1">
        <v>1</v>
      </c>
      <c r="M1473" s="1">
        <v>10</v>
      </c>
      <c r="N1473" s="1">
        <v>2</v>
      </c>
      <c r="O1473" s="1">
        <v>2</v>
      </c>
      <c r="P1473" s="1">
        <v>0</v>
      </c>
      <c r="Q1473" s="1">
        <v>3</v>
      </c>
      <c r="R1473" s="1">
        <v>8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60</v>
      </c>
      <c r="AA1473" s="1" t="str" cm="1">
        <f t="array" ref="AA1473">_xlfn.IFS(AND(Z1473&lt;36, Z1473&gt;23), "24-35", AND(Z1473&lt;51, Z1473&gt;35),"36-50", AND(Z1473&lt;66, Z1473&gt;50), "51-66", Z1473&gt;65, "66+", TRUE, "?")</f>
        <v>51-66</v>
      </c>
      <c r="AB1473" s="1">
        <v>2500</v>
      </c>
      <c r="AC1473" s="1">
        <v>0</v>
      </c>
      <c r="AD1473" s="1">
        <v>0</v>
      </c>
      <c r="AE1473" s="1">
        <v>1</v>
      </c>
      <c r="AF1473" s="1">
        <v>0</v>
      </c>
      <c r="AG1473" s="1">
        <v>0</v>
      </c>
      <c r="AH1473" s="1">
        <v>1</v>
      </c>
      <c r="AI1473" s="1">
        <v>0</v>
      </c>
      <c r="AJ1473" s="1">
        <v>0</v>
      </c>
      <c r="AK1473" s="1">
        <v>0</v>
      </c>
      <c r="AL1473" s="1">
        <v>52</v>
      </c>
      <c r="AM1473" s="2">
        <v>42349</v>
      </c>
      <c r="AN1473" t="str">
        <f t="shared" si="45"/>
        <v>47823,62,0.00129644731614495,0,1,0,53,1,5,2,1,10,2,2,0,3,8,0,0,0,0,0,0,0,60,51-66,2500,0,0,1,0,0,1,0,0,0,52,42349</v>
      </c>
    </row>
    <row r="1474" spans="1:40" ht="13" hidden="1" x14ac:dyDescent="0.15">
      <c r="A1474">
        <v>542</v>
      </c>
      <c r="B1474" s="1">
        <v>36959</v>
      </c>
      <c r="C1474" s="1">
        <v>62</v>
      </c>
      <c r="D1474" s="4">
        <f t="shared" ref="D1474:D1537" si="46">C1474/B1474</f>
        <v>1.6775345653291486E-3</v>
      </c>
      <c r="E1474" s="1">
        <v>1</v>
      </c>
      <c r="F1474" s="1">
        <v>0</v>
      </c>
      <c r="G1474" s="1">
        <v>56</v>
      </c>
      <c r="H1474" s="1">
        <v>25</v>
      </c>
      <c r="I1474" s="1">
        <v>6</v>
      </c>
      <c r="J1474" s="1">
        <v>25</v>
      </c>
      <c r="K1474" s="1">
        <v>6</v>
      </c>
      <c r="L1474" s="1">
        <v>0</v>
      </c>
      <c r="M1474" s="1">
        <v>0</v>
      </c>
      <c r="N1474" s="1">
        <v>2</v>
      </c>
      <c r="O1474" s="1">
        <v>2</v>
      </c>
      <c r="P1474" s="1">
        <v>0</v>
      </c>
      <c r="Q1474" s="1">
        <v>3</v>
      </c>
      <c r="R1474" s="1">
        <v>8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39</v>
      </c>
      <c r="AA1474" s="1" t="str" cm="1">
        <f t="array" ref="AA1474">_xlfn.IFS(AND(Z1474&lt;36, Z1474&gt;23), "24-35", AND(Z1474&lt;51, Z1474&gt;35),"36-50", AND(Z1474&lt;66, Z1474&gt;50), "51-66", Z1474&gt;65, "66+", TRUE, "?")</f>
        <v>36-50</v>
      </c>
      <c r="AB1474" s="1">
        <v>2429</v>
      </c>
      <c r="AC1474" s="1">
        <v>0</v>
      </c>
      <c r="AD1474" s="1">
        <v>1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1</v>
      </c>
      <c r="AK1474" s="1">
        <v>0</v>
      </c>
      <c r="AL1474" s="1">
        <v>62</v>
      </c>
      <c r="AM1474" s="2">
        <v>42420</v>
      </c>
      <c r="AN1474" t="str">
        <f t="shared" ref="AN1474:AN1537" si="47">_xlfn.TEXTJOIN(",",TRUE,B1474:AM1474)</f>
        <v>36959,62,0.00167753456532915,1,0,56,25,6,25,6,0,0,2,2,0,3,8,0,0,0,0,0,0,0,39,36-50,2429,0,1,0,0,0,0,0,1,0,62,42420</v>
      </c>
    </row>
    <row r="1475" spans="1:40" ht="13" hidden="1" x14ac:dyDescent="0.15">
      <c r="A1475">
        <v>1059</v>
      </c>
      <c r="B1475" s="1">
        <v>46931</v>
      </c>
      <c r="C1475" s="1">
        <v>62</v>
      </c>
      <c r="D1475" s="4">
        <f t="shared" si="46"/>
        <v>1.3210884063838402E-3</v>
      </c>
      <c r="E1475" s="1">
        <v>2</v>
      </c>
      <c r="F1475" s="1">
        <v>1</v>
      </c>
      <c r="G1475" s="1">
        <v>94</v>
      </c>
      <c r="H1475" s="1">
        <v>41</v>
      </c>
      <c r="I1475" s="1">
        <v>0</v>
      </c>
      <c r="J1475" s="1">
        <v>17</v>
      </c>
      <c r="K1475" s="1">
        <v>3</v>
      </c>
      <c r="L1475" s="1">
        <v>1</v>
      </c>
      <c r="M1475" s="1">
        <v>16</v>
      </c>
      <c r="N1475" s="1">
        <v>2</v>
      </c>
      <c r="O1475" s="1">
        <v>1</v>
      </c>
      <c r="P1475" s="1">
        <v>1</v>
      </c>
      <c r="Q1475" s="1">
        <v>3</v>
      </c>
      <c r="R1475" s="1">
        <v>3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43</v>
      </c>
      <c r="AA1475" s="1" t="str" cm="1">
        <f t="array" ref="AA1475">_xlfn.IFS(AND(Z1475&lt;36, Z1475&gt;23), "24-35", AND(Z1475&lt;51, Z1475&gt;35),"36-50", AND(Z1475&lt;66, Z1475&gt;50), "51-66", Z1475&gt;65, "66+", TRUE, "?")</f>
        <v>36-50</v>
      </c>
      <c r="AB1475" s="1">
        <v>2225</v>
      </c>
      <c r="AC1475" s="1">
        <v>0</v>
      </c>
      <c r="AD1475" s="1">
        <v>0</v>
      </c>
      <c r="AE1475" s="1">
        <v>0</v>
      </c>
      <c r="AF1475" s="1">
        <v>1</v>
      </c>
      <c r="AG1475" s="1">
        <v>0</v>
      </c>
      <c r="AH1475" s="1">
        <v>0</v>
      </c>
      <c r="AI1475" s="1">
        <v>1</v>
      </c>
      <c r="AJ1475" s="1">
        <v>0</v>
      </c>
      <c r="AK1475" s="1">
        <v>0</v>
      </c>
      <c r="AL1475" s="1">
        <v>46</v>
      </c>
      <c r="AM1475" s="2">
        <v>42624</v>
      </c>
      <c r="AN1475" t="str">
        <f t="shared" si="47"/>
        <v>46931,62,0.00132108840638384,2,1,94,41,0,17,3,1,16,2,1,1,3,3,0,0,0,0,0,0,0,43,36-50,2225,0,0,0,1,0,0,1,0,0,46,42624</v>
      </c>
    </row>
    <row r="1476" spans="1:40" ht="13" hidden="1" x14ac:dyDescent="0.15">
      <c r="A1476">
        <v>1147</v>
      </c>
      <c r="B1476" s="1">
        <v>40211</v>
      </c>
      <c r="C1476" s="1">
        <v>62</v>
      </c>
      <c r="D1476" s="4">
        <f t="shared" si="46"/>
        <v>1.5418666534032976E-3</v>
      </c>
      <c r="E1476" s="1">
        <v>1</v>
      </c>
      <c r="F1476" s="1">
        <v>1</v>
      </c>
      <c r="G1476" s="1">
        <v>30</v>
      </c>
      <c r="H1476" s="1">
        <v>51</v>
      </c>
      <c r="I1476" s="1">
        <v>1</v>
      </c>
      <c r="J1476" s="1">
        <v>7</v>
      </c>
      <c r="K1476" s="1">
        <v>2</v>
      </c>
      <c r="L1476" s="1">
        <v>1</v>
      </c>
      <c r="M1476" s="1">
        <v>25</v>
      </c>
      <c r="N1476" s="1">
        <v>2</v>
      </c>
      <c r="O1476" s="1">
        <v>2</v>
      </c>
      <c r="P1476" s="1">
        <v>1</v>
      </c>
      <c r="Q1476" s="1">
        <v>2</v>
      </c>
      <c r="R1476" s="1">
        <v>8</v>
      </c>
      <c r="S1476" s="1">
        <v>0</v>
      </c>
      <c r="T1476" s="1">
        <v>0</v>
      </c>
      <c r="U1476" s="1">
        <v>1</v>
      </c>
      <c r="V1476" s="1">
        <v>0</v>
      </c>
      <c r="W1476" s="1">
        <v>0</v>
      </c>
      <c r="X1476" s="1">
        <v>0</v>
      </c>
      <c r="Y1476" s="1">
        <v>0</v>
      </c>
      <c r="Z1476" s="1">
        <v>39</v>
      </c>
      <c r="AA1476" s="1" t="str" cm="1">
        <f t="array" ref="AA1476">_xlfn.IFS(AND(Z1476&lt;36, Z1476&gt;23), "24-35", AND(Z1476&lt;51, Z1476&gt;35),"36-50", AND(Z1476&lt;66, Z1476&gt;50), "51-66", Z1476&gt;65, "66+", TRUE, "?")</f>
        <v>36-50</v>
      </c>
      <c r="AB1476" s="1">
        <v>2493</v>
      </c>
      <c r="AC1476" s="1">
        <v>0</v>
      </c>
      <c r="AD1476" s="1">
        <v>1</v>
      </c>
      <c r="AE1476" s="1">
        <v>0</v>
      </c>
      <c r="AF1476" s="1">
        <v>0</v>
      </c>
      <c r="AG1476" s="1">
        <v>0</v>
      </c>
      <c r="AH1476" s="1">
        <v>0</v>
      </c>
      <c r="AI1476" s="1">
        <v>1</v>
      </c>
      <c r="AJ1476" s="1">
        <v>0</v>
      </c>
      <c r="AK1476" s="1">
        <v>0</v>
      </c>
      <c r="AL1476" s="1">
        <v>37</v>
      </c>
      <c r="AM1476" s="2">
        <v>42356</v>
      </c>
      <c r="AN1476" t="str">
        <f t="shared" si="47"/>
        <v>40211,62,0.0015418666534033,1,1,30,51,1,7,2,1,25,2,2,1,2,8,0,0,1,0,0,0,0,39,36-50,2493,0,1,0,0,0,0,1,0,0,37,42356</v>
      </c>
    </row>
    <row r="1477" spans="1:40" ht="13" hidden="1" x14ac:dyDescent="0.15">
      <c r="A1477">
        <v>1164</v>
      </c>
      <c r="B1477" s="1">
        <v>59062</v>
      </c>
      <c r="C1477" s="1">
        <v>62</v>
      </c>
      <c r="D1477" s="4">
        <f t="shared" si="46"/>
        <v>1.0497443364599912E-3</v>
      </c>
      <c r="E1477" s="1">
        <v>2</v>
      </c>
      <c r="F1477" s="1">
        <v>1</v>
      </c>
      <c r="G1477" s="1">
        <v>74</v>
      </c>
      <c r="H1477" s="1">
        <v>46</v>
      </c>
      <c r="I1477" s="1">
        <v>1</v>
      </c>
      <c r="J1477" s="1">
        <v>12</v>
      </c>
      <c r="K1477" s="1">
        <v>3</v>
      </c>
      <c r="L1477" s="1">
        <v>0</v>
      </c>
      <c r="M1477" s="1">
        <v>9</v>
      </c>
      <c r="N1477" s="1">
        <v>2</v>
      </c>
      <c r="O1477" s="1">
        <v>2</v>
      </c>
      <c r="P1477" s="1">
        <v>0</v>
      </c>
      <c r="Q1477" s="1">
        <v>3</v>
      </c>
      <c r="R1477" s="1">
        <v>4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53</v>
      </c>
      <c r="AA1477" s="1" t="str" cm="1">
        <f t="array" ref="AA1477">_xlfn.IFS(AND(Z1477&lt;36, Z1477&gt;23), "24-35", AND(Z1477&lt;51, Z1477&gt;35),"36-50", AND(Z1477&lt;66, Z1477&gt;50), "51-66", Z1477&gt;65, "66+", TRUE, "?")</f>
        <v>51-66</v>
      </c>
      <c r="AB1477" s="1">
        <v>2428</v>
      </c>
      <c r="AC1477" s="1">
        <v>0</v>
      </c>
      <c r="AD1477" s="1">
        <v>1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1</v>
      </c>
      <c r="AL1477" s="1">
        <v>53</v>
      </c>
      <c r="AM1477" s="2">
        <v>42421</v>
      </c>
      <c r="AN1477" t="str">
        <f t="shared" si="47"/>
        <v>59062,62,0.00104974433645999,2,1,74,46,1,12,3,0,9,2,2,0,3,4,0,0,0,0,0,0,0,53,51-66,2428,0,1,0,0,0,0,0,0,1,53,42421</v>
      </c>
    </row>
    <row r="1478" spans="1:40" ht="13" hidden="1" x14ac:dyDescent="0.15">
      <c r="A1478">
        <v>1336</v>
      </c>
      <c r="B1478" s="1">
        <v>33402</v>
      </c>
      <c r="C1478" s="1">
        <v>62</v>
      </c>
      <c r="D1478" s="4">
        <f t="shared" si="46"/>
        <v>1.8561762768696485E-3</v>
      </c>
      <c r="E1478" s="1">
        <v>1</v>
      </c>
      <c r="F1478" s="1">
        <v>1</v>
      </c>
      <c r="G1478" s="1">
        <v>60</v>
      </c>
      <c r="H1478" s="1">
        <v>26</v>
      </c>
      <c r="I1478" s="1">
        <v>2</v>
      </c>
      <c r="J1478" s="1">
        <v>19</v>
      </c>
      <c r="K1478" s="1">
        <v>10</v>
      </c>
      <c r="L1478" s="1">
        <v>5</v>
      </c>
      <c r="M1478" s="1">
        <v>8</v>
      </c>
      <c r="N1478" s="1">
        <v>3</v>
      </c>
      <c r="O1478" s="1">
        <v>2</v>
      </c>
      <c r="P1478" s="1">
        <v>1</v>
      </c>
      <c r="Q1478" s="1">
        <v>3</v>
      </c>
      <c r="R1478" s="1">
        <v>8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68</v>
      </c>
      <c r="AA1478" s="1" t="str" cm="1">
        <f t="array" ref="AA1478">_xlfn.IFS(AND(Z1478&lt;36, Z1478&gt;23), "24-35", AND(Z1478&lt;51, Z1478&gt;35),"36-50", AND(Z1478&lt;66, Z1478&gt;50), "51-66", Z1478&gt;65, "66+", TRUE, "?")</f>
        <v>66+</v>
      </c>
      <c r="AB1478" s="1">
        <v>2505</v>
      </c>
      <c r="AC1478" s="1">
        <v>0</v>
      </c>
      <c r="AD1478" s="1">
        <v>0</v>
      </c>
      <c r="AE1478" s="1">
        <v>0</v>
      </c>
      <c r="AF1478" s="1">
        <v>1</v>
      </c>
      <c r="AG1478" s="1">
        <v>0</v>
      </c>
      <c r="AH1478" s="1">
        <v>0</v>
      </c>
      <c r="AI1478" s="1">
        <v>1</v>
      </c>
      <c r="AJ1478" s="1">
        <v>0</v>
      </c>
      <c r="AK1478" s="1">
        <v>0</v>
      </c>
      <c r="AL1478" s="1">
        <v>54</v>
      </c>
      <c r="AM1478" s="2">
        <v>42344</v>
      </c>
      <c r="AN1478" t="str">
        <f t="shared" si="47"/>
        <v>33402,62,0.00185617627686965,1,1,60,26,2,19,10,5,8,3,2,1,3,8,0,0,0,0,0,0,0,68,66+,2505,0,0,0,1,0,0,1,0,0,54,42344</v>
      </c>
    </row>
    <row r="1479" spans="1:40" ht="13" hidden="1" x14ac:dyDescent="0.15">
      <c r="A1479">
        <v>1569</v>
      </c>
      <c r="B1479" s="1">
        <v>41154</v>
      </c>
      <c r="C1479" s="1">
        <v>62</v>
      </c>
      <c r="D1479" s="4">
        <f t="shared" si="46"/>
        <v>1.5065364241629003E-3</v>
      </c>
      <c r="E1479" s="1">
        <v>0</v>
      </c>
      <c r="F1479" s="1">
        <v>1</v>
      </c>
      <c r="G1479" s="1">
        <v>98</v>
      </c>
      <c r="H1479" s="1">
        <v>44</v>
      </c>
      <c r="I1479" s="1">
        <v>2</v>
      </c>
      <c r="J1479" s="1">
        <v>11</v>
      </c>
      <c r="K1479" s="1">
        <v>2</v>
      </c>
      <c r="L1479" s="1">
        <v>3</v>
      </c>
      <c r="M1479" s="1">
        <v>7</v>
      </c>
      <c r="N1479" s="1">
        <v>1</v>
      </c>
      <c r="O1479" s="1">
        <v>1</v>
      </c>
      <c r="P1479" s="1">
        <v>0</v>
      </c>
      <c r="Q1479" s="1">
        <v>4</v>
      </c>
      <c r="R1479" s="1">
        <v>5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42</v>
      </c>
      <c r="AA1479" s="1" t="str" cm="1">
        <f t="array" ref="AA1479">_xlfn.IFS(AND(Z1479&lt;36, Z1479&gt;23), "24-35", AND(Z1479&lt;51, Z1479&gt;35),"36-50", AND(Z1479&lt;66, Z1479&gt;50), "51-66", Z1479&gt;65, "66+", TRUE, "?")</f>
        <v>36-50</v>
      </c>
      <c r="AB1479" s="1">
        <v>2605</v>
      </c>
      <c r="AC1479" s="1">
        <v>0</v>
      </c>
      <c r="AD1479" s="1">
        <v>0</v>
      </c>
      <c r="AE1479" s="1">
        <v>0</v>
      </c>
      <c r="AF1479" s="1">
        <v>1</v>
      </c>
      <c r="AG1479" s="1">
        <v>0</v>
      </c>
      <c r="AH1479" s="1">
        <v>0</v>
      </c>
      <c r="AI1479" s="1">
        <v>1</v>
      </c>
      <c r="AJ1479" s="1">
        <v>0</v>
      </c>
      <c r="AK1479" s="1">
        <v>0</v>
      </c>
      <c r="AL1479" s="1">
        <v>55</v>
      </c>
      <c r="AM1479" s="2">
        <v>42244</v>
      </c>
      <c r="AN1479" t="str">
        <f t="shared" si="47"/>
        <v>41154,62,0.0015065364241629,0,1,98,44,2,11,2,3,7,1,1,0,4,5,0,0,0,0,0,0,0,42,36-50,2605,0,0,0,1,0,0,1,0,0,55,42244</v>
      </c>
    </row>
    <row r="1480" spans="1:40" ht="13" hidden="1" x14ac:dyDescent="0.15">
      <c r="A1480">
        <v>1586</v>
      </c>
      <c r="B1480" s="1">
        <v>46910</v>
      </c>
      <c r="C1480" s="1">
        <v>62</v>
      </c>
      <c r="D1480" s="4">
        <f t="shared" si="46"/>
        <v>1.3216798124067364E-3</v>
      </c>
      <c r="E1480" s="1">
        <v>1</v>
      </c>
      <c r="F1480" s="1">
        <v>1</v>
      </c>
      <c r="G1480" s="1">
        <v>36</v>
      </c>
      <c r="H1480" s="1">
        <v>48</v>
      </c>
      <c r="I1480" s="1">
        <v>0</v>
      </c>
      <c r="J1480" s="1">
        <v>14</v>
      </c>
      <c r="K1480" s="1">
        <v>0</v>
      </c>
      <c r="L1480" s="1">
        <v>0</v>
      </c>
      <c r="M1480" s="1">
        <v>6</v>
      </c>
      <c r="N1480" s="1">
        <v>2</v>
      </c>
      <c r="O1480" s="1">
        <v>2</v>
      </c>
      <c r="P1480" s="1">
        <v>0</v>
      </c>
      <c r="Q1480" s="1">
        <v>3</v>
      </c>
      <c r="R1480" s="1">
        <v>6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56</v>
      </c>
      <c r="AA1480" s="1" t="str" cm="1">
        <f t="array" ref="AA1480">_xlfn.IFS(AND(Z1480&lt;36, Z1480&gt;23), "24-35", AND(Z1480&lt;51, Z1480&gt;35),"36-50", AND(Z1480&lt;66, Z1480&gt;50), "51-66", Z1480&gt;65, "66+", TRUE, "?")</f>
        <v>51-66</v>
      </c>
      <c r="AB1480" s="1">
        <v>2257</v>
      </c>
      <c r="AC1480" s="1">
        <v>0</v>
      </c>
      <c r="AD1480" s="1">
        <v>0</v>
      </c>
      <c r="AE1480" s="1">
        <v>0</v>
      </c>
      <c r="AF1480" s="1">
        <v>1</v>
      </c>
      <c r="AG1480" s="1">
        <v>0</v>
      </c>
      <c r="AH1480" s="1">
        <v>0</v>
      </c>
      <c r="AI1480" s="1">
        <v>0</v>
      </c>
      <c r="AJ1480" s="1">
        <v>0</v>
      </c>
      <c r="AK1480" s="1">
        <v>1</v>
      </c>
      <c r="AL1480" s="1">
        <v>56</v>
      </c>
      <c r="AM1480" s="2">
        <v>42592</v>
      </c>
      <c r="AN1480" t="str">
        <f t="shared" si="47"/>
        <v>46910,62,0.00132167981240674,1,1,36,48,0,14,0,0,6,2,2,0,3,6,0,0,0,0,0,0,0,56,51-66,2257,0,0,0,1,0,0,0,0,1,56,42592</v>
      </c>
    </row>
    <row r="1481" spans="1:40" ht="13" x14ac:dyDescent="0.15">
      <c r="A1481">
        <v>1783</v>
      </c>
      <c r="B1481" s="1">
        <v>16653</v>
      </c>
      <c r="C1481" s="1">
        <v>62</v>
      </c>
      <c r="D1481" s="4">
        <f t="shared" si="46"/>
        <v>3.7230529033807722E-3</v>
      </c>
      <c r="E1481" s="1">
        <v>1</v>
      </c>
      <c r="F1481" s="1">
        <v>0</v>
      </c>
      <c r="G1481" s="1">
        <v>10</v>
      </c>
      <c r="H1481" s="1">
        <v>5</v>
      </c>
      <c r="I1481" s="1">
        <v>7</v>
      </c>
      <c r="J1481" s="1">
        <v>31</v>
      </c>
      <c r="K1481" s="1">
        <v>15</v>
      </c>
      <c r="L1481" s="1">
        <v>4</v>
      </c>
      <c r="M1481" s="1">
        <v>7</v>
      </c>
      <c r="N1481" s="1">
        <v>3</v>
      </c>
      <c r="O1481" s="1">
        <v>2</v>
      </c>
      <c r="P1481" s="1">
        <v>1</v>
      </c>
      <c r="Q1481" s="1">
        <v>3</v>
      </c>
      <c r="R1481" s="1">
        <v>6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1</v>
      </c>
      <c r="Z1481" s="1">
        <v>41</v>
      </c>
      <c r="AA1481" s="1" t="str" cm="1">
        <f t="array" ref="AA1481">_xlfn.IFS(AND(Z1481&lt;36, Z1481&gt;23), "24-35", AND(Z1481&lt;51, Z1481&gt;35),"36-50", AND(Z1481&lt;66, Z1481&gt;50), "51-66", Z1481&gt;65, "66+", TRUE, "?")</f>
        <v>36-50</v>
      </c>
      <c r="AB1481" s="1">
        <v>2231</v>
      </c>
      <c r="AC1481" s="1">
        <v>0</v>
      </c>
      <c r="AD1481" s="1">
        <v>0</v>
      </c>
      <c r="AE1481" s="1">
        <v>1</v>
      </c>
      <c r="AF1481" s="1">
        <v>0</v>
      </c>
      <c r="AG1481" s="1">
        <v>0</v>
      </c>
      <c r="AH1481" s="1">
        <v>0</v>
      </c>
      <c r="AI1481" s="1">
        <v>0</v>
      </c>
      <c r="AJ1481" s="1">
        <v>1</v>
      </c>
      <c r="AK1481" s="1">
        <v>0</v>
      </c>
      <c r="AL1481" s="1">
        <v>55</v>
      </c>
      <c r="AM1481" s="2">
        <v>42618</v>
      </c>
      <c r="AN1481" t="str">
        <f t="shared" si="47"/>
        <v>16653,62,0.00372305290338077,1,0,10,5,7,31,15,4,7,3,2,1,3,6,0,0,0,0,0,0,1,41,36-50,2231,0,0,1,0,0,0,0,1,0,55,42618</v>
      </c>
    </row>
    <row r="1482" spans="1:40" ht="13" hidden="1" x14ac:dyDescent="0.15">
      <c r="A1482">
        <v>86</v>
      </c>
      <c r="B1482" s="1">
        <v>51813</v>
      </c>
      <c r="C1482" s="1">
        <v>61</v>
      </c>
      <c r="D1482" s="4">
        <f t="shared" si="46"/>
        <v>1.1773107135274932E-3</v>
      </c>
      <c r="E1482" s="1">
        <v>1</v>
      </c>
      <c r="F1482" s="1">
        <v>1</v>
      </c>
      <c r="G1482" s="1">
        <v>37</v>
      </c>
      <c r="H1482" s="1">
        <v>51</v>
      </c>
      <c r="I1482" s="1">
        <v>2</v>
      </c>
      <c r="J1482" s="1">
        <v>7</v>
      </c>
      <c r="K1482" s="1">
        <v>0</v>
      </c>
      <c r="L1482" s="1">
        <v>1</v>
      </c>
      <c r="M1482" s="1">
        <v>2</v>
      </c>
      <c r="N1482" s="1">
        <v>2</v>
      </c>
      <c r="O1482" s="1">
        <v>2</v>
      </c>
      <c r="P1482" s="1">
        <v>0</v>
      </c>
      <c r="Q1482" s="1">
        <v>3</v>
      </c>
      <c r="R1482" s="1">
        <v>7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48</v>
      </c>
      <c r="AA1482" s="1" t="str" cm="1">
        <f t="array" ref="AA1482">_xlfn.IFS(AND(Z1482&lt;36, Z1482&gt;23), "24-35", AND(Z1482&lt;51, Z1482&gt;35),"36-50", AND(Z1482&lt;66, Z1482&gt;50), "51-66", Z1482&gt;65, "66+", TRUE, "?")</f>
        <v>36-50</v>
      </c>
      <c r="AB1482" s="1">
        <v>2603</v>
      </c>
      <c r="AC1482" s="1">
        <v>1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1</v>
      </c>
      <c r="AJ1482" s="1">
        <v>0</v>
      </c>
      <c r="AK1482" s="1">
        <v>0</v>
      </c>
      <c r="AL1482" s="1">
        <v>59</v>
      </c>
      <c r="AM1482" s="2">
        <v>42246</v>
      </c>
      <c r="AN1482" t="str">
        <f t="shared" si="47"/>
        <v>51813,61,0.00117731071352749,1,1,37,51,2,7,0,1,2,2,2,0,3,7,0,0,0,0,0,0,0,48,36-50,2603,1,0,0,0,0,0,1,0,0,59,42246</v>
      </c>
    </row>
    <row r="1483" spans="1:40" ht="13" hidden="1" x14ac:dyDescent="0.15">
      <c r="A1483">
        <v>190</v>
      </c>
      <c r="B1483" s="1">
        <v>44794</v>
      </c>
      <c r="C1483" s="1">
        <v>61</v>
      </c>
      <c r="D1483" s="4">
        <f t="shared" si="46"/>
        <v>1.3617895253828637E-3</v>
      </c>
      <c r="E1483" s="1">
        <v>0</v>
      </c>
      <c r="F1483" s="1">
        <v>1</v>
      </c>
      <c r="G1483" s="1">
        <v>99</v>
      </c>
      <c r="H1483" s="1">
        <v>54</v>
      </c>
      <c r="I1483" s="1">
        <v>0</v>
      </c>
      <c r="J1483" s="1">
        <v>7</v>
      </c>
      <c r="K1483" s="1">
        <v>0</v>
      </c>
      <c r="L1483" s="1">
        <v>0</v>
      </c>
      <c r="M1483" s="1">
        <v>4</v>
      </c>
      <c r="N1483" s="1">
        <v>1</v>
      </c>
      <c r="O1483" s="1">
        <v>2</v>
      </c>
      <c r="P1483" s="1">
        <v>0</v>
      </c>
      <c r="Q1483" s="1">
        <v>3</v>
      </c>
      <c r="R1483" s="1">
        <v>6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54</v>
      </c>
      <c r="AA1483" s="1" t="str" cm="1">
        <f t="array" ref="AA1483">_xlfn.IFS(AND(Z1483&lt;36, Z1483&gt;23), "24-35", AND(Z1483&lt;51, Z1483&gt;35),"36-50", AND(Z1483&lt;66, Z1483&gt;50), "51-66", Z1483&gt;65, "66+", TRUE, "?")</f>
        <v>51-66</v>
      </c>
      <c r="AB1483" s="1">
        <v>2180</v>
      </c>
      <c r="AC1483" s="1">
        <v>0</v>
      </c>
      <c r="AD1483" s="1">
        <v>1</v>
      </c>
      <c r="AE1483" s="1">
        <v>0</v>
      </c>
      <c r="AF1483" s="1">
        <v>0</v>
      </c>
      <c r="AG1483" s="1">
        <v>0</v>
      </c>
      <c r="AH1483" s="1">
        <v>0</v>
      </c>
      <c r="AI1483" s="1">
        <v>1</v>
      </c>
      <c r="AJ1483" s="1">
        <v>0</v>
      </c>
      <c r="AK1483" s="1">
        <v>0</v>
      </c>
      <c r="AL1483" s="1">
        <v>57</v>
      </c>
      <c r="AM1483" s="2">
        <v>42669</v>
      </c>
      <c r="AN1483" t="str">
        <f t="shared" si="47"/>
        <v>44794,61,0.00136178952538286,0,1,99,54,0,7,0,0,4,1,2,0,3,6,0,0,0,0,0,0,0,54,51-66,2180,0,1,0,0,0,0,1,0,0,57,42669</v>
      </c>
    </row>
    <row r="1484" spans="1:40" ht="13" hidden="1" x14ac:dyDescent="0.15">
      <c r="A1484">
        <v>1040</v>
      </c>
      <c r="B1484" s="1">
        <v>50870</v>
      </c>
      <c r="C1484" s="1">
        <v>61</v>
      </c>
      <c r="D1484" s="4">
        <f t="shared" si="46"/>
        <v>1.1991350501277768E-3</v>
      </c>
      <c r="E1484" s="1">
        <v>0</v>
      </c>
      <c r="F1484" s="1">
        <v>1</v>
      </c>
      <c r="G1484" s="1">
        <v>13</v>
      </c>
      <c r="H1484" s="1">
        <v>53</v>
      </c>
      <c r="I1484" s="1">
        <v>0</v>
      </c>
      <c r="J1484" s="1">
        <v>8</v>
      </c>
      <c r="K1484" s="1">
        <v>0</v>
      </c>
      <c r="L1484" s="1">
        <v>0</v>
      </c>
      <c r="M1484" s="1">
        <v>2</v>
      </c>
      <c r="N1484" s="1">
        <v>1</v>
      </c>
      <c r="O1484" s="1">
        <v>2</v>
      </c>
      <c r="P1484" s="1">
        <v>0</v>
      </c>
      <c r="Q1484" s="1">
        <v>3</v>
      </c>
      <c r="R1484" s="1">
        <v>5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68</v>
      </c>
      <c r="AA1484" s="1" t="str" cm="1">
        <f t="array" ref="AA1484">_xlfn.IFS(AND(Z1484&lt;36, Z1484&gt;23), "24-35", AND(Z1484&lt;51, Z1484&gt;35),"36-50", AND(Z1484&lt;66, Z1484&gt;50), "51-66", Z1484&gt;65, "66+", TRUE, "?")</f>
        <v>66+</v>
      </c>
      <c r="AB1484" s="1">
        <v>2169</v>
      </c>
      <c r="AC1484" s="1">
        <v>0</v>
      </c>
      <c r="AD1484" s="1">
        <v>1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1</v>
      </c>
      <c r="AL1484" s="1">
        <v>59</v>
      </c>
      <c r="AM1484" s="2">
        <v>42680</v>
      </c>
      <c r="AN1484" t="str">
        <f t="shared" si="47"/>
        <v>50870,61,0.00119913505012778,0,1,13,53,0,8,0,0,2,1,2,0,3,5,0,0,0,0,0,0,0,68,66+,2169,0,1,0,0,0,0,0,0,1,59,42680</v>
      </c>
    </row>
    <row r="1485" spans="1:40" ht="13" hidden="1" x14ac:dyDescent="0.15">
      <c r="A1485">
        <v>1102</v>
      </c>
      <c r="B1485" s="1">
        <v>23724</v>
      </c>
      <c r="C1485" s="1">
        <v>61</v>
      </c>
      <c r="D1485" s="4">
        <f t="shared" si="46"/>
        <v>2.5712358792783678E-3</v>
      </c>
      <c r="E1485" s="1">
        <v>1</v>
      </c>
      <c r="F1485" s="1">
        <v>0</v>
      </c>
      <c r="G1485" s="1">
        <v>65</v>
      </c>
      <c r="H1485" s="1">
        <v>5</v>
      </c>
      <c r="I1485" s="1">
        <v>23</v>
      </c>
      <c r="J1485" s="1">
        <v>15</v>
      </c>
      <c r="K1485" s="1">
        <v>0</v>
      </c>
      <c r="L1485" s="1">
        <v>18</v>
      </c>
      <c r="M1485" s="1">
        <v>14</v>
      </c>
      <c r="N1485" s="1">
        <v>2</v>
      </c>
      <c r="O1485" s="1">
        <v>2</v>
      </c>
      <c r="P1485" s="1">
        <v>0</v>
      </c>
      <c r="Q1485" s="1">
        <v>3</v>
      </c>
      <c r="R1485" s="1">
        <v>8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41</v>
      </c>
      <c r="AA1485" s="1" t="str" cm="1">
        <f t="array" ref="AA1485">_xlfn.IFS(AND(Z1485&lt;36, Z1485&gt;23), "24-35", AND(Z1485&lt;51, Z1485&gt;35),"36-50", AND(Z1485&lt;66, Z1485&gt;50), "51-66", Z1485&gt;65, "66+", TRUE, "?")</f>
        <v>36-50</v>
      </c>
      <c r="AB1485" s="1">
        <v>2696</v>
      </c>
      <c r="AC1485" s="1">
        <v>0</v>
      </c>
      <c r="AD1485" s="1">
        <v>0</v>
      </c>
      <c r="AE1485" s="1">
        <v>0</v>
      </c>
      <c r="AF1485" s="1">
        <v>1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47</v>
      </c>
      <c r="AM1485" s="2">
        <v>42153</v>
      </c>
      <c r="AN1485" t="str">
        <f t="shared" si="47"/>
        <v>23724,61,0.00257123587927837,1,0,65,5,23,15,0,18,14,2,2,0,3,8,0,0,0,0,0,0,0,41,36-50,2696,0,0,0,1,0,0,0,0,0,47,42153</v>
      </c>
    </row>
    <row r="1486" spans="1:40" ht="13" hidden="1" x14ac:dyDescent="0.15">
      <c r="A1486">
        <v>1212</v>
      </c>
      <c r="B1486" s="1">
        <v>48918</v>
      </c>
      <c r="C1486" s="1">
        <v>61</v>
      </c>
      <c r="D1486" s="4">
        <f t="shared" si="46"/>
        <v>1.2469847499897789E-3</v>
      </c>
      <c r="E1486" s="1">
        <v>1</v>
      </c>
      <c r="F1486" s="1">
        <v>1</v>
      </c>
      <c r="G1486" s="1">
        <v>21</v>
      </c>
      <c r="H1486" s="1">
        <v>52</v>
      </c>
      <c r="I1486" s="1">
        <v>0</v>
      </c>
      <c r="J1486" s="1">
        <v>9</v>
      </c>
      <c r="K1486" s="1">
        <v>0</v>
      </c>
      <c r="L1486" s="1">
        <v>0</v>
      </c>
      <c r="M1486" s="1">
        <v>1</v>
      </c>
      <c r="N1486" s="1">
        <v>2</v>
      </c>
      <c r="O1486" s="1">
        <v>1</v>
      </c>
      <c r="P1486" s="1">
        <v>0</v>
      </c>
      <c r="Q1486" s="1">
        <v>4</v>
      </c>
      <c r="R1486" s="1">
        <v>4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57</v>
      </c>
      <c r="AA1486" s="1" t="str" cm="1">
        <f t="array" ref="AA1486">_xlfn.IFS(AND(Z1486&lt;36, Z1486&gt;23), "24-35", AND(Z1486&lt;51, Z1486&gt;35),"36-50", AND(Z1486&lt;66, Z1486&gt;50), "51-66", Z1486&gt;65, "66+", TRUE, "?")</f>
        <v>51-66</v>
      </c>
      <c r="AB1486" s="1">
        <v>2237</v>
      </c>
      <c r="AC1486" s="1">
        <v>0</v>
      </c>
      <c r="AD1486" s="1">
        <v>0</v>
      </c>
      <c r="AE1486" s="1">
        <v>1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1</v>
      </c>
      <c r="AL1486" s="1">
        <v>60</v>
      </c>
      <c r="AM1486" s="2">
        <v>42612</v>
      </c>
      <c r="AN1486" t="str">
        <f t="shared" si="47"/>
        <v>48918,61,0.00124698474998978,1,1,21,52,0,9,0,0,1,2,1,0,4,4,0,0,0,0,0,0,0,57,51-66,2237,0,0,1,0,0,0,0,0,1,60,42612</v>
      </c>
    </row>
    <row r="1487" spans="1:40" ht="13" x14ac:dyDescent="0.15">
      <c r="A1487">
        <v>1785</v>
      </c>
      <c r="B1487" s="1">
        <v>14515</v>
      </c>
      <c r="C1487" s="1">
        <v>61</v>
      </c>
      <c r="D1487" s="4">
        <f t="shared" si="46"/>
        <v>4.2025490871512227E-3</v>
      </c>
      <c r="E1487" s="1">
        <v>1</v>
      </c>
      <c r="F1487" s="1">
        <v>0</v>
      </c>
      <c r="G1487" s="1">
        <v>71</v>
      </c>
      <c r="H1487" s="1">
        <v>6</v>
      </c>
      <c r="I1487" s="1">
        <v>4</v>
      </c>
      <c r="J1487" s="1">
        <v>9</v>
      </c>
      <c r="K1487" s="1">
        <v>6</v>
      </c>
      <c r="L1487" s="1">
        <v>36</v>
      </c>
      <c r="M1487" s="1">
        <v>35</v>
      </c>
      <c r="N1487" s="1">
        <v>4</v>
      </c>
      <c r="O1487" s="1">
        <v>2</v>
      </c>
      <c r="P1487" s="1">
        <v>2</v>
      </c>
      <c r="Q1487" s="1">
        <v>3</v>
      </c>
      <c r="R1487" s="1">
        <v>7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1</v>
      </c>
      <c r="Z1487" s="1">
        <v>40</v>
      </c>
      <c r="AA1487" s="1" t="str" cm="1">
        <f t="array" ref="AA1487">_xlfn.IFS(AND(Z1487&lt;36, Z1487&gt;23), "24-35", AND(Z1487&lt;51, Z1487&gt;35),"36-50", AND(Z1487&lt;66, Z1487&gt;50), "51-66", Z1487&gt;65, "66+", TRUE, "?")</f>
        <v>36-50</v>
      </c>
      <c r="AB1487" s="1">
        <v>2756</v>
      </c>
      <c r="AC1487" s="1">
        <v>0</v>
      </c>
      <c r="AD1487" s="1">
        <v>0</v>
      </c>
      <c r="AE1487" s="1">
        <v>0</v>
      </c>
      <c r="AF1487" s="1">
        <v>1</v>
      </c>
      <c r="AG1487" s="1">
        <v>0</v>
      </c>
      <c r="AH1487" s="1">
        <v>1</v>
      </c>
      <c r="AI1487" s="1">
        <v>0</v>
      </c>
      <c r="AJ1487" s="1">
        <v>0</v>
      </c>
      <c r="AK1487" s="1">
        <v>0</v>
      </c>
      <c r="AL1487" s="1">
        <v>26</v>
      </c>
      <c r="AM1487" s="2">
        <v>42093</v>
      </c>
      <c r="AN1487" t="str">
        <f t="shared" si="47"/>
        <v>14515,61,0.00420254908715122,1,0,71,6,4,9,6,36,35,4,2,2,3,7,0,0,0,0,0,0,1,40,36-50,2756,0,0,0,1,0,1,0,0,0,26,42093</v>
      </c>
    </row>
    <row r="1488" spans="1:40" ht="13" x14ac:dyDescent="0.15">
      <c r="A1488">
        <v>1787</v>
      </c>
      <c r="B1488" s="1">
        <v>9722</v>
      </c>
      <c r="C1488" s="1">
        <v>61</v>
      </c>
      <c r="D1488" s="4">
        <f t="shared" si="46"/>
        <v>6.2744291298086809E-3</v>
      </c>
      <c r="E1488" s="1">
        <v>1</v>
      </c>
      <c r="F1488" s="1">
        <v>0</v>
      </c>
      <c r="G1488" s="1">
        <v>7</v>
      </c>
      <c r="H1488" s="1">
        <v>6</v>
      </c>
      <c r="I1488" s="1">
        <v>17</v>
      </c>
      <c r="J1488" s="1">
        <v>16</v>
      </c>
      <c r="K1488" s="1">
        <v>6</v>
      </c>
      <c r="L1488" s="1">
        <v>16</v>
      </c>
      <c r="M1488" s="1">
        <v>42</v>
      </c>
      <c r="N1488" s="1">
        <v>4</v>
      </c>
      <c r="O1488" s="1">
        <v>3</v>
      </c>
      <c r="P1488" s="1">
        <v>1</v>
      </c>
      <c r="Q1488" s="1">
        <v>3</v>
      </c>
      <c r="R1488" s="1">
        <v>8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1</v>
      </c>
      <c r="Z1488" s="1">
        <v>47</v>
      </c>
      <c r="AA1488" s="1" t="str" cm="1">
        <f t="array" ref="AA1488">_xlfn.IFS(AND(Z1488&lt;36, Z1488&gt;23), "24-35", AND(Z1488&lt;51, Z1488&gt;35),"36-50", AND(Z1488&lt;66, Z1488&gt;50), "51-66", Z1488&gt;65, "66+", TRUE, "?")</f>
        <v>36-50</v>
      </c>
      <c r="AB1488" s="1">
        <v>2794</v>
      </c>
      <c r="AC1488" s="1">
        <v>0</v>
      </c>
      <c r="AD1488" s="1">
        <v>0</v>
      </c>
      <c r="AE1488" s="1">
        <v>0</v>
      </c>
      <c r="AF1488" s="1">
        <v>1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19</v>
      </c>
      <c r="AM1488" s="2">
        <v>42055</v>
      </c>
      <c r="AN1488" t="str">
        <f t="shared" si="47"/>
        <v>9722,61,0.00627442912980868,1,0,7,6,17,16,6,16,42,4,3,1,3,8,0,0,0,0,0,0,1,47,36-50,2794,0,0,0,1,0,0,0,0,0,19,42055</v>
      </c>
    </row>
    <row r="1489" spans="1:40" ht="13" hidden="1" x14ac:dyDescent="0.15">
      <c r="A1489">
        <v>1991</v>
      </c>
      <c r="B1489" s="1">
        <v>16185</v>
      </c>
      <c r="C1489" s="1">
        <v>61</v>
      </c>
      <c r="D1489" s="4">
        <f t="shared" si="46"/>
        <v>3.7689218412109977E-3</v>
      </c>
      <c r="E1489" s="1">
        <v>1</v>
      </c>
      <c r="F1489" s="1">
        <v>0</v>
      </c>
      <c r="G1489" s="1">
        <v>71</v>
      </c>
      <c r="H1489" s="1">
        <v>5</v>
      </c>
      <c r="I1489" s="1">
        <v>11</v>
      </c>
      <c r="J1489" s="1">
        <v>16</v>
      </c>
      <c r="K1489" s="1">
        <v>21</v>
      </c>
      <c r="L1489" s="1">
        <v>8</v>
      </c>
      <c r="M1489" s="1">
        <v>45</v>
      </c>
      <c r="N1489" s="1">
        <v>2</v>
      </c>
      <c r="O1489" s="1">
        <v>2</v>
      </c>
      <c r="P1489" s="1">
        <v>2</v>
      </c>
      <c r="Q1489" s="1">
        <v>2</v>
      </c>
      <c r="R1489" s="1">
        <v>8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30</v>
      </c>
      <c r="AA1489" s="1" t="str" cm="1">
        <f t="array" ref="AA1489">_xlfn.IFS(AND(Z1489&lt;36, Z1489&gt;23), "24-35", AND(Z1489&lt;51, Z1489&gt;35),"36-50", AND(Z1489&lt;66, Z1489&gt;50), "51-66", Z1489&gt;65, "66+", TRUE, "?")</f>
        <v>24-35</v>
      </c>
      <c r="AB1489" s="1">
        <v>2487</v>
      </c>
      <c r="AC1489" s="1">
        <v>0</v>
      </c>
      <c r="AD1489" s="1">
        <v>0</v>
      </c>
      <c r="AE1489" s="1">
        <v>1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16</v>
      </c>
      <c r="AM1489" s="2">
        <v>42362</v>
      </c>
      <c r="AN1489" t="str">
        <f t="shared" si="47"/>
        <v>16185,61,0.003768921841211,1,0,71,5,11,16,21,8,45,2,2,2,2,8,0,0,0,0,0,0,0,30,24-35,2487,0,0,1,0,0,0,0,0,0,16,42362</v>
      </c>
    </row>
    <row r="1490" spans="1:40" ht="13" hidden="1" x14ac:dyDescent="0.15">
      <c r="A1490">
        <v>2015</v>
      </c>
      <c r="B1490" s="1">
        <v>11012</v>
      </c>
      <c r="C1490" s="1">
        <v>61</v>
      </c>
      <c r="D1490" s="4">
        <f t="shared" si="46"/>
        <v>5.5394115510352341E-3</v>
      </c>
      <c r="E1490" s="1">
        <v>1</v>
      </c>
      <c r="F1490" s="1">
        <v>0</v>
      </c>
      <c r="G1490" s="1">
        <v>82</v>
      </c>
      <c r="H1490" s="1">
        <v>24</v>
      </c>
      <c r="I1490" s="1">
        <v>3</v>
      </c>
      <c r="J1490" s="1">
        <v>26</v>
      </c>
      <c r="K1490" s="1">
        <v>7</v>
      </c>
      <c r="L1490" s="1">
        <v>1</v>
      </c>
      <c r="M1490" s="1">
        <v>23</v>
      </c>
      <c r="N1490" s="1">
        <v>3</v>
      </c>
      <c r="O1490" s="1">
        <v>3</v>
      </c>
      <c r="P1490" s="1">
        <v>1</v>
      </c>
      <c r="Q1490" s="1">
        <v>2</v>
      </c>
      <c r="R1490" s="1">
        <v>9</v>
      </c>
      <c r="S1490" s="1">
        <v>0</v>
      </c>
      <c r="T1490" s="1">
        <v>0</v>
      </c>
      <c r="U1490" s="1">
        <v>1</v>
      </c>
      <c r="V1490" s="1">
        <v>0</v>
      </c>
      <c r="W1490" s="1">
        <v>0</v>
      </c>
      <c r="X1490" s="1">
        <v>0</v>
      </c>
      <c r="Y1490" s="1">
        <v>0</v>
      </c>
      <c r="Z1490" s="1">
        <v>36</v>
      </c>
      <c r="AA1490" s="1" t="str" cm="1">
        <f t="array" ref="AA1490">_xlfn.IFS(AND(Z1490&lt;36, Z1490&gt;23), "24-35", AND(Z1490&lt;51, Z1490&gt;35),"36-50", AND(Z1490&lt;66, Z1490&gt;50), "51-66", Z1490&gt;65, "66+", TRUE, "?")</f>
        <v>36-50</v>
      </c>
      <c r="AB1490" s="1">
        <v>2629</v>
      </c>
      <c r="AC1490" s="1">
        <v>0</v>
      </c>
      <c r="AD1490" s="1">
        <v>0</v>
      </c>
      <c r="AE1490" s="1">
        <v>1</v>
      </c>
      <c r="AF1490" s="1">
        <v>0</v>
      </c>
      <c r="AG1490" s="1">
        <v>0</v>
      </c>
      <c r="AH1490" s="1">
        <v>0</v>
      </c>
      <c r="AI1490" s="1">
        <v>1</v>
      </c>
      <c r="AJ1490" s="1">
        <v>0</v>
      </c>
      <c r="AK1490" s="1">
        <v>0</v>
      </c>
      <c r="AL1490" s="1">
        <v>38</v>
      </c>
      <c r="AM1490" s="2">
        <v>42220</v>
      </c>
      <c r="AN1490" t="str">
        <f t="shared" si="47"/>
        <v>11012,61,0.00553941155103523,1,0,82,24,3,26,7,1,23,3,3,1,2,9,0,0,1,0,0,0,0,36,36-50,2629,0,0,1,0,0,0,1,0,0,38,42220</v>
      </c>
    </row>
    <row r="1491" spans="1:40" ht="13" hidden="1" x14ac:dyDescent="0.15">
      <c r="A1491">
        <v>151</v>
      </c>
      <c r="B1491" s="1">
        <v>43482</v>
      </c>
      <c r="C1491" s="1">
        <v>60</v>
      </c>
      <c r="D1491" s="4">
        <f t="shared" si="46"/>
        <v>1.3798813302056023E-3</v>
      </c>
      <c r="E1491" s="1">
        <v>2</v>
      </c>
      <c r="F1491" s="1">
        <v>1</v>
      </c>
      <c r="G1491" s="1">
        <v>83</v>
      </c>
      <c r="H1491" s="1">
        <v>18</v>
      </c>
      <c r="I1491" s="1">
        <v>1</v>
      </c>
      <c r="J1491" s="1">
        <v>32</v>
      </c>
      <c r="K1491" s="1">
        <v>6</v>
      </c>
      <c r="L1491" s="1">
        <v>3</v>
      </c>
      <c r="M1491" s="1">
        <v>28</v>
      </c>
      <c r="N1491" s="1">
        <v>3</v>
      </c>
      <c r="O1491" s="1">
        <v>2</v>
      </c>
      <c r="P1491" s="1">
        <v>0</v>
      </c>
      <c r="Q1491" s="1">
        <v>4</v>
      </c>
      <c r="R1491" s="1">
        <v>6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54</v>
      </c>
      <c r="AA1491" s="1" t="str" cm="1">
        <f t="array" ref="AA1491">_xlfn.IFS(AND(Z1491&lt;36, Z1491&gt;23), "24-35", AND(Z1491&lt;51, Z1491&gt;35),"36-50", AND(Z1491&lt;66, Z1491&gt;50), "51-66", Z1491&gt;65, "66+", TRUE, "?")</f>
        <v>51-66</v>
      </c>
      <c r="AB1491" s="1">
        <v>2387</v>
      </c>
      <c r="AC1491" s="1">
        <v>0</v>
      </c>
      <c r="AD1491" s="1">
        <v>0</v>
      </c>
      <c r="AE1491" s="1">
        <v>0</v>
      </c>
      <c r="AF1491" s="1">
        <v>1</v>
      </c>
      <c r="AG1491" s="1">
        <v>0</v>
      </c>
      <c r="AH1491" s="1">
        <v>0</v>
      </c>
      <c r="AI1491" s="1">
        <v>1</v>
      </c>
      <c r="AJ1491" s="1">
        <v>0</v>
      </c>
      <c r="AK1491" s="1">
        <v>0</v>
      </c>
      <c r="AL1491" s="1">
        <v>32</v>
      </c>
      <c r="AM1491" s="2">
        <v>42462</v>
      </c>
      <c r="AN1491" t="str">
        <f t="shared" si="47"/>
        <v>43482,60,0.0013798813302056,2,1,83,18,1,32,6,3,28,3,2,0,4,6,0,0,0,0,0,0,0,54,51-66,2387,0,0,0,1,0,0,1,0,0,32,42462</v>
      </c>
    </row>
    <row r="1492" spans="1:40" ht="13" hidden="1" x14ac:dyDescent="0.15">
      <c r="A1492">
        <v>1384</v>
      </c>
      <c r="B1492" s="1">
        <v>35765</v>
      </c>
      <c r="C1492" s="1">
        <v>60</v>
      </c>
      <c r="D1492" s="4">
        <f t="shared" si="46"/>
        <v>1.677617782748497E-3</v>
      </c>
      <c r="E1492" s="1">
        <v>1</v>
      </c>
      <c r="F1492" s="1">
        <v>0</v>
      </c>
      <c r="G1492" s="1">
        <v>86</v>
      </c>
      <c r="H1492" s="1">
        <v>22</v>
      </c>
      <c r="I1492" s="1">
        <v>3</v>
      </c>
      <c r="J1492" s="1">
        <v>30</v>
      </c>
      <c r="K1492" s="1">
        <v>0</v>
      </c>
      <c r="L1492" s="1">
        <v>5</v>
      </c>
      <c r="M1492" s="1">
        <v>15</v>
      </c>
      <c r="N1492" s="1">
        <v>2</v>
      </c>
      <c r="O1492" s="1">
        <v>2</v>
      </c>
      <c r="P1492" s="1">
        <v>0</v>
      </c>
      <c r="Q1492" s="1">
        <v>4</v>
      </c>
      <c r="R1492" s="1">
        <v>6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30</v>
      </c>
      <c r="AA1492" s="1" t="str" cm="1">
        <f t="array" ref="AA1492">_xlfn.IFS(AND(Z1492&lt;36, Z1492&gt;23), "24-35", AND(Z1492&lt;51, Z1492&gt;35),"36-50", AND(Z1492&lt;66, Z1492&gt;50), "51-66", Z1492&gt;65, "66+", TRUE, "?")</f>
        <v>24-35</v>
      </c>
      <c r="AB1492" s="1">
        <v>2359</v>
      </c>
      <c r="AC1492" s="1">
        <v>0</v>
      </c>
      <c r="AD1492" s="1">
        <v>1</v>
      </c>
      <c r="AE1492" s="1">
        <v>0</v>
      </c>
      <c r="AF1492" s="1">
        <v>0</v>
      </c>
      <c r="AG1492" s="1">
        <v>0</v>
      </c>
      <c r="AH1492" s="1">
        <v>0</v>
      </c>
      <c r="AI1492" s="1">
        <v>1</v>
      </c>
      <c r="AJ1492" s="1">
        <v>0</v>
      </c>
      <c r="AK1492" s="1">
        <v>0</v>
      </c>
      <c r="AL1492" s="1">
        <v>45</v>
      </c>
      <c r="AM1492" s="2">
        <v>42490</v>
      </c>
      <c r="AN1492" t="str">
        <f t="shared" si="47"/>
        <v>35765,60,0.0016776177827485,1,0,86,22,3,30,0,5,15,2,2,0,4,6,0,0,0,0,0,0,0,30,24-35,2359,0,1,0,0,0,0,1,0,0,45,42490</v>
      </c>
    </row>
    <row r="1493" spans="1:40" ht="13" hidden="1" x14ac:dyDescent="0.15">
      <c r="A1493">
        <v>1429</v>
      </c>
      <c r="B1493" s="1">
        <v>30390</v>
      </c>
      <c r="C1493" s="1">
        <v>60</v>
      </c>
      <c r="D1493" s="4">
        <f t="shared" si="46"/>
        <v>1.9743336623889436E-3</v>
      </c>
      <c r="E1493" s="1">
        <v>0</v>
      </c>
      <c r="F1493" s="1">
        <v>0</v>
      </c>
      <c r="G1493" s="1">
        <v>5</v>
      </c>
      <c r="H1493" s="1">
        <v>10</v>
      </c>
      <c r="I1493" s="1">
        <v>12</v>
      </c>
      <c r="J1493" s="1">
        <v>12</v>
      </c>
      <c r="K1493" s="1">
        <v>25</v>
      </c>
      <c r="L1493" s="1">
        <v>1</v>
      </c>
      <c r="M1493" s="1">
        <v>20</v>
      </c>
      <c r="N1493" s="1">
        <v>1</v>
      </c>
      <c r="O1493" s="1">
        <v>2</v>
      </c>
      <c r="P1493" s="1">
        <v>0</v>
      </c>
      <c r="Q1493" s="1">
        <v>3</v>
      </c>
      <c r="R1493" s="1">
        <v>6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33</v>
      </c>
      <c r="AA1493" s="1" t="str" cm="1">
        <f t="array" ref="AA1493">_xlfn.IFS(AND(Z1493&lt;36, Z1493&gt;23), "24-35", AND(Z1493&lt;51, Z1493&gt;35),"36-50", AND(Z1493&lt;66, Z1493&gt;50), "51-66", Z1493&gt;65, "66+", TRUE, "?")</f>
        <v>24-35</v>
      </c>
      <c r="AB1493" s="1">
        <v>2459</v>
      </c>
      <c r="AC1493" s="1">
        <v>0</v>
      </c>
      <c r="AD1493" s="1">
        <v>1</v>
      </c>
      <c r="AE1493" s="1">
        <v>0</v>
      </c>
      <c r="AF1493" s="1">
        <v>0</v>
      </c>
      <c r="AG1493" s="1">
        <v>0</v>
      </c>
      <c r="AH1493" s="1">
        <v>1</v>
      </c>
      <c r="AI1493" s="1">
        <v>0</v>
      </c>
      <c r="AJ1493" s="1">
        <v>0</v>
      </c>
      <c r="AK1493" s="1">
        <v>0</v>
      </c>
      <c r="AL1493" s="1">
        <v>40</v>
      </c>
      <c r="AM1493" s="2">
        <v>42390</v>
      </c>
      <c r="AN1493" t="str">
        <f t="shared" si="47"/>
        <v>30390,60,0.00197433366238894,0,0,5,10,12,12,25,1,20,1,2,0,3,6,0,0,0,0,0,0,0,33,24-35,2459,0,1,0,0,0,1,0,0,0,40,42390</v>
      </c>
    </row>
    <row r="1494" spans="1:40" ht="13" x14ac:dyDescent="0.15">
      <c r="A1494">
        <v>1792</v>
      </c>
      <c r="B1494" s="1">
        <v>47139</v>
      </c>
      <c r="C1494" s="1">
        <v>60</v>
      </c>
      <c r="D1494" s="4">
        <f t="shared" si="46"/>
        <v>1.2728314134792848E-3</v>
      </c>
      <c r="E1494" s="1">
        <v>1</v>
      </c>
      <c r="F1494" s="1">
        <v>1</v>
      </c>
      <c r="G1494" s="1">
        <v>2</v>
      </c>
      <c r="H1494" s="1">
        <v>46</v>
      </c>
      <c r="I1494" s="1">
        <v>0</v>
      </c>
      <c r="J1494" s="1">
        <v>12</v>
      </c>
      <c r="K1494" s="1">
        <v>0</v>
      </c>
      <c r="L1494" s="1">
        <v>2</v>
      </c>
      <c r="M1494" s="1">
        <v>23</v>
      </c>
      <c r="N1494" s="1">
        <v>2</v>
      </c>
      <c r="O1494" s="1">
        <v>2</v>
      </c>
      <c r="P1494" s="1">
        <v>1</v>
      </c>
      <c r="Q1494" s="1">
        <v>2</v>
      </c>
      <c r="R1494" s="1">
        <v>7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1</v>
      </c>
      <c r="Z1494" s="1">
        <v>68</v>
      </c>
      <c r="AA1494" s="1" t="str" cm="1">
        <f t="array" ref="AA1494">_xlfn.IFS(AND(Z1494&lt;36, Z1494&gt;23), "24-35", AND(Z1494&lt;51, Z1494&gt;35),"36-50", AND(Z1494&lt;66, Z1494&gt;50), "51-66", Z1494&gt;65, "66+", TRUE, "?")</f>
        <v>66+</v>
      </c>
      <c r="AB1494" s="1">
        <v>2274</v>
      </c>
      <c r="AC1494" s="1">
        <v>0</v>
      </c>
      <c r="AD1494" s="1">
        <v>0</v>
      </c>
      <c r="AE1494" s="1">
        <v>1</v>
      </c>
      <c r="AF1494" s="1">
        <v>0</v>
      </c>
      <c r="AG1494" s="1">
        <v>0</v>
      </c>
      <c r="AH1494" s="1">
        <v>0</v>
      </c>
      <c r="AI1494" s="1">
        <v>1</v>
      </c>
      <c r="AJ1494" s="1">
        <v>0</v>
      </c>
      <c r="AK1494" s="1">
        <v>0</v>
      </c>
      <c r="AL1494" s="1">
        <v>37</v>
      </c>
      <c r="AM1494" s="2">
        <v>42575</v>
      </c>
      <c r="AN1494" t="str">
        <f t="shared" si="47"/>
        <v>47139,60,0.00127283141347928,1,1,2,46,0,12,0,2,23,2,2,1,2,7,0,0,0,0,0,0,1,68,66+,2274,0,0,1,0,0,0,1,0,0,37,42575</v>
      </c>
    </row>
    <row r="1495" spans="1:40" ht="13" hidden="1" x14ac:dyDescent="0.15">
      <c r="A1495">
        <v>789</v>
      </c>
      <c r="B1495" s="1">
        <v>34026</v>
      </c>
      <c r="C1495" s="1">
        <v>59</v>
      </c>
      <c r="D1495" s="4">
        <f t="shared" si="46"/>
        <v>1.7339681420090519E-3</v>
      </c>
      <c r="E1495" s="1">
        <v>1</v>
      </c>
      <c r="F1495" s="1">
        <v>1</v>
      </c>
      <c r="G1495" s="1">
        <v>11</v>
      </c>
      <c r="H1495" s="1">
        <v>18</v>
      </c>
      <c r="I1495" s="1">
        <v>6</v>
      </c>
      <c r="J1495" s="1">
        <v>15</v>
      </c>
      <c r="K1495" s="1">
        <v>12</v>
      </c>
      <c r="L1495" s="1">
        <v>8</v>
      </c>
      <c r="M1495" s="1">
        <v>17</v>
      </c>
      <c r="N1495" s="1">
        <v>3</v>
      </c>
      <c r="O1495" s="1">
        <v>2</v>
      </c>
      <c r="P1495" s="1">
        <v>1</v>
      </c>
      <c r="Q1495" s="1">
        <v>3</v>
      </c>
      <c r="R1495" s="1">
        <v>5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70</v>
      </c>
      <c r="AA1495" s="1" t="str" cm="1">
        <f t="array" ref="AA1495">_xlfn.IFS(AND(Z1495&lt;36, Z1495&gt;23), "24-35", AND(Z1495&lt;51, Z1495&gt;35),"36-50", AND(Z1495&lt;66, Z1495&gt;50), "51-66", Z1495&gt;65, "66+", TRUE, "?")</f>
        <v>66+</v>
      </c>
      <c r="AB1495" s="1">
        <v>2487</v>
      </c>
      <c r="AC1495" s="1">
        <v>0</v>
      </c>
      <c r="AD1495" s="1">
        <v>0</v>
      </c>
      <c r="AE1495" s="1">
        <v>0</v>
      </c>
      <c r="AF1495" s="1">
        <v>1</v>
      </c>
      <c r="AG1495" s="1">
        <v>0</v>
      </c>
      <c r="AH1495" s="1">
        <v>0</v>
      </c>
      <c r="AI1495" s="1">
        <v>1</v>
      </c>
      <c r="AJ1495" s="1">
        <v>0</v>
      </c>
      <c r="AK1495" s="1">
        <v>0</v>
      </c>
      <c r="AL1495" s="1">
        <v>42</v>
      </c>
      <c r="AM1495" s="2">
        <v>42362</v>
      </c>
      <c r="AN1495" t="str">
        <f t="shared" si="47"/>
        <v>34026,59,0.00173396814200905,1,1,11,18,6,15,12,8,17,3,2,1,3,5,0,0,0,0,0,0,0,70,66+,2487,0,0,0,1,0,0,1,0,0,42,42362</v>
      </c>
    </row>
    <row r="1496" spans="1:40" ht="13" hidden="1" x14ac:dyDescent="0.15">
      <c r="A1496">
        <v>894</v>
      </c>
      <c r="B1496" s="1">
        <v>52190</v>
      </c>
      <c r="C1496" s="1">
        <v>59</v>
      </c>
      <c r="D1496" s="4">
        <f t="shared" si="46"/>
        <v>1.1304847671967809E-3</v>
      </c>
      <c r="E1496" s="1">
        <v>1</v>
      </c>
      <c r="F1496" s="1">
        <v>1</v>
      </c>
      <c r="G1496" s="1">
        <v>39</v>
      </c>
      <c r="H1496" s="1">
        <v>42</v>
      </c>
      <c r="I1496" s="1">
        <v>0</v>
      </c>
      <c r="J1496" s="1">
        <v>17</v>
      </c>
      <c r="K1496" s="1">
        <v>0</v>
      </c>
      <c r="L1496" s="1">
        <v>0</v>
      </c>
      <c r="M1496" s="1">
        <v>18</v>
      </c>
      <c r="N1496" s="1">
        <v>3</v>
      </c>
      <c r="O1496" s="1">
        <v>2</v>
      </c>
      <c r="P1496" s="1">
        <v>1</v>
      </c>
      <c r="Q1496" s="1">
        <v>3</v>
      </c>
      <c r="R1496" s="1">
        <v>5</v>
      </c>
      <c r="S1496" s="1">
        <v>0</v>
      </c>
      <c r="T1496" s="1">
        <v>0</v>
      </c>
      <c r="U1496" s="1">
        <v>1</v>
      </c>
      <c r="V1496" s="1">
        <v>0</v>
      </c>
      <c r="W1496" s="1">
        <v>0</v>
      </c>
      <c r="X1496" s="1">
        <v>0</v>
      </c>
      <c r="Y1496" s="1">
        <v>0</v>
      </c>
      <c r="Z1496" s="1">
        <v>44</v>
      </c>
      <c r="AA1496" s="1" t="str" cm="1">
        <f t="array" ref="AA1496">_xlfn.IFS(AND(Z1496&lt;36, Z1496&gt;23), "24-35", AND(Z1496&lt;51, Z1496&gt;35),"36-50", AND(Z1496&lt;66, Z1496&gt;50), "51-66", Z1496&gt;65, "66+", TRUE, "?")</f>
        <v>36-50</v>
      </c>
      <c r="AB1496" s="1">
        <v>2211</v>
      </c>
      <c r="AC1496" s="1">
        <v>0</v>
      </c>
      <c r="AD1496" s="1">
        <v>0</v>
      </c>
      <c r="AE1496" s="1">
        <v>0</v>
      </c>
      <c r="AF1496" s="1">
        <v>1</v>
      </c>
      <c r="AG1496" s="1">
        <v>0</v>
      </c>
      <c r="AH1496" s="1">
        <v>0</v>
      </c>
      <c r="AI1496" s="1">
        <v>0</v>
      </c>
      <c r="AJ1496" s="1">
        <v>0</v>
      </c>
      <c r="AK1496" s="1">
        <v>1</v>
      </c>
      <c r="AL1496" s="1">
        <v>41</v>
      </c>
      <c r="AM1496" s="2">
        <v>42638</v>
      </c>
      <c r="AN1496" t="str">
        <f t="shared" si="47"/>
        <v>52190,59,0.00113048476719678,1,1,39,42,0,17,0,0,18,3,2,1,3,5,0,0,1,0,0,0,0,44,36-50,2211,0,0,0,1,0,0,0,0,1,41,42638</v>
      </c>
    </row>
    <row r="1497" spans="1:40" ht="13" hidden="1" x14ac:dyDescent="0.15">
      <c r="A1497">
        <v>1144</v>
      </c>
      <c r="B1497" s="1">
        <v>8940</v>
      </c>
      <c r="C1497" s="1">
        <v>59</v>
      </c>
      <c r="D1497" s="4">
        <f t="shared" si="46"/>
        <v>6.5995525727069355E-3</v>
      </c>
      <c r="E1497" s="1">
        <v>1</v>
      </c>
      <c r="F1497" s="1">
        <v>0</v>
      </c>
      <c r="G1497" s="1">
        <v>25</v>
      </c>
      <c r="H1497" s="1">
        <v>1</v>
      </c>
      <c r="I1497" s="1">
        <v>45</v>
      </c>
      <c r="J1497" s="1">
        <v>3</v>
      </c>
      <c r="K1497" s="1">
        <v>4</v>
      </c>
      <c r="L1497" s="1">
        <v>6</v>
      </c>
      <c r="M1497" s="1">
        <v>42</v>
      </c>
      <c r="N1497" s="1">
        <v>3</v>
      </c>
      <c r="O1497" s="1">
        <v>3</v>
      </c>
      <c r="P1497" s="1">
        <v>1</v>
      </c>
      <c r="Q1497" s="1">
        <v>3</v>
      </c>
      <c r="R1497" s="1">
        <v>8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34</v>
      </c>
      <c r="AA1497" s="1" t="str" cm="1">
        <f t="array" ref="AA1497">_xlfn.IFS(AND(Z1497&lt;36, Z1497&gt;23), "24-35", AND(Z1497&lt;51, Z1497&gt;35),"36-50", AND(Z1497&lt;66, Z1497&gt;50), "51-66", Z1497&gt;65, "66+", TRUE, "?")</f>
        <v>24-35</v>
      </c>
      <c r="AB1497" s="1">
        <v>2835</v>
      </c>
      <c r="AC1497" s="1">
        <v>0</v>
      </c>
      <c r="AD1497" s="1">
        <v>0</v>
      </c>
      <c r="AE1497" s="1">
        <v>1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17</v>
      </c>
      <c r="AM1497" s="2">
        <v>42014</v>
      </c>
      <c r="AN1497" t="str">
        <f t="shared" si="47"/>
        <v>8940,59,0.00659955257270694,1,0,25,1,45,3,4,6,42,3,3,1,3,8,0,0,0,0,0,0,0,34,24-35,2835,0,0,1,0,0,0,0,0,0,17,42014</v>
      </c>
    </row>
    <row r="1498" spans="1:40" ht="13" hidden="1" x14ac:dyDescent="0.15">
      <c r="A1498">
        <v>1296</v>
      </c>
      <c r="B1498" s="1">
        <v>22682</v>
      </c>
      <c r="C1498" s="1">
        <v>59</v>
      </c>
      <c r="D1498" s="4">
        <f t="shared" si="46"/>
        <v>2.6011815536548803E-3</v>
      </c>
      <c r="E1498" s="1">
        <v>1</v>
      </c>
      <c r="F1498" s="1">
        <v>0</v>
      </c>
      <c r="G1498" s="1">
        <v>51</v>
      </c>
      <c r="H1498" s="1">
        <v>10</v>
      </c>
      <c r="I1498" s="1">
        <v>14</v>
      </c>
      <c r="J1498" s="1">
        <v>29</v>
      </c>
      <c r="K1498" s="1">
        <v>4</v>
      </c>
      <c r="L1498" s="1">
        <v>2</v>
      </c>
      <c r="M1498" s="1">
        <v>36</v>
      </c>
      <c r="N1498" s="1">
        <v>3</v>
      </c>
      <c r="O1498" s="1">
        <v>2</v>
      </c>
      <c r="P1498" s="1">
        <v>1</v>
      </c>
      <c r="Q1498" s="1">
        <v>4</v>
      </c>
      <c r="R1498" s="1">
        <v>4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47</v>
      </c>
      <c r="AA1498" s="1" t="str" cm="1">
        <f t="array" ref="AA1498">_xlfn.IFS(AND(Z1498&lt;36, Z1498&gt;23), "24-35", AND(Z1498&lt;51, Z1498&gt;35),"36-50", AND(Z1498&lt;66, Z1498&gt;50), "51-66", Z1498&gt;65, "66+", TRUE, "?")</f>
        <v>36-50</v>
      </c>
      <c r="AB1498" s="1">
        <v>2428</v>
      </c>
      <c r="AC1498" s="1">
        <v>0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1</v>
      </c>
      <c r="AJ1498" s="1">
        <v>0</v>
      </c>
      <c r="AK1498" s="1">
        <v>0</v>
      </c>
      <c r="AL1498" s="1">
        <v>23</v>
      </c>
      <c r="AM1498" s="2">
        <v>42421</v>
      </c>
      <c r="AN1498" t="str">
        <f t="shared" si="47"/>
        <v>22682,59,0.00260118155365488,1,0,51,10,14,29,4,2,36,3,2,1,4,4,0,0,0,0,0,0,0,47,36-50,2428,0,0,0,1,0,0,1,0,0,23,42421</v>
      </c>
    </row>
    <row r="1499" spans="1:40" ht="13" hidden="1" x14ac:dyDescent="0.15">
      <c r="A1499">
        <v>614</v>
      </c>
      <c r="B1499" s="1">
        <v>50616</v>
      </c>
      <c r="C1499" s="1">
        <v>58</v>
      </c>
      <c r="D1499" s="4">
        <f t="shared" si="46"/>
        <v>1.1458827248300933E-3</v>
      </c>
      <c r="E1499" s="1">
        <v>0</v>
      </c>
      <c r="F1499" s="1">
        <v>1</v>
      </c>
      <c r="G1499" s="1">
        <v>71</v>
      </c>
      <c r="H1499" s="1">
        <v>30</v>
      </c>
      <c r="I1499" s="1">
        <v>2</v>
      </c>
      <c r="J1499" s="1">
        <v>25</v>
      </c>
      <c r="K1499" s="1">
        <v>0</v>
      </c>
      <c r="L1499" s="1">
        <v>1</v>
      </c>
      <c r="M1499" s="1">
        <v>9</v>
      </c>
      <c r="N1499" s="1">
        <v>1</v>
      </c>
      <c r="O1499" s="1">
        <v>1</v>
      </c>
      <c r="P1499" s="1">
        <v>1</v>
      </c>
      <c r="Q1499" s="1">
        <v>4</v>
      </c>
      <c r="R1499" s="1">
        <v>2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70</v>
      </c>
      <c r="AA1499" s="1" t="str" cm="1">
        <f t="array" ref="AA1499">_xlfn.IFS(AND(Z1499&lt;36, Z1499&gt;23), "24-35", AND(Z1499&lt;51, Z1499&gt;35),"36-50", AND(Z1499&lt;66, Z1499&gt;50), "51-66", Z1499&gt;65, "66+", TRUE, "?")</f>
        <v>66+</v>
      </c>
      <c r="AB1499" s="1">
        <v>2236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0</v>
      </c>
      <c r="AJ1499" s="1">
        <v>0</v>
      </c>
      <c r="AK1499" s="1">
        <v>1</v>
      </c>
      <c r="AL1499" s="1">
        <v>49</v>
      </c>
      <c r="AM1499" s="2">
        <v>42613</v>
      </c>
      <c r="AN1499" t="str">
        <f t="shared" si="47"/>
        <v>50616,58,0.00114588272483009,0,1,71,30,2,25,0,1,9,1,1,1,4,2,0,0,0,0,0,0,0,70,66+,2236,0,0,0,1,0,0,0,0,1,49,42613</v>
      </c>
    </row>
    <row r="1500" spans="1:40" ht="13" hidden="1" x14ac:dyDescent="0.15">
      <c r="A1500">
        <v>845</v>
      </c>
      <c r="B1500" s="1">
        <v>21846</v>
      </c>
      <c r="C1500" s="1">
        <v>58</v>
      </c>
      <c r="D1500" s="4">
        <f t="shared" si="46"/>
        <v>2.6549482742836217E-3</v>
      </c>
      <c r="E1500" s="1">
        <v>1</v>
      </c>
      <c r="F1500" s="1">
        <v>0</v>
      </c>
      <c r="G1500" s="1">
        <v>38</v>
      </c>
      <c r="H1500" s="1">
        <v>7</v>
      </c>
      <c r="I1500" s="1">
        <v>17</v>
      </c>
      <c r="J1500" s="1">
        <v>18</v>
      </c>
      <c r="K1500" s="1">
        <v>6</v>
      </c>
      <c r="L1500" s="1">
        <v>10</v>
      </c>
      <c r="M1500" s="1">
        <v>26</v>
      </c>
      <c r="N1500" s="1">
        <v>4</v>
      </c>
      <c r="O1500" s="1">
        <v>4</v>
      </c>
      <c r="P1500" s="1">
        <v>0</v>
      </c>
      <c r="Q1500" s="1">
        <v>3</v>
      </c>
      <c r="R1500" s="1">
        <v>8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34</v>
      </c>
      <c r="AA1500" s="1" t="str" cm="1">
        <f t="array" ref="AA1500">_xlfn.IFS(AND(Z1500&lt;36, Z1500&gt;23), "24-35", AND(Z1500&lt;51, Z1500&gt;35),"36-50", AND(Z1500&lt;66, Z1500&gt;50), "51-66", Z1500&gt;65, "66+", TRUE, "?")</f>
        <v>24-35</v>
      </c>
      <c r="AB1500" s="1">
        <v>2409</v>
      </c>
      <c r="AC1500" s="1">
        <v>1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1</v>
      </c>
      <c r="AJ1500" s="1">
        <v>0</v>
      </c>
      <c r="AK1500" s="1">
        <v>0</v>
      </c>
      <c r="AL1500" s="1">
        <v>32</v>
      </c>
      <c r="AM1500" s="2">
        <v>42440</v>
      </c>
      <c r="AN1500" t="str">
        <f t="shared" si="47"/>
        <v>21846,58,0.00265494827428362,1,0,38,7,17,18,6,10,26,4,4,0,3,8,0,0,0,0,0,0,0,34,24-35,2409,1,0,0,0,0,0,1,0,0,32,42440</v>
      </c>
    </row>
    <row r="1501" spans="1:40" ht="13" hidden="1" x14ac:dyDescent="0.15">
      <c r="A1501">
        <v>1075</v>
      </c>
      <c r="B1501" s="1">
        <v>21255</v>
      </c>
      <c r="C1501" s="1">
        <v>58</v>
      </c>
      <c r="D1501" s="4">
        <f t="shared" si="46"/>
        <v>2.7287697012467653E-3</v>
      </c>
      <c r="E1501" s="1">
        <v>1</v>
      </c>
      <c r="F1501" s="1">
        <v>0</v>
      </c>
      <c r="G1501" s="1">
        <v>56</v>
      </c>
      <c r="H1501" s="1">
        <v>29</v>
      </c>
      <c r="I1501" s="1">
        <v>0</v>
      </c>
      <c r="J1501" s="1">
        <v>25</v>
      </c>
      <c r="K1501" s="1">
        <v>2</v>
      </c>
      <c r="L1501" s="1">
        <v>2</v>
      </c>
      <c r="M1501" s="1">
        <v>3</v>
      </c>
      <c r="N1501" s="1">
        <v>4</v>
      </c>
      <c r="O1501" s="1">
        <v>2</v>
      </c>
      <c r="P1501" s="1">
        <v>1</v>
      </c>
      <c r="Q1501" s="1">
        <v>4</v>
      </c>
      <c r="R1501" s="1">
        <v>4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46</v>
      </c>
      <c r="AA1501" s="1" t="str" cm="1">
        <f t="array" ref="AA1501">_xlfn.IFS(AND(Z1501&lt;36, Z1501&gt;23), "24-35", AND(Z1501&lt;51, Z1501&gt;35),"36-50", AND(Z1501&lt;66, Z1501&gt;50), "51-66", Z1501&gt;65, "66+", TRUE, "?")</f>
        <v>36-50</v>
      </c>
      <c r="AB1501" s="1">
        <v>2318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0</v>
      </c>
      <c r="AJ1501" s="1">
        <v>1</v>
      </c>
      <c r="AK1501" s="1">
        <v>0</v>
      </c>
      <c r="AL1501" s="1">
        <v>55</v>
      </c>
      <c r="AM1501" s="2">
        <v>42531</v>
      </c>
      <c r="AN1501" t="str">
        <f t="shared" si="47"/>
        <v>21255,58,0.00272876970124677,1,0,56,29,0,25,2,2,3,4,2,1,4,4,0,0,0,0,0,0,0,46,36-50,2318,0,0,0,1,0,0,0,1,0,55,42531</v>
      </c>
    </row>
    <row r="1502" spans="1:40" ht="13" hidden="1" x14ac:dyDescent="0.15">
      <c r="A1502">
        <v>1419</v>
      </c>
      <c r="B1502" s="1">
        <v>23331</v>
      </c>
      <c r="C1502" s="1">
        <v>58</v>
      </c>
      <c r="D1502" s="4">
        <f t="shared" si="46"/>
        <v>2.4859628820024858E-3</v>
      </c>
      <c r="E1502" s="1">
        <v>1</v>
      </c>
      <c r="F1502" s="1">
        <v>0</v>
      </c>
      <c r="G1502" s="1">
        <v>92</v>
      </c>
      <c r="H1502" s="1">
        <v>5</v>
      </c>
      <c r="I1502" s="1">
        <v>36</v>
      </c>
      <c r="J1502" s="1">
        <v>7</v>
      </c>
      <c r="K1502" s="1">
        <v>0</v>
      </c>
      <c r="L1502" s="1">
        <v>10</v>
      </c>
      <c r="M1502" s="1">
        <v>45</v>
      </c>
      <c r="N1502" s="1">
        <v>2</v>
      </c>
      <c r="O1502" s="1">
        <v>3</v>
      </c>
      <c r="P1502" s="1">
        <v>0</v>
      </c>
      <c r="Q1502" s="1">
        <v>3</v>
      </c>
      <c r="R1502" s="1">
        <v>8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32</v>
      </c>
      <c r="AA1502" s="1" t="str" cm="1">
        <f t="array" ref="AA1502">_xlfn.IFS(AND(Z1502&lt;36, Z1502&gt;23), "24-35", AND(Z1502&lt;51, Z1502&gt;35),"36-50", AND(Z1502&lt;66, Z1502&gt;50), "51-66", Z1502&gt;65, "66+", TRUE, "?")</f>
        <v>24-35</v>
      </c>
      <c r="AB1502" s="1">
        <v>2822</v>
      </c>
      <c r="AC1502" s="1">
        <v>0</v>
      </c>
      <c r="AD1502" s="1">
        <v>1</v>
      </c>
      <c r="AE1502" s="1">
        <v>0</v>
      </c>
      <c r="AF1502" s="1">
        <v>0</v>
      </c>
      <c r="AG1502" s="1">
        <v>0</v>
      </c>
      <c r="AH1502" s="1">
        <v>1</v>
      </c>
      <c r="AI1502" s="1">
        <v>0</v>
      </c>
      <c r="AJ1502" s="1">
        <v>0</v>
      </c>
      <c r="AK1502" s="1">
        <v>0</v>
      </c>
      <c r="AL1502" s="1">
        <v>13</v>
      </c>
      <c r="AM1502" s="2">
        <v>42027</v>
      </c>
      <c r="AN1502" t="str">
        <f t="shared" si="47"/>
        <v>23331,58,0.00248596288200249,1,0,92,5,36,7,0,10,45,2,3,0,3,8,0,0,0,0,0,0,0,32,24-35,2822,0,1,0,0,0,1,0,0,0,13,42027</v>
      </c>
    </row>
    <row r="1503" spans="1:40" ht="13" hidden="1" x14ac:dyDescent="0.15">
      <c r="A1503">
        <v>1990</v>
      </c>
      <c r="B1503" s="1">
        <v>37085</v>
      </c>
      <c r="C1503" s="1">
        <v>58</v>
      </c>
      <c r="D1503" s="4">
        <f t="shared" si="46"/>
        <v>1.5639746528245922E-3</v>
      </c>
      <c r="E1503" s="1">
        <v>1</v>
      </c>
      <c r="F1503" s="1">
        <v>1</v>
      </c>
      <c r="G1503" s="1">
        <v>65</v>
      </c>
      <c r="H1503" s="1">
        <v>39</v>
      </c>
      <c r="I1503" s="1">
        <v>1</v>
      </c>
      <c r="J1503" s="1">
        <v>16</v>
      </c>
      <c r="K1503" s="1">
        <v>2</v>
      </c>
      <c r="L1503" s="1">
        <v>0</v>
      </c>
      <c r="M1503" s="1">
        <v>3</v>
      </c>
      <c r="N1503" s="1">
        <v>4</v>
      </c>
      <c r="O1503" s="1">
        <v>3</v>
      </c>
      <c r="P1503" s="1">
        <v>0</v>
      </c>
      <c r="Q1503" s="1">
        <v>3</v>
      </c>
      <c r="R1503" s="1">
        <v>8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45</v>
      </c>
      <c r="AA1503" s="1" t="str" cm="1">
        <f t="array" ref="AA1503">_xlfn.IFS(AND(Z1503&lt;36, Z1503&gt;23), "24-35", AND(Z1503&lt;51, Z1503&gt;35),"36-50", AND(Z1503&lt;66, Z1503&gt;50), "51-66", Z1503&gt;65, "66+", TRUE, "?")</f>
        <v>36-50</v>
      </c>
      <c r="AB1503" s="1">
        <v>2162</v>
      </c>
      <c r="AC1503" s="1">
        <v>0</v>
      </c>
      <c r="AD1503" s="1">
        <v>1</v>
      </c>
      <c r="AE1503" s="1">
        <v>0</v>
      </c>
      <c r="AF1503" s="1">
        <v>0</v>
      </c>
      <c r="AG1503" s="1">
        <v>0</v>
      </c>
      <c r="AH1503" s="1">
        <v>0</v>
      </c>
      <c r="AI1503" s="1">
        <v>1</v>
      </c>
      <c r="AJ1503" s="1">
        <v>0</v>
      </c>
      <c r="AK1503" s="1">
        <v>0</v>
      </c>
      <c r="AL1503" s="1">
        <v>55</v>
      </c>
      <c r="AM1503" s="2">
        <v>42687</v>
      </c>
      <c r="AN1503" t="str">
        <f t="shared" si="47"/>
        <v>37085,58,0.00156397465282459,1,1,65,39,1,16,2,0,3,4,3,0,3,8,0,0,0,0,0,0,0,45,36-50,2162,0,1,0,0,0,0,1,0,0,55,42687</v>
      </c>
    </row>
    <row r="1504" spans="1:40" ht="13" hidden="1" x14ac:dyDescent="0.15">
      <c r="A1504">
        <v>373</v>
      </c>
      <c r="B1504" s="1">
        <v>31395</v>
      </c>
      <c r="C1504" s="1">
        <v>57</v>
      </c>
      <c r="D1504" s="4">
        <f t="shared" si="46"/>
        <v>1.8155757286192069E-3</v>
      </c>
      <c r="E1504" s="1">
        <v>1</v>
      </c>
      <c r="F1504" s="1">
        <v>1</v>
      </c>
      <c r="G1504" s="1">
        <v>80</v>
      </c>
      <c r="H1504" s="1">
        <v>23</v>
      </c>
      <c r="I1504" s="1">
        <v>1</v>
      </c>
      <c r="J1504" s="1">
        <v>25</v>
      </c>
      <c r="K1504" s="1">
        <v>0</v>
      </c>
      <c r="L1504" s="1">
        <v>8</v>
      </c>
      <c r="M1504" s="1">
        <v>7</v>
      </c>
      <c r="N1504" s="1">
        <v>4</v>
      </c>
      <c r="O1504" s="1">
        <v>2</v>
      </c>
      <c r="P1504" s="1">
        <v>1</v>
      </c>
      <c r="Q1504" s="1">
        <v>3</v>
      </c>
      <c r="R1504" s="1">
        <v>6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64</v>
      </c>
      <c r="AA1504" s="1" t="str" cm="1">
        <f t="array" ref="AA1504">_xlfn.IFS(AND(Z1504&lt;36, Z1504&gt;23), "24-35", AND(Z1504&lt;51, Z1504&gt;35),"36-50", AND(Z1504&lt;66, Z1504&gt;50), "51-66", Z1504&gt;65, "66+", TRUE, "?")</f>
        <v>51-66</v>
      </c>
      <c r="AB1504" s="1">
        <v>2622</v>
      </c>
      <c r="AC1504" s="1">
        <v>1</v>
      </c>
      <c r="AD1504" s="1">
        <v>0</v>
      </c>
      <c r="AE1504" s="1">
        <v>0</v>
      </c>
      <c r="AF1504" s="1">
        <v>0</v>
      </c>
      <c r="AG1504" s="1">
        <v>0</v>
      </c>
      <c r="AH1504" s="1">
        <v>1</v>
      </c>
      <c r="AI1504" s="1">
        <v>0</v>
      </c>
      <c r="AJ1504" s="1">
        <v>0</v>
      </c>
      <c r="AK1504" s="1">
        <v>0</v>
      </c>
      <c r="AL1504" s="1">
        <v>50</v>
      </c>
      <c r="AM1504" s="2">
        <v>42227</v>
      </c>
      <c r="AN1504" t="str">
        <f t="shared" si="47"/>
        <v>31395,57,0.00181557572861921,1,1,80,23,1,25,0,8,7,4,2,1,3,6,0,0,0,0,0,0,0,64,51-66,2622,1,0,0,0,0,1,0,0,0,50,42227</v>
      </c>
    </row>
    <row r="1505" spans="1:40" ht="13" hidden="1" x14ac:dyDescent="0.15">
      <c r="A1505">
        <v>816</v>
      </c>
      <c r="B1505" s="1">
        <v>30545</v>
      </c>
      <c r="C1505" s="1">
        <v>57</v>
      </c>
      <c r="D1505" s="4">
        <f t="shared" si="46"/>
        <v>1.8660991979047308E-3</v>
      </c>
      <c r="E1505" s="1">
        <v>1</v>
      </c>
      <c r="F1505" s="1">
        <v>0</v>
      </c>
      <c r="G1505" s="1">
        <v>71</v>
      </c>
      <c r="H1505" s="1">
        <v>4</v>
      </c>
      <c r="I1505" s="1">
        <v>12</v>
      </c>
      <c r="J1505" s="1">
        <v>15</v>
      </c>
      <c r="K1505" s="1">
        <v>19</v>
      </c>
      <c r="L1505" s="1">
        <v>7</v>
      </c>
      <c r="M1505" s="1">
        <v>12</v>
      </c>
      <c r="N1505" s="1">
        <v>2</v>
      </c>
      <c r="O1505" s="1">
        <v>2</v>
      </c>
      <c r="P1505" s="1">
        <v>0</v>
      </c>
      <c r="Q1505" s="1">
        <v>3</v>
      </c>
      <c r="R1505" s="1">
        <v>7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41</v>
      </c>
      <c r="AA1505" s="1" t="str" cm="1">
        <f t="array" ref="AA1505">_xlfn.IFS(AND(Z1505&lt;36, Z1505&gt;23), "24-35", AND(Z1505&lt;51, Z1505&gt;35),"36-50", AND(Z1505&lt;66, Z1505&gt;50), "51-66", Z1505&gt;65, "66+", TRUE, "?")</f>
        <v>36-50</v>
      </c>
      <c r="AB1505" s="1">
        <v>2779</v>
      </c>
      <c r="AC1505" s="1">
        <v>0</v>
      </c>
      <c r="AD1505" s="1">
        <v>0</v>
      </c>
      <c r="AE1505" s="1">
        <v>0</v>
      </c>
      <c r="AF1505" s="1">
        <v>1</v>
      </c>
      <c r="AG1505" s="1">
        <v>0</v>
      </c>
      <c r="AH1505" s="1">
        <v>0</v>
      </c>
      <c r="AI1505" s="1">
        <v>1</v>
      </c>
      <c r="AJ1505" s="1">
        <v>0</v>
      </c>
      <c r="AK1505" s="1">
        <v>0</v>
      </c>
      <c r="AL1505" s="1">
        <v>45</v>
      </c>
      <c r="AM1505" s="2">
        <v>42070</v>
      </c>
      <c r="AN1505" t="str">
        <f t="shared" si="47"/>
        <v>30545,57,0.00186609919790473,1,0,71,4,12,15,19,7,12,2,2,0,3,7,0,0,0,0,0,0,0,41,36-50,2779,0,0,0,1,0,0,1,0,0,45,42070</v>
      </c>
    </row>
    <row r="1506" spans="1:40" ht="13" hidden="1" x14ac:dyDescent="0.15">
      <c r="A1506">
        <v>1302</v>
      </c>
      <c r="B1506" s="1">
        <v>26759</v>
      </c>
      <c r="C1506" s="1">
        <v>57</v>
      </c>
      <c r="D1506" s="4">
        <f t="shared" si="46"/>
        <v>2.1301244441122615E-3</v>
      </c>
      <c r="E1506" s="1">
        <v>1</v>
      </c>
      <c r="F1506" s="1">
        <v>0</v>
      </c>
      <c r="G1506" s="1">
        <v>65</v>
      </c>
      <c r="H1506" s="1">
        <v>25</v>
      </c>
      <c r="I1506" s="1">
        <v>3</v>
      </c>
      <c r="J1506" s="1">
        <v>16</v>
      </c>
      <c r="K1506" s="1">
        <v>8</v>
      </c>
      <c r="L1506" s="1">
        <v>5</v>
      </c>
      <c r="M1506" s="1">
        <v>2</v>
      </c>
      <c r="N1506" s="1">
        <v>2</v>
      </c>
      <c r="O1506" s="1">
        <v>2</v>
      </c>
      <c r="P1506" s="1">
        <v>1</v>
      </c>
      <c r="Q1506" s="1">
        <v>3</v>
      </c>
      <c r="R1506" s="1">
        <v>6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48</v>
      </c>
      <c r="AA1506" s="1" t="str" cm="1">
        <f t="array" ref="AA1506">_xlfn.IFS(AND(Z1506&lt;36, Z1506&gt;23), "24-35", AND(Z1506&lt;51, Z1506&gt;35),"36-50", AND(Z1506&lt;66, Z1506&gt;50), "51-66", Z1506&gt;65, "66+", TRUE, "?")</f>
        <v>36-50</v>
      </c>
      <c r="AB1506" s="1">
        <v>2301</v>
      </c>
      <c r="AC1506" s="1">
        <v>1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1</v>
      </c>
      <c r="AJ1506" s="1">
        <v>0</v>
      </c>
      <c r="AK1506" s="1">
        <v>0</v>
      </c>
      <c r="AL1506" s="1">
        <v>55</v>
      </c>
      <c r="AM1506" s="2">
        <v>42548</v>
      </c>
      <c r="AN1506" t="str">
        <f t="shared" si="47"/>
        <v>26759,57,0.00213012444411226,1,0,65,25,3,16,8,5,2,2,2,1,3,6,0,0,0,0,0,0,0,48,36-50,2301,1,0,0,0,0,0,1,0,0,55,42548</v>
      </c>
    </row>
    <row r="1507" spans="1:40" ht="13" hidden="1" x14ac:dyDescent="0.15">
      <c r="A1507">
        <v>1490</v>
      </c>
      <c r="B1507" s="1">
        <v>18793</v>
      </c>
      <c r="C1507" s="1">
        <v>57</v>
      </c>
      <c r="D1507" s="4">
        <f t="shared" si="46"/>
        <v>3.033044218592029E-3</v>
      </c>
      <c r="E1507" s="1">
        <v>1</v>
      </c>
      <c r="F1507" s="1">
        <v>0</v>
      </c>
      <c r="G1507" s="1">
        <v>14</v>
      </c>
      <c r="H1507" s="1">
        <v>4</v>
      </c>
      <c r="I1507" s="1">
        <v>16</v>
      </c>
      <c r="J1507" s="1">
        <v>20</v>
      </c>
      <c r="K1507" s="1">
        <v>0</v>
      </c>
      <c r="L1507" s="1">
        <v>17</v>
      </c>
      <c r="M1507" s="1">
        <v>20</v>
      </c>
      <c r="N1507" s="1">
        <v>3</v>
      </c>
      <c r="O1507" s="1">
        <v>2</v>
      </c>
      <c r="P1507" s="1">
        <v>0</v>
      </c>
      <c r="Q1507" s="1">
        <v>4</v>
      </c>
      <c r="R1507" s="1">
        <v>8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49</v>
      </c>
      <c r="AA1507" s="1" t="str" cm="1">
        <f t="array" ref="AA1507">_xlfn.IFS(AND(Z1507&lt;36, Z1507&gt;23), "24-35", AND(Z1507&lt;51, Z1507&gt;35),"36-50", AND(Z1507&lt;66, Z1507&gt;50), "51-66", Z1507&gt;65, "66+", TRUE, "?")</f>
        <v>36-50</v>
      </c>
      <c r="AB1507" s="1">
        <v>2692</v>
      </c>
      <c r="AC1507" s="1">
        <v>0</v>
      </c>
      <c r="AD1507" s="1">
        <v>1</v>
      </c>
      <c r="AE1507" s="1">
        <v>0</v>
      </c>
      <c r="AF1507" s="1">
        <v>0</v>
      </c>
      <c r="AG1507" s="1">
        <v>0</v>
      </c>
      <c r="AH1507" s="1">
        <v>0</v>
      </c>
      <c r="AI1507" s="1">
        <v>1</v>
      </c>
      <c r="AJ1507" s="1">
        <v>0</v>
      </c>
      <c r="AK1507" s="1">
        <v>0</v>
      </c>
      <c r="AL1507" s="1">
        <v>37</v>
      </c>
      <c r="AM1507" s="2">
        <v>42157</v>
      </c>
      <c r="AN1507" t="str">
        <f t="shared" si="47"/>
        <v>18793,57,0.00303304421859203,1,0,14,4,16,20,0,17,20,3,2,0,4,8,0,0,0,0,0,0,0,49,36-50,2692,0,1,0,0,0,0,1,0,0,37,42157</v>
      </c>
    </row>
    <row r="1508" spans="1:40" ht="13" hidden="1" x14ac:dyDescent="0.15">
      <c r="A1508">
        <v>1607</v>
      </c>
      <c r="B1508" s="1">
        <v>41120</v>
      </c>
      <c r="C1508" s="1">
        <v>57</v>
      </c>
      <c r="D1508" s="4">
        <f t="shared" si="46"/>
        <v>1.3861867704280156E-3</v>
      </c>
      <c r="E1508" s="1">
        <v>1</v>
      </c>
      <c r="F1508" s="1">
        <v>1</v>
      </c>
      <c r="G1508" s="1">
        <v>80</v>
      </c>
      <c r="H1508" s="1">
        <v>24</v>
      </c>
      <c r="I1508" s="1">
        <v>2</v>
      </c>
      <c r="J1508" s="1">
        <v>23</v>
      </c>
      <c r="K1508" s="1">
        <v>0</v>
      </c>
      <c r="L1508" s="1">
        <v>8</v>
      </c>
      <c r="M1508" s="1">
        <v>24</v>
      </c>
      <c r="N1508" s="1">
        <v>3</v>
      </c>
      <c r="O1508" s="1">
        <v>2</v>
      </c>
      <c r="P1508" s="1">
        <v>1</v>
      </c>
      <c r="Q1508" s="1">
        <v>3</v>
      </c>
      <c r="R1508" s="1">
        <v>6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52</v>
      </c>
      <c r="AA1508" s="1" t="str" cm="1">
        <f t="array" ref="AA1508">_xlfn.IFS(AND(Z1508&lt;36, Z1508&gt;23), "24-35", AND(Z1508&lt;51, Z1508&gt;35),"36-50", AND(Z1508&lt;66, Z1508&gt;50), "51-66", Z1508&gt;65, "66+", TRUE, "?")</f>
        <v>51-66</v>
      </c>
      <c r="AB1508" s="1">
        <v>2394</v>
      </c>
      <c r="AC1508" s="1">
        <v>0</v>
      </c>
      <c r="AD1508" s="1">
        <v>1</v>
      </c>
      <c r="AE1508" s="1">
        <v>0</v>
      </c>
      <c r="AF1508" s="1">
        <v>0</v>
      </c>
      <c r="AG1508" s="1">
        <v>0</v>
      </c>
      <c r="AH1508" s="1">
        <v>0</v>
      </c>
      <c r="AI1508" s="1">
        <v>1</v>
      </c>
      <c r="AJ1508" s="1">
        <v>0</v>
      </c>
      <c r="AK1508" s="1">
        <v>0</v>
      </c>
      <c r="AL1508" s="1">
        <v>33</v>
      </c>
      <c r="AM1508" s="2">
        <v>42455</v>
      </c>
      <c r="AN1508" t="str">
        <f t="shared" si="47"/>
        <v>41120,57,0.00138618677042802,1,1,80,24,2,23,0,8,24,3,2,1,3,6,0,0,0,0,0,0,0,52,51-66,2394,0,1,0,0,0,0,1,0,0,33,42455</v>
      </c>
    </row>
    <row r="1509" spans="1:40" ht="13" x14ac:dyDescent="0.15">
      <c r="A1509">
        <v>1796</v>
      </c>
      <c r="B1509" s="1">
        <v>21474</v>
      </c>
      <c r="C1509" s="1">
        <v>57</v>
      </c>
      <c r="D1509" s="4">
        <f t="shared" si="46"/>
        <v>2.6543727298127969E-3</v>
      </c>
      <c r="E1509" s="1">
        <v>1</v>
      </c>
      <c r="F1509" s="1">
        <v>0</v>
      </c>
      <c r="G1509" s="1">
        <v>0</v>
      </c>
      <c r="H1509" s="1">
        <v>6</v>
      </c>
      <c r="I1509" s="1">
        <v>16</v>
      </c>
      <c r="J1509" s="1">
        <v>24</v>
      </c>
      <c r="K1509" s="1">
        <v>11</v>
      </c>
      <c r="L1509" s="1">
        <v>0</v>
      </c>
      <c r="M1509" s="1">
        <v>34</v>
      </c>
      <c r="N1509" s="1">
        <v>2</v>
      </c>
      <c r="O1509" s="1">
        <v>3</v>
      </c>
      <c r="P1509" s="1">
        <v>1</v>
      </c>
      <c r="Q1509" s="1">
        <v>2</v>
      </c>
      <c r="R1509" s="1">
        <v>7</v>
      </c>
      <c r="S1509" s="1">
        <v>0</v>
      </c>
      <c r="T1509" s="1">
        <v>0</v>
      </c>
      <c r="U1509" s="1">
        <v>1</v>
      </c>
      <c r="V1509" s="1">
        <v>0</v>
      </c>
      <c r="W1509" s="1">
        <v>0</v>
      </c>
      <c r="X1509" s="1">
        <v>0</v>
      </c>
      <c r="Y1509" s="1">
        <v>1</v>
      </c>
      <c r="Z1509" s="1">
        <v>31</v>
      </c>
      <c r="AA1509" s="1" t="str" cm="1">
        <f t="array" ref="AA1509">_xlfn.IFS(AND(Z1509&lt;36, Z1509&gt;23), "24-35", AND(Z1509&lt;51, Z1509&gt;35),"36-50", AND(Z1509&lt;66, Z1509&gt;50), "51-66", Z1509&gt;65, "66+", TRUE, "?")</f>
        <v>24-35</v>
      </c>
      <c r="AB1509" s="1">
        <v>2241</v>
      </c>
      <c r="AC1509" s="1">
        <v>0</v>
      </c>
      <c r="AD1509" s="1">
        <v>0</v>
      </c>
      <c r="AE1509" s="1">
        <v>1</v>
      </c>
      <c r="AF1509" s="1">
        <v>0</v>
      </c>
      <c r="AG1509" s="1">
        <v>0</v>
      </c>
      <c r="AH1509" s="1">
        <v>0</v>
      </c>
      <c r="AI1509" s="1">
        <v>1</v>
      </c>
      <c r="AJ1509" s="1">
        <v>0</v>
      </c>
      <c r="AK1509" s="1">
        <v>0</v>
      </c>
      <c r="AL1509" s="1">
        <v>23</v>
      </c>
      <c r="AM1509" s="2">
        <v>42608</v>
      </c>
      <c r="AN1509" t="str">
        <f t="shared" si="47"/>
        <v>21474,57,0.0026543727298128,1,0,0,6,16,24,11,0,34,2,3,1,2,7,0,0,1,0,0,0,1,31,24-35,2241,0,0,1,0,0,0,1,0,0,23,42608</v>
      </c>
    </row>
    <row r="1510" spans="1:40" ht="13" hidden="1" x14ac:dyDescent="0.15">
      <c r="A1510">
        <v>68</v>
      </c>
      <c r="B1510" s="1">
        <v>28332</v>
      </c>
      <c r="C1510" s="1">
        <v>56</v>
      </c>
      <c r="D1510" s="4">
        <f t="shared" si="46"/>
        <v>1.9765636029930819E-3</v>
      </c>
      <c r="E1510" s="1">
        <v>0</v>
      </c>
      <c r="F1510" s="1">
        <v>0</v>
      </c>
      <c r="G1510" s="1">
        <v>58</v>
      </c>
      <c r="H1510" s="1">
        <v>14</v>
      </c>
      <c r="I1510" s="1">
        <v>10</v>
      </c>
      <c r="J1510" s="1">
        <v>13</v>
      </c>
      <c r="K1510" s="1">
        <v>4</v>
      </c>
      <c r="L1510" s="1">
        <v>15</v>
      </c>
      <c r="M1510" s="1">
        <v>9</v>
      </c>
      <c r="N1510" s="1">
        <v>1</v>
      </c>
      <c r="O1510" s="1">
        <v>2</v>
      </c>
      <c r="P1510" s="1">
        <v>1</v>
      </c>
      <c r="Q1510" s="1">
        <v>4</v>
      </c>
      <c r="R1510" s="1">
        <v>2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68</v>
      </c>
      <c r="AA1510" s="1" t="str" cm="1">
        <f t="array" ref="AA1510">_xlfn.IFS(AND(Z1510&lt;36, Z1510&gt;23), "24-35", AND(Z1510&lt;51, Z1510&gt;35),"36-50", AND(Z1510&lt;66, Z1510&gt;50), "51-66", Z1510&gt;65, "66+", TRUE, "?")</f>
        <v>66+</v>
      </c>
      <c r="AB1510" s="1">
        <v>2219</v>
      </c>
      <c r="AC1510" s="1">
        <v>0</v>
      </c>
      <c r="AD1510" s="1">
        <v>1</v>
      </c>
      <c r="AE1510" s="1">
        <v>0</v>
      </c>
      <c r="AF1510" s="1">
        <v>0</v>
      </c>
      <c r="AG1510" s="1">
        <v>0</v>
      </c>
      <c r="AH1510" s="1">
        <v>0</v>
      </c>
      <c r="AI1510" s="1">
        <v>1</v>
      </c>
      <c r="AJ1510" s="1">
        <v>0</v>
      </c>
      <c r="AK1510" s="1">
        <v>0</v>
      </c>
      <c r="AL1510" s="1">
        <v>47</v>
      </c>
      <c r="AM1510" s="2">
        <v>42630</v>
      </c>
      <c r="AN1510" t="str">
        <f t="shared" si="47"/>
        <v>28332,56,0.00197656360299308,0,0,58,14,10,13,4,15,9,1,2,1,4,2,0,0,0,0,0,0,0,68,66+,2219,0,1,0,0,0,0,1,0,0,47,42630</v>
      </c>
    </row>
    <row r="1511" spans="1:40" ht="13" hidden="1" x14ac:dyDescent="0.15">
      <c r="A1511">
        <v>75</v>
      </c>
      <c r="B1511" s="1">
        <v>23559</v>
      </c>
      <c r="C1511" s="1">
        <v>56</v>
      </c>
      <c r="D1511" s="4">
        <f t="shared" si="46"/>
        <v>2.3770109087822063E-3</v>
      </c>
      <c r="E1511" s="1">
        <v>1</v>
      </c>
      <c r="F1511" s="1">
        <v>0</v>
      </c>
      <c r="G1511" s="1">
        <v>87</v>
      </c>
      <c r="H1511" s="1">
        <v>25</v>
      </c>
      <c r="I1511" s="1">
        <v>5</v>
      </c>
      <c r="J1511" s="1">
        <v>19</v>
      </c>
      <c r="K1511" s="1">
        <v>7</v>
      </c>
      <c r="L1511" s="1">
        <v>0</v>
      </c>
      <c r="M1511" s="1">
        <v>23</v>
      </c>
      <c r="N1511" s="1">
        <v>3</v>
      </c>
      <c r="O1511" s="1">
        <v>3</v>
      </c>
      <c r="P1511" s="1">
        <v>0</v>
      </c>
      <c r="Q1511" s="1">
        <v>3</v>
      </c>
      <c r="R1511" s="1">
        <v>7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47</v>
      </c>
      <c r="AA1511" s="1" t="str" cm="1">
        <f t="array" ref="AA1511">_xlfn.IFS(AND(Z1511&lt;36, Z1511&gt;23), "24-35", AND(Z1511&lt;51, Z1511&gt;35),"36-50", AND(Z1511&lt;66, Z1511&gt;50), "51-66", Z1511&gt;65, "66+", TRUE, "?")</f>
        <v>36-50</v>
      </c>
      <c r="AB1511" s="1">
        <v>2520</v>
      </c>
      <c r="AC1511" s="1">
        <v>0</v>
      </c>
      <c r="AD1511" s="1">
        <v>1</v>
      </c>
      <c r="AE1511" s="1">
        <v>0</v>
      </c>
      <c r="AF1511" s="1">
        <v>0</v>
      </c>
      <c r="AG1511" s="1">
        <v>0</v>
      </c>
      <c r="AH1511" s="1">
        <v>1</v>
      </c>
      <c r="AI1511" s="1">
        <v>0</v>
      </c>
      <c r="AJ1511" s="1">
        <v>0</v>
      </c>
      <c r="AK1511" s="1">
        <v>0</v>
      </c>
      <c r="AL1511" s="1">
        <v>33</v>
      </c>
      <c r="AM1511" s="2">
        <v>42329</v>
      </c>
      <c r="AN1511" t="str">
        <f t="shared" si="47"/>
        <v>23559,56,0.00237701090878221,1,0,87,25,5,19,7,0,23,3,3,0,3,7,0,0,0,0,0,0,0,47,36-50,2520,0,1,0,0,0,1,0,0,0,33,42329</v>
      </c>
    </row>
    <row r="1512" spans="1:40" ht="13" hidden="1" x14ac:dyDescent="0.15">
      <c r="A1512">
        <v>302</v>
      </c>
      <c r="B1512" s="1">
        <v>14849</v>
      </c>
      <c r="C1512" s="1">
        <v>56</v>
      </c>
      <c r="D1512" s="4">
        <f t="shared" si="46"/>
        <v>3.7712977304869013E-3</v>
      </c>
      <c r="E1512" s="1">
        <v>1</v>
      </c>
      <c r="F1512" s="1">
        <v>0</v>
      </c>
      <c r="G1512" s="1">
        <v>39</v>
      </c>
      <c r="H1512" s="1">
        <v>21</v>
      </c>
      <c r="I1512" s="1">
        <v>2</v>
      </c>
      <c r="J1512" s="1">
        <v>28</v>
      </c>
      <c r="K1512" s="1">
        <v>3</v>
      </c>
      <c r="L1512" s="1">
        <v>2</v>
      </c>
      <c r="M1512" s="1">
        <v>9</v>
      </c>
      <c r="N1512" s="1">
        <v>3</v>
      </c>
      <c r="O1512" s="1">
        <v>2</v>
      </c>
      <c r="P1512" s="1">
        <v>0</v>
      </c>
      <c r="Q1512" s="1">
        <v>4</v>
      </c>
      <c r="R1512" s="1">
        <v>8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44</v>
      </c>
      <c r="AA1512" s="1" t="str" cm="1">
        <f t="array" ref="AA1512">_xlfn.IFS(AND(Z1512&lt;36, Z1512&gt;23), "24-35", AND(Z1512&lt;51, Z1512&gt;35),"36-50", AND(Z1512&lt;66, Z1512&gt;50), "51-66", Z1512&gt;65, "66+", TRUE, "?")</f>
        <v>36-50</v>
      </c>
      <c r="AB1512" s="1">
        <v>2521</v>
      </c>
      <c r="AC1512" s="1">
        <v>1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1</v>
      </c>
      <c r="AL1512" s="1">
        <v>47</v>
      </c>
      <c r="AM1512" s="2">
        <v>42328</v>
      </c>
      <c r="AN1512" t="str">
        <f t="shared" si="47"/>
        <v>14849,56,0.0037712977304869,1,0,39,21,2,28,3,2,9,3,2,0,4,8,0,0,0,0,0,0,0,44,36-50,2521,1,0,0,0,0,0,0,0,1,47,42328</v>
      </c>
    </row>
    <row r="1513" spans="1:40" ht="13" hidden="1" x14ac:dyDescent="0.15">
      <c r="A1513">
        <v>423</v>
      </c>
      <c r="B1513" s="1">
        <v>36230</v>
      </c>
      <c r="C1513" s="1">
        <v>56</v>
      </c>
      <c r="D1513" s="4">
        <f t="shared" si="46"/>
        <v>1.5456803753795198E-3</v>
      </c>
      <c r="E1513" s="1">
        <v>1</v>
      </c>
      <c r="F1513" s="1">
        <v>0</v>
      </c>
      <c r="G1513" s="1">
        <v>17</v>
      </c>
      <c r="H1513" s="1">
        <v>14</v>
      </c>
      <c r="I1513" s="1">
        <v>2</v>
      </c>
      <c r="J1513" s="1">
        <v>30</v>
      </c>
      <c r="K1513" s="1">
        <v>8</v>
      </c>
      <c r="L1513" s="1">
        <v>2</v>
      </c>
      <c r="M1513" s="1">
        <v>3</v>
      </c>
      <c r="N1513" s="1">
        <v>1</v>
      </c>
      <c r="O1513" s="1">
        <v>2</v>
      </c>
      <c r="P1513" s="1">
        <v>0</v>
      </c>
      <c r="Q1513" s="1">
        <v>4</v>
      </c>
      <c r="R1513" s="1">
        <v>5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49</v>
      </c>
      <c r="AA1513" s="1" t="str" cm="1">
        <f t="array" ref="AA1513">_xlfn.IFS(AND(Z1513&lt;36, Z1513&gt;23), "24-35", AND(Z1513&lt;51, Z1513&gt;35),"36-50", AND(Z1513&lt;66, Z1513&gt;50), "51-66", Z1513&gt;65, "66+", TRUE, "?")</f>
        <v>36-50</v>
      </c>
      <c r="AB1513" s="1">
        <v>2414</v>
      </c>
      <c r="AC1513" s="1">
        <v>0</v>
      </c>
      <c r="AD1513" s="1">
        <v>0</v>
      </c>
      <c r="AE1513" s="1">
        <v>1</v>
      </c>
      <c r="AF1513" s="1">
        <v>0</v>
      </c>
      <c r="AG1513" s="1">
        <v>0</v>
      </c>
      <c r="AH1513" s="1">
        <v>0</v>
      </c>
      <c r="AI1513" s="1">
        <v>0</v>
      </c>
      <c r="AJ1513" s="1">
        <v>1</v>
      </c>
      <c r="AK1513" s="1">
        <v>0</v>
      </c>
      <c r="AL1513" s="1">
        <v>53</v>
      </c>
      <c r="AM1513" s="2">
        <v>42435</v>
      </c>
      <c r="AN1513" t="str">
        <f t="shared" si="47"/>
        <v>36230,56,0.00154568037537952,1,0,17,14,2,30,8,2,3,1,2,0,4,5,0,0,0,0,0,0,0,49,36-50,2414,0,0,1,0,0,0,0,1,0,53,42435</v>
      </c>
    </row>
    <row r="1514" spans="1:40" ht="13" x14ac:dyDescent="0.15">
      <c r="A1514">
        <v>1801</v>
      </c>
      <c r="B1514" s="1">
        <v>36790</v>
      </c>
      <c r="C1514" s="1">
        <v>56</v>
      </c>
      <c r="D1514" s="4">
        <f t="shared" si="46"/>
        <v>1.5221527589018755E-3</v>
      </c>
      <c r="E1514" s="1">
        <v>0</v>
      </c>
      <c r="F1514" s="1">
        <v>0</v>
      </c>
      <c r="G1514" s="1">
        <v>14</v>
      </c>
      <c r="H1514" s="1">
        <v>3</v>
      </c>
      <c r="I1514" s="1">
        <v>3</v>
      </c>
      <c r="J1514" s="1">
        <v>14</v>
      </c>
      <c r="K1514" s="1">
        <v>15</v>
      </c>
      <c r="L1514" s="1">
        <v>21</v>
      </c>
      <c r="M1514" s="1">
        <v>10</v>
      </c>
      <c r="N1514" s="1">
        <v>1</v>
      </c>
      <c r="O1514" s="1">
        <v>2</v>
      </c>
      <c r="P1514" s="1">
        <v>1</v>
      </c>
      <c r="Q1514" s="1">
        <v>2</v>
      </c>
      <c r="R1514" s="1">
        <v>9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1</v>
      </c>
      <c r="Z1514" s="1">
        <v>37</v>
      </c>
      <c r="AA1514" s="1" t="str" cm="1">
        <f t="array" ref="AA1514">_xlfn.IFS(AND(Z1514&lt;36, Z1514&gt;23), "24-35", AND(Z1514&lt;51, Z1514&gt;35),"36-50", AND(Z1514&lt;66, Z1514&gt;50), "51-66", Z1514&gt;65, "66+", TRUE, "?")</f>
        <v>36-50</v>
      </c>
      <c r="AB1514" s="1">
        <v>2644</v>
      </c>
      <c r="AC1514" s="1">
        <v>0</v>
      </c>
      <c r="AD1514" s="1">
        <v>1</v>
      </c>
      <c r="AE1514" s="1">
        <v>0</v>
      </c>
      <c r="AF1514" s="1">
        <v>0</v>
      </c>
      <c r="AG1514" s="1">
        <v>0</v>
      </c>
      <c r="AH1514" s="1">
        <v>0</v>
      </c>
      <c r="AI1514" s="1">
        <v>1</v>
      </c>
      <c r="AJ1514" s="1">
        <v>0</v>
      </c>
      <c r="AK1514" s="1">
        <v>0</v>
      </c>
      <c r="AL1514" s="1">
        <v>46</v>
      </c>
      <c r="AM1514" s="2">
        <v>42205</v>
      </c>
      <c r="AN1514" t="str">
        <f t="shared" si="47"/>
        <v>36790,56,0.00152215275890188,0,0,14,3,3,14,15,21,10,1,2,1,2,9,0,0,0,0,0,0,1,37,36-50,2644,0,1,0,0,0,0,1,0,0,46,42205</v>
      </c>
    </row>
    <row r="1515" spans="1:40" ht="13" hidden="1" x14ac:dyDescent="0.15">
      <c r="A1515">
        <v>1931</v>
      </c>
      <c r="B1515" s="1">
        <v>16005</v>
      </c>
      <c r="C1515" s="1">
        <v>56</v>
      </c>
      <c r="D1515" s="4">
        <f t="shared" si="46"/>
        <v>3.4989065916900966E-3</v>
      </c>
      <c r="E1515" s="1">
        <v>1</v>
      </c>
      <c r="F1515" s="1">
        <v>0</v>
      </c>
      <c r="G1515" s="1">
        <v>69</v>
      </c>
      <c r="H1515" s="1">
        <v>1</v>
      </c>
      <c r="I1515" s="1">
        <v>3</v>
      </c>
      <c r="J1515" s="1">
        <v>2</v>
      </c>
      <c r="K1515" s="1">
        <v>20</v>
      </c>
      <c r="L1515" s="1">
        <v>30</v>
      </c>
      <c r="M1515" s="1">
        <v>47</v>
      </c>
      <c r="N1515" s="1">
        <v>3</v>
      </c>
      <c r="O1515" s="1">
        <v>2</v>
      </c>
      <c r="P1515" s="1">
        <v>1</v>
      </c>
      <c r="Q1515" s="1">
        <v>2</v>
      </c>
      <c r="R1515" s="1">
        <v>8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40</v>
      </c>
      <c r="AA1515" s="1" t="str" cm="1">
        <f t="array" ref="AA1515">_xlfn.IFS(AND(Z1515&lt;36, Z1515&gt;23), "24-35", AND(Z1515&lt;51, Z1515&gt;35),"36-50", AND(Z1515&lt;66, Z1515&gt;50), "51-66", Z1515&gt;65, "66+", TRUE, "?")</f>
        <v>36-50</v>
      </c>
      <c r="AB1515" s="1">
        <v>2843</v>
      </c>
      <c r="AC1515" s="1">
        <v>0</v>
      </c>
      <c r="AD1515" s="1">
        <v>1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9</v>
      </c>
      <c r="AM1515" s="2">
        <v>42006</v>
      </c>
      <c r="AN1515" t="str">
        <f t="shared" si="47"/>
        <v>16005,56,0.0034989065916901,1,0,69,1,3,2,20,30,47,3,2,1,2,8,0,0,0,0,0,0,0,40,36-50,2843,0,1,0,0,0,0,0,0,0,9,42006</v>
      </c>
    </row>
    <row r="1516" spans="1:40" ht="13" hidden="1" x14ac:dyDescent="0.15">
      <c r="A1516">
        <v>1940</v>
      </c>
      <c r="B1516" s="1">
        <v>23539</v>
      </c>
      <c r="C1516" s="1">
        <v>56</v>
      </c>
      <c r="D1516" s="4">
        <f t="shared" si="46"/>
        <v>2.3790305450528911E-3</v>
      </c>
      <c r="E1516" s="1">
        <v>0</v>
      </c>
      <c r="F1516" s="1">
        <v>0</v>
      </c>
      <c r="G1516" s="1">
        <v>13</v>
      </c>
      <c r="H1516" s="1">
        <v>4</v>
      </c>
      <c r="I1516" s="1">
        <v>24</v>
      </c>
      <c r="J1516" s="1">
        <v>11</v>
      </c>
      <c r="K1516" s="1">
        <v>16</v>
      </c>
      <c r="L1516" s="1">
        <v>1</v>
      </c>
      <c r="M1516" s="1">
        <v>25</v>
      </c>
      <c r="N1516" s="1">
        <v>1</v>
      </c>
      <c r="O1516" s="1">
        <v>2</v>
      </c>
      <c r="P1516" s="1">
        <v>0</v>
      </c>
      <c r="Q1516" s="1">
        <v>4</v>
      </c>
      <c r="R1516" s="1">
        <v>6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63</v>
      </c>
      <c r="AA1516" s="1" t="str" cm="1">
        <f t="array" ref="AA1516">_xlfn.IFS(AND(Z1516&lt;36, Z1516&gt;23), "24-35", AND(Z1516&lt;51, Z1516&gt;35),"36-50", AND(Z1516&lt;66, Z1516&gt;50), "51-66", Z1516&gt;65, "66+", TRUE, "?")</f>
        <v>51-66</v>
      </c>
      <c r="AB1516" s="1">
        <v>2280</v>
      </c>
      <c r="AC1516" s="1">
        <v>0</v>
      </c>
      <c r="AD1516" s="1">
        <v>1</v>
      </c>
      <c r="AE1516" s="1">
        <v>0</v>
      </c>
      <c r="AF1516" s="1">
        <v>0</v>
      </c>
      <c r="AG1516" s="1">
        <v>0</v>
      </c>
      <c r="AH1516" s="1">
        <v>0</v>
      </c>
      <c r="AI1516" s="1">
        <v>1</v>
      </c>
      <c r="AJ1516" s="1">
        <v>0</v>
      </c>
      <c r="AK1516" s="1">
        <v>0</v>
      </c>
      <c r="AL1516" s="1">
        <v>31</v>
      </c>
      <c r="AM1516" s="2">
        <v>42569</v>
      </c>
      <c r="AN1516" t="str">
        <f t="shared" si="47"/>
        <v>23539,56,0.00237903054505289,0,0,13,4,24,11,16,1,25,1,2,0,4,6,0,0,0,0,0,0,0,63,51-66,2280,0,1,0,0,0,0,1,0,0,31,42569</v>
      </c>
    </row>
    <row r="1517" spans="1:40" ht="13" hidden="1" x14ac:dyDescent="0.15">
      <c r="A1517">
        <v>271</v>
      </c>
      <c r="B1517" s="1">
        <v>16626</v>
      </c>
      <c r="C1517" s="1">
        <v>55</v>
      </c>
      <c r="D1517" s="4">
        <f t="shared" si="46"/>
        <v>3.308071694935643E-3</v>
      </c>
      <c r="E1517" s="1">
        <v>2</v>
      </c>
      <c r="F1517" s="1">
        <v>0</v>
      </c>
      <c r="G1517" s="1">
        <v>76</v>
      </c>
      <c r="H1517" s="1">
        <v>8</v>
      </c>
      <c r="I1517" s="1">
        <v>3</v>
      </c>
      <c r="J1517" s="1">
        <v>22</v>
      </c>
      <c r="K1517" s="1">
        <v>21</v>
      </c>
      <c r="L1517" s="1">
        <v>1</v>
      </c>
      <c r="M1517" s="1">
        <v>13</v>
      </c>
      <c r="N1517" s="1">
        <v>3</v>
      </c>
      <c r="O1517" s="1">
        <v>3</v>
      </c>
      <c r="P1517" s="1">
        <v>0</v>
      </c>
      <c r="Q1517" s="1">
        <v>3</v>
      </c>
      <c r="R1517" s="1">
        <v>9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49</v>
      </c>
      <c r="AA1517" s="1" t="str" cm="1">
        <f t="array" ref="AA1517">_xlfn.IFS(AND(Z1517&lt;36, Z1517&gt;23), "24-35", AND(Z1517&lt;51, Z1517&gt;35),"36-50", AND(Z1517&lt;66, Z1517&gt;50), "51-66", Z1517&gt;65, "66+", TRUE, "?")</f>
        <v>36-50</v>
      </c>
      <c r="AB1517" s="1">
        <v>2324</v>
      </c>
      <c r="AC1517" s="1">
        <v>0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>
        <v>1</v>
      </c>
      <c r="AJ1517" s="1">
        <v>0</v>
      </c>
      <c r="AK1517" s="1">
        <v>0</v>
      </c>
      <c r="AL1517" s="1">
        <v>42</v>
      </c>
      <c r="AM1517" s="2">
        <v>42525</v>
      </c>
      <c r="AN1517" t="str">
        <f t="shared" si="47"/>
        <v>16626,55,0.00330807169493564,2,0,76,8,3,22,21,1,13,3,3,0,3,9,0,0,0,0,0,0,0,49,36-50,2324,0,0,0,1,0,0,1,0,0,42,42525</v>
      </c>
    </row>
    <row r="1518" spans="1:40" ht="13" hidden="1" x14ac:dyDescent="0.15">
      <c r="A1518">
        <v>711</v>
      </c>
      <c r="B1518" s="1">
        <v>35523</v>
      </c>
      <c r="C1518" s="1">
        <v>55</v>
      </c>
      <c r="D1518" s="4">
        <f t="shared" si="46"/>
        <v>1.548292655462658E-3</v>
      </c>
      <c r="E1518" s="1">
        <v>1</v>
      </c>
      <c r="F1518" s="1">
        <v>0</v>
      </c>
      <c r="G1518" s="1">
        <v>8</v>
      </c>
      <c r="H1518" s="1">
        <v>11</v>
      </c>
      <c r="I1518" s="1">
        <v>5</v>
      </c>
      <c r="J1518" s="1">
        <v>22</v>
      </c>
      <c r="K1518" s="1">
        <v>12</v>
      </c>
      <c r="L1518" s="1">
        <v>5</v>
      </c>
      <c r="M1518" s="1">
        <v>11</v>
      </c>
      <c r="N1518" s="1">
        <v>2</v>
      </c>
      <c r="O1518" s="1">
        <v>3</v>
      </c>
      <c r="P1518" s="1">
        <v>0</v>
      </c>
      <c r="Q1518" s="1">
        <v>3</v>
      </c>
      <c r="R1518" s="1">
        <v>7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39</v>
      </c>
      <c r="AA1518" s="1" t="str" cm="1">
        <f t="array" ref="AA1518">_xlfn.IFS(AND(Z1518&lt;36, Z1518&gt;23), "24-35", AND(Z1518&lt;51, Z1518&gt;35),"36-50", AND(Z1518&lt;66, Z1518&gt;50), "51-66", Z1518&gt;65, "66+", TRUE, "?")</f>
        <v>36-50</v>
      </c>
      <c r="AB1518" s="1">
        <v>2428</v>
      </c>
      <c r="AC1518" s="1">
        <v>0</v>
      </c>
      <c r="AD1518" s="1">
        <v>1</v>
      </c>
      <c r="AE1518" s="1">
        <v>0</v>
      </c>
      <c r="AF1518" s="1">
        <v>0</v>
      </c>
      <c r="AG1518" s="1">
        <v>0</v>
      </c>
      <c r="AH1518" s="1">
        <v>1</v>
      </c>
      <c r="AI1518" s="1">
        <v>0</v>
      </c>
      <c r="AJ1518" s="1">
        <v>0</v>
      </c>
      <c r="AK1518" s="1">
        <v>0</v>
      </c>
      <c r="AL1518" s="1">
        <v>44</v>
      </c>
      <c r="AM1518" s="2">
        <v>42421</v>
      </c>
      <c r="AN1518" t="str">
        <f t="shared" si="47"/>
        <v>35523,55,0.00154829265546266,1,0,8,11,5,22,12,5,11,2,3,0,3,7,0,0,0,0,0,0,0,39,36-50,2428,0,1,0,0,0,1,0,0,0,44,42421</v>
      </c>
    </row>
    <row r="1519" spans="1:40" ht="13" hidden="1" x14ac:dyDescent="0.15">
      <c r="A1519">
        <v>750</v>
      </c>
      <c r="B1519" s="1">
        <v>19329</v>
      </c>
      <c r="C1519" s="1">
        <v>55</v>
      </c>
      <c r="D1519" s="4">
        <f t="shared" si="46"/>
        <v>2.8454653629261732E-3</v>
      </c>
      <c r="E1519" s="1">
        <v>1</v>
      </c>
      <c r="F1519" s="1">
        <v>0</v>
      </c>
      <c r="G1519" s="1">
        <v>39</v>
      </c>
      <c r="H1519" s="1">
        <v>24</v>
      </c>
      <c r="I1519" s="1">
        <v>1</v>
      </c>
      <c r="J1519" s="1">
        <v>16</v>
      </c>
      <c r="K1519" s="1">
        <v>12</v>
      </c>
      <c r="L1519" s="1">
        <v>2</v>
      </c>
      <c r="M1519" s="1">
        <v>5</v>
      </c>
      <c r="N1519" s="1">
        <v>3</v>
      </c>
      <c r="O1519" s="1">
        <v>4</v>
      </c>
      <c r="P1519" s="1">
        <v>0</v>
      </c>
      <c r="Q1519" s="1">
        <v>3</v>
      </c>
      <c r="R1519" s="1">
        <v>8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52</v>
      </c>
      <c r="AA1519" s="1" t="str" cm="1">
        <f t="array" ref="AA1519">_xlfn.IFS(AND(Z1519&lt;36, Z1519&gt;23), "24-35", AND(Z1519&lt;51, Z1519&gt;35),"36-50", AND(Z1519&lt;66, Z1519&gt;50), "51-66", Z1519&gt;65, "66+", TRUE, "?")</f>
        <v>51-66</v>
      </c>
      <c r="AB1519" s="1">
        <v>2356</v>
      </c>
      <c r="AC1519" s="1">
        <v>0</v>
      </c>
      <c r="AD1519" s="1">
        <v>1</v>
      </c>
      <c r="AE1519" s="1">
        <v>0</v>
      </c>
      <c r="AF1519" s="1">
        <v>0</v>
      </c>
      <c r="AG1519" s="1">
        <v>0</v>
      </c>
      <c r="AH1519" s="1">
        <v>0</v>
      </c>
      <c r="AI1519" s="1">
        <v>1</v>
      </c>
      <c r="AJ1519" s="1">
        <v>0</v>
      </c>
      <c r="AK1519" s="1">
        <v>0</v>
      </c>
      <c r="AL1519" s="1">
        <v>50</v>
      </c>
      <c r="AM1519" s="2">
        <v>42493</v>
      </c>
      <c r="AN1519" t="str">
        <f t="shared" si="47"/>
        <v>19329,55,0.00284546536292617,1,0,39,24,1,16,12,2,5,3,4,0,3,8,0,0,0,0,0,0,0,52,51-66,2356,0,1,0,0,0,0,1,0,0,50,42493</v>
      </c>
    </row>
    <row r="1520" spans="1:40" ht="13" hidden="1" x14ac:dyDescent="0.15">
      <c r="A1520">
        <v>779</v>
      </c>
      <c r="B1520" s="1">
        <v>55412</v>
      </c>
      <c r="C1520" s="1">
        <v>55</v>
      </c>
      <c r="D1520" s="4">
        <f t="shared" si="46"/>
        <v>9.9256478741066925E-4</v>
      </c>
      <c r="E1520" s="1">
        <v>1</v>
      </c>
      <c r="F1520" s="1">
        <v>1</v>
      </c>
      <c r="G1520" s="1">
        <v>65</v>
      </c>
      <c r="H1520" s="1">
        <v>10</v>
      </c>
      <c r="I1520" s="1">
        <v>5</v>
      </c>
      <c r="J1520" s="1">
        <v>28</v>
      </c>
      <c r="K1520" s="1">
        <v>11</v>
      </c>
      <c r="L1520" s="1">
        <v>1</v>
      </c>
      <c r="M1520" s="1">
        <v>8</v>
      </c>
      <c r="N1520" s="1">
        <v>1</v>
      </c>
      <c r="O1520" s="1">
        <v>2</v>
      </c>
      <c r="P1520" s="1">
        <v>0</v>
      </c>
      <c r="Q1520" s="1">
        <v>3</v>
      </c>
      <c r="R1520" s="1">
        <v>5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44</v>
      </c>
      <c r="AA1520" s="1" t="str" cm="1">
        <f t="array" ref="AA1520">_xlfn.IFS(AND(Z1520&lt;36, Z1520&gt;23), "24-35", AND(Z1520&lt;51, Z1520&gt;35),"36-50", AND(Z1520&lt;66, Z1520&gt;50), "51-66", Z1520&gt;65, "66+", TRUE, "?")</f>
        <v>36-50</v>
      </c>
      <c r="AB1520" s="1">
        <v>2378</v>
      </c>
      <c r="AC1520" s="1">
        <v>1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1</v>
      </c>
      <c r="AL1520" s="1">
        <v>47</v>
      </c>
      <c r="AM1520" s="2">
        <v>42471</v>
      </c>
      <c r="AN1520" t="str">
        <f t="shared" si="47"/>
        <v>55412,55,0.000992564787410669,1,1,65,10,5,28,11,1,8,1,2,0,3,5,0,0,0,0,0,0,0,44,36-50,2378,1,0,0,0,0,0,0,0,1,47,42471</v>
      </c>
    </row>
    <row r="1521" spans="1:40" ht="13" hidden="1" x14ac:dyDescent="0.15">
      <c r="A1521">
        <v>1246</v>
      </c>
      <c r="B1521" s="1">
        <v>27244</v>
      </c>
      <c r="C1521" s="1">
        <v>55</v>
      </c>
      <c r="D1521" s="4">
        <f t="shared" si="46"/>
        <v>2.0187931287622965E-3</v>
      </c>
      <c r="E1521" s="1">
        <v>1</v>
      </c>
      <c r="F1521" s="1">
        <v>0</v>
      </c>
      <c r="G1521" s="1">
        <v>84</v>
      </c>
      <c r="H1521" s="1">
        <v>6</v>
      </c>
      <c r="I1521" s="1">
        <v>5</v>
      </c>
      <c r="J1521" s="1">
        <v>17</v>
      </c>
      <c r="K1521" s="1">
        <v>3</v>
      </c>
      <c r="L1521" s="1">
        <v>24</v>
      </c>
      <c r="M1521" s="1">
        <v>46</v>
      </c>
      <c r="N1521" s="1">
        <v>2</v>
      </c>
      <c r="O1521" s="1">
        <v>2</v>
      </c>
      <c r="P1521" s="1">
        <v>2</v>
      </c>
      <c r="Q1521" s="1">
        <v>2</v>
      </c>
      <c r="R1521" s="1">
        <v>7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41</v>
      </c>
      <c r="AA1521" s="1" t="str" cm="1">
        <f t="array" ref="AA1521">_xlfn.IFS(AND(Z1521&lt;36, Z1521&gt;23), "24-35", AND(Z1521&lt;51, Z1521&gt;35),"36-50", AND(Z1521&lt;66, Z1521&gt;50), "51-66", Z1521&gt;65, "66+", TRUE, "?")</f>
        <v>36-50</v>
      </c>
      <c r="AB1521" s="1">
        <v>2273</v>
      </c>
      <c r="AC1521" s="1">
        <v>0</v>
      </c>
      <c r="AD1521" s="1">
        <v>1</v>
      </c>
      <c r="AE1521" s="1">
        <v>0</v>
      </c>
      <c r="AF1521" s="1">
        <v>0</v>
      </c>
      <c r="AG1521" s="1">
        <v>0</v>
      </c>
      <c r="AH1521" s="1">
        <v>0</v>
      </c>
      <c r="AI1521" s="1">
        <v>1</v>
      </c>
      <c r="AJ1521" s="1">
        <v>0</v>
      </c>
      <c r="AK1521" s="1">
        <v>0</v>
      </c>
      <c r="AL1521" s="1">
        <v>9</v>
      </c>
      <c r="AM1521" s="2">
        <v>42576</v>
      </c>
      <c r="AN1521" t="str">
        <f t="shared" si="47"/>
        <v>27244,55,0.0020187931287623,1,0,84,6,5,17,3,24,46,2,2,2,2,7,0,0,0,0,0,0,0,41,36-50,2273,0,1,0,0,0,0,1,0,0,9,42576</v>
      </c>
    </row>
    <row r="1522" spans="1:40" ht="13" hidden="1" x14ac:dyDescent="0.15">
      <c r="A1522">
        <v>1352</v>
      </c>
      <c r="B1522" s="1">
        <v>26290</v>
      </c>
      <c r="C1522" s="1">
        <v>55</v>
      </c>
      <c r="D1522" s="4">
        <f t="shared" si="46"/>
        <v>2.0920502092050207E-3</v>
      </c>
      <c r="E1522" s="1">
        <v>1</v>
      </c>
      <c r="F1522" s="1">
        <v>1</v>
      </c>
      <c r="G1522" s="1">
        <v>49</v>
      </c>
      <c r="H1522" s="1">
        <v>15</v>
      </c>
      <c r="I1522" s="1">
        <v>8</v>
      </c>
      <c r="J1522" s="1">
        <v>16</v>
      </c>
      <c r="K1522" s="1">
        <v>11</v>
      </c>
      <c r="L1522" s="1">
        <v>5</v>
      </c>
      <c r="M1522" s="1">
        <v>22</v>
      </c>
      <c r="N1522" s="1">
        <v>4</v>
      </c>
      <c r="O1522" s="1">
        <v>2</v>
      </c>
      <c r="P1522" s="1">
        <v>0</v>
      </c>
      <c r="Q1522" s="1">
        <v>4</v>
      </c>
      <c r="R1522" s="1">
        <v>6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48</v>
      </c>
      <c r="AA1522" s="1" t="str" cm="1">
        <f t="array" ref="AA1522">_xlfn.IFS(AND(Z1522&lt;36, Z1522&gt;23), "24-35", AND(Z1522&lt;51, Z1522&gt;35),"36-50", AND(Z1522&lt;66, Z1522&gt;50), "51-66", Z1522&gt;65, "66+", TRUE, "?")</f>
        <v>36-50</v>
      </c>
      <c r="AB1522" s="1">
        <v>2692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1</v>
      </c>
      <c r="AJ1522" s="1">
        <v>0</v>
      </c>
      <c r="AK1522" s="1">
        <v>0</v>
      </c>
      <c r="AL1522" s="1">
        <v>33</v>
      </c>
      <c r="AM1522" s="2">
        <v>42157</v>
      </c>
      <c r="AN1522" t="str">
        <f t="shared" si="47"/>
        <v>26290,55,0.00209205020920502,1,1,49,15,8,16,11,5,22,4,2,0,4,6,0,0,0,0,0,0,0,48,36-50,2692,0,0,0,1,0,0,1,0,0,33,42157</v>
      </c>
    </row>
    <row r="1523" spans="1:40" ht="13" x14ac:dyDescent="0.15">
      <c r="A1523">
        <v>1802</v>
      </c>
      <c r="B1523" s="1">
        <v>26518</v>
      </c>
      <c r="C1523" s="1">
        <v>55</v>
      </c>
      <c r="D1523" s="4">
        <f t="shared" si="46"/>
        <v>2.0740629006712422E-3</v>
      </c>
      <c r="E1523" s="1">
        <v>1</v>
      </c>
      <c r="F1523" s="1">
        <v>1</v>
      </c>
      <c r="G1523" s="1">
        <v>33</v>
      </c>
      <c r="H1523" s="1">
        <v>20</v>
      </c>
      <c r="I1523" s="1">
        <v>1</v>
      </c>
      <c r="J1523" s="1">
        <v>28</v>
      </c>
      <c r="K1523" s="1">
        <v>3</v>
      </c>
      <c r="L1523" s="1">
        <v>3</v>
      </c>
      <c r="M1523" s="1">
        <v>2</v>
      </c>
      <c r="N1523" s="1">
        <v>3</v>
      </c>
      <c r="O1523" s="1">
        <v>2</v>
      </c>
      <c r="P1523" s="1">
        <v>0</v>
      </c>
      <c r="Q1523" s="1">
        <v>3</v>
      </c>
      <c r="R1523" s="1">
        <v>8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1</v>
      </c>
      <c r="Z1523" s="1">
        <v>71</v>
      </c>
      <c r="AA1523" s="1" t="str" cm="1">
        <f t="array" ref="AA1523">_xlfn.IFS(AND(Z1523&lt;36, Z1523&gt;23), "24-35", AND(Z1523&lt;51, Z1523&gt;35),"36-50", AND(Z1523&lt;66, Z1523&gt;50), "51-66", Z1523&gt;65, "66+", TRUE, "?")</f>
        <v>66+</v>
      </c>
      <c r="AB1523" s="1">
        <v>2606</v>
      </c>
      <c r="AC1523" s="1">
        <v>0</v>
      </c>
      <c r="AD1523" s="1">
        <v>0</v>
      </c>
      <c r="AE1523" s="1">
        <v>1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1</v>
      </c>
      <c r="AL1523" s="1">
        <v>53</v>
      </c>
      <c r="AM1523" s="2">
        <v>42243</v>
      </c>
      <c r="AN1523" t="str">
        <f t="shared" si="47"/>
        <v>26518,55,0.00207406290067124,1,1,33,20,1,28,3,3,2,3,2,0,3,8,0,0,0,0,0,0,1,71,66+,2606,0,0,1,0,0,0,0,0,1,53,42243</v>
      </c>
    </row>
    <row r="1524" spans="1:40" ht="13" hidden="1" x14ac:dyDescent="0.15">
      <c r="A1524">
        <v>167</v>
      </c>
      <c r="B1524" s="1">
        <v>30477</v>
      </c>
      <c r="C1524" s="1">
        <v>54</v>
      </c>
      <c r="D1524" s="4">
        <f t="shared" si="46"/>
        <v>1.7718279358204547E-3</v>
      </c>
      <c r="E1524" s="1">
        <v>1</v>
      </c>
      <c r="F1524" s="1">
        <v>0</v>
      </c>
      <c r="G1524" s="1">
        <v>16</v>
      </c>
      <c r="H1524" s="1">
        <v>47</v>
      </c>
      <c r="I1524" s="1">
        <v>1</v>
      </c>
      <c r="J1524" s="1">
        <v>6</v>
      </c>
      <c r="K1524" s="1">
        <v>0</v>
      </c>
      <c r="L1524" s="1">
        <v>0</v>
      </c>
      <c r="M1524" s="1">
        <v>12</v>
      </c>
      <c r="N1524" s="1">
        <v>1</v>
      </c>
      <c r="O1524" s="1">
        <v>1</v>
      </c>
      <c r="P1524" s="1">
        <v>1</v>
      </c>
      <c r="Q1524" s="1">
        <v>3</v>
      </c>
      <c r="R1524" s="1">
        <v>6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36</v>
      </c>
      <c r="AA1524" s="1" t="str" cm="1">
        <f t="array" ref="AA1524">_xlfn.IFS(AND(Z1524&lt;36, Z1524&gt;23), "24-35", AND(Z1524&lt;51, Z1524&gt;35),"36-50", AND(Z1524&lt;66, Z1524&gt;50), "51-66", Z1524&gt;65, "66+", TRUE, "?")</f>
        <v>36-50</v>
      </c>
      <c r="AB1524" s="1">
        <v>2317</v>
      </c>
      <c r="AC1524" s="1">
        <v>0</v>
      </c>
      <c r="AD1524" s="1">
        <v>1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1</v>
      </c>
      <c r="AK1524" s="1">
        <v>0</v>
      </c>
      <c r="AL1524" s="1">
        <v>42</v>
      </c>
      <c r="AM1524" s="2">
        <v>42532</v>
      </c>
      <c r="AN1524" t="str">
        <f t="shared" si="47"/>
        <v>30477,54,0.00177182793582045,1,0,16,47,1,6,0,0,12,1,1,1,3,6,0,0,0,0,0,0,0,36,36-50,2317,0,1,0,0,0,0,0,1,0,42,42532</v>
      </c>
    </row>
    <row r="1525" spans="1:40" ht="13" hidden="1" x14ac:dyDescent="0.15">
      <c r="A1525">
        <v>252</v>
      </c>
      <c r="B1525" s="1">
        <v>31788</v>
      </c>
      <c r="C1525" s="1">
        <v>54</v>
      </c>
      <c r="D1525" s="4">
        <f t="shared" si="46"/>
        <v>1.6987542468856172E-3</v>
      </c>
      <c r="E1525" s="1">
        <v>1</v>
      </c>
      <c r="F1525" s="1">
        <v>0</v>
      </c>
      <c r="G1525" s="1">
        <v>15</v>
      </c>
      <c r="H1525" s="1">
        <v>16</v>
      </c>
      <c r="I1525" s="1">
        <v>7</v>
      </c>
      <c r="J1525" s="1">
        <v>23</v>
      </c>
      <c r="K1525" s="1">
        <v>0</v>
      </c>
      <c r="L1525" s="1">
        <v>8</v>
      </c>
      <c r="M1525" s="1">
        <v>6</v>
      </c>
      <c r="N1525" s="1">
        <v>3</v>
      </c>
      <c r="O1525" s="1">
        <v>3</v>
      </c>
      <c r="P1525" s="1">
        <v>0</v>
      </c>
      <c r="Q1525" s="1">
        <v>4</v>
      </c>
      <c r="R1525" s="1">
        <v>5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1</v>
      </c>
      <c r="Y1525" s="1">
        <v>0</v>
      </c>
      <c r="Z1525" s="1">
        <v>37</v>
      </c>
      <c r="AA1525" s="1" t="str" cm="1">
        <f t="array" ref="AA1525">_xlfn.IFS(AND(Z1525&lt;36, Z1525&gt;23), "24-35", AND(Z1525&lt;51, Z1525&gt;35),"36-50", AND(Z1525&lt;66, Z1525&gt;50), "51-66", Z1525&gt;65, "66+", TRUE, "?")</f>
        <v>36-50</v>
      </c>
      <c r="AB1525" s="1">
        <v>2260</v>
      </c>
      <c r="AC1525" s="1">
        <v>0</v>
      </c>
      <c r="AD1525" s="1">
        <v>0</v>
      </c>
      <c r="AE1525" s="1">
        <v>1</v>
      </c>
      <c r="AF1525" s="1">
        <v>0</v>
      </c>
      <c r="AG1525" s="1">
        <v>0</v>
      </c>
      <c r="AH1525" s="1">
        <v>0</v>
      </c>
      <c r="AI1525" s="1">
        <v>0</v>
      </c>
      <c r="AJ1525" s="1">
        <v>1</v>
      </c>
      <c r="AK1525" s="1">
        <v>0</v>
      </c>
      <c r="AL1525" s="1">
        <v>48</v>
      </c>
      <c r="AM1525" s="2">
        <v>42589</v>
      </c>
      <c r="AN1525" t="str">
        <f t="shared" si="47"/>
        <v>31788,54,0.00169875424688562,1,0,15,16,7,23,0,8,6,3,3,0,4,5,0,0,0,0,0,1,0,37,36-50,2260,0,0,1,0,0,0,0,1,0,48,42589</v>
      </c>
    </row>
    <row r="1526" spans="1:40" ht="13" hidden="1" x14ac:dyDescent="0.15">
      <c r="A1526">
        <v>451</v>
      </c>
      <c r="B1526" s="1">
        <v>37760</v>
      </c>
      <c r="C1526" s="1">
        <v>54</v>
      </c>
      <c r="D1526" s="4">
        <f t="shared" si="46"/>
        <v>1.4300847457627119E-3</v>
      </c>
      <c r="E1526" s="1">
        <v>1</v>
      </c>
      <c r="F1526" s="1">
        <v>0</v>
      </c>
      <c r="G1526" s="1">
        <v>54</v>
      </c>
      <c r="H1526" s="1">
        <v>26</v>
      </c>
      <c r="I1526" s="1">
        <v>3</v>
      </c>
      <c r="J1526" s="1">
        <v>13</v>
      </c>
      <c r="K1526" s="1">
        <v>2</v>
      </c>
      <c r="L1526" s="1">
        <v>10</v>
      </c>
      <c r="M1526" s="1">
        <v>0</v>
      </c>
      <c r="N1526" s="1">
        <v>1</v>
      </c>
      <c r="O1526" s="1">
        <v>2</v>
      </c>
      <c r="P1526" s="1">
        <v>0</v>
      </c>
      <c r="Q1526" s="1">
        <v>3</v>
      </c>
      <c r="R1526" s="1">
        <v>6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48</v>
      </c>
      <c r="AA1526" s="1" t="str" cm="1">
        <f t="array" ref="AA1526">_xlfn.IFS(AND(Z1526&lt;36, Z1526&gt;23), "24-35", AND(Z1526&lt;51, Z1526&gt;35),"36-50", AND(Z1526&lt;66, Z1526&gt;50), "51-66", Z1526&gt;65, "66+", TRUE, "?")</f>
        <v>36-50</v>
      </c>
      <c r="AB1526" s="1">
        <v>2481</v>
      </c>
      <c r="AC1526" s="1">
        <v>1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1</v>
      </c>
      <c r="AK1526" s="1">
        <v>0</v>
      </c>
      <c r="AL1526" s="1">
        <v>54</v>
      </c>
      <c r="AM1526" s="2">
        <v>42368</v>
      </c>
      <c r="AN1526" t="str">
        <f t="shared" si="47"/>
        <v>37760,54,0.00143008474576271,1,0,54,26,3,13,2,10,0,1,2,0,3,6,0,0,0,0,0,0,0,48,36-50,2481,1,0,0,0,0,0,0,1,0,54,42368</v>
      </c>
    </row>
    <row r="1527" spans="1:40" ht="13" hidden="1" x14ac:dyDescent="0.15">
      <c r="A1527">
        <v>552</v>
      </c>
      <c r="B1527" s="1">
        <v>26850</v>
      </c>
      <c r="C1527" s="1">
        <v>54</v>
      </c>
      <c r="D1527" s="4">
        <f t="shared" si="46"/>
        <v>2.011173184357542E-3</v>
      </c>
      <c r="E1527" s="1">
        <v>1</v>
      </c>
      <c r="F1527" s="1">
        <v>1</v>
      </c>
      <c r="G1527" s="1">
        <v>10</v>
      </c>
      <c r="H1527" s="1">
        <v>31</v>
      </c>
      <c r="I1527" s="1">
        <v>1</v>
      </c>
      <c r="J1527" s="1">
        <v>13</v>
      </c>
      <c r="K1527" s="1">
        <v>7</v>
      </c>
      <c r="L1527" s="1">
        <v>2</v>
      </c>
      <c r="M1527" s="1">
        <v>9</v>
      </c>
      <c r="N1527" s="1">
        <v>4</v>
      </c>
      <c r="O1527" s="1">
        <v>2</v>
      </c>
      <c r="P1527" s="1">
        <v>1</v>
      </c>
      <c r="Q1527" s="1">
        <v>4</v>
      </c>
      <c r="R1527" s="1">
        <v>4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49</v>
      </c>
      <c r="AA1527" s="1" t="str" cm="1">
        <f t="array" ref="AA1527">_xlfn.IFS(AND(Z1527&lt;36, Z1527&gt;23), "24-35", AND(Z1527&lt;51, Z1527&gt;35),"36-50", AND(Z1527&lt;66, Z1527&gt;50), "51-66", Z1527&gt;65, "66+", TRUE, "?")</f>
        <v>36-50</v>
      </c>
      <c r="AB1527" s="1">
        <v>2231</v>
      </c>
      <c r="AC1527" s="1">
        <v>0</v>
      </c>
      <c r="AD1527" s="1">
        <v>0</v>
      </c>
      <c r="AE1527" s="1">
        <v>0</v>
      </c>
      <c r="AF1527" s="1">
        <v>1</v>
      </c>
      <c r="AG1527" s="1">
        <v>0</v>
      </c>
      <c r="AH1527" s="1">
        <v>1</v>
      </c>
      <c r="AI1527" s="1">
        <v>0</v>
      </c>
      <c r="AJ1527" s="1">
        <v>0</v>
      </c>
      <c r="AK1527" s="1">
        <v>0</v>
      </c>
      <c r="AL1527" s="1">
        <v>45</v>
      </c>
      <c r="AM1527" s="2">
        <v>42618</v>
      </c>
      <c r="AN1527" t="str">
        <f t="shared" si="47"/>
        <v>26850,54,0.00201117318435754,1,1,10,31,1,13,7,2,9,4,2,1,4,4,0,0,0,0,0,0,0,49,36-50,2231,0,0,0,1,0,1,0,0,0,45,42618</v>
      </c>
    </row>
    <row r="1528" spans="1:40" ht="13" hidden="1" x14ac:dyDescent="0.15">
      <c r="A1528">
        <v>563</v>
      </c>
      <c r="B1528" s="1">
        <v>23910</v>
      </c>
      <c r="C1528" s="1">
        <v>54</v>
      </c>
      <c r="D1528" s="4">
        <f t="shared" si="46"/>
        <v>2.2584692597239649E-3</v>
      </c>
      <c r="E1528" s="1">
        <v>1</v>
      </c>
      <c r="F1528" s="1">
        <v>0</v>
      </c>
      <c r="G1528" s="1">
        <v>80</v>
      </c>
      <c r="H1528" s="1">
        <v>16</v>
      </c>
      <c r="I1528" s="1">
        <v>12</v>
      </c>
      <c r="J1528" s="1">
        <v>18</v>
      </c>
      <c r="K1528" s="1">
        <v>7</v>
      </c>
      <c r="L1528" s="1">
        <v>1</v>
      </c>
      <c r="M1528" s="1">
        <v>13</v>
      </c>
      <c r="N1528" s="1">
        <v>1</v>
      </c>
      <c r="O1528" s="1">
        <v>2</v>
      </c>
      <c r="P1528" s="1">
        <v>0</v>
      </c>
      <c r="Q1528" s="1">
        <v>3</v>
      </c>
      <c r="R1528" s="1">
        <v>7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51</v>
      </c>
      <c r="AA1528" s="1" t="str" cm="1">
        <f t="array" ref="AA1528">_xlfn.IFS(AND(Z1528&lt;36, Z1528&gt;23), "24-35", AND(Z1528&lt;51, Z1528&gt;35),"36-50", AND(Z1528&lt;66, Z1528&gt;50), "51-66", Z1528&gt;65, "66+", TRUE, "?")</f>
        <v>51-66</v>
      </c>
      <c r="AB1528" s="1">
        <v>2770</v>
      </c>
      <c r="AC1528" s="1">
        <v>1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1</v>
      </c>
      <c r="AJ1528" s="1">
        <v>0</v>
      </c>
      <c r="AK1528" s="1">
        <v>0</v>
      </c>
      <c r="AL1528" s="1">
        <v>41</v>
      </c>
      <c r="AM1528" s="2">
        <v>42079</v>
      </c>
      <c r="AN1528" t="str">
        <f t="shared" si="47"/>
        <v>23910,54,0.00225846925972396,1,0,80,16,12,18,7,1,13,1,2,0,3,7,0,0,0,0,0,0,0,51,51-66,2770,1,0,0,0,0,0,1,0,0,41,42079</v>
      </c>
    </row>
    <row r="1529" spans="1:40" ht="13" hidden="1" x14ac:dyDescent="0.15">
      <c r="A1529">
        <v>965</v>
      </c>
      <c r="B1529" s="1">
        <v>15038</v>
      </c>
      <c r="C1529" s="1">
        <v>54</v>
      </c>
      <c r="D1529" s="4">
        <f t="shared" si="46"/>
        <v>3.5909030456177681E-3</v>
      </c>
      <c r="E1529" s="1">
        <v>1</v>
      </c>
      <c r="F1529" s="1">
        <v>0</v>
      </c>
      <c r="G1529" s="1">
        <v>93</v>
      </c>
      <c r="H1529" s="1">
        <v>4</v>
      </c>
      <c r="I1529" s="1">
        <v>8</v>
      </c>
      <c r="J1529" s="1">
        <v>11</v>
      </c>
      <c r="K1529" s="1">
        <v>19</v>
      </c>
      <c r="L1529" s="1">
        <v>12</v>
      </c>
      <c r="M1529" s="1">
        <v>26</v>
      </c>
      <c r="N1529" s="1">
        <v>2</v>
      </c>
      <c r="O1529" s="1">
        <v>2</v>
      </c>
      <c r="P1529" s="1">
        <v>1</v>
      </c>
      <c r="Q1529" s="1">
        <v>2</v>
      </c>
      <c r="R1529" s="1">
        <v>9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33</v>
      </c>
      <c r="AA1529" s="1" t="str" cm="1">
        <f t="array" ref="AA1529">_xlfn.IFS(AND(Z1529&lt;36, Z1529&gt;23), "24-35", AND(Z1529&lt;51, Z1529&gt;35),"36-50", AND(Z1529&lt;66, Z1529&gt;50), "51-66", Z1529&gt;65, "66+", TRUE, "?")</f>
        <v>24-35</v>
      </c>
      <c r="AB1529" s="1">
        <v>2675</v>
      </c>
      <c r="AC1529" s="1">
        <v>0</v>
      </c>
      <c r="AD1529" s="1">
        <v>0</v>
      </c>
      <c r="AE1529" s="1">
        <v>1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28</v>
      </c>
      <c r="AM1529" s="2">
        <v>42174</v>
      </c>
      <c r="AN1529" t="str">
        <f t="shared" si="47"/>
        <v>15038,54,0.00359090304561777,1,0,93,4,8,11,19,12,26,2,2,1,2,9,0,0,0,0,0,0,0,33,24-35,2675,0,0,1,0,0,0,0,0,0,28,42174</v>
      </c>
    </row>
    <row r="1530" spans="1:40" ht="13" hidden="1" x14ac:dyDescent="0.15">
      <c r="A1530">
        <v>1232</v>
      </c>
      <c r="B1530" s="1">
        <v>27238</v>
      </c>
      <c r="C1530" s="1">
        <v>54</v>
      </c>
      <c r="D1530" s="4">
        <f t="shared" si="46"/>
        <v>1.9825244144210294E-3</v>
      </c>
      <c r="E1530" s="1">
        <v>1</v>
      </c>
      <c r="F1530" s="1">
        <v>1</v>
      </c>
      <c r="G1530" s="1">
        <v>39</v>
      </c>
      <c r="H1530" s="1">
        <v>37</v>
      </c>
      <c r="I1530" s="1">
        <v>0</v>
      </c>
      <c r="J1530" s="1">
        <v>17</v>
      </c>
      <c r="K1530" s="1">
        <v>0</v>
      </c>
      <c r="L1530" s="1">
        <v>0</v>
      </c>
      <c r="M1530" s="1">
        <v>3</v>
      </c>
      <c r="N1530" s="1">
        <v>3</v>
      </c>
      <c r="O1530" s="1">
        <v>3</v>
      </c>
      <c r="P1530" s="1">
        <v>0</v>
      </c>
      <c r="Q1530" s="1">
        <v>3</v>
      </c>
      <c r="R1530" s="1">
        <v>9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58</v>
      </c>
      <c r="AA1530" s="1" t="str" cm="1">
        <f t="array" ref="AA1530">_xlfn.IFS(AND(Z1530&lt;36, Z1530&gt;23), "24-35", AND(Z1530&lt;51, Z1530&gt;35),"36-50", AND(Z1530&lt;66, Z1530&gt;50), "51-66", Z1530&gt;65, "66+", TRUE, "?")</f>
        <v>51-66</v>
      </c>
      <c r="AB1530" s="1">
        <v>2594</v>
      </c>
      <c r="AC1530" s="1">
        <v>0</v>
      </c>
      <c r="AD1530" s="1">
        <v>0</v>
      </c>
      <c r="AE1530" s="1">
        <v>1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1</v>
      </c>
      <c r="AL1530" s="1">
        <v>51</v>
      </c>
      <c r="AM1530" s="2">
        <v>42255</v>
      </c>
      <c r="AN1530" t="str">
        <f t="shared" si="47"/>
        <v>27238,54,0.00198252441442103,1,1,39,37,0,17,0,0,3,3,3,0,3,9,0,0,0,0,0,0,0,58,51-66,2594,0,0,1,0,0,0,0,0,1,51,42255</v>
      </c>
    </row>
    <row r="1531" spans="1:40" ht="13" hidden="1" x14ac:dyDescent="0.15">
      <c r="A1531">
        <v>1349</v>
      </c>
      <c r="B1531" s="1">
        <v>40304</v>
      </c>
      <c r="C1531" s="1">
        <v>54</v>
      </c>
      <c r="D1531" s="4">
        <f t="shared" si="46"/>
        <v>1.3398173878523224E-3</v>
      </c>
      <c r="E1531" s="1">
        <v>1</v>
      </c>
      <c r="F1531" s="1">
        <v>0</v>
      </c>
      <c r="G1531" s="1">
        <v>82</v>
      </c>
      <c r="H1531" s="1">
        <v>37</v>
      </c>
      <c r="I1531" s="1">
        <v>0</v>
      </c>
      <c r="J1531" s="1">
        <v>17</v>
      </c>
      <c r="K1531" s="1">
        <v>0</v>
      </c>
      <c r="L1531" s="1">
        <v>0</v>
      </c>
      <c r="M1531" s="1">
        <v>3</v>
      </c>
      <c r="N1531" s="1">
        <v>1</v>
      </c>
      <c r="O1531" s="1">
        <v>2</v>
      </c>
      <c r="P1531" s="1">
        <v>0</v>
      </c>
      <c r="Q1531" s="1">
        <v>3</v>
      </c>
      <c r="R1531" s="1">
        <v>7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53</v>
      </c>
      <c r="AA1531" s="1" t="str" cm="1">
        <f t="array" ref="AA1531">_xlfn.IFS(AND(Z1531&lt;36, Z1531&gt;23), "24-35", AND(Z1531&lt;51, Z1531&gt;35),"36-50", AND(Z1531&lt;66, Z1531&gt;50), "51-66", Z1531&gt;65, "66+", TRUE, "?")</f>
        <v>51-66</v>
      </c>
      <c r="AB1531" s="1">
        <v>2431</v>
      </c>
      <c r="AC1531" s="1">
        <v>0</v>
      </c>
      <c r="AD1531" s="1">
        <v>0</v>
      </c>
      <c r="AE1531" s="1">
        <v>1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1</v>
      </c>
      <c r="AL1531" s="1">
        <v>51</v>
      </c>
      <c r="AM1531" s="2">
        <v>42418</v>
      </c>
      <c r="AN1531" t="str">
        <f t="shared" si="47"/>
        <v>40304,54,0.00133981738785232,1,0,82,37,0,17,0,0,3,1,2,0,3,7,0,0,0,0,0,0,0,53,51-66,2431,0,0,1,0,0,0,0,0,1,51,42418</v>
      </c>
    </row>
    <row r="1532" spans="1:40" ht="13" hidden="1" x14ac:dyDescent="0.15">
      <c r="A1532">
        <v>1386</v>
      </c>
      <c r="B1532" s="1">
        <v>32952</v>
      </c>
      <c r="C1532" s="1">
        <v>54</v>
      </c>
      <c r="D1532" s="4">
        <f t="shared" si="46"/>
        <v>1.6387472687545521E-3</v>
      </c>
      <c r="E1532" s="1">
        <v>1</v>
      </c>
      <c r="F1532" s="1">
        <v>0</v>
      </c>
      <c r="G1532" s="1">
        <v>36</v>
      </c>
      <c r="H1532" s="1">
        <v>38</v>
      </c>
      <c r="I1532" s="1">
        <v>0</v>
      </c>
      <c r="J1532" s="1">
        <v>12</v>
      </c>
      <c r="K1532" s="1">
        <v>3</v>
      </c>
      <c r="L1532" s="1">
        <v>1</v>
      </c>
      <c r="M1532" s="1">
        <v>1</v>
      </c>
      <c r="N1532" s="1">
        <v>1</v>
      </c>
      <c r="O1532" s="1">
        <v>2</v>
      </c>
      <c r="P1532" s="1">
        <v>0</v>
      </c>
      <c r="Q1532" s="1">
        <v>3</v>
      </c>
      <c r="R1532" s="1">
        <v>7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43</v>
      </c>
      <c r="AA1532" s="1" t="str" cm="1">
        <f t="array" ref="AA1532">_xlfn.IFS(AND(Z1532&lt;36, Z1532&gt;23), "24-35", AND(Z1532&lt;51, Z1532&gt;35),"36-50", AND(Z1532&lt;66, Z1532&gt;50), "51-66", Z1532&gt;65, "66+", TRUE, "?")</f>
        <v>36-50</v>
      </c>
      <c r="AB1532" s="1">
        <v>2369</v>
      </c>
      <c r="AC1532" s="1">
        <v>1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1</v>
      </c>
      <c r="AJ1532" s="1">
        <v>0</v>
      </c>
      <c r="AK1532" s="1">
        <v>0</v>
      </c>
      <c r="AL1532" s="1">
        <v>53</v>
      </c>
      <c r="AM1532" s="2">
        <v>42480</v>
      </c>
      <c r="AN1532" t="str">
        <f t="shared" si="47"/>
        <v>32952,54,0.00163874726875455,1,0,36,38,0,12,3,1,1,1,2,0,3,7,0,0,0,0,0,0,0,43,36-50,2369,1,0,0,0,0,0,1,0,0,53,42480</v>
      </c>
    </row>
    <row r="1533" spans="1:40" ht="13" hidden="1" x14ac:dyDescent="0.15">
      <c r="A1533">
        <v>77</v>
      </c>
      <c r="B1533" s="1">
        <v>29440</v>
      </c>
      <c r="C1533" s="1">
        <v>53</v>
      </c>
      <c r="D1533" s="4">
        <f t="shared" si="46"/>
        <v>1.8002717391304348E-3</v>
      </c>
      <c r="E1533" s="1">
        <v>1</v>
      </c>
      <c r="F1533" s="1">
        <v>1</v>
      </c>
      <c r="G1533" s="1">
        <v>95</v>
      </c>
      <c r="H1533" s="1">
        <v>17</v>
      </c>
      <c r="I1533" s="1">
        <v>8</v>
      </c>
      <c r="J1533" s="1">
        <v>14</v>
      </c>
      <c r="K1533" s="1">
        <v>10</v>
      </c>
      <c r="L1533" s="1">
        <v>4</v>
      </c>
      <c r="M1533" s="1">
        <v>3</v>
      </c>
      <c r="N1533" s="1">
        <v>2</v>
      </c>
      <c r="O1533" s="1">
        <v>1</v>
      </c>
      <c r="P1533" s="1">
        <v>0</v>
      </c>
      <c r="Q1533" s="1">
        <v>4</v>
      </c>
      <c r="R1533" s="1">
        <v>7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60</v>
      </c>
      <c r="AA1533" s="1" t="str" cm="1">
        <f t="array" ref="AA1533">_xlfn.IFS(AND(Z1533&lt;36, Z1533&gt;23), "24-35", AND(Z1533&lt;51, Z1533&gt;35),"36-50", AND(Z1533&lt;66, Z1533&gt;50), "51-66", Z1533&gt;65, "66+", TRUE, "?")</f>
        <v>51-66</v>
      </c>
      <c r="AB1533" s="1">
        <v>2481</v>
      </c>
      <c r="AC1533" s="1">
        <v>0</v>
      </c>
      <c r="AD1533" s="1">
        <v>1</v>
      </c>
      <c r="AE1533" s="1">
        <v>0</v>
      </c>
      <c r="AF1533" s="1">
        <v>0</v>
      </c>
      <c r="AG1533" s="1">
        <v>0</v>
      </c>
      <c r="AH1533" s="1">
        <v>0</v>
      </c>
      <c r="AI1533" s="1">
        <v>1</v>
      </c>
      <c r="AJ1533" s="1">
        <v>0</v>
      </c>
      <c r="AK1533" s="1">
        <v>0</v>
      </c>
      <c r="AL1533" s="1">
        <v>50</v>
      </c>
      <c r="AM1533" s="2">
        <v>42368</v>
      </c>
      <c r="AN1533" t="str">
        <f t="shared" si="47"/>
        <v>29440,53,0.00180027173913043,1,1,95,17,8,14,10,4,3,2,1,0,4,7,0,0,0,0,0,0,0,60,51-66,2481,0,1,0,0,0,0,1,0,0,50,42368</v>
      </c>
    </row>
    <row r="1534" spans="1:40" ht="13" hidden="1" x14ac:dyDescent="0.15">
      <c r="A1534">
        <v>551</v>
      </c>
      <c r="B1534" s="1">
        <v>39453</v>
      </c>
      <c r="C1534" s="1">
        <v>53</v>
      </c>
      <c r="D1534" s="4">
        <f t="shared" si="46"/>
        <v>1.343370592857324E-3</v>
      </c>
      <c r="E1534" s="1">
        <v>1</v>
      </c>
      <c r="F1534" s="1">
        <v>0</v>
      </c>
      <c r="G1534" s="1">
        <v>64</v>
      </c>
      <c r="H1534" s="1">
        <v>46</v>
      </c>
      <c r="I1534" s="1">
        <v>0</v>
      </c>
      <c r="J1534" s="1">
        <v>7</v>
      </c>
      <c r="K1534" s="1">
        <v>0</v>
      </c>
      <c r="L1534" s="1">
        <v>0</v>
      </c>
      <c r="M1534" s="1">
        <v>2</v>
      </c>
      <c r="N1534" s="1">
        <v>2</v>
      </c>
      <c r="O1534" s="1">
        <v>2</v>
      </c>
      <c r="P1534" s="1">
        <v>0</v>
      </c>
      <c r="Q1534" s="1">
        <v>3</v>
      </c>
      <c r="R1534" s="1">
        <v>6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37</v>
      </c>
      <c r="AA1534" s="1" t="str" cm="1">
        <f t="array" ref="AA1534">_xlfn.IFS(AND(Z1534&lt;36, Z1534&gt;23), "24-35", AND(Z1534&lt;51, Z1534&gt;35),"36-50", AND(Z1534&lt;66, Z1534&gt;50), "51-66", Z1534&gt;65, "66+", TRUE, "?")</f>
        <v>36-50</v>
      </c>
      <c r="AB1534" s="1">
        <v>2246</v>
      </c>
      <c r="AC1534" s="1">
        <v>0</v>
      </c>
      <c r="AD1534" s="1">
        <v>0</v>
      </c>
      <c r="AE1534" s="1">
        <v>0</v>
      </c>
      <c r="AF1534" s="1">
        <v>1</v>
      </c>
      <c r="AG1534" s="1">
        <v>0</v>
      </c>
      <c r="AH1534" s="1">
        <v>0</v>
      </c>
      <c r="AI1534" s="1">
        <v>1</v>
      </c>
      <c r="AJ1534" s="1">
        <v>0</v>
      </c>
      <c r="AK1534" s="1">
        <v>0</v>
      </c>
      <c r="AL1534" s="1">
        <v>51</v>
      </c>
      <c r="AM1534" s="2">
        <v>42603</v>
      </c>
      <c r="AN1534" t="str">
        <f t="shared" si="47"/>
        <v>39453,53,0.00134337059285732,1,0,64,46,0,7,0,0,2,2,2,0,3,6,0,0,0,0,0,0,0,37,36-50,2246,0,0,0,1,0,0,1,0,0,51,42603</v>
      </c>
    </row>
    <row r="1535" spans="1:40" ht="13" hidden="1" x14ac:dyDescent="0.15">
      <c r="A1535">
        <v>694</v>
      </c>
      <c r="B1535" s="1">
        <v>48767</v>
      </c>
      <c r="C1535" s="1">
        <v>53</v>
      </c>
      <c r="D1535" s="4">
        <f t="shared" si="46"/>
        <v>1.0868005003383436E-3</v>
      </c>
      <c r="E1535" s="1">
        <v>1</v>
      </c>
      <c r="F1535" s="1">
        <v>2</v>
      </c>
      <c r="G1535" s="1">
        <v>79</v>
      </c>
      <c r="H1535" s="1">
        <v>28</v>
      </c>
      <c r="I1535" s="1">
        <v>1</v>
      </c>
      <c r="J1535" s="1">
        <v>21</v>
      </c>
      <c r="K1535" s="1">
        <v>3</v>
      </c>
      <c r="L1535" s="1">
        <v>0</v>
      </c>
      <c r="M1535" s="1">
        <v>10</v>
      </c>
      <c r="N1535" s="1">
        <v>3</v>
      </c>
      <c r="O1535" s="1">
        <v>2</v>
      </c>
      <c r="P1535" s="1">
        <v>1</v>
      </c>
      <c r="Q1535" s="1">
        <v>3</v>
      </c>
      <c r="R1535" s="1">
        <v>5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70</v>
      </c>
      <c r="AA1535" s="1" t="str" cm="1">
        <f t="array" ref="AA1535">_xlfn.IFS(AND(Z1535&lt;36, Z1535&gt;23), "24-35", AND(Z1535&lt;51, Z1535&gt;35),"36-50", AND(Z1535&lt;66, Z1535&gt;50), "51-66", Z1535&gt;65, "66+", TRUE, "?")</f>
        <v>66+</v>
      </c>
      <c r="AB1535" s="1">
        <v>2338</v>
      </c>
      <c r="AC1535" s="1">
        <v>0</v>
      </c>
      <c r="AD1535" s="1">
        <v>0</v>
      </c>
      <c r="AE1535" s="1">
        <v>1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1</v>
      </c>
      <c r="AL1535" s="1">
        <v>43</v>
      </c>
      <c r="AM1535" s="2">
        <v>42511</v>
      </c>
      <c r="AN1535" t="str">
        <f t="shared" si="47"/>
        <v>48767,53,0.00108680050033834,1,2,79,28,1,21,3,0,10,3,2,1,3,5,0,0,0,0,0,0,0,70,66+,2338,0,0,1,0,0,0,0,0,1,43,42511</v>
      </c>
    </row>
    <row r="1536" spans="1:40" ht="13" hidden="1" x14ac:dyDescent="0.15">
      <c r="A1536">
        <v>1553</v>
      </c>
      <c r="B1536" s="1">
        <v>18222</v>
      </c>
      <c r="C1536" s="1">
        <v>53</v>
      </c>
      <c r="D1536" s="4">
        <f t="shared" si="46"/>
        <v>2.9085720557567776E-3</v>
      </c>
      <c r="E1536" s="1">
        <v>0</v>
      </c>
      <c r="F1536" s="1">
        <v>0</v>
      </c>
      <c r="G1536" s="1">
        <v>70</v>
      </c>
      <c r="H1536" s="1">
        <v>12</v>
      </c>
      <c r="I1536" s="1">
        <v>4</v>
      </c>
      <c r="J1536" s="1">
        <v>19</v>
      </c>
      <c r="K1536" s="1">
        <v>12</v>
      </c>
      <c r="L1536" s="1">
        <v>6</v>
      </c>
      <c r="M1536" s="1">
        <v>14</v>
      </c>
      <c r="N1536" s="1">
        <v>1</v>
      </c>
      <c r="O1536" s="1">
        <v>2</v>
      </c>
      <c r="P1536" s="1">
        <v>0</v>
      </c>
      <c r="Q1536" s="1">
        <v>3</v>
      </c>
      <c r="R1536" s="1">
        <v>8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30</v>
      </c>
      <c r="AA1536" s="1" t="str" cm="1">
        <f t="array" ref="AA1536">_xlfn.IFS(AND(Z1536&lt;36, Z1536&gt;23), "24-35", AND(Z1536&lt;51, Z1536&gt;35),"36-50", AND(Z1536&lt;66, Z1536&gt;50), "51-66", Z1536&gt;65, "66+", TRUE, "?")</f>
        <v>24-35</v>
      </c>
      <c r="AB1536" s="1">
        <v>2704</v>
      </c>
      <c r="AC1536" s="1">
        <v>0</v>
      </c>
      <c r="AD1536" s="1">
        <v>1</v>
      </c>
      <c r="AE1536" s="1">
        <v>0</v>
      </c>
      <c r="AF1536" s="1">
        <v>0</v>
      </c>
      <c r="AG1536" s="1">
        <v>0</v>
      </c>
      <c r="AH1536" s="1">
        <v>0</v>
      </c>
      <c r="AI1536" s="1">
        <v>1</v>
      </c>
      <c r="AJ1536" s="1">
        <v>0</v>
      </c>
      <c r="AK1536" s="1">
        <v>0</v>
      </c>
      <c r="AL1536" s="1">
        <v>39</v>
      </c>
      <c r="AM1536" s="2">
        <v>42145</v>
      </c>
      <c r="AN1536" t="str">
        <f t="shared" si="47"/>
        <v>18222,53,0.00290857205575678,0,0,70,12,4,19,12,6,14,1,2,0,3,8,0,0,0,0,0,0,0,30,24-35,2704,0,1,0,0,0,0,1,0,0,39,42145</v>
      </c>
    </row>
    <row r="1537" spans="1:40" ht="13" hidden="1" x14ac:dyDescent="0.15">
      <c r="A1537">
        <v>1560</v>
      </c>
      <c r="B1537" s="1">
        <v>18358</v>
      </c>
      <c r="C1537" s="1">
        <v>53</v>
      </c>
      <c r="D1537" s="4">
        <f t="shared" si="46"/>
        <v>2.8870247303627848E-3</v>
      </c>
      <c r="E1537" s="1">
        <v>1</v>
      </c>
      <c r="F1537" s="1">
        <v>0</v>
      </c>
      <c r="G1537" s="1">
        <v>49</v>
      </c>
      <c r="H1537" s="1">
        <v>6</v>
      </c>
      <c r="I1537" s="1">
        <v>8</v>
      </c>
      <c r="J1537" s="1">
        <v>19</v>
      </c>
      <c r="K1537" s="1">
        <v>16</v>
      </c>
      <c r="L1537" s="1">
        <v>4</v>
      </c>
      <c r="M1537" s="1">
        <v>4</v>
      </c>
      <c r="N1537" s="1">
        <v>3</v>
      </c>
      <c r="O1537" s="1">
        <v>3</v>
      </c>
      <c r="P1537" s="1">
        <v>0</v>
      </c>
      <c r="Q1537" s="1">
        <v>4</v>
      </c>
      <c r="R1537" s="1">
        <v>7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31</v>
      </c>
      <c r="AA1537" s="1" t="str" cm="1">
        <f t="array" ref="AA1537">_xlfn.IFS(AND(Z1537&lt;36, Z1537&gt;23), "24-35", AND(Z1537&lt;51, Z1537&gt;35),"36-50", AND(Z1537&lt;66, Z1537&gt;50), "51-66", Z1537&gt;65, "66+", TRUE, "?")</f>
        <v>24-35</v>
      </c>
      <c r="AB1537" s="1">
        <v>2380</v>
      </c>
      <c r="AC1537" s="1">
        <v>0</v>
      </c>
      <c r="AD1537" s="1">
        <v>0</v>
      </c>
      <c r="AE1537" s="1">
        <v>1</v>
      </c>
      <c r="AF1537" s="1">
        <v>0</v>
      </c>
      <c r="AG1537" s="1">
        <v>0</v>
      </c>
      <c r="AH1537" s="1">
        <v>0</v>
      </c>
      <c r="AI1537" s="1">
        <v>1</v>
      </c>
      <c r="AJ1537" s="1">
        <v>0</v>
      </c>
      <c r="AK1537" s="1">
        <v>0</v>
      </c>
      <c r="AL1537" s="1">
        <v>49</v>
      </c>
      <c r="AM1537" s="2">
        <v>42469</v>
      </c>
      <c r="AN1537" t="str">
        <f t="shared" si="47"/>
        <v>18358,53,0.00288702473036278,1,0,49,6,8,19,16,4,4,3,3,0,4,7,0,0,0,0,0,0,0,31,24-35,2380,0,0,1,0,0,0,1,0,0,49,42469</v>
      </c>
    </row>
    <row r="1538" spans="1:40" ht="13" hidden="1" x14ac:dyDescent="0.15">
      <c r="A1538">
        <v>1684</v>
      </c>
      <c r="B1538" s="1">
        <v>30093</v>
      </c>
      <c r="C1538" s="1">
        <v>53</v>
      </c>
      <c r="D1538" s="4">
        <f t="shared" ref="D1538:D1601" si="48">C1538/B1538</f>
        <v>1.7612069251985512E-3</v>
      </c>
      <c r="E1538" s="1">
        <v>0</v>
      </c>
      <c r="F1538" s="1">
        <v>0</v>
      </c>
      <c r="G1538" s="1">
        <v>19</v>
      </c>
      <c r="H1538" s="1">
        <v>2</v>
      </c>
      <c r="I1538" s="1">
        <v>6</v>
      </c>
      <c r="J1538" s="1">
        <v>28</v>
      </c>
      <c r="K1538" s="1">
        <v>13</v>
      </c>
      <c r="L1538" s="1">
        <v>4</v>
      </c>
      <c r="M1538" s="1">
        <v>16</v>
      </c>
      <c r="N1538" s="1">
        <v>1</v>
      </c>
      <c r="O1538" s="1">
        <v>2</v>
      </c>
      <c r="P1538" s="1">
        <v>0</v>
      </c>
      <c r="Q1538" s="1">
        <v>3</v>
      </c>
      <c r="R1538" s="1">
        <v>7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30</v>
      </c>
      <c r="AA1538" s="1" t="str" cm="1">
        <f t="array" ref="AA1538">_xlfn.IFS(AND(Z1538&lt;36, Z1538&gt;23), "24-35", AND(Z1538&lt;51, Z1538&gt;35),"36-50", AND(Z1538&lt;66, Z1538&gt;50), "51-66", Z1538&gt;65, "66+", TRUE, "?")</f>
        <v>24-35</v>
      </c>
      <c r="AB1538" s="1">
        <v>2515</v>
      </c>
      <c r="AC1538" s="1">
        <v>0</v>
      </c>
      <c r="AD1538" s="1">
        <v>1</v>
      </c>
      <c r="AE1538" s="1">
        <v>0</v>
      </c>
      <c r="AF1538" s="1">
        <v>0</v>
      </c>
      <c r="AG1538" s="1">
        <v>0</v>
      </c>
      <c r="AH1538" s="1">
        <v>0</v>
      </c>
      <c r="AI1538" s="1">
        <v>1</v>
      </c>
      <c r="AJ1538" s="1">
        <v>0</v>
      </c>
      <c r="AK1538" s="1">
        <v>0</v>
      </c>
      <c r="AL1538" s="1">
        <v>37</v>
      </c>
      <c r="AM1538" s="2">
        <v>42334</v>
      </c>
      <c r="AN1538" t="str">
        <f t="shared" ref="AN1538:AN1601" si="49">_xlfn.TEXTJOIN(",",TRUE,B1538:AM1538)</f>
        <v>30093,53,0.00176120692519855,0,0,19,2,6,28,13,4,16,1,2,0,3,7,0,0,0,0,0,0,0,30,24-35,2515,0,1,0,0,0,0,1,0,0,37,42334</v>
      </c>
    </row>
    <row r="1539" spans="1:40" ht="13" hidden="1" x14ac:dyDescent="0.15">
      <c r="A1539">
        <v>1947</v>
      </c>
      <c r="B1539" s="1">
        <v>49572</v>
      </c>
      <c r="C1539" s="1">
        <v>53</v>
      </c>
      <c r="D1539" s="4">
        <f t="shared" si="48"/>
        <v>1.0691519406116356E-3</v>
      </c>
      <c r="E1539" s="1">
        <v>1</v>
      </c>
      <c r="F1539" s="1">
        <v>1</v>
      </c>
      <c r="G1539" s="1">
        <v>25</v>
      </c>
      <c r="H1539" s="1">
        <v>35</v>
      </c>
      <c r="I1539" s="1">
        <v>1</v>
      </c>
      <c r="J1539" s="1">
        <v>16</v>
      </c>
      <c r="K1539" s="1">
        <v>0</v>
      </c>
      <c r="L1539" s="1">
        <v>1</v>
      </c>
      <c r="M1539" s="1">
        <v>1</v>
      </c>
      <c r="N1539" s="1">
        <v>2</v>
      </c>
      <c r="O1539" s="1">
        <v>2</v>
      </c>
      <c r="P1539" s="1">
        <v>0</v>
      </c>
      <c r="Q1539" s="1">
        <v>3</v>
      </c>
      <c r="R1539" s="1">
        <v>7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62</v>
      </c>
      <c r="AA1539" s="1" t="str" cm="1">
        <f t="array" ref="AA1539">_xlfn.IFS(AND(Z1539&lt;36, Z1539&gt;23), "24-35", AND(Z1539&lt;51, Z1539&gt;35),"36-50", AND(Z1539&lt;66, Z1539&gt;50), "51-66", Z1539&gt;65, "66+", TRUE, "?")</f>
        <v>51-66</v>
      </c>
      <c r="AB1539" s="1">
        <v>2355</v>
      </c>
      <c r="AC1539" s="1">
        <v>0</v>
      </c>
      <c r="AD1539" s="1">
        <v>1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1</v>
      </c>
      <c r="AK1539" s="1">
        <v>0</v>
      </c>
      <c r="AL1539" s="1">
        <v>52</v>
      </c>
      <c r="AM1539" s="2">
        <v>42494</v>
      </c>
      <c r="AN1539" t="str">
        <f t="shared" si="49"/>
        <v>49572,53,0.00106915194061164,1,1,25,35,1,16,0,1,1,2,2,0,3,7,0,0,0,0,0,0,0,62,51-66,2355,0,1,0,0,0,0,0,1,0,52,42494</v>
      </c>
    </row>
    <row r="1540" spans="1:40" ht="13" hidden="1" x14ac:dyDescent="0.15">
      <c r="A1540">
        <v>278</v>
      </c>
      <c r="B1540" s="1">
        <v>35246</v>
      </c>
      <c r="C1540" s="1">
        <v>52</v>
      </c>
      <c r="D1540" s="4">
        <f t="shared" si="48"/>
        <v>1.4753447199682232E-3</v>
      </c>
      <c r="E1540" s="1">
        <v>1</v>
      </c>
      <c r="F1540" s="1">
        <v>1</v>
      </c>
      <c r="G1540" s="1">
        <v>53</v>
      </c>
      <c r="H1540" s="1">
        <v>36</v>
      </c>
      <c r="I1540" s="1">
        <v>0</v>
      </c>
      <c r="J1540" s="1">
        <v>12</v>
      </c>
      <c r="K1540" s="1">
        <v>2</v>
      </c>
      <c r="L1540" s="1">
        <v>2</v>
      </c>
      <c r="M1540" s="1">
        <v>10</v>
      </c>
      <c r="N1540" s="1">
        <v>4</v>
      </c>
      <c r="O1540" s="1">
        <v>3</v>
      </c>
      <c r="P1540" s="1">
        <v>1</v>
      </c>
      <c r="Q1540" s="1">
        <v>3</v>
      </c>
      <c r="R1540" s="1">
        <v>5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62</v>
      </c>
      <c r="AA1540" s="1" t="str" cm="1">
        <f t="array" ref="AA1540">_xlfn.IFS(AND(Z1540&lt;36, Z1540&gt;23), "24-35", AND(Z1540&lt;51, Z1540&gt;35),"36-50", AND(Z1540&lt;66, Z1540&gt;50), "51-66", Z1540&gt;65, "66+", TRUE, "?")</f>
        <v>51-66</v>
      </c>
      <c r="AB1540" s="1">
        <v>2233</v>
      </c>
      <c r="AC1540" s="1">
        <v>1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1</v>
      </c>
      <c r="AJ1540" s="1">
        <v>0</v>
      </c>
      <c r="AK1540" s="1">
        <v>0</v>
      </c>
      <c r="AL1540" s="1">
        <v>42</v>
      </c>
      <c r="AM1540" s="2">
        <v>42616</v>
      </c>
      <c r="AN1540" t="str">
        <f t="shared" si="49"/>
        <v>35246,52,0.00147534471996822,1,1,53,36,0,12,2,2,10,4,3,1,3,5,0,0,0,0,0,0,0,62,51-66,2233,1,0,0,0,0,0,1,0,0,42,42616</v>
      </c>
    </row>
    <row r="1541" spans="1:40" ht="13" hidden="1" x14ac:dyDescent="0.15">
      <c r="A1541">
        <v>406</v>
      </c>
      <c r="B1541" s="1">
        <v>30015</v>
      </c>
      <c r="C1541" s="1">
        <v>52</v>
      </c>
      <c r="D1541" s="4">
        <f t="shared" si="48"/>
        <v>1.7324670997834416E-3</v>
      </c>
      <c r="E1541" s="1">
        <v>1</v>
      </c>
      <c r="F1541" s="1">
        <v>0</v>
      </c>
      <c r="G1541" s="1">
        <v>28</v>
      </c>
      <c r="H1541" s="1">
        <v>25</v>
      </c>
      <c r="I1541" s="1">
        <v>0</v>
      </c>
      <c r="J1541" s="1">
        <v>22</v>
      </c>
      <c r="K1541" s="1">
        <v>2</v>
      </c>
      <c r="L1541" s="1">
        <v>3</v>
      </c>
      <c r="M1541" s="1">
        <v>5</v>
      </c>
      <c r="N1541" s="1">
        <v>2</v>
      </c>
      <c r="O1541" s="1">
        <v>1</v>
      </c>
      <c r="P1541" s="1">
        <v>0</v>
      </c>
      <c r="Q1541" s="1">
        <v>4</v>
      </c>
      <c r="R1541" s="1">
        <v>5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50</v>
      </c>
      <c r="AA1541" s="1" t="str" cm="1">
        <f t="array" ref="AA1541">_xlfn.IFS(AND(Z1541&lt;36, Z1541&gt;23), "24-35", AND(Z1541&lt;51, Z1541&gt;35),"36-50", AND(Z1541&lt;66, Z1541&gt;50), "51-66", Z1541&gt;65, "66+", TRUE, "?")</f>
        <v>36-50</v>
      </c>
      <c r="AB1541" s="1">
        <v>2306</v>
      </c>
      <c r="AC1541" s="1">
        <v>0</v>
      </c>
      <c r="AD1541" s="1">
        <v>0</v>
      </c>
      <c r="AE1541" s="1">
        <v>1</v>
      </c>
      <c r="AF1541" s="1">
        <v>0</v>
      </c>
      <c r="AG1541" s="1">
        <v>0</v>
      </c>
      <c r="AH1541" s="1">
        <v>0</v>
      </c>
      <c r="AI1541" s="1">
        <v>1</v>
      </c>
      <c r="AJ1541" s="1">
        <v>0</v>
      </c>
      <c r="AK1541" s="1">
        <v>0</v>
      </c>
      <c r="AL1541" s="1">
        <v>47</v>
      </c>
      <c r="AM1541" s="2">
        <v>42543</v>
      </c>
      <c r="AN1541" t="str">
        <f t="shared" si="49"/>
        <v>30015,52,0.00173246709978344,1,0,28,25,0,22,2,3,5,2,1,0,4,5,0,0,0,0,0,0,0,50,36-50,2306,0,0,1,0,0,0,1,0,0,47,42543</v>
      </c>
    </row>
    <row r="1542" spans="1:40" ht="13" hidden="1" x14ac:dyDescent="0.15">
      <c r="A1542">
        <v>830</v>
      </c>
      <c r="B1542" s="1">
        <v>51111</v>
      </c>
      <c r="C1542" s="1">
        <v>52</v>
      </c>
      <c r="D1542" s="4">
        <f t="shared" si="48"/>
        <v>1.017393516072861E-3</v>
      </c>
      <c r="E1542" s="1">
        <v>1</v>
      </c>
      <c r="F1542" s="1">
        <v>1</v>
      </c>
      <c r="G1542" s="1">
        <v>83</v>
      </c>
      <c r="H1542" s="1">
        <v>22</v>
      </c>
      <c r="I1542" s="1">
        <v>0</v>
      </c>
      <c r="J1542" s="1">
        <v>19</v>
      </c>
      <c r="K1542" s="1">
        <v>6</v>
      </c>
      <c r="L1542" s="1">
        <v>5</v>
      </c>
      <c r="M1542" s="1">
        <v>3</v>
      </c>
      <c r="N1542" s="1">
        <v>2</v>
      </c>
      <c r="O1542" s="1">
        <v>2</v>
      </c>
      <c r="P1542" s="1">
        <v>0</v>
      </c>
      <c r="Q1542" s="1">
        <v>3</v>
      </c>
      <c r="R1542" s="1">
        <v>6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39</v>
      </c>
      <c r="AA1542" s="1" t="str" cm="1">
        <f t="array" ref="AA1542">_xlfn.IFS(AND(Z1542&lt;36, Z1542&gt;23), "24-35", AND(Z1542&lt;51, Z1542&gt;35),"36-50", AND(Z1542&lt;66, Z1542&gt;50), "51-66", Z1542&gt;65, "66+", TRUE, "?")</f>
        <v>36-50</v>
      </c>
      <c r="AB1542" s="1">
        <v>2169</v>
      </c>
      <c r="AC1542" s="1">
        <v>0</v>
      </c>
      <c r="AD1542" s="1">
        <v>1</v>
      </c>
      <c r="AE1542" s="1">
        <v>0</v>
      </c>
      <c r="AF1542" s="1">
        <v>0</v>
      </c>
      <c r="AG1542" s="1">
        <v>0</v>
      </c>
      <c r="AH1542" s="1">
        <v>1</v>
      </c>
      <c r="AI1542" s="1">
        <v>0</v>
      </c>
      <c r="AJ1542" s="1">
        <v>0</v>
      </c>
      <c r="AK1542" s="1">
        <v>0</v>
      </c>
      <c r="AL1542" s="1">
        <v>49</v>
      </c>
      <c r="AM1542" s="2">
        <v>42680</v>
      </c>
      <c r="AN1542" t="str">
        <f t="shared" si="49"/>
        <v>51111,52,0.00101739351607286,1,1,83,22,0,19,6,5,3,2,2,0,3,6,0,0,0,0,0,0,0,39,36-50,2169,0,1,0,0,0,1,0,0,0,49,42680</v>
      </c>
    </row>
    <row r="1543" spans="1:40" ht="13" hidden="1" x14ac:dyDescent="0.15">
      <c r="A1543">
        <v>1187</v>
      </c>
      <c r="B1543" s="1">
        <v>19656</v>
      </c>
      <c r="C1543" s="1">
        <v>52</v>
      </c>
      <c r="D1543" s="4">
        <f t="shared" si="48"/>
        <v>2.6455026455026454E-3</v>
      </c>
      <c r="E1543" s="1">
        <v>1</v>
      </c>
      <c r="F1543" s="1">
        <v>0</v>
      </c>
      <c r="G1543" s="1">
        <v>94</v>
      </c>
      <c r="H1543" s="1">
        <v>25</v>
      </c>
      <c r="I1543" s="1">
        <v>4</v>
      </c>
      <c r="J1543" s="1">
        <v>9</v>
      </c>
      <c r="K1543" s="1">
        <v>6</v>
      </c>
      <c r="L1543" s="1">
        <v>8</v>
      </c>
      <c r="M1543" s="1">
        <v>32</v>
      </c>
      <c r="N1543" s="1">
        <v>3</v>
      </c>
      <c r="O1543" s="1">
        <v>2</v>
      </c>
      <c r="P1543" s="1">
        <v>1</v>
      </c>
      <c r="Q1543" s="1">
        <v>3</v>
      </c>
      <c r="R1543" s="1">
        <v>7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50</v>
      </c>
      <c r="AA1543" s="1" t="str" cm="1">
        <f t="array" ref="AA1543">_xlfn.IFS(AND(Z1543&lt;36, Z1543&gt;23), "24-35", AND(Z1543&lt;51, Z1543&gt;35),"36-50", AND(Z1543&lt;66, Z1543&gt;50), "51-66", Z1543&gt;65, "66+", TRUE, "?")</f>
        <v>36-50</v>
      </c>
      <c r="AB1543" s="1">
        <v>2665</v>
      </c>
      <c r="AC1543" s="1">
        <v>0</v>
      </c>
      <c r="AD1543" s="1">
        <v>0</v>
      </c>
      <c r="AE1543" s="1">
        <v>0</v>
      </c>
      <c r="AF1543" s="1">
        <v>1</v>
      </c>
      <c r="AG1543" s="1">
        <v>0</v>
      </c>
      <c r="AH1543" s="1">
        <v>0</v>
      </c>
      <c r="AI1543" s="1">
        <v>1</v>
      </c>
      <c r="AJ1543" s="1">
        <v>0</v>
      </c>
      <c r="AK1543" s="1">
        <v>0</v>
      </c>
      <c r="AL1543" s="1">
        <v>20</v>
      </c>
      <c r="AM1543" s="2">
        <v>42184</v>
      </c>
      <c r="AN1543" t="str">
        <f t="shared" si="49"/>
        <v>19656,52,0.00264550264550265,1,0,94,25,4,9,6,8,32,3,2,1,3,7,0,0,0,0,0,0,0,50,36-50,2665,0,0,0,1,0,0,1,0,0,20,42184</v>
      </c>
    </row>
    <row r="1544" spans="1:40" ht="13" x14ac:dyDescent="0.15">
      <c r="A1544">
        <v>1814</v>
      </c>
      <c r="B1544" s="1">
        <v>41021</v>
      </c>
      <c r="C1544" s="1">
        <v>52</v>
      </c>
      <c r="D1544" s="4">
        <f t="shared" si="48"/>
        <v>1.2676434021598694E-3</v>
      </c>
      <c r="E1544" s="1">
        <v>1</v>
      </c>
      <c r="F1544" s="1">
        <v>0</v>
      </c>
      <c r="G1544" s="1">
        <v>12</v>
      </c>
      <c r="H1544" s="1">
        <v>14</v>
      </c>
      <c r="I1544" s="1">
        <v>7</v>
      </c>
      <c r="J1544" s="1">
        <v>9</v>
      </c>
      <c r="K1544" s="1">
        <v>6</v>
      </c>
      <c r="L1544" s="1">
        <v>16</v>
      </c>
      <c r="M1544" s="1">
        <v>12</v>
      </c>
      <c r="N1544" s="1">
        <v>2</v>
      </c>
      <c r="O1544" s="1">
        <v>2</v>
      </c>
      <c r="P1544" s="1">
        <v>0</v>
      </c>
      <c r="Q1544" s="1">
        <v>3</v>
      </c>
      <c r="R1544" s="1">
        <v>6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1</v>
      </c>
      <c r="Z1544" s="1">
        <v>51</v>
      </c>
      <c r="AA1544" s="1" t="str" cm="1">
        <f t="array" ref="AA1544">_xlfn.IFS(AND(Z1544&lt;36, Z1544&gt;23), "24-35", AND(Z1544&lt;51, Z1544&gt;35),"36-50", AND(Z1544&lt;66, Z1544&gt;50), "51-66", Z1544&gt;65, "66+", TRUE, "?")</f>
        <v>51-66</v>
      </c>
      <c r="AB1544" s="1">
        <v>2705</v>
      </c>
      <c r="AC1544" s="1">
        <v>0</v>
      </c>
      <c r="AD1544" s="1">
        <v>0</v>
      </c>
      <c r="AE1544" s="1">
        <v>0</v>
      </c>
      <c r="AF1544" s="1">
        <v>1</v>
      </c>
      <c r="AG1544" s="1">
        <v>0</v>
      </c>
      <c r="AH1544" s="1">
        <v>0</v>
      </c>
      <c r="AI1544" s="1">
        <v>0</v>
      </c>
      <c r="AJ1544" s="1">
        <v>1</v>
      </c>
      <c r="AK1544" s="1">
        <v>0</v>
      </c>
      <c r="AL1544" s="1">
        <v>40</v>
      </c>
      <c r="AM1544" s="2">
        <v>42144</v>
      </c>
      <c r="AN1544" t="str">
        <f t="shared" si="49"/>
        <v>41021,52,0.00126764340215987,1,0,12,14,7,9,6,16,12,2,2,0,3,6,0,0,0,0,0,0,1,51,51-66,2705,0,0,0,1,0,0,0,1,0,40,42144</v>
      </c>
    </row>
    <row r="1545" spans="1:40" ht="13" x14ac:dyDescent="0.15">
      <c r="A1545">
        <v>1812</v>
      </c>
      <c r="B1545" s="1">
        <v>31626</v>
      </c>
      <c r="C1545" s="1">
        <v>52</v>
      </c>
      <c r="D1545" s="4">
        <f t="shared" si="48"/>
        <v>1.6442167836590146E-3</v>
      </c>
      <c r="E1545" s="1">
        <v>1</v>
      </c>
      <c r="F1545" s="1">
        <v>0</v>
      </c>
      <c r="G1545" s="1">
        <v>12</v>
      </c>
      <c r="H1545" s="1">
        <v>39</v>
      </c>
      <c r="I1545" s="1">
        <v>1</v>
      </c>
      <c r="J1545" s="1">
        <v>9</v>
      </c>
      <c r="K1545" s="1">
        <v>2</v>
      </c>
      <c r="L1545" s="1">
        <v>1</v>
      </c>
      <c r="M1545" s="1">
        <v>34</v>
      </c>
      <c r="N1545" s="1">
        <v>1</v>
      </c>
      <c r="O1545" s="1">
        <v>2</v>
      </c>
      <c r="P1545" s="1">
        <v>1</v>
      </c>
      <c r="Q1545" s="1">
        <v>2</v>
      </c>
      <c r="R1545" s="1">
        <v>7</v>
      </c>
      <c r="S1545" s="1">
        <v>0</v>
      </c>
      <c r="T1545" s="1">
        <v>0</v>
      </c>
      <c r="U1545" s="1">
        <v>1</v>
      </c>
      <c r="V1545" s="1">
        <v>0</v>
      </c>
      <c r="W1545" s="1">
        <v>0</v>
      </c>
      <c r="X1545" s="1">
        <v>0</v>
      </c>
      <c r="Y1545" s="1">
        <v>1</v>
      </c>
      <c r="Z1545" s="1">
        <v>42</v>
      </c>
      <c r="AA1545" s="1" t="str" cm="1">
        <f t="array" ref="AA1545">_xlfn.IFS(AND(Z1545&lt;36, Z1545&gt;23), "24-35", AND(Z1545&lt;51, Z1545&gt;35),"36-50", AND(Z1545&lt;66, Z1545&gt;50), "51-66", Z1545&gt;65, "66+", TRUE, "?")</f>
        <v>36-50</v>
      </c>
      <c r="AB1545" s="1">
        <v>2574</v>
      </c>
      <c r="AC1545" s="1">
        <v>0</v>
      </c>
      <c r="AD1545" s="1">
        <v>0</v>
      </c>
      <c r="AE1545" s="1">
        <v>1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1</v>
      </c>
      <c r="AL1545" s="1">
        <v>18</v>
      </c>
      <c r="AM1545" s="2">
        <v>42275</v>
      </c>
      <c r="AN1545" t="str">
        <f t="shared" si="49"/>
        <v>31626,52,0.00164421678365901,1,0,12,39,1,9,2,1,34,1,2,1,2,7,0,0,1,0,0,0,1,42,36-50,2574,0,0,1,0,0,0,0,0,1,18,42275</v>
      </c>
    </row>
    <row r="1546" spans="1:40" ht="13" x14ac:dyDescent="0.15">
      <c r="A1546">
        <v>1804</v>
      </c>
      <c r="B1546" s="1">
        <v>23957</v>
      </c>
      <c r="C1546" s="1">
        <v>52</v>
      </c>
      <c r="D1546" s="4">
        <f t="shared" si="48"/>
        <v>2.170555578745252E-3</v>
      </c>
      <c r="E1546" s="1">
        <v>1</v>
      </c>
      <c r="F1546" s="1">
        <v>0</v>
      </c>
      <c r="G1546" s="1">
        <v>47</v>
      </c>
      <c r="H1546" s="1">
        <v>2</v>
      </c>
      <c r="I1546" s="1">
        <v>1</v>
      </c>
      <c r="J1546" s="1">
        <v>18</v>
      </c>
      <c r="K1546" s="1">
        <v>20</v>
      </c>
      <c r="L1546" s="1">
        <v>11</v>
      </c>
      <c r="M1546" s="1">
        <v>16</v>
      </c>
      <c r="N1546" s="1">
        <v>1</v>
      </c>
      <c r="O1546" s="1">
        <v>2</v>
      </c>
      <c r="P1546" s="1">
        <v>0</v>
      </c>
      <c r="Q1546" s="1">
        <v>3</v>
      </c>
      <c r="R1546" s="1">
        <v>6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1</v>
      </c>
      <c r="Z1546" s="1">
        <v>45</v>
      </c>
      <c r="AA1546" s="1" t="str" cm="1">
        <f t="array" ref="AA1546">_xlfn.IFS(AND(Z1546&lt;36, Z1546&gt;23), "24-35", AND(Z1546&lt;51, Z1546&gt;35),"36-50", AND(Z1546&lt;66, Z1546&gt;50), "51-66", Z1546&gt;65, "66+", TRUE, "?")</f>
        <v>36-50</v>
      </c>
      <c r="AB1546" s="1">
        <v>2768</v>
      </c>
      <c r="AC1546" s="1">
        <v>0</v>
      </c>
      <c r="AD1546" s="1">
        <v>1</v>
      </c>
      <c r="AE1546" s="1">
        <v>0</v>
      </c>
      <c r="AF1546" s="1">
        <v>0</v>
      </c>
      <c r="AG1546" s="1">
        <v>0</v>
      </c>
      <c r="AH1546" s="1">
        <v>0</v>
      </c>
      <c r="AI1546" s="1">
        <v>1</v>
      </c>
      <c r="AJ1546" s="1">
        <v>0</v>
      </c>
      <c r="AK1546" s="1">
        <v>0</v>
      </c>
      <c r="AL1546" s="1">
        <v>36</v>
      </c>
      <c r="AM1546" s="2">
        <v>42081</v>
      </c>
      <c r="AN1546" t="str">
        <f t="shared" si="49"/>
        <v>23957,52,0.00217055557874525,1,0,47,2,1,18,20,11,16,1,2,0,3,6,0,0,0,0,0,0,1,45,36-50,2768,0,1,0,0,0,0,1,0,0,36,42081</v>
      </c>
    </row>
    <row r="1547" spans="1:40" ht="13" hidden="1" x14ac:dyDescent="0.15">
      <c r="A1547">
        <v>1944</v>
      </c>
      <c r="B1547" s="1">
        <v>41275</v>
      </c>
      <c r="C1547" s="1">
        <v>52</v>
      </c>
      <c r="D1547" s="4">
        <f t="shared" si="48"/>
        <v>1.2598425196850393E-3</v>
      </c>
      <c r="E1547" s="1">
        <v>1</v>
      </c>
      <c r="F1547" s="1">
        <v>2</v>
      </c>
      <c r="G1547" s="1">
        <v>33</v>
      </c>
      <c r="H1547" s="1">
        <v>24</v>
      </c>
      <c r="I1547" s="1">
        <v>4</v>
      </c>
      <c r="J1547" s="1">
        <v>22</v>
      </c>
      <c r="K1547" s="1">
        <v>0</v>
      </c>
      <c r="L1547" s="1">
        <v>2</v>
      </c>
      <c r="M1547" s="1">
        <v>9</v>
      </c>
      <c r="N1547" s="1">
        <v>4</v>
      </c>
      <c r="O1547" s="1">
        <v>3</v>
      </c>
      <c r="P1547" s="1">
        <v>1</v>
      </c>
      <c r="Q1547" s="1">
        <v>3</v>
      </c>
      <c r="R1547" s="1">
        <v>5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60</v>
      </c>
      <c r="AA1547" s="1" t="str" cm="1">
        <f t="array" ref="AA1547">_xlfn.IFS(AND(Z1547&lt;36, Z1547&gt;23), "24-35", AND(Z1547&lt;51, Z1547&gt;35),"36-50", AND(Z1547&lt;66, Z1547&gt;50), "51-66", Z1547&gt;65, "66+", TRUE, "?")</f>
        <v>51-66</v>
      </c>
      <c r="AB1547" s="1">
        <v>2256</v>
      </c>
      <c r="AC1547" s="1">
        <v>0</v>
      </c>
      <c r="AD1547" s="1">
        <v>0</v>
      </c>
      <c r="AE1547" s="1">
        <v>0</v>
      </c>
      <c r="AF1547" s="1">
        <v>1</v>
      </c>
      <c r="AG1547" s="1">
        <v>0</v>
      </c>
      <c r="AH1547" s="1">
        <v>0</v>
      </c>
      <c r="AI1547" s="1">
        <v>0</v>
      </c>
      <c r="AJ1547" s="1">
        <v>1</v>
      </c>
      <c r="AK1547" s="1">
        <v>0</v>
      </c>
      <c r="AL1547" s="1">
        <v>43</v>
      </c>
      <c r="AM1547" s="2">
        <v>42593</v>
      </c>
      <c r="AN1547" t="str">
        <f t="shared" si="49"/>
        <v>41275,52,0.00125984251968504,1,2,33,24,4,22,0,2,9,4,3,1,3,5,0,0,0,0,0,0,0,60,51-66,2256,0,0,0,1,0,0,0,1,0,43,42593</v>
      </c>
    </row>
    <row r="1548" spans="1:40" ht="13" hidden="1" x14ac:dyDescent="0.15">
      <c r="A1548">
        <v>1949</v>
      </c>
      <c r="B1548" s="1">
        <v>17148</v>
      </c>
      <c r="C1548" s="1">
        <v>52</v>
      </c>
      <c r="D1548" s="4">
        <f t="shared" si="48"/>
        <v>3.0324236062514577E-3</v>
      </c>
      <c r="E1548" s="1">
        <v>1</v>
      </c>
      <c r="F1548" s="1">
        <v>0</v>
      </c>
      <c r="G1548" s="1">
        <v>80</v>
      </c>
      <c r="H1548" s="1">
        <v>9</v>
      </c>
      <c r="I1548" s="1">
        <v>9</v>
      </c>
      <c r="J1548" s="1">
        <v>11</v>
      </c>
      <c r="K1548" s="1">
        <v>13</v>
      </c>
      <c r="L1548" s="1">
        <v>10</v>
      </c>
      <c r="M1548" s="1">
        <v>16</v>
      </c>
      <c r="N1548" s="1">
        <v>4</v>
      </c>
      <c r="O1548" s="1">
        <v>3</v>
      </c>
      <c r="P1548" s="1">
        <v>1</v>
      </c>
      <c r="Q1548" s="1">
        <v>3</v>
      </c>
      <c r="R1548" s="1">
        <v>8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44</v>
      </c>
      <c r="AA1548" s="1" t="str" cm="1">
        <f t="array" ref="AA1548">_xlfn.IFS(AND(Z1548&lt;36, Z1548&gt;23), "24-35", AND(Z1548&lt;51, Z1548&gt;35),"36-50", AND(Z1548&lt;66, Z1548&gt;50), "51-66", Z1548&gt;65, "66+", TRUE, "?")</f>
        <v>36-50</v>
      </c>
      <c r="AB1548" s="1">
        <v>2311</v>
      </c>
      <c r="AC1548" s="1">
        <v>0</v>
      </c>
      <c r="AD1548" s="1">
        <v>1</v>
      </c>
      <c r="AE1548" s="1">
        <v>0</v>
      </c>
      <c r="AF1548" s="1">
        <v>0</v>
      </c>
      <c r="AG1548" s="1">
        <v>0</v>
      </c>
      <c r="AH1548" s="1">
        <v>0</v>
      </c>
      <c r="AI1548" s="1">
        <v>1</v>
      </c>
      <c r="AJ1548" s="1">
        <v>0</v>
      </c>
      <c r="AK1548" s="1">
        <v>0</v>
      </c>
      <c r="AL1548" s="1">
        <v>36</v>
      </c>
      <c r="AM1548" s="2">
        <v>42538</v>
      </c>
      <c r="AN1548" t="str">
        <f t="shared" si="49"/>
        <v>17148,52,0.00303242360625146,1,0,80,9,9,11,13,10,16,4,3,1,3,8,0,0,0,0,0,0,0,44,36-50,2311,0,1,0,0,0,0,1,0,0,36,42538</v>
      </c>
    </row>
    <row r="1549" spans="1:40" ht="13" hidden="1" x14ac:dyDescent="0.15">
      <c r="A1549">
        <v>107</v>
      </c>
      <c r="B1549" s="1">
        <v>30753</v>
      </c>
      <c r="C1549" s="1">
        <v>51</v>
      </c>
      <c r="D1549" s="4">
        <f t="shared" si="48"/>
        <v>1.658374792703151E-3</v>
      </c>
      <c r="E1549" s="1">
        <v>1</v>
      </c>
      <c r="F1549" s="1">
        <v>1</v>
      </c>
      <c r="G1549" s="1">
        <v>85</v>
      </c>
      <c r="H1549" s="1">
        <v>12</v>
      </c>
      <c r="I1549" s="1">
        <v>5</v>
      </c>
      <c r="J1549" s="1">
        <v>25</v>
      </c>
      <c r="K1549" s="1">
        <v>0</v>
      </c>
      <c r="L1549" s="1">
        <v>9</v>
      </c>
      <c r="M1549" s="1">
        <v>30</v>
      </c>
      <c r="N1549" s="1">
        <v>2</v>
      </c>
      <c r="O1549" s="1">
        <v>1</v>
      </c>
      <c r="P1549" s="1">
        <v>1</v>
      </c>
      <c r="Q1549" s="1">
        <v>3</v>
      </c>
      <c r="R1549" s="1">
        <v>5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53</v>
      </c>
      <c r="AA1549" s="1" t="str" cm="1">
        <f t="array" ref="AA1549">_xlfn.IFS(AND(Z1549&lt;36, Z1549&gt;23), "24-35", AND(Z1549&lt;51, Z1549&gt;35),"36-50", AND(Z1549&lt;66, Z1549&gt;50), "51-66", Z1549&gt;65, "66+", TRUE, "?")</f>
        <v>51-66</v>
      </c>
      <c r="AB1549" s="1">
        <v>2512</v>
      </c>
      <c r="AC1549" s="1">
        <v>0</v>
      </c>
      <c r="AD1549" s="1">
        <v>0</v>
      </c>
      <c r="AE1549" s="1">
        <v>0</v>
      </c>
      <c r="AF1549" s="1">
        <v>1</v>
      </c>
      <c r="AG1549" s="1">
        <v>0</v>
      </c>
      <c r="AH1549" s="1">
        <v>1</v>
      </c>
      <c r="AI1549" s="1">
        <v>0</v>
      </c>
      <c r="AJ1549" s="1">
        <v>0</v>
      </c>
      <c r="AK1549" s="1">
        <v>0</v>
      </c>
      <c r="AL1549" s="1">
        <v>21</v>
      </c>
      <c r="AM1549" s="2">
        <v>42337</v>
      </c>
      <c r="AN1549" t="str">
        <f t="shared" si="49"/>
        <v>30753,51,0.00165837479270315,1,1,85,12,5,25,0,9,30,2,1,1,3,5,0,0,0,0,0,0,0,53,51-66,2512,0,0,0,1,0,1,0,0,0,21,42337</v>
      </c>
    </row>
    <row r="1550" spans="1:40" ht="13" hidden="1" x14ac:dyDescent="0.15">
      <c r="A1550">
        <v>231</v>
      </c>
      <c r="B1550" s="1">
        <v>31160</v>
      </c>
      <c r="C1550" s="1">
        <v>51</v>
      </c>
      <c r="D1550" s="4">
        <f t="shared" si="48"/>
        <v>1.6367137355584082E-3</v>
      </c>
      <c r="E1550" s="1">
        <v>1</v>
      </c>
      <c r="F1550" s="1">
        <v>0</v>
      </c>
      <c r="G1550" s="1">
        <v>59</v>
      </c>
      <c r="H1550" s="1">
        <v>16</v>
      </c>
      <c r="I1550" s="1">
        <v>3</v>
      </c>
      <c r="J1550" s="1">
        <v>25</v>
      </c>
      <c r="K1550" s="1">
        <v>6</v>
      </c>
      <c r="L1550" s="1">
        <v>1</v>
      </c>
      <c r="M1550" s="1">
        <v>13</v>
      </c>
      <c r="N1550" s="1">
        <v>2</v>
      </c>
      <c r="O1550" s="1">
        <v>2</v>
      </c>
      <c r="P1550" s="1">
        <v>0</v>
      </c>
      <c r="Q1550" s="1">
        <v>3</v>
      </c>
      <c r="R1550" s="1">
        <v>8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45</v>
      </c>
      <c r="AA1550" s="1" t="str" cm="1">
        <f t="array" ref="AA1550">_xlfn.IFS(AND(Z1550&lt;36, Z1550&gt;23), "24-35", AND(Z1550&lt;51, Z1550&gt;35),"36-50", AND(Z1550&lt;66, Z1550&gt;50), "51-66", Z1550&gt;65, "66+", TRUE, "?")</f>
        <v>36-50</v>
      </c>
      <c r="AB1550" s="1">
        <v>2445</v>
      </c>
      <c r="AC1550" s="1">
        <v>0</v>
      </c>
      <c r="AD1550" s="1">
        <v>0</v>
      </c>
      <c r="AE1550" s="1">
        <v>1</v>
      </c>
      <c r="AF1550" s="1">
        <v>0</v>
      </c>
      <c r="AG1550" s="1">
        <v>0</v>
      </c>
      <c r="AH1550" s="1">
        <v>0</v>
      </c>
      <c r="AI1550" s="1">
        <v>0</v>
      </c>
      <c r="AJ1550" s="1">
        <v>1</v>
      </c>
      <c r="AK1550" s="1">
        <v>0</v>
      </c>
      <c r="AL1550" s="1">
        <v>38</v>
      </c>
      <c r="AM1550" s="2">
        <v>42404</v>
      </c>
      <c r="AN1550" t="str">
        <f t="shared" si="49"/>
        <v>31160,51,0.00163671373555841,1,0,59,16,3,25,6,1,13,2,2,0,3,8,0,0,0,0,0,0,0,45,36-50,2445,0,0,1,0,0,0,0,1,0,38,42404</v>
      </c>
    </row>
    <row r="1551" spans="1:40" ht="13" hidden="1" x14ac:dyDescent="0.15">
      <c r="A1551">
        <v>337</v>
      </c>
      <c r="B1551" s="1">
        <v>28442</v>
      </c>
      <c r="C1551" s="1">
        <v>51</v>
      </c>
      <c r="D1551" s="4">
        <f t="shared" si="48"/>
        <v>1.7931228464946206E-3</v>
      </c>
      <c r="E1551" s="1">
        <v>2</v>
      </c>
      <c r="F1551" s="1">
        <v>0</v>
      </c>
      <c r="G1551" s="1">
        <v>53</v>
      </c>
      <c r="H1551" s="1">
        <v>19</v>
      </c>
      <c r="I1551" s="1">
        <v>3</v>
      </c>
      <c r="J1551" s="1">
        <v>10</v>
      </c>
      <c r="K1551" s="1">
        <v>11</v>
      </c>
      <c r="L1551" s="1">
        <v>8</v>
      </c>
      <c r="M1551" s="1">
        <v>6</v>
      </c>
      <c r="N1551" s="1">
        <v>3</v>
      </c>
      <c r="O1551" s="1">
        <v>2</v>
      </c>
      <c r="P1551" s="1">
        <v>1</v>
      </c>
      <c r="Q1551" s="1">
        <v>4</v>
      </c>
      <c r="R1551" s="1">
        <v>4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42</v>
      </c>
      <c r="AA1551" s="1" t="str" cm="1">
        <f t="array" ref="AA1551">_xlfn.IFS(AND(Z1551&lt;36, Z1551&gt;23), "24-35", AND(Z1551&lt;51, Z1551&gt;35),"36-50", AND(Z1551&lt;66, Z1551&gt;50), "51-66", Z1551&gt;65, "66+", TRUE, "?")</f>
        <v>36-50</v>
      </c>
      <c r="AB1551" s="1">
        <v>2284</v>
      </c>
      <c r="AC1551" s="1">
        <v>0</v>
      </c>
      <c r="AD1551" s="1">
        <v>1</v>
      </c>
      <c r="AE1551" s="1">
        <v>0</v>
      </c>
      <c r="AF1551" s="1">
        <v>0</v>
      </c>
      <c r="AG1551" s="1">
        <v>0</v>
      </c>
      <c r="AH1551" s="1">
        <v>0</v>
      </c>
      <c r="AI1551" s="1">
        <v>1</v>
      </c>
      <c r="AJ1551" s="1">
        <v>0</v>
      </c>
      <c r="AK1551" s="1">
        <v>0</v>
      </c>
      <c r="AL1551" s="1">
        <v>45</v>
      </c>
      <c r="AM1551" s="2">
        <v>42565</v>
      </c>
      <c r="AN1551" t="str">
        <f t="shared" si="49"/>
        <v>28442,51,0.00179312284649462,2,0,53,19,3,10,11,8,6,3,2,1,4,4,0,0,0,0,0,0,0,42,36-50,2284,0,1,0,0,0,0,1,0,0,45,42565</v>
      </c>
    </row>
    <row r="1552" spans="1:40" ht="13" hidden="1" x14ac:dyDescent="0.15">
      <c r="A1552">
        <v>887</v>
      </c>
      <c r="B1552" s="1">
        <v>14906</v>
      </c>
      <c r="C1552" s="1">
        <v>51</v>
      </c>
      <c r="D1552" s="4">
        <f t="shared" si="48"/>
        <v>3.421441030457534E-3</v>
      </c>
      <c r="E1552" s="1">
        <v>0</v>
      </c>
      <c r="F1552" s="1">
        <v>0</v>
      </c>
      <c r="G1552" s="1">
        <v>86</v>
      </c>
      <c r="H1552" s="1">
        <v>7</v>
      </c>
      <c r="I1552" s="1">
        <v>7</v>
      </c>
      <c r="J1552" s="1">
        <v>14</v>
      </c>
      <c r="K1552" s="1">
        <v>7</v>
      </c>
      <c r="L1552" s="1">
        <v>16</v>
      </c>
      <c r="M1552" s="1">
        <v>15</v>
      </c>
      <c r="N1552" s="1">
        <v>3</v>
      </c>
      <c r="O1552" s="1">
        <v>2</v>
      </c>
      <c r="P1552" s="1">
        <v>1</v>
      </c>
      <c r="Q1552" s="1">
        <v>3</v>
      </c>
      <c r="R1552" s="1">
        <v>7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34</v>
      </c>
      <c r="AA1552" s="1" t="str" cm="1">
        <f t="array" ref="AA1552">_xlfn.IFS(AND(Z1552&lt;36, Z1552&gt;23), "24-35", AND(Z1552&lt;51, Z1552&gt;35),"36-50", AND(Z1552&lt;66, Z1552&gt;50), "51-66", Z1552&gt;65, "66+", TRUE, "?")</f>
        <v>24-35</v>
      </c>
      <c r="AB1552" s="1">
        <v>2713</v>
      </c>
      <c r="AC1552" s="1">
        <v>0</v>
      </c>
      <c r="AD1552" s="1">
        <v>0</v>
      </c>
      <c r="AE1552" s="1">
        <v>1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36</v>
      </c>
      <c r="AM1552" s="2">
        <v>42136</v>
      </c>
      <c r="AN1552" t="str">
        <f t="shared" si="49"/>
        <v>14906,51,0.00342144103045753,0,0,86,7,7,14,7,16,15,3,2,1,3,7,0,0,0,0,0,0,0,34,24-35,2713,0,0,1,0,0,0,0,0,0,36,42136</v>
      </c>
    </row>
    <row r="1553" spans="1:40" ht="13" hidden="1" x14ac:dyDescent="0.15">
      <c r="A1553">
        <v>1156</v>
      </c>
      <c r="B1553" s="1">
        <v>41986</v>
      </c>
      <c r="C1553" s="1">
        <v>51</v>
      </c>
      <c r="D1553" s="4">
        <f t="shared" si="48"/>
        <v>1.2146906111560997E-3</v>
      </c>
      <c r="E1553" s="1">
        <v>0</v>
      </c>
      <c r="F1553" s="1">
        <v>1</v>
      </c>
      <c r="G1553" s="1">
        <v>15</v>
      </c>
      <c r="H1553" s="1">
        <v>27</v>
      </c>
      <c r="I1553" s="1">
        <v>5</v>
      </c>
      <c r="J1553" s="1">
        <v>8</v>
      </c>
      <c r="K1553" s="1">
        <v>8</v>
      </c>
      <c r="L1553" s="1">
        <v>3</v>
      </c>
      <c r="M1553" s="1">
        <v>12</v>
      </c>
      <c r="N1553" s="1">
        <v>3</v>
      </c>
      <c r="O1553" s="1">
        <v>3</v>
      </c>
      <c r="P1553" s="1">
        <v>0</v>
      </c>
      <c r="Q1553" s="1">
        <v>4</v>
      </c>
      <c r="R1553" s="1">
        <v>4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42</v>
      </c>
      <c r="AA1553" s="1" t="str" cm="1">
        <f t="array" ref="AA1553">_xlfn.IFS(AND(Z1553&lt;36, Z1553&gt;23), "24-35", AND(Z1553&lt;51, Z1553&gt;35),"36-50", AND(Z1553&lt;66, Z1553&gt;50), "51-66", Z1553&gt;65, "66+", TRUE, "?")</f>
        <v>36-50</v>
      </c>
      <c r="AB1553" s="1">
        <v>2299</v>
      </c>
      <c r="AC1553" s="1">
        <v>1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1</v>
      </c>
      <c r="AJ1553" s="1">
        <v>0</v>
      </c>
      <c r="AK1553" s="1">
        <v>0</v>
      </c>
      <c r="AL1553" s="1">
        <v>39</v>
      </c>
      <c r="AM1553" s="2">
        <v>42550</v>
      </c>
      <c r="AN1553" t="str">
        <f t="shared" si="49"/>
        <v>41986,51,0.0012146906111561,0,1,15,27,5,8,8,3,12,3,3,0,4,4,0,0,0,0,0,0,0,42,36-50,2299,1,0,0,0,0,0,1,0,0,39,42550</v>
      </c>
    </row>
    <row r="1554" spans="1:40" ht="13" hidden="1" x14ac:dyDescent="0.15">
      <c r="A1554">
        <v>1242</v>
      </c>
      <c r="B1554" s="1">
        <v>24711</v>
      </c>
      <c r="C1554" s="1">
        <v>51</v>
      </c>
      <c r="D1554" s="4">
        <f t="shared" si="48"/>
        <v>2.0638582008012628E-3</v>
      </c>
      <c r="E1554" s="1">
        <v>0</v>
      </c>
      <c r="F1554" s="1">
        <v>0</v>
      </c>
      <c r="G1554" s="1">
        <v>86</v>
      </c>
      <c r="H1554" s="1">
        <v>10</v>
      </c>
      <c r="I1554" s="1">
        <v>7</v>
      </c>
      <c r="J1554" s="1">
        <v>25</v>
      </c>
      <c r="K1554" s="1">
        <v>6</v>
      </c>
      <c r="L1554" s="1">
        <v>3</v>
      </c>
      <c r="M1554" s="1">
        <v>7</v>
      </c>
      <c r="N1554" s="1">
        <v>1</v>
      </c>
      <c r="O1554" s="1">
        <v>3</v>
      </c>
      <c r="P1554" s="1">
        <v>0</v>
      </c>
      <c r="Q1554" s="1">
        <v>3</v>
      </c>
      <c r="R1554" s="1">
        <v>7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38</v>
      </c>
      <c r="AA1554" s="1" t="str" cm="1">
        <f t="array" ref="AA1554">_xlfn.IFS(AND(Z1554&lt;36, Z1554&gt;23), "24-35", AND(Z1554&lt;51, Z1554&gt;35),"36-50", AND(Z1554&lt;66, Z1554&gt;50), "51-66", Z1554&gt;65, "66+", TRUE, "?")</f>
        <v>36-50</v>
      </c>
      <c r="AB1554" s="1">
        <v>2231</v>
      </c>
      <c r="AC1554" s="1">
        <v>0</v>
      </c>
      <c r="AD1554" s="1">
        <v>1</v>
      </c>
      <c r="AE1554" s="1">
        <v>0</v>
      </c>
      <c r="AF1554" s="1">
        <v>0</v>
      </c>
      <c r="AG1554" s="1">
        <v>0</v>
      </c>
      <c r="AH1554" s="1">
        <v>0</v>
      </c>
      <c r="AI1554" s="1">
        <v>1</v>
      </c>
      <c r="AJ1554" s="1">
        <v>0</v>
      </c>
      <c r="AK1554" s="1">
        <v>0</v>
      </c>
      <c r="AL1554" s="1">
        <v>44</v>
      </c>
      <c r="AM1554" s="2">
        <v>42618</v>
      </c>
      <c r="AN1554" t="str">
        <f t="shared" si="49"/>
        <v>24711,51,0.00206385820080126,0,0,86,10,7,25,6,3,7,1,3,0,3,7,0,0,0,0,0,0,0,38,36-50,2231,0,1,0,0,0,0,1,0,0,44,42618</v>
      </c>
    </row>
    <row r="1555" spans="1:40" ht="13" hidden="1" x14ac:dyDescent="0.15">
      <c r="A1555">
        <v>1997</v>
      </c>
      <c r="B1555" s="1">
        <v>32144</v>
      </c>
      <c r="C1555" s="1">
        <v>51</v>
      </c>
      <c r="D1555" s="4">
        <f t="shared" si="48"/>
        <v>1.5866102538576407E-3</v>
      </c>
      <c r="E1555" s="1">
        <v>1</v>
      </c>
      <c r="F1555" s="1">
        <v>1</v>
      </c>
      <c r="G1555" s="1">
        <v>76</v>
      </c>
      <c r="H1555" s="1">
        <v>41</v>
      </c>
      <c r="I1555" s="1">
        <v>0</v>
      </c>
      <c r="J1555" s="1">
        <v>10</v>
      </c>
      <c r="K1555" s="1">
        <v>0</v>
      </c>
      <c r="L1555" s="1">
        <v>0</v>
      </c>
      <c r="M1555" s="1">
        <v>3</v>
      </c>
      <c r="N1555" s="1">
        <v>4</v>
      </c>
      <c r="O1555" s="1">
        <v>2</v>
      </c>
      <c r="P1555" s="1">
        <v>1</v>
      </c>
      <c r="Q1555" s="1">
        <v>3</v>
      </c>
      <c r="R1555" s="1">
        <v>7</v>
      </c>
      <c r="S1555" s="1">
        <v>0</v>
      </c>
      <c r="T1555" s="1">
        <v>0</v>
      </c>
      <c r="U1555" s="1">
        <v>0</v>
      </c>
      <c r="V1555" s="1">
        <v>1</v>
      </c>
      <c r="W1555" s="1">
        <v>0</v>
      </c>
      <c r="X1555" s="1">
        <v>0</v>
      </c>
      <c r="Y1555" s="1">
        <v>0</v>
      </c>
      <c r="Z1555" s="1">
        <v>66</v>
      </c>
      <c r="AA1555" s="1" t="str" cm="1">
        <f t="array" ref="AA1555">_xlfn.IFS(AND(Z1555&lt;36, Z1555&gt;23), "24-35", AND(Z1555&lt;51, Z1555&gt;35),"36-50", AND(Z1555&lt;66, Z1555&gt;50), "51-66", Z1555&gt;65, "66+", TRUE, "?")</f>
        <v>66+</v>
      </c>
      <c r="AB1555" s="1">
        <v>2257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1</v>
      </c>
      <c r="AJ1555" s="1">
        <v>0</v>
      </c>
      <c r="AK1555" s="1">
        <v>0</v>
      </c>
      <c r="AL1555" s="1">
        <v>48</v>
      </c>
      <c r="AM1555" s="2">
        <v>42592</v>
      </c>
      <c r="AN1555" t="str">
        <f t="shared" si="49"/>
        <v>32144,51,0.00158661025385764,1,1,76,41,0,10,0,0,3,4,2,1,3,7,0,0,0,1,0,0,0,66,66+,2257,0,0,0,1,0,0,1,0,0,48,42592</v>
      </c>
    </row>
    <row r="1556" spans="1:40" ht="13" hidden="1" x14ac:dyDescent="0.15">
      <c r="A1556">
        <v>90</v>
      </c>
      <c r="B1556" s="1">
        <v>34554</v>
      </c>
      <c r="C1556" s="1">
        <v>50</v>
      </c>
      <c r="D1556" s="4">
        <f t="shared" si="48"/>
        <v>1.4470104763558487E-3</v>
      </c>
      <c r="E1556" s="1">
        <v>0</v>
      </c>
      <c r="F1556" s="1">
        <v>1</v>
      </c>
      <c r="G1556" s="1">
        <v>43</v>
      </c>
      <c r="H1556" s="1">
        <v>41</v>
      </c>
      <c r="I1556" s="1">
        <v>1</v>
      </c>
      <c r="J1556" s="1">
        <v>6</v>
      </c>
      <c r="K1556" s="1">
        <v>2</v>
      </c>
      <c r="L1556" s="1">
        <v>0</v>
      </c>
      <c r="M1556" s="1">
        <v>5</v>
      </c>
      <c r="N1556" s="1">
        <v>2</v>
      </c>
      <c r="O1556" s="1">
        <v>2</v>
      </c>
      <c r="P1556" s="1">
        <v>0</v>
      </c>
      <c r="Q1556" s="1">
        <v>3</v>
      </c>
      <c r="R1556" s="1">
        <v>6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61</v>
      </c>
      <c r="AA1556" s="1" t="str" cm="1">
        <f t="array" ref="AA1556">_xlfn.IFS(AND(Z1556&lt;36, Z1556&gt;23), "24-35", AND(Z1556&lt;51, Z1556&gt;35),"36-50", AND(Z1556&lt;66, Z1556&gt;50), "51-66", Z1556&gt;65, "66+", TRUE, "?")</f>
        <v>51-66</v>
      </c>
      <c r="AB1556" s="1">
        <v>2250</v>
      </c>
      <c r="AC1556" s="1">
        <v>0</v>
      </c>
      <c r="AD1556" s="1">
        <v>0</v>
      </c>
      <c r="AE1556" s="1">
        <v>1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1</v>
      </c>
      <c r="AL1556" s="1">
        <v>45</v>
      </c>
      <c r="AM1556" s="2">
        <v>42599</v>
      </c>
      <c r="AN1556" t="str">
        <f t="shared" si="49"/>
        <v>34554,50,0.00144701047635585,0,1,43,41,1,6,2,0,5,2,2,0,3,6,0,0,0,0,0,0,0,61,51-66,2250,0,0,1,0,0,0,0,0,1,45,42599</v>
      </c>
    </row>
    <row r="1557" spans="1:40" ht="13" hidden="1" x14ac:dyDescent="0.15">
      <c r="A1557">
        <v>263</v>
      </c>
      <c r="B1557" s="1">
        <v>30631</v>
      </c>
      <c r="C1557" s="1">
        <v>50</v>
      </c>
      <c r="D1557" s="4">
        <f t="shared" si="48"/>
        <v>1.6323332571577813E-3</v>
      </c>
      <c r="E1557" s="1">
        <v>1</v>
      </c>
      <c r="F1557" s="1">
        <v>0</v>
      </c>
      <c r="G1557" s="1">
        <v>75</v>
      </c>
      <c r="H1557" s="1">
        <v>15</v>
      </c>
      <c r="I1557" s="1">
        <v>6</v>
      </c>
      <c r="J1557" s="1">
        <v>20</v>
      </c>
      <c r="K1557" s="1">
        <v>4</v>
      </c>
      <c r="L1557" s="1">
        <v>5</v>
      </c>
      <c r="M1557" s="1">
        <v>20</v>
      </c>
      <c r="N1557" s="1">
        <v>1</v>
      </c>
      <c r="O1557" s="1">
        <v>3</v>
      </c>
      <c r="P1557" s="1">
        <v>1</v>
      </c>
      <c r="Q1557" s="1">
        <v>2</v>
      </c>
      <c r="R1557" s="1">
        <v>7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46</v>
      </c>
      <c r="AA1557" s="1" t="str" cm="1">
        <f t="array" ref="AA1557">_xlfn.IFS(AND(Z1557&lt;36, Z1557&gt;23), "24-35", AND(Z1557&lt;51, Z1557&gt;35),"36-50", AND(Z1557&lt;66, Z1557&gt;50), "51-66", Z1557&gt;65, "66+", TRUE, "?")</f>
        <v>36-50</v>
      </c>
      <c r="AB1557" s="1">
        <v>2511</v>
      </c>
      <c r="AC1557" s="1">
        <v>0</v>
      </c>
      <c r="AD1557" s="1">
        <v>1</v>
      </c>
      <c r="AE1557" s="1">
        <v>0</v>
      </c>
      <c r="AF1557" s="1">
        <v>0</v>
      </c>
      <c r="AG1557" s="1">
        <v>0</v>
      </c>
      <c r="AH1557" s="1">
        <v>0</v>
      </c>
      <c r="AI1557" s="1">
        <v>1</v>
      </c>
      <c r="AJ1557" s="1">
        <v>0</v>
      </c>
      <c r="AK1557" s="1">
        <v>0</v>
      </c>
      <c r="AL1557" s="1">
        <v>30</v>
      </c>
      <c r="AM1557" s="2">
        <v>42338</v>
      </c>
      <c r="AN1557" t="str">
        <f t="shared" si="49"/>
        <v>30631,50,0.00163233325715778,1,0,75,15,6,20,4,5,20,1,3,1,2,7,0,0,0,0,0,0,0,46,36-50,2511,0,1,0,0,0,0,1,0,0,30,42338</v>
      </c>
    </row>
    <row r="1558" spans="1:40" ht="13" hidden="1" x14ac:dyDescent="0.15">
      <c r="A1558">
        <v>389</v>
      </c>
      <c r="B1558" s="1">
        <v>19789</v>
      </c>
      <c r="C1558" s="1">
        <v>50</v>
      </c>
      <c r="D1558" s="4">
        <f t="shared" si="48"/>
        <v>2.5266562231542776E-3</v>
      </c>
      <c r="E1558" s="1">
        <v>1</v>
      </c>
      <c r="F1558" s="1">
        <v>0</v>
      </c>
      <c r="G1558" s="1">
        <v>24</v>
      </c>
      <c r="H1558" s="1">
        <v>2</v>
      </c>
      <c r="I1558" s="1">
        <v>5</v>
      </c>
      <c r="J1558" s="1">
        <v>9</v>
      </c>
      <c r="K1558" s="1">
        <v>28</v>
      </c>
      <c r="L1558" s="1">
        <v>6</v>
      </c>
      <c r="M1558" s="1">
        <v>28</v>
      </c>
      <c r="N1558" s="1">
        <v>3</v>
      </c>
      <c r="O1558" s="1">
        <v>2</v>
      </c>
      <c r="P1558" s="1">
        <v>1</v>
      </c>
      <c r="Q1558" s="1">
        <v>3</v>
      </c>
      <c r="R1558" s="1">
        <v>5</v>
      </c>
      <c r="S1558" s="1">
        <v>0</v>
      </c>
      <c r="T1558" s="1">
        <v>0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45</v>
      </c>
      <c r="AA1558" s="1" t="str" cm="1">
        <f t="array" ref="AA1558">_xlfn.IFS(AND(Z1558&lt;36, Z1558&gt;23), "24-35", AND(Z1558&lt;51, Z1558&gt;35),"36-50", AND(Z1558&lt;66, Z1558&gt;50), "51-66", Z1558&gt;65, "66+", TRUE, "?")</f>
        <v>36-50</v>
      </c>
      <c r="AB1558" s="1">
        <v>2380</v>
      </c>
      <c r="AC1558" s="1">
        <v>0</v>
      </c>
      <c r="AD1558" s="1">
        <v>0</v>
      </c>
      <c r="AE1558" s="1">
        <v>0</v>
      </c>
      <c r="AF1558" s="1">
        <v>1</v>
      </c>
      <c r="AG1558" s="1">
        <v>0</v>
      </c>
      <c r="AH1558" s="1">
        <v>1</v>
      </c>
      <c r="AI1558" s="1">
        <v>0</v>
      </c>
      <c r="AJ1558" s="1">
        <v>0</v>
      </c>
      <c r="AK1558" s="1">
        <v>0</v>
      </c>
      <c r="AL1558" s="1">
        <v>22</v>
      </c>
      <c r="AM1558" s="2">
        <v>42469</v>
      </c>
      <c r="AN1558" t="str">
        <f t="shared" si="49"/>
        <v>19789,50,0.00252665622315428,1,0,24,2,5,9,28,6,28,3,2,1,3,5,0,0,1,0,0,0,0,45,36-50,2380,0,0,0,1,0,1,0,0,0,22,42469</v>
      </c>
    </row>
    <row r="1559" spans="1:40" ht="13" hidden="1" x14ac:dyDescent="0.15">
      <c r="A1559">
        <v>508</v>
      </c>
      <c r="B1559" s="1">
        <v>22944</v>
      </c>
      <c r="C1559" s="1">
        <v>50</v>
      </c>
      <c r="D1559" s="4">
        <f t="shared" si="48"/>
        <v>2.1792189679218968E-3</v>
      </c>
      <c r="E1559" s="1">
        <v>1</v>
      </c>
      <c r="F1559" s="1">
        <v>0</v>
      </c>
      <c r="G1559" s="1">
        <v>67</v>
      </c>
      <c r="H1559" s="1">
        <v>19</v>
      </c>
      <c r="I1559" s="1">
        <v>3</v>
      </c>
      <c r="J1559" s="1">
        <v>19</v>
      </c>
      <c r="K1559" s="1">
        <v>4</v>
      </c>
      <c r="L1559" s="1">
        <v>5</v>
      </c>
      <c r="M1559" s="1">
        <v>26</v>
      </c>
      <c r="N1559" s="1">
        <v>3</v>
      </c>
      <c r="O1559" s="1">
        <v>3</v>
      </c>
      <c r="P1559" s="1">
        <v>0</v>
      </c>
      <c r="Q1559" s="1">
        <v>3</v>
      </c>
      <c r="R1559" s="1">
        <v>7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39</v>
      </c>
      <c r="AA1559" s="1" t="str" cm="1">
        <f t="array" ref="AA1559">_xlfn.IFS(AND(Z1559&lt;36, Z1559&gt;23), "24-35", AND(Z1559&lt;51, Z1559&gt;35),"36-50", AND(Z1559&lt;66, Z1559&gt;50), "51-66", Z1559&gt;65, "66+", TRUE, "?")</f>
        <v>36-50</v>
      </c>
      <c r="AB1559" s="1">
        <v>2347</v>
      </c>
      <c r="AC1559" s="1">
        <v>0</v>
      </c>
      <c r="AD1559" s="1">
        <v>0</v>
      </c>
      <c r="AE1559" s="1">
        <v>1</v>
      </c>
      <c r="AF1559" s="1">
        <v>0</v>
      </c>
      <c r="AG1559" s="1">
        <v>0</v>
      </c>
      <c r="AH1559" s="1">
        <v>0</v>
      </c>
      <c r="AI1559" s="1">
        <v>0</v>
      </c>
      <c r="AJ1559" s="1">
        <v>1</v>
      </c>
      <c r="AK1559" s="1">
        <v>0</v>
      </c>
      <c r="AL1559" s="1">
        <v>24</v>
      </c>
      <c r="AM1559" s="2">
        <v>42502</v>
      </c>
      <c r="AN1559" t="str">
        <f t="shared" si="49"/>
        <v>22944,50,0.0021792189679219,1,0,67,19,3,19,4,5,26,3,3,0,3,7,0,0,0,0,0,0,0,39,36-50,2347,0,0,1,0,0,0,0,1,0,24,42502</v>
      </c>
    </row>
    <row r="1560" spans="1:40" ht="13" hidden="1" x14ac:dyDescent="0.15">
      <c r="A1560">
        <v>834</v>
      </c>
      <c r="B1560" s="1">
        <v>42243</v>
      </c>
      <c r="C1560" s="1">
        <v>50</v>
      </c>
      <c r="D1560" s="4">
        <f t="shared" si="48"/>
        <v>1.1836280567194565E-3</v>
      </c>
      <c r="E1560" s="1">
        <v>1</v>
      </c>
      <c r="F1560" s="1">
        <v>1</v>
      </c>
      <c r="G1560" s="1">
        <v>34</v>
      </c>
      <c r="H1560" s="1">
        <v>48</v>
      </c>
      <c r="I1560" s="1">
        <v>0</v>
      </c>
      <c r="J1560" s="1">
        <v>2</v>
      </c>
      <c r="K1560" s="1">
        <v>0</v>
      </c>
      <c r="L1560" s="1">
        <v>0</v>
      </c>
      <c r="M1560" s="1">
        <v>5</v>
      </c>
      <c r="N1560" s="1">
        <v>2</v>
      </c>
      <c r="O1560" s="1">
        <v>2</v>
      </c>
      <c r="P1560" s="1">
        <v>0</v>
      </c>
      <c r="Q1560" s="1">
        <v>3</v>
      </c>
      <c r="R1560" s="1">
        <v>7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61</v>
      </c>
      <c r="AA1560" s="1" t="str" cm="1">
        <f t="array" ref="AA1560">_xlfn.IFS(AND(Z1560&lt;36, Z1560&gt;23), "24-35", AND(Z1560&lt;51, Z1560&gt;35),"36-50", AND(Z1560&lt;66, Z1560&gt;50), "51-66", Z1560&gt;65, "66+", TRUE, "?")</f>
        <v>51-66</v>
      </c>
      <c r="AB1560" s="1">
        <v>2359</v>
      </c>
      <c r="AC1560" s="1">
        <v>0</v>
      </c>
      <c r="AD1560" s="1">
        <v>1</v>
      </c>
      <c r="AE1560" s="1">
        <v>0</v>
      </c>
      <c r="AF1560" s="1">
        <v>0</v>
      </c>
      <c r="AG1560" s="1">
        <v>0</v>
      </c>
      <c r="AH1560" s="1">
        <v>0</v>
      </c>
      <c r="AI1560" s="1">
        <v>1</v>
      </c>
      <c r="AJ1560" s="1">
        <v>0</v>
      </c>
      <c r="AK1560" s="1">
        <v>0</v>
      </c>
      <c r="AL1560" s="1">
        <v>45</v>
      </c>
      <c r="AM1560" s="2">
        <v>42490</v>
      </c>
      <c r="AN1560" t="str">
        <f t="shared" si="49"/>
        <v>42243,50,0.00118362805671946,1,1,34,48,0,2,0,0,5,2,2,0,3,7,0,0,0,0,0,0,0,61,51-66,2359,0,1,0,0,0,0,1,0,0,45,42490</v>
      </c>
    </row>
    <row r="1561" spans="1:40" ht="13" hidden="1" x14ac:dyDescent="0.15">
      <c r="A1561">
        <v>868</v>
      </c>
      <c r="B1561" s="1">
        <v>34469</v>
      </c>
      <c r="C1561" s="1">
        <v>50</v>
      </c>
      <c r="D1561" s="4">
        <f t="shared" si="48"/>
        <v>1.4505787809335924E-3</v>
      </c>
      <c r="E1561" s="1">
        <v>1</v>
      </c>
      <c r="F1561" s="1">
        <v>1</v>
      </c>
      <c r="G1561" s="1">
        <v>58</v>
      </c>
      <c r="H1561" s="1">
        <v>19</v>
      </c>
      <c r="I1561" s="1">
        <v>6</v>
      </c>
      <c r="J1561" s="1">
        <v>20</v>
      </c>
      <c r="K1561" s="1">
        <v>0</v>
      </c>
      <c r="L1561" s="1">
        <v>5</v>
      </c>
      <c r="M1561" s="1">
        <v>12</v>
      </c>
      <c r="N1561" s="1">
        <v>3</v>
      </c>
      <c r="O1561" s="1">
        <v>1</v>
      </c>
      <c r="P1561" s="1">
        <v>1</v>
      </c>
      <c r="Q1561" s="1">
        <v>4</v>
      </c>
      <c r="R1561" s="1">
        <v>4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72</v>
      </c>
      <c r="AA1561" s="1" t="str" cm="1">
        <f t="array" ref="AA1561">_xlfn.IFS(AND(Z1561&lt;36, Z1561&gt;23), "24-35", AND(Z1561&lt;51, Z1561&gt;35),"36-50", AND(Z1561&lt;66, Z1561&gt;50), "51-66", Z1561&gt;65, "66+", TRUE, "?")</f>
        <v>66+</v>
      </c>
      <c r="AB1561" s="1">
        <v>2215</v>
      </c>
      <c r="AC1561" s="1">
        <v>0</v>
      </c>
      <c r="AD1561" s="1">
        <v>1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1</v>
      </c>
      <c r="AL1561" s="1">
        <v>38</v>
      </c>
      <c r="AM1561" s="2">
        <v>42634</v>
      </c>
      <c r="AN1561" t="str">
        <f t="shared" si="49"/>
        <v>34469,50,0.00145057878093359,1,1,58,19,6,20,0,5,12,3,1,1,4,4,0,0,0,0,0,0,0,72,66+,2215,0,1,0,0,0,0,0,0,1,38,42634</v>
      </c>
    </row>
    <row r="1562" spans="1:40" ht="13" hidden="1" x14ac:dyDescent="0.15">
      <c r="A1562">
        <v>1050</v>
      </c>
      <c r="B1562" s="1">
        <v>22634</v>
      </c>
      <c r="C1562" s="1">
        <v>50</v>
      </c>
      <c r="D1562" s="4">
        <f t="shared" si="48"/>
        <v>2.2090660068922858E-3</v>
      </c>
      <c r="E1562" s="1">
        <v>0</v>
      </c>
      <c r="F1562" s="1">
        <v>0</v>
      </c>
      <c r="G1562" s="1">
        <v>47</v>
      </c>
      <c r="H1562" s="1">
        <v>2</v>
      </c>
      <c r="I1562" s="1">
        <v>23</v>
      </c>
      <c r="J1562" s="1">
        <v>11</v>
      </c>
      <c r="K1562" s="1">
        <v>8</v>
      </c>
      <c r="L1562" s="1">
        <v>6</v>
      </c>
      <c r="M1562" s="1">
        <v>46</v>
      </c>
      <c r="N1562" s="1">
        <v>1</v>
      </c>
      <c r="O1562" s="1">
        <v>2</v>
      </c>
      <c r="P1562" s="1">
        <v>1</v>
      </c>
      <c r="Q1562" s="1">
        <v>2</v>
      </c>
      <c r="R1562" s="1">
        <v>8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54</v>
      </c>
      <c r="AA1562" s="1" t="str" cm="1">
        <f t="array" ref="AA1562">_xlfn.IFS(AND(Z1562&lt;36, Z1562&gt;23), "24-35", AND(Z1562&lt;51, Z1562&gt;35),"36-50", AND(Z1562&lt;66, Z1562&gt;50), "51-66", Z1562&gt;65, "66+", TRUE, "?")</f>
        <v>51-66</v>
      </c>
      <c r="AB1562" s="1">
        <v>2688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4</v>
      </c>
      <c r="AM1562" s="2">
        <v>42161</v>
      </c>
      <c r="AN1562" t="str">
        <f t="shared" si="49"/>
        <v>22634,50,0.00220906600689229,0,0,47,2,23,11,8,6,46,1,2,1,2,8,0,0,0,0,0,0,0,54,51-66,2688,0,0,0,1,0,0,0,0,0,4,42161</v>
      </c>
    </row>
    <row r="1563" spans="1:40" ht="13" hidden="1" x14ac:dyDescent="0.15">
      <c r="A1563">
        <v>1114</v>
      </c>
      <c r="B1563" s="1">
        <v>44393</v>
      </c>
      <c r="C1563" s="1">
        <v>50</v>
      </c>
      <c r="D1563" s="4">
        <f t="shared" si="48"/>
        <v>1.126303696528732E-3</v>
      </c>
      <c r="E1563" s="1">
        <v>1</v>
      </c>
      <c r="F1563" s="1">
        <v>1</v>
      </c>
      <c r="G1563" s="1">
        <v>86</v>
      </c>
      <c r="H1563" s="1">
        <v>24</v>
      </c>
      <c r="I1563" s="1">
        <v>2</v>
      </c>
      <c r="J1563" s="1">
        <v>20</v>
      </c>
      <c r="K1563" s="1">
        <v>2</v>
      </c>
      <c r="L1563" s="1">
        <v>2</v>
      </c>
      <c r="M1563" s="1">
        <v>10</v>
      </c>
      <c r="N1563" s="1">
        <v>2</v>
      </c>
      <c r="O1563" s="1">
        <v>1</v>
      </c>
      <c r="P1563" s="1">
        <v>0</v>
      </c>
      <c r="Q1563" s="1">
        <v>4</v>
      </c>
      <c r="R1563" s="1">
        <v>4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55</v>
      </c>
      <c r="AA1563" s="1" t="str" cm="1">
        <f t="array" ref="AA1563">_xlfn.IFS(AND(Z1563&lt;36, Z1563&gt;23), "24-35", AND(Z1563&lt;51, Z1563&gt;35),"36-50", AND(Z1563&lt;66, Z1563&gt;50), "51-66", Z1563&gt;65, "66+", TRUE, "?")</f>
        <v>51-66</v>
      </c>
      <c r="AB1563" s="1">
        <v>2470</v>
      </c>
      <c r="AC1563" s="1">
        <v>0</v>
      </c>
      <c r="AD1563" s="1">
        <v>1</v>
      </c>
      <c r="AE1563" s="1">
        <v>0</v>
      </c>
      <c r="AF1563" s="1">
        <v>0</v>
      </c>
      <c r="AG1563" s="1">
        <v>0</v>
      </c>
      <c r="AH1563" s="1">
        <v>0</v>
      </c>
      <c r="AI1563" s="1">
        <v>1</v>
      </c>
      <c r="AJ1563" s="1">
        <v>0</v>
      </c>
      <c r="AK1563" s="1">
        <v>0</v>
      </c>
      <c r="AL1563" s="1">
        <v>40</v>
      </c>
      <c r="AM1563" s="2">
        <v>42379</v>
      </c>
      <c r="AN1563" t="str">
        <f t="shared" si="49"/>
        <v>44393,50,0.00112630369652873,1,1,86,24,2,20,2,2,10,2,1,0,4,4,0,0,0,0,0,0,0,55,51-66,2470,0,1,0,0,0,0,1,0,0,40,42379</v>
      </c>
    </row>
    <row r="1564" spans="1:40" ht="13" x14ac:dyDescent="0.15">
      <c r="A1564">
        <v>1817</v>
      </c>
      <c r="B1564" s="1">
        <v>36781</v>
      </c>
      <c r="C1564" s="1">
        <v>50</v>
      </c>
      <c r="D1564" s="4">
        <f t="shared" si="48"/>
        <v>1.3593975150213424E-3</v>
      </c>
      <c r="E1564" s="1">
        <v>1</v>
      </c>
      <c r="F1564" s="1">
        <v>0</v>
      </c>
      <c r="G1564" s="1">
        <v>16</v>
      </c>
      <c r="H1564" s="1">
        <v>29</v>
      </c>
      <c r="I1564" s="1">
        <v>1</v>
      </c>
      <c r="J1564" s="1">
        <v>17</v>
      </c>
      <c r="K1564" s="1">
        <v>0</v>
      </c>
      <c r="L1564" s="1">
        <v>3</v>
      </c>
      <c r="M1564" s="1">
        <v>13</v>
      </c>
      <c r="N1564" s="1">
        <v>1</v>
      </c>
      <c r="O1564" s="1">
        <v>2</v>
      </c>
      <c r="P1564" s="1">
        <v>1</v>
      </c>
      <c r="Q1564" s="1">
        <v>2</v>
      </c>
      <c r="R1564" s="1">
        <v>8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1</v>
      </c>
      <c r="Z1564" s="1">
        <v>41</v>
      </c>
      <c r="AA1564" s="1" t="str" cm="1">
        <f t="array" ref="AA1564">_xlfn.IFS(AND(Z1564&lt;36, Z1564&gt;23), "24-35", AND(Z1564&lt;51, Z1564&gt;35),"36-50", AND(Z1564&lt;66, Z1564&gt;50), "51-66", Z1564&gt;65, "66+", TRUE, "?")</f>
        <v>36-50</v>
      </c>
      <c r="AB1564" s="1">
        <v>2239</v>
      </c>
      <c r="AC1564" s="1">
        <v>0</v>
      </c>
      <c r="AD1564" s="1">
        <v>1</v>
      </c>
      <c r="AE1564" s="1">
        <v>0</v>
      </c>
      <c r="AF1564" s="1">
        <v>0</v>
      </c>
      <c r="AG1564" s="1">
        <v>0</v>
      </c>
      <c r="AH1564" s="1">
        <v>0</v>
      </c>
      <c r="AI1564" s="1">
        <v>1</v>
      </c>
      <c r="AJ1564" s="1">
        <v>0</v>
      </c>
      <c r="AK1564" s="1">
        <v>0</v>
      </c>
      <c r="AL1564" s="1">
        <v>37</v>
      </c>
      <c r="AM1564" s="2">
        <v>42610</v>
      </c>
      <c r="AN1564" t="str">
        <f t="shared" si="49"/>
        <v>36781,50,0.00135939751502134,1,0,16,29,1,17,0,3,13,1,2,1,2,8,0,0,0,0,0,0,1,41,36-50,2239,0,1,0,0,0,0,1,0,0,37,42610</v>
      </c>
    </row>
    <row r="1565" spans="1:40" ht="13" hidden="1" x14ac:dyDescent="0.15">
      <c r="A1565">
        <v>1826</v>
      </c>
      <c r="B1565" s="1">
        <v>30368</v>
      </c>
      <c r="C1565" s="1">
        <v>50</v>
      </c>
      <c r="D1565" s="4">
        <f t="shared" si="48"/>
        <v>1.6464699683877767E-3</v>
      </c>
      <c r="E1565" s="1">
        <v>0</v>
      </c>
      <c r="F1565" s="1">
        <v>1</v>
      </c>
      <c r="G1565" s="1">
        <v>97</v>
      </c>
      <c r="H1565" s="1">
        <v>35</v>
      </c>
      <c r="I1565" s="1">
        <v>0</v>
      </c>
      <c r="J1565" s="1">
        <v>13</v>
      </c>
      <c r="K1565" s="1">
        <v>2</v>
      </c>
      <c r="L1565" s="1">
        <v>0</v>
      </c>
      <c r="M1565" s="1">
        <v>2</v>
      </c>
      <c r="N1565" s="1">
        <v>2</v>
      </c>
      <c r="O1565" s="1">
        <v>2</v>
      </c>
      <c r="P1565" s="1">
        <v>0</v>
      </c>
      <c r="Q1565" s="1">
        <v>3</v>
      </c>
      <c r="R1565" s="1">
        <v>8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43</v>
      </c>
      <c r="AA1565" s="1" t="str" cm="1">
        <f t="array" ref="AA1565">_xlfn.IFS(AND(Z1565&lt;36, Z1565&gt;23), "24-35", AND(Z1565&lt;51, Z1565&gt;35),"36-50", AND(Z1565&lt;66, Z1565&gt;50), "51-66", Z1565&gt;65, "66+", TRUE, "?")</f>
        <v>36-50</v>
      </c>
      <c r="AB1565" s="1">
        <v>2393</v>
      </c>
      <c r="AC1565" s="1">
        <v>0</v>
      </c>
      <c r="AD1565" s="1">
        <v>1</v>
      </c>
      <c r="AE1565" s="1">
        <v>0</v>
      </c>
      <c r="AF1565" s="1">
        <v>0</v>
      </c>
      <c r="AG1565" s="1">
        <v>0</v>
      </c>
      <c r="AH1565" s="1">
        <v>0</v>
      </c>
      <c r="AI1565" s="1">
        <v>1</v>
      </c>
      <c r="AJ1565" s="1">
        <v>0</v>
      </c>
      <c r="AK1565" s="1">
        <v>0</v>
      </c>
      <c r="AL1565" s="1">
        <v>48</v>
      </c>
      <c r="AM1565" s="2">
        <v>42456</v>
      </c>
      <c r="AN1565" t="str">
        <f t="shared" si="49"/>
        <v>30368,50,0.00164646996838778,0,1,97,35,0,13,2,0,2,2,2,0,3,8,0,0,0,0,0,0,0,43,36-50,2393,0,1,0,0,0,0,1,0,0,48,42456</v>
      </c>
    </row>
    <row r="1566" spans="1:40" ht="13" hidden="1" x14ac:dyDescent="0.15">
      <c r="A1566">
        <v>898</v>
      </c>
      <c r="B1566" s="1">
        <v>16927</v>
      </c>
      <c r="C1566" s="1">
        <v>49</v>
      </c>
      <c r="D1566" s="4">
        <f t="shared" si="48"/>
        <v>2.8947834820109881E-3</v>
      </c>
      <c r="E1566" s="1">
        <v>1</v>
      </c>
      <c r="F1566" s="1">
        <v>1</v>
      </c>
      <c r="G1566" s="1">
        <v>50</v>
      </c>
      <c r="H1566" s="1">
        <v>20</v>
      </c>
      <c r="I1566" s="1">
        <v>2</v>
      </c>
      <c r="J1566" s="1">
        <v>23</v>
      </c>
      <c r="K1566" s="1">
        <v>3</v>
      </c>
      <c r="L1566" s="1">
        <v>1</v>
      </c>
      <c r="M1566" s="1">
        <v>4</v>
      </c>
      <c r="N1566" s="1">
        <v>5</v>
      </c>
      <c r="O1566" s="1">
        <v>3</v>
      </c>
      <c r="P1566" s="1">
        <v>0</v>
      </c>
      <c r="Q1566" s="1">
        <v>4</v>
      </c>
      <c r="R1566" s="1">
        <v>8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44</v>
      </c>
      <c r="AA1566" s="1" t="str" cm="1">
        <f t="array" ref="AA1566">_xlfn.IFS(AND(Z1566&lt;36, Z1566&gt;23), "24-35", AND(Z1566&lt;51, Z1566&gt;35),"36-50", AND(Z1566&lt;66, Z1566&gt;50), "51-66", Z1566&gt;65, "66+", TRUE, "?")</f>
        <v>36-50</v>
      </c>
      <c r="AB1566" s="1">
        <v>2663</v>
      </c>
      <c r="AC1566" s="1">
        <v>0</v>
      </c>
      <c r="AD1566" s="1">
        <v>1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1</v>
      </c>
      <c r="AL1566" s="1">
        <v>45</v>
      </c>
      <c r="AM1566" s="2">
        <v>42186</v>
      </c>
      <c r="AN1566" t="str">
        <f t="shared" si="49"/>
        <v>16927,49,0.00289478348201099,1,1,50,20,2,23,3,1,4,5,3,0,4,8,0,0,0,0,0,0,0,44,36-50,2663,0,1,0,0,0,0,0,0,1,45,42186</v>
      </c>
    </row>
    <row r="1567" spans="1:40" ht="13" hidden="1" x14ac:dyDescent="0.15">
      <c r="A1567">
        <v>978</v>
      </c>
      <c r="B1567" s="1">
        <v>38998</v>
      </c>
      <c r="C1567" s="1">
        <v>49</v>
      </c>
      <c r="D1567" s="4">
        <f t="shared" si="48"/>
        <v>1.2564746910097954E-3</v>
      </c>
      <c r="E1567" s="1">
        <v>1</v>
      </c>
      <c r="F1567" s="1">
        <v>1</v>
      </c>
      <c r="G1567" s="1">
        <v>92</v>
      </c>
      <c r="H1567" s="1">
        <v>34</v>
      </c>
      <c r="I1567" s="1">
        <v>1</v>
      </c>
      <c r="J1567" s="1">
        <v>14</v>
      </c>
      <c r="K1567" s="1">
        <v>0</v>
      </c>
      <c r="L1567" s="1">
        <v>0</v>
      </c>
      <c r="M1567" s="1">
        <v>5</v>
      </c>
      <c r="N1567" s="1">
        <v>3</v>
      </c>
      <c r="O1567" s="1">
        <v>2</v>
      </c>
      <c r="P1567" s="1">
        <v>0</v>
      </c>
      <c r="Q1567" s="1">
        <v>3</v>
      </c>
      <c r="R1567" s="1">
        <v>8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1</v>
      </c>
      <c r="Y1567" s="1">
        <v>0</v>
      </c>
      <c r="Z1567" s="1">
        <v>66</v>
      </c>
      <c r="AA1567" s="1" t="str" cm="1">
        <f t="array" ref="AA1567">_xlfn.IFS(AND(Z1567&lt;36, Z1567&gt;23), "24-35", AND(Z1567&lt;51, Z1567&gt;35),"36-50", AND(Z1567&lt;66, Z1567&gt;50), "51-66", Z1567&gt;65, "66+", TRUE, "?")</f>
        <v>66+</v>
      </c>
      <c r="AB1567" s="1">
        <v>2762</v>
      </c>
      <c r="AC1567" s="1">
        <v>0</v>
      </c>
      <c r="AD1567" s="1">
        <v>1</v>
      </c>
      <c r="AE1567" s="1">
        <v>0</v>
      </c>
      <c r="AF1567" s="1">
        <v>0</v>
      </c>
      <c r="AG1567" s="1">
        <v>0</v>
      </c>
      <c r="AH1567" s="1">
        <v>0</v>
      </c>
      <c r="AI1567" s="1">
        <v>1</v>
      </c>
      <c r="AJ1567" s="1">
        <v>0</v>
      </c>
      <c r="AK1567" s="1">
        <v>0</v>
      </c>
      <c r="AL1567" s="1">
        <v>44</v>
      </c>
      <c r="AM1567" s="2">
        <v>42087</v>
      </c>
      <c r="AN1567" t="str">
        <f t="shared" si="49"/>
        <v>38998,49,0.0012564746910098,1,1,92,34,1,14,0,0,5,3,2,0,3,8,0,0,0,0,0,1,0,66,66+,2762,0,1,0,0,0,0,1,0,0,44,42087</v>
      </c>
    </row>
    <row r="1568" spans="1:40" ht="13" hidden="1" x14ac:dyDescent="0.15">
      <c r="A1568">
        <v>1526</v>
      </c>
      <c r="B1568" s="1">
        <v>43602</v>
      </c>
      <c r="C1568" s="1">
        <v>49</v>
      </c>
      <c r="D1568" s="4">
        <f t="shared" si="48"/>
        <v>1.1238016604742901E-3</v>
      </c>
      <c r="E1568" s="1">
        <v>1</v>
      </c>
      <c r="F1568" s="1">
        <v>1</v>
      </c>
      <c r="G1568" s="1">
        <v>45</v>
      </c>
      <c r="H1568" s="1">
        <v>19</v>
      </c>
      <c r="I1568" s="1">
        <v>5</v>
      </c>
      <c r="J1568" s="1">
        <v>12</v>
      </c>
      <c r="K1568" s="1">
        <v>10</v>
      </c>
      <c r="L1568" s="1">
        <v>3</v>
      </c>
      <c r="M1568" s="1">
        <v>19</v>
      </c>
      <c r="N1568" s="1">
        <v>3</v>
      </c>
      <c r="O1568" s="1">
        <v>3</v>
      </c>
      <c r="P1568" s="1">
        <v>1</v>
      </c>
      <c r="Q1568" s="1">
        <v>2</v>
      </c>
      <c r="R1568" s="1">
        <v>6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54</v>
      </c>
      <c r="AA1568" s="1" t="str" cm="1">
        <f t="array" ref="AA1568">_xlfn.IFS(AND(Z1568&lt;36, Z1568&gt;23), "24-35", AND(Z1568&lt;51, Z1568&gt;35),"36-50", AND(Z1568&lt;66, Z1568&gt;50), "51-66", Z1568&gt;65, "66+", TRUE, "?")</f>
        <v>51-66</v>
      </c>
      <c r="AB1568" s="1">
        <v>2329</v>
      </c>
      <c r="AC1568" s="1">
        <v>0</v>
      </c>
      <c r="AD1568" s="1">
        <v>0</v>
      </c>
      <c r="AE1568" s="1">
        <v>1</v>
      </c>
      <c r="AF1568" s="1">
        <v>0</v>
      </c>
      <c r="AG1568" s="1">
        <v>0</v>
      </c>
      <c r="AH1568" s="1">
        <v>0</v>
      </c>
      <c r="AI1568" s="1">
        <v>1</v>
      </c>
      <c r="AJ1568" s="1">
        <v>0</v>
      </c>
      <c r="AK1568" s="1">
        <v>0</v>
      </c>
      <c r="AL1568" s="1">
        <v>30</v>
      </c>
      <c r="AM1568" s="2">
        <v>42520</v>
      </c>
      <c r="AN1568" t="str">
        <f t="shared" si="49"/>
        <v>43602,49,0.00112380166047429,1,1,45,19,5,12,10,3,19,3,3,1,2,6,0,0,0,0,0,0,0,54,51-66,2329,0,0,1,0,0,0,1,0,0,30,42520</v>
      </c>
    </row>
    <row r="1569" spans="1:40" ht="13" hidden="1" x14ac:dyDescent="0.15">
      <c r="A1569">
        <v>4</v>
      </c>
      <c r="B1569" s="1">
        <v>26646</v>
      </c>
      <c r="C1569" s="1">
        <v>48</v>
      </c>
      <c r="D1569" s="4">
        <f t="shared" si="48"/>
        <v>1.8013960819635217E-3</v>
      </c>
      <c r="E1569" s="1">
        <v>1</v>
      </c>
      <c r="F1569" s="1">
        <v>0</v>
      </c>
      <c r="G1569" s="1">
        <v>26</v>
      </c>
      <c r="H1569" s="1">
        <v>11</v>
      </c>
      <c r="I1569" s="1">
        <v>4</v>
      </c>
      <c r="J1569" s="1">
        <v>20</v>
      </c>
      <c r="K1569" s="1">
        <v>10</v>
      </c>
      <c r="L1569" s="1">
        <v>3</v>
      </c>
      <c r="M1569" s="1">
        <v>5</v>
      </c>
      <c r="N1569" s="1">
        <v>2</v>
      </c>
      <c r="O1569" s="1">
        <v>2</v>
      </c>
      <c r="P1569" s="1">
        <v>0</v>
      </c>
      <c r="Q1569" s="1">
        <v>4</v>
      </c>
      <c r="R1569" s="1">
        <v>6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36</v>
      </c>
      <c r="AA1569" s="1" t="str" cm="1">
        <f t="array" ref="AA1569">_xlfn.IFS(AND(Z1569&lt;36, Z1569&gt;23), "24-35", AND(Z1569&lt;51, Z1569&gt;35),"36-50", AND(Z1569&lt;66, Z1569&gt;50), "51-66", Z1569&gt;65, "66+", TRUE, "?")</f>
        <v>36-50</v>
      </c>
      <c r="AB1569" s="1">
        <v>2298</v>
      </c>
      <c r="AC1569" s="1">
        <v>0</v>
      </c>
      <c r="AD1569" s="1">
        <v>0</v>
      </c>
      <c r="AE1569" s="1">
        <v>0</v>
      </c>
      <c r="AF1569" s="1">
        <v>1</v>
      </c>
      <c r="AG1569" s="1">
        <v>0</v>
      </c>
      <c r="AH1569" s="1">
        <v>0</v>
      </c>
      <c r="AI1569" s="1">
        <v>1</v>
      </c>
      <c r="AJ1569" s="1">
        <v>0</v>
      </c>
      <c r="AK1569" s="1">
        <v>0</v>
      </c>
      <c r="AL1569" s="1">
        <v>43</v>
      </c>
      <c r="AM1569" s="2">
        <v>42551</v>
      </c>
      <c r="AN1569" t="str">
        <f t="shared" si="49"/>
        <v>26646,48,0.00180139608196352,1,0,26,11,4,20,10,3,5,2,2,0,4,6,0,0,0,0,0,0,0,36,36-50,2298,0,0,0,1,0,0,1,0,0,43,42551</v>
      </c>
    </row>
    <row r="1570" spans="1:40" ht="13" hidden="1" x14ac:dyDescent="0.15">
      <c r="A1570">
        <v>165</v>
      </c>
      <c r="B1570" s="1">
        <v>16248</v>
      </c>
      <c r="C1570" s="1">
        <v>48</v>
      </c>
      <c r="D1570" s="4">
        <f t="shared" si="48"/>
        <v>2.9542097488921715E-3</v>
      </c>
      <c r="E1570" s="1">
        <v>1</v>
      </c>
      <c r="F1570" s="1">
        <v>0</v>
      </c>
      <c r="G1570" s="1">
        <v>77</v>
      </c>
      <c r="H1570" s="1">
        <v>12</v>
      </c>
      <c r="I1570" s="1">
        <v>11</v>
      </c>
      <c r="J1570" s="1">
        <v>10</v>
      </c>
      <c r="K1570" s="1">
        <v>3</v>
      </c>
      <c r="L1570" s="1">
        <v>12</v>
      </c>
      <c r="M1570" s="1">
        <v>9</v>
      </c>
      <c r="N1570" s="1">
        <v>3</v>
      </c>
      <c r="O1570" s="1">
        <v>2</v>
      </c>
      <c r="P1570" s="1">
        <v>1</v>
      </c>
      <c r="Q1570" s="1">
        <v>3</v>
      </c>
      <c r="R1570" s="1">
        <v>6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32</v>
      </c>
      <c r="AA1570" s="1" t="str" cm="1">
        <f t="array" ref="AA1570">_xlfn.IFS(AND(Z1570&lt;36, Z1570&gt;23), "24-35", AND(Z1570&lt;51, Z1570&gt;35),"36-50", AND(Z1570&lt;66, Z1570&gt;50), "51-66", Z1570&gt;65, "66+", TRUE, "?")</f>
        <v>24-35</v>
      </c>
      <c r="AB1570" s="1">
        <v>2209</v>
      </c>
      <c r="AC1570" s="1">
        <v>0</v>
      </c>
      <c r="AD1570" s="1">
        <v>1</v>
      </c>
      <c r="AE1570" s="1">
        <v>0</v>
      </c>
      <c r="AF1570" s="1">
        <v>0</v>
      </c>
      <c r="AG1570" s="1">
        <v>0</v>
      </c>
      <c r="AH1570" s="1">
        <v>1</v>
      </c>
      <c r="AI1570" s="1">
        <v>0</v>
      </c>
      <c r="AJ1570" s="1">
        <v>0</v>
      </c>
      <c r="AK1570" s="1">
        <v>0</v>
      </c>
      <c r="AL1570" s="1">
        <v>39</v>
      </c>
      <c r="AM1570" s="2">
        <v>42640</v>
      </c>
      <c r="AN1570" t="str">
        <f t="shared" si="49"/>
        <v>16248,48,0.00295420974889217,1,0,77,12,11,10,3,12,9,3,2,1,3,6,0,0,0,0,0,0,0,32,24-35,2209,0,1,0,0,0,1,0,0,0,39,42640</v>
      </c>
    </row>
    <row r="1571" spans="1:40" ht="13" hidden="1" x14ac:dyDescent="0.15">
      <c r="A1571">
        <v>217</v>
      </c>
      <c r="B1571" s="1">
        <v>22212</v>
      </c>
      <c r="C1571" s="1">
        <v>48</v>
      </c>
      <c r="D1571" s="4">
        <f t="shared" si="48"/>
        <v>2.1609940572663426E-3</v>
      </c>
      <c r="E1571" s="1">
        <v>1</v>
      </c>
      <c r="F1571" s="1">
        <v>0</v>
      </c>
      <c r="G1571" s="1">
        <v>49</v>
      </c>
      <c r="H1571" s="1">
        <v>5</v>
      </c>
      <c r="I1571" s="1">
        <v>9</v>
      </c>
      <c r="J1571" s="1">
        <v>20</v>
      </c>
      <c r="K1571" s="1">
        <v>6</v>
      </c>
      <c r="L1571" s="1">
        <v>8</v>
      </c>
      <c r="M1571" s="1">
        <v>21</v>
      </c>
      <c r="N1571" s="1">
        <v>2</v>
      </c>
      <c r="O1571" s="1">
        <v>2</v>
      </c>
      <c r="P1571" s="1">
        <v>0</v>
      </c>
      <c r="Q1571" s="1">
        <v>4</v>
      </c>
      <c r="R1571" s="1">
        <v>6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45</v>
      </c>
      <c r="AA1571" s="1" t="str" cm="1">
        <f t="array" ref="AA1571">_xlfn.IFS(AND(Z1571&lt;36, Z1571&gt;23), "24-35", AND(Z1571&lt;51, Z1571&gt;35),"36-50", AND(Z1571&lt;66, Z1571&gt;50), "51-66", Z1571&gt;65, "66+", TRUE, "?")</f>
        <v>36-50</v>
      </c>
      <c r="AB1571" s="1">
        <v>2361</v>
      </c>
      <c r="AC1571" s="1">
        <v>0</v>
      </c>
      <c r="AD1571" s="1">
        <v>1</v>
      </c>
      <c r="AE1571" s="1">
        <v>0</v>
      </c>
      <c r="AF1571" s="1">
        <v>0</v>
      </c>
      <c r="AG1571" s="1">
        <v>0</v>
      </c>
      <c r="AH1571" s="1">
        <v>1</v>
      </c>
      <c r="AI1571" s="1">
        <v>0</v>
      </c>
      <c r="AJ1571" s="1">
        <v>0</v>
      </c>
      <c r="AK1571" s="1">
        <v>0</v>
      </c>
      <c r="AL1571" s="1">
        <v>27</v>
      </c>
      <c r="AM1571" s="2">
        <v>42488</v>
      </c>
      <c r="AN1571" t="str">
        <f t="shared" si="49"/>
        <v>22212,48,0.00216099405726634,1,0,49,5,9,20,6,8,21,2,2,0,4,6,0,0,0,0,0,0,0,45,36-50,2361,0,1,0,0,0,1,0,0,0,27,42488</v>
      </c>
    </row>
    <row r="1572" spans="1:40" ht="13" hidden="1" x14ac:dyDescent="0.15">
      <c r="A1572">
        <v>565</v>
      </c>
      <c r="B1572" s="1">
        <v>26224</v>
      </c>
      <c r="C1572" s="1">
        <v>48</v>
      </c>
      <c r="D1572" s="4">
        <f t="shared" si="48"/>
        <v>1.8303843807199512E-3</v>
      </c>
      <c r="E1572" s="1">
        <v>1</v>
      </c>
      <c r="F1572" s="1">
        <v>0</v>
      </c>
      <c r="G1572" s="1">
        <v>39</v>
      </c>
      <c r="H1572" s="1">
        <v>4</v>
      </c>
      <c r="I1572" s="1">
        <v>7</v>
      </c>
      <c r="J1572" s="1">
        <v>15</v>
      </c>
      <c r="K1572" s="1">
        <v>13</v>
      </c>
      <c r="L1572" s="1">
        <v>9</v>
      </c>
      <c r="M1572" s="1">
        <v>15</v>
      </c>
      <c r="N1572" s="1">
        <v>3</v>
      </c>
      <c r="O1572" s="1">
        <v>2</v>
      </c>
      <c r="P1572" s="1">
        <v>1</v>
      </c>
      <c r="Q1572" s="1">
        <v>3</v>
      </c>
      <c r="R1572" s="1">
        <v>6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42</v>
      </c>
      <c r="AA1572" s="1" t="str" cm="1">
        <f t="array" ref="AA1572">_xlfn.IFS(AND(Z1572&lt;36, Z1572&gt;23), "24-35", AND(Z1572&lt;51, Z1572&gt;35),"36-50", AND(Z1572&lt;66, Z1572&gt;50), "51-66", Z1572&gt;65, "66+", TRUE, "?")</f>
        <v>36-50</v>
      </c>
      <c r="AB1572" s="1">
        <v>2549</v>
      </c>
      <c r="AC1572" s="1">
        <v>0</v>
      </c>
      <c r="AD1572" s="1">
        <v>1</v>
      </c>
      <c r="AE1572" s="1">
        <v>0</v>
      </c>
      <c r="AF1572" s="1">
        <v>0</v>
      </c>
      <c r="AG1572" s="1">
        <v>0</v>
      </c>
      <c r="AH1572" s="1">
        <v>1</v>
      </c>
      <c r="AI1572" s="1">
        <v>0</v>
      </c>
      <c r="AJ1572" s="1">
        <v>0</v>
      </c>
      <c r="AK1572" s="1">
        <v>0</v>
      </c>
      <c r="AL1572" s="1">
        <v>33</v>
      </c>
      <c r="AM1572" s="2">
        <v>42300</v>
      </c>
      <c r="AN1572" t="str">
        <f t="shared" si="49"/>
        <v>26224,48,0.00183038438071995,1,0,39,4,7,15,13,9,15,3,2,1,3,6,0,0,0,0,0,0,0,42,36-50,2549,0,1,0,0,0,1,0,0,0,33,42300</v>
      </c>
    </row>
    <row r="1573" spans="1:40" ht="13" hidden="1" x14ac:dyDescent="0.15">
      <c r="A1573">
        <v>1111</v>
      </c>
      <c r="B1573" s="1">
        <v>15056</v>
      </c>
      <c r="C1573" s="1">
        <v>48</v>
      </c>
      <c r="D1573" s="4">
        <f t="shared" si="48"/>
        <v>3.188097768331562E-3</v>
      </c>
      <c r="E1573" s="1">
        <v>1</v>
      </c>
      <c r="F1573" s="1">
        <v>1</v>
      </c>
      <c r="G1573" s="1">
        <v>76</v>
      </c>
      <c r="H1573" s="1">
        <v>6</v>
      </c>
      <c r="I1573" s="1">
        <v>12</v>
      </c>
      <c r="J1573" s="1">
        <v>3</v>
      </c>
      <c r="K1573" s="1">
        <v>21</v>
      </c>
      <c r="L1573" s="1">
        <v>6</v>
      </c>
      <c r="M1573" s="1">
        <v>40</v>
      </c>
      <c r="N1573" s="1">
        <v>5</v>
      </c>
      <c r="O1573" s="1">
        <v>2</v>
      </c>
      <c r="P1573" s="1">
        <v>2</v>
      </c>
      <c r="Q1573" s="1">
        <v>3</v>
      </c>
      <c r="R1573" s="1">
        <v>5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62</v>
      </c>
      <c r="AA1573" s="1" t="str" cm="1">
        <f t="array" ref="AA1573">_xlfn.IFS(AND(Z1573&lt;36, Z1573&gt;23), "24-35", AND(Z1573&lt;51, Z1573&gt;35),"36-50", AND(Z1573&lt;66, Z1573&gt;50), "51-66", Z1573&gt;65, "66+", TRUE, "?")</f>
        <v>51-66</v>
      </c>
      <c r="AB1573" s="1">
        <v>2581</v>
      </c>
      <c r="AC1573" s="1">
        <v>0</v>
      </c>
      <c r="AD1573" s="1">
        <v>0</v>
      </c>
      <c r="AE1573" s="1">
        <v>1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8</v>
      </c>
      <c r="AM1573" s="2">
        <v>42268</v>
      </c>
      <c r="AN1573" t="str">
        <f t="shared" si="49"/>
        <v>15056,48,0.00318809776833156,1,1,76,6,12,3,21,6,40,5,2,2,3,5,0,0,0,0,0,0,0,62,51-66,2581,0,0,1,0,0,0,0,0,0,8,42268</v>
      </c>
    </row>
    <row r="1574" spans="1:40" ht="13" hidden="1" x14ac:dyDescent="0.15">
      <c r="A1574">
        <v>1327</v>
      </c>
      <c r="B1574" s="1">
        <v>38741</v>
      </c>
      <c r="C1574" s="1">
        <v>48</v>
      </c>
      <c r="D1574" s="4">
        <f t="shared" si="48"/>
        <v>1.2389974445677705E-3</v>
      </c>
      <c r="E1574" s="1">
        <v>1</v>
      </c>
      <c r="F1574" s="1">
        <v>1</v>
      </c>
      <c r="G1574" s="1">
        <v>60</v>
      </c>
      <c r="H1574" s="1">
        <v>7</v>
      </c>
      <c r="I1574" s="1">
        <v>10</v>
      </c>
      <c r="J1574" s="1">
        <v>17</v>
      </c>
      <c r="K1574" s="1">
        <v>8</v>
      </c>
      <c r="L1574" s="1">
        <v>6</v>
      </c>
      <c r="M1574" s="1">
        <v>13</v>
      </c>
      <c r="N1574" s="1">
        <v>2</v>
      </c>
      <c r="O1574" s="1">
        <v>2</v>
      </c>
      <c r="P1574" s="1">
        <v>0</v>
      </c>
      <c r="Q1574" s="1">
        <v>3</v>
      </c>
      <c r="R1574" s="1">
        <v>7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62</v>
      </c>
      <c r="AA1574" s="1" t="str" cm="1">
        <f t="array" ref="AA1574">_xlfn.IFS(AND(Z1574&lt;36, Z1574&gt;23), "24-35", AND(Z1574&lt;51, Z1574&gt;35),"36-50", AND(Z1574&lt;66, Z1574&gt;50), "51-66", Z1574&gt;65, "66+", TRUE, "?")</f>
        <v>51-66</v>
      </c>
      <c r="AB1574" s="1">
        <v>2250</v>
      </c>
      <c r="AC1574" s="1">
        <v>0</v>
      </c>
      <c r="AD1574" s="1">
        <v>0</v>
      </c>
      <c r="AE1574" s="1">
        <v>1</v>
      </c>
      <c r="AF1574" s="1">
        <v>0</v>
      </c>
      <c r="AG1574" s="1">
        <v>0</v>
      </c>
      <c r="AH1574" s="1">
        <v>1</v>
      </c>
      <c r="AI1574" s="1">
        <v>0</v>
      </c>
      <c r="AJ1574" s="1">
        <v>0</v>
      </c>
      <c r="AK1574" s="1">
        <v>0</v>
      </c>
      <c r="AL1574" s="1">
        <v>35</v>
      </c>
      <c r="AM1574" s="2">
        <v>42599</v>
      </c>
      <c r="AN1574" t="str">
        <f t="shared" si="49"/>
        <v>38741,48,0.00123899744456777,1,1,60,7,10,17,8,6,13,2,2,0,3,7,0,0,0,0,0,0,0,62,51-66,2250,0,0,1,0,0,1,0,0,0,35,42599</v>
      </c>
    </row>
    <row r="1575" spans="1:40" ht="13" hidden="1" x14ac:dyDescent="0.15">
      <c r="A1575">
        <v>1908</v>
      </c>
      <c r="B1575" s="1">
        <v>14188</v>
      </c>
      <c r="C1575" s="1">
        <v>48</v>
      </c>
      <c r="D1575" s="4">
        <f t="shared" si="48"/>
        <v>3.3831406822667043E-3</v>
      </c>
      <c r="E1575" s="1">
        <v>0</v>
      </c>
      <c r="F1575" s="1">
        <v>0</v>
      </c>
      <c r="G1575" s="1">
        <v>40</v>
      </c>
      <c r="H1575" s="1">
        <v>2</v>
      </c>
      <c r="I1575" s="1">
        <v>7</v>
      </c>
      <c r="J1575" s="1">
        <v>11</v>
      </c>
      <c r="K1575" s="1">
        <v>16</v>
      </c>
      <c r="L1575" s="1">
        <v>12</v>
      </c>
      <c r="M1575" s="1">
        <v>27</v>
      </c>
      <c r="N1575" s="1">
        <v>1</v>
      </c>
      <c r="O1575" s="1">
        <v>2</v>
      </c>
      <c r="P1575" s="1">
        <v>0</v>
      </c>
      <c r="Q1575" s="1">
        <v>4</v>
      </c>
      <c r="R1575" s="1">
        <v>6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48</v>
      </c>
      <c r="AA1575" s="1" t="str" cm="1">
        <f t="array" ref="AA1575">_xlfn.IFS(AND(Z1575&lt;36, Z1575&gt;23), "24-35", AND(Z1575&lt;51, Z1575&gt;35),"36-50", AND(Z1575&lt;66, Z1575&gt;50), "51-66", Z1575&gt;65, "66+", TRUE, "?")</f>
        <v>36-50</v>
      </c>
      <c r="AB1575" s="1">
        <v>2645</v>
      </c>
      <c r="AC1575" s="1">
        <v>0</v>
      </c>
      <c r="AD1575" s="1">
        <v>1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21</v>
      </c>
      <c r="AM1575" s="2">
        <v>42204</v>
      </c>
      <c r="AN1575" t="str">
        <f t="shared" si="49"/>
        <v>14188,48,0.0033831406822667,0,0,40,2,7,11,16,12,27,1,2,0,4,6,0,0,0,0,0,0,0,48,36-50,2645,0,1,0,0,0,0,0,0,0,21,42204</v>
      </c>
    </row>
    <row r="1576" spans="1:40" ht="13" hidden="1" x14ac:dyDescent="0.15">
      <c r="A1576">
        <v>2010</v>
      </c>
      <c r="B1576" s="1">
        <v>33562</v>
      </c>
      <c r="C1576" s="1">
        <v>48</v>
      </c>
      <c r="D1576" s="4">
        <f t="shared" si="48"/>
        <v>1.4301889041177522E-3</v>
      </c>
      <c r="E1576" s="1">
        <v>1</v>
      </c>
      <c r="F1576" s="1">
        <v>2</v>
      </c>
      <c r="G1576" s="1">
        <v>33</v>
      </c>
      <c r="H1576" s="1">
        <v>21</v>
      </c>
      <c r="I1576" s="1">
        <v>12</v>
      </c>
      <c r="J1576" s="1">
        <v>12</v>
      </c>
      <c r="K1576" s="1">
        <v>0</v>
      </c>
      <c r="L1576" s="1">
        <v>3</v>
      </c>
      <c r="M1576" s="1">
        <v>3</v>
      </c>
      <c r="N1576" s="1">
        <v>3</v>
      </c>
      <c r="O1576" s="1">
        <v>2</v>
      </c>
      <c r="P1576" s="1">
        <v>0</v>
      </c>
      <c r="Q1576" s="1">
        <v>4</v>
      </c>
      <c r="R1576" s="1">
        <v>4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57</v>
      </c>
      <c r="AA1576" s="1" t="str" cm="1">
        <f t="array" ref="AA1576">_xlfn.IFS(AND(Z1576&lt;36, Z1576&gt;23), "24-35", AND(Z1576&lt;51, Z1576&gt;35),"36-50", AND(Z1576&lt;66, Z1576&gt;50), "51-66", Z1576&gt;65, "66+", TRUE, "?")</f>
        <v>51-66</v>
      </c>
      <c r="AB1576" s="1">
        <v>2163</v>
      </c>
      <c r="AC1576" s="1">
        <v>0</v>
      </c>
      <c r="AD1576" s="1">
        <v>1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1</v>
      </c>
      <c r="AK1576" s="1">
        <v>0</v>
      </c>
      <c r="AL1576" s="1">
        <v>45</v>
      </c>
      <c r="AM1576" s="2">
        <v>42686</v>
      </c>
      <c r="AN1576" t="str">
        <f t="shared" si="49"/>
        <v>33562,48,0.00143018890411775,1,2,33,21,12,12,0,3,3,3,2,0,4,4,0,0,0,0,0,0,0,57,51-66,2163,0,1,0,0,0,0,0,1,0,45,42686</v>
      </c>
    </row>
    <row r="1577" spans="1:40" ht="13" hidden="1" x14ac:dyDescent="0.15">
      <c r="A1577">
        <v>526</v>
      </c>
      <c r="B1577" s="1">
        <v>15315</v>
      </c>
      <c r="C1577" s="1">
        <v>47</v>
      </c>
      <c r="D1577" s="4">
        <f t="shared" si="48"/>
        <v>3.0688867123734899E-3</v>
      </c>
      <c r="E1577" s="1">
        <v>0</v>
      </c>
      <c r="F1577" s="1">
        <v>0</v>
      </c>
      <c r="G1577" s="1">
        <v>27</v>
      </c>
      <c r="H1577" s="1">
        <v>7</v>
      </c>
      <c r="I1577" s="1">
        <v>4</v>
      </c>
      <c r="J1577" s="1">
        <v>13</v>
      </c>
      <c r="K1577" s="1">
        <v>15</v>
      </c>
      <c r="L1577" s="1">
        <v>8</v>
      </c>
      <c r="M1577" s="1">
        <v>17</v>
      </c>
      <c r="N1577" s="1">
        <v>2</v>
      </c>
      <c r="O1577" s="1">
        <v>2</v>
      </c>
      <c r="P1577" s="1">
        <v>0</v>
      </c>
      <c r="Q1577" s="1">
        <v>4</v>
      </c>
      <c r="R1577" s="1">
        <v>5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50</v>
      </c>
      <c r="AA1577" s="1" t="str" cm="1">
        <f t="array" ref="AA1577">_xlfn.IFS(AND(Z1577&lt;36, Z1577&gt;23), "24-35", AND(Z1577&lt;51, Z1577&gt;35),"36-50", AND(Z1577&lt;66, Z1577&gt;50), "51-66", Z1577&gt;65, "66+", TRUE, "?")</f>
        <v>36-50</v>
      </c>
      <c r="AB1577" s="1">
        <v>2489</v>
      </c>
      <c r="AC1577" s="1">
        <v>0</v>
      </c>
      <c r="AD1577" s="1">
        <v>1</v>
      </c>
      <c r="AE1577" s="1">
        <v>0</v>
      </c>
      <c r="AF1577" s="1">
        <v>0</v>
      </c>
      <c r="AG1577" s="1">
        <v>0</v>
      </c>
      <c r="AH1577" s="1">
        <v>1</v>
      </c>
      <c r="AI1577" s="1">
        <v>0</v>
      </c>
      <c r="AJ1577" s="1">
        <v>0</v>
      </c>
      <c r="AK1577" s="1">
        <v>0</v>
      </c>
      <c r="AL1577" s="1">
        <v>30</v>
      </c>
      <c r="AM1577" s="2">
        <v>42360</v>
      </c>
      <c r="AN1577" t="str">
        <f t="shared" si="49"/>
        <v>15315,47,0.00306888671237349,0,0,27,7,4,13,15,8,17,2,2,0,4,5,0,0,0,0,0,0,0,50,36-50,2489,0,1,0,0,0,1,0,0,0,30,42360</v>
      </c>
    </row>
    <row r="1578" spans="1:40" ht="13" hidden="1" x14ac:dyDescent="0.15">
      <c r="A1578">
        <v>828</v>
      </c>
      <c r="B1578" s="1">
        <v>35797</v>
      </c>
      <c r="C1578" s="1">
        <v>47</v>
      </c>
      <c r="D1578" s="4">
        <f t="shared" si="48"/>
        <v>1.3129591865240105E-3</v>
      </c>
      <c r="E1578" s="1">
        <v>0</v>
      </c>
      <c r="F1578" s="1">
        <v>1</v>
      </c>
      <c r="G1578" s="1">
        <v>16</v>
      </c>
      <c r="H1578" s="1">
        <v>27</v>
      </c>
      <c r="I1578" s="1">
        <v>1</v>
      </c>
      <c r="J1578" s="1">
        <v>14</v>
      </c>
      <c r="K1578" s="1">
        <v>4</v>
      </c>
      <c r="L1578" s="1">
        <v>1</v>
      </c>
      <c r="M1578" s="1">
        <v>21</v>
      </c>
      <c r="N1578" s="1">
        <v>2</v>
      </c>
      <c r="O1578" s="1">
        <v>2</v>
      </c>
      <c r="P1578" s="1">
        <v>0</v>
      </c>
      <c r="Q1578" s="1">
        <v>3</v>
      </c>
      <c r="R1578" s="1">
        <v>8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45</v>
      </c>
      <c r="AA1578" s="1" t="str" cm="1">
        <f t="array" ref="AA1578">_xlfn.IFS(AND(Z1578&lt;36, Z1578&gt;23), "24-35", AND(Z1578&lt;51, Z1578&gt;35),"36-50", AND(Z1578&lt;66, Z1578&gt;50), "51-66", Z1578&gt;65, "66+", TRUE, "?")</f>
        <v>36-50</v>
      </c>
      <c r="AB1578" s="1">
        <v>2780</v>
      </c>
      <c r="AC1578" s="1">
        <v>0</v>
      </c>
      <c r="AD1578" s="1">
        <v>1</v>
      </c>
      <c r="AE1578" s="1">
        <v>0</v>
      </c>
      <c r="AF1578" s="1">
        <v>0</v>
      </c>
      <c r="AG1578" s="1">
        <v>0</v>
      </c>
      <c r="AH1578" s="1">
        <v>0</v>
      </c>
      <c r="AI1578" s="1">
        <v>1</v>
      </c>
      <c r="AJ1578" s="1">
        <v>0</v>
      </c>
      <c r="AK1578" s="1">
        <v>0</v>
      </c>
      <c r="AL1578" s="1">
        <v>26</v>
      </c>
      <c r="AM1578" s="2">
        <v>42069</v>
      </c>
      <c r="AN1578" t="str">
        <f t="shared" si="49"/>
        <v>35797,47,0.00131295918652401,0,1,16,27,1,14,4,1,21,2,2,0,3,8,0,0,0,0,0,0,0,45,36-50,2780,0,1,0,0,0,0,1,0,0,26,42069</v>
      </c>
    </row>
    <row r="1579" spans="1:40" ht="13" hidden="1" x14ac:dyDescent="0.15">
      <c r="A1579">
        <v>973</v>
      </c>
      <c r="B1579" s="1">
        <v>37334</v>
      </c>
      <c r="C1579" s="1">
        <v>47</v>
      </c>
      <c r="D1579" s="4">
        <f t="shared" si="48"/>
        <v>1.2589060909626614E-3</v>
      </c>
      <c r="E1579" s="1">
        <v>1</v>
      </c>
      <c r="F1579" s="1">
        <v>1</v>
      </c>
      <c r="G1579" s="1">
        <v>44</v>
      </c>
      <c r="H1579" s="1">
        <v>26</v>
      </c>
      <c r="I1579" s="1">
        <v>1</v>
      </c>
      <c r="J1579" s="1">
        <v>16</v>
      </c>
      <c r="K1579" s="1">
        <v>2</v>
      </c>
      <c r="L1579" s="1">
        <v>2</v>
      </c>
      <c r="M1579" s="1">
        <v>15</v>
      </c>
      <c r="N1579" s="1">
        <v>4</v>
      </c>
      <c r="O1579" s="1">
        <v>3</v>
      </c>
      <c r="P1579" s="1">
        <v>0</v>
      </c>
      <c r="Q1579" s="1">
        <v>4</v>
      </c>
      <c r="R1579" s="1">
        <v>4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62</v>
      </c>
      <c r="AA1579" s="1" t="str" cm="1">
        <f t="array" ref="AA1579">_xlfn.IFS(AND(Z1579&lt;36, Z1579&gt;23), "24-35", AND(Z1579&lt;51, Z1579&gt;35),"36-50", AND(Z1579&lt;66, Z1579&gt;50), "51-66", Z1579&gt;65, "66+", TRUE, "?")</f>
        <v>51-66</v>
      </c>
      <c r="AB1579" s="1">
        <v>2282</v>
      </c>
      <c r="AC1579" s="1">
        <v>0</v>
      </c>
      <c r="AD1579" s="1">
        <v>0</v>
      </c>
      <c r="AE1579" s="1">
        <v>0</v>
      </c>
      <c r="AF1579" s="1">
        <v>1</v>
      </c>
      <c r="AG1579" s="1">
        <v>0</v>
      </c>
      <c r="AH1579" s="1">
        <v>0</v>
      </c>
      <c r="AI1579" s="1">
        <v>0</v>
      </c>
      <c r="AJ1579" s="1">
        <v>0</v>
      </c>
      <c r="AK1579" s="1">
        <v>1</v>
      </c>
      <c r="AL1579" s="1">
        <v>32</v>
      </c>
      <c r="AM1579" s="2">
        <v>42567</v>
      </c>
      <c r="AN1579" t="str">
        <f t="shared" si="49"/>
        <v>37334,47,0.00125890609096266,1,1,44,26,1,16,2,2,15,4,3,0,4,4,0,0,0,0,0,0,0,62,51-66,2282,0,0,0,1,0,0,0,0,1,32,42567</v>
      </c>
    </row>
    <row r="1580" spans="1:40" ht="13" hidden="1" x14ac:dyDescent="0.15">
      <c r="A1580">
        <v>1702</v>
      </c>
      <c r="B1580" s="1">
        <v>32889</v>
      </c>
      <c r="C1580" s="1">
        <v>47</v>
      </c>
      <c r="D1580" s="4">
        <f t="shared" si="48"/>
        <v>1.4290492261850468E-3</v>
      </c>
      <c r="E1580" s="1">
        <v>1</v>
      </c>
      <c r="F1580" s="1">
        <v>1</v>
      </c>
      <c r="G1580" s="1">
        <v>78</v>
      </c>
      <c r="H1580" s="1">
        <v>28</v>
      </c>
      <c r="I1580" s="1">
        <v>0</v>
      </c>
      <c r="J1580" s="1">
        <v>13</v>
      </c>
      <c r="K1580" s="1">
        <v>4</v>
      </c>
      <c r="L1580" s="1">
        <v>2</v>
      </c>
      <c r="M1580" s="1">
        <v>8</v>
      </c>
      <c r="N1580" s="1">
        <v>3</v>
      </c>
      <c r="O1580" s="1">
        <v>2</v>
      </c>
      <c r="P1580" s="1">
        <v>1</v>
      </c>
      <c r="Q1580" s="1">
        <v>3</v>
      </c>
      <c r="R1580" s="1">
        <v>5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52</v>
      </c>
      <c r="AA1580" s="1" t="str" cm="1">
        <f t="array" ref="AA1580">_xlfn.IFS(AND(Z1580&lt;36, Z1580&gt;23), "24-35", AND(Z1580&lt;51, Z1580&gt;35),"36-50", AND(Z1580&lt;66, Z1580&gt;50), "51-66", Z1580&gt;65, "66+", TRUE, "?")</f>
        <v>51-66</v>
      </c>
      <c r="AB1580" s="1">
        <v>2455</v>
      </c>
      <c r="AC1580" s="1">
        <v>0</v>
      </c>
      <c r="AD1580" s="1">
        <v>0</v>
      </c>
      <c r="AE1580" s="1">
        <v>0</v>
      </c>
      <c r="AF1580" s="1">
        <v>1</v>
      </c>
      <c r="AG1580" s="1">
        <v>0</v>
      </c>
      <c r="AH1580" s="1">
        <v>0</v>
      </c>
      <c r="AI1580" s="1">
        <v>0</v>
      </c>
      <c r="AJ1580" s="1">
        <v>1</v>
      </c>
      <c r="AK1580" s="1">
        <v>0</v>
      </c>
      <c r="AL1580" s="1">
        <v>39</v>
      </c>
      <c r="AM1580" s="2">
        <v>42394</v>
      </c>
      <c r="AN1580" t="str">
        <f t="shared" si="49"/>
        <v>32889,47,0.00142904922618505,1,1,78,28,0,13,4,2,8,3,2,1,3,5,0,0,0,0,0,0,0,52,51-66,2455,0,0,0,1,0,0,0,1,0,39,42394</v>
      </c>
    </row>
    <row r="1581" spans="1:40" ht="13" hidden="1" x14ac:dyDescent="0.15">
      <c r="A1581">
        <v>1747</v>
      </c>
      <c r="B1581" s="1">
        <v>31878</v>
      </c>
      <c r="C1581" s="1">
        <v>47</v>
      </c>
      <c r="D1581" s="4">
        <f t="shared" si="48"/>
        <v>1.474371039588431E-3</v>
      </c>
      <c r="E1581" s="1">
        <v>0</v>
      </c>
      <c r="F1581" s="1">
        <v>1</v>
      </c>
      <c r="G1581" s="1">
        <v>7</v>
      </c>
      <c r="H1581" s="1">
        <v>23</v>
      </c>
      <c r="I1581" s="1">
        <v>4</v>
      </c>
      <c r="J1581" s="1">
        <v>5</v>
      </c>
      <c r="K1581" s="1">
        <v>10</v>
      </c>
      <c r="L1581" s="1">
        <v>5</v>
      </c>
      <c r="M1581" s="1">
        <v>23</v>
      </c>
      <c r="N1581" s="1">
        <v>1</v>
      </c>
      <c r="O1581" s="1">
        <v>1</v>
      </c>
      <c r="P1581" s="1">
        <v>0</v>
      </c>
      <c r="Q1581" s="1">
        <v>4</v>
      </c>
      <c r="R1581" s="1">
        <v>3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43</v>
      </c>
      <c r="AA1581" s="1" t="str" cm="1">
        <f t="array" ref="AA1581">_xlfn.IFS(AND(Z1581&lt;36, Z1581&gt;23), "24-35", AND(Z1581&lt;51, Z1581&gt;35),"36-50", AND(Z1581&lt;66, Z1581&gt;50), "51-66", Z1581&gt;65, "66+", TRUE, "?")</f>
        <v>36-50</v>
      </c>
      <c r="AB1581" s="1">
        <v>2166</v>
      </c>
      <c r="AC1581" s="1">
        <v>0</v>
      </c>
      <c r="AD1581" s="1">
        <v>0</v>
      </c>
      <c r="AE1581" s="1">
        <v>1</v>
      </c>
      <c r="AF1581" s="1">
        <v>0</v>
      </c>
      <c r="AG1581" s="1">
        <v>0</v>
      </c>
      <c r="AH1581" s="1">
        <v>1</v>
      </c>
      <c r="AI1581" s="1">
        <v>0</v>
      </c>
      <c r="AJ1581" s="1">
        <v>0</v>
      </c>
      <c r="AK1581" s="1">
        <v>0</v>
      </c>
      <c r="AL1581" s="1">
        <v>24</v>
      </c>
      <c r="AM1581" s="2">
        <v>42683</v>
      </c>
      <c r="AN1581" t="str">
        <f t="shared" si="49"/>
        <v>31878,47,0.00147437103958843,0,1,7,23,4,5,10,5,23,1,1,0,4,3,0,0,0,0,0,0,0,43,36-50,2166,0,0,1,0,0,1,0,0,0,24,42683</v>
      </c>
    </row>
    <row r="1582" spans="1:40" ht="13" x14ac:dyDescent="0.15">
      <c r="A1582">
        <v>1818</v>
      </c>
      <c r="B1582" s="1">
        <v>23616</v>
      </c>
      <c r="C1582" s="1">
        <v>47</v>
      </c>
      <c r="D1582" s="4">
        <f t="shared" si="48"/>
        <v>1.9901761517615176E-3</v>
      </c>
      <c r="E1582" s="1">
        <v>1</v>
      </c>
      <c r="F1582" s="1">
        <v>0</v>
      </c>
      <c r="G1582" s="1">
        <v>76</v>
      </c>
      <c r="H1582" s="1">
        <v>4</v>
      </c>
      <c r="I1582" s="1">
        <v>22</v>
      </c>
      <c r="J1582" s="1">
        <v>11</v>
      </c>
      <c r="K1582" s="1">
        <v>3</v>
      </c>
      <c r="L1582" s="1">
        <v>7</v>
      </c>
      <c r="M1582" s="1">
        <v>32</v>
      </c>
      <c r="N1582" s="1">
        <v>2</v>
      </c>
      <c r="O1582" s="1">
        <v>3</v>
      </c>
      <c r="P1582" s="1">
        <v>0</v>
      </c>
      <c r="Q1582" s="1">
        <v>3</v>
      </c>
      <c r="R1582" s="1">
        <v>8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1</v>
      </c>
      <c r="Z1582" s="1">
        <v>38</v>
      </c>
      <c r="AA1582" s="1" t="str" cm="1">
        <f t="array" ref="AA1582">_xlfn.IFS(AND(Z1582&lt;36, Z1582&gt;23), "24-35", AND(Z1582&lt;51, Z1582&gt;35),"36-50", AND(Z1582&lt;66, Z1582&gt;50), "51-66", Z1582&gt;65, "66+", TRUE, "?")</f>
        <v>36-50</v>
      </c>
      <c r="AB1582" s="1">
        <v>2748</v>
      </c>
      <c r="AC1582" s="1">
        <v>0</v>
      </c>
      <c r="AD1582" s="1">
        <v>0</v>
      </c>
      <c r="AE1582" s="1">
        <v>1</v>
      </c>
      <c r="AF1582" s="1">
        <v>0</v>
      </c>
      <c r="AG1582" s="1">
        <v>0</v>
      </c>
      <c r="AH1582" s="1">
        <v>1</v>
      </c>
      <c r="AI1582" s="1">
        <v>0</v>
      </c>
      <c r="AJ1582" s="1">
        <v>0</v>
      </c>
      <c r="AK1582" s="1">
        <v>0</v>
      </c>
      <c r="AL1582" s="1">
        <v>15</v>
      </c>
      <c r="AM1582" s="2">
        <v>42101</v>
      </c>
      <c r="AN1582" t="str">
        <f t="shared" si="49"/>
        <v>23616,47,0.00199017615176152,1,0,76,4,22,11,3,7,32,2,3,0,3,8,0,0,0,0,0,0,1,38,36-50,2748,0,0,1,0,0,1,0,0,0,15,42101</v>
      </c>
    </row>
    <row r="1583" spans="1:40" ht="13" hidden="1" x14ac:dyDescent="0.15">
      <c r="A1583">
        <v>1862</v>
      </c>
      <c r="B1583" s="1">
        <v>45057</v>
      </c>
      <c r="C1583" s="1">
        <v>47</v>
      </c>
      <c r="D1583" s="4">
        <f t="shared" si="48"/>
        <v>1.0431231551146325E-3</v>
      </c>
      <c r="E1583" s="1">
        <v>1</v>
      </c>
      <c r="F1583" s="1">
        <v>0</v>
      </c>
      <c r="G1583" s="1">
        <v>80</v>
      </c>
      <c r="H1583" s="1">
        <v>37</v>
      </c>
      <c r="I1583" s="1">
        <v>0</v>
      </c>
      <c r="J1583" s="1">
        <v>7</v>
      </c>
      <c r="K1583" s="1">
        <v>3</v>
      </c>
      <c r="L1583" s="1">
        <v>0</v>
      </c>
      <c r="M1583" s="1">
        <v>3</v>
      </c>
      <c r="N1583" s="1">
        <v>1</v>
      </c>
      <c r="O1583" s="1">
        <v>2</v>
      </c>
      <c r="P1583" s="1">
        <v>0</v>
      </c>
      <c r="Q1583" s="1">
        <v>3</v>
      </c>
      <c r="R1583" s="1">
        <v>5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41</v>
      </c>
      <c r="AA1583" s="1" t="str" cm="1">
        <f t="array" ref="AA1583">_xlfn.IFS(AND(Z1583&lt;36, Z1583&gt;23), "24-35", AND(Z1583&lt;51, Z1583&gt;35),"36-50", AND(Z1583&lt;66, Z1583&gt;50), "51-66", Z1583&gt;65, "66+", TRUE, "?")</f>
        <v>36-50</v>
      </c>
      <c r="AB1583" s="1">
        <v>2369</v>
      </c>
      <c r="AC1583" s="1">
        <v>0</v>
      </c>
      <c r="AD1583" s="1">
        <v>1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1</v>
      </c>
      <c r="AK1583" s="1">
        <v>0</v>
      </c>
      <c r="AL1583" s="1">
        <v>44</v>
      </c>
      <c r="AM1583" s="2">
        <v>42480</v>
      </c>
      <c r="AN1583" t="str">
        <f t="shared" si="49"/>
        <v>45057,47,0.00104312315511463,1,0,80,37,0,7,3,0,3,1,2,0,3,5,0,0,0,0,0,0,0,41,36-50,2369,0,1,0,0,0,0,0,1,0,44,42480</v>
      </c>
    </row>
    <row r="1584" spans="1:40" ht="13" hidden="1" x14ac:dyDescent="0.15">
      <c r="A1584">
        <v>40</v>
      </c>
      <c r="B1584" s="1">
        <v>20559</v>
      </c>
      <c r="C1584" s="1">
        <v>46</v>
      </c>
      <c r="D1584" s="4">
        <f t="shared" si="48"/>
        <v>2.237462911620215E-3</v>
      </c>
      <c r="E1584" s="1">
        <v>1</v>
      </c>
      <c r="F1584" s="1">
        <v>0</v>
      </c>
      <c r="G1584" s="1">
        <v>88</v>
      </c>
      <c r="H1584" s="1">
        <v>13</v>
      </c>
      <c r="I1584" s="1">
        <v>1</v>
      </c>
      <c r="J1584" s="1">
        <v>29</v>
      </c>
      <c r="K1584" s="1">
        <v>3</v>
      </c>
      <c r="L1584" s="1">
        <v>0</v>
      </c>
      <c r="M1584" s="1">
        <v>7</v>
      </c>
      <c r="N1584" s="1">
        <v>2</v>
      </c>
      <c r="O1584" s="1">
        <v>2</v>
      </c>
      <c r="P1584" s="1">
        <v>0</v>
      </c>
      <c r="Q1584" s="1">
        <v>3</v>
      </c>
      <c r="R1584" s="1">
        <v>8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35</v>
      </c>
      <c r="AA1584" s="1" t="str" cm="1">
        <f t="array" ref="AA1584">_xlfn.IFS(AND(Z1584&lt;36, Z1584&gt;23), "24-35", AND(Z1584&lt;51, Z1584&gt;35),"36-50", AND(Z1584&lt;66, Z1584&gt;50), "51-66", Z1584&gt;65, "66+", TRUE, "?")</f>
        <v>24-35</v>
      </c>
      <c r="AB1584" s="1">
        <v>2633</v>
      </c>
      <c r="AC1584" s="1">
        <v>0</v>
      </c>
      <c r="AD1584" s="1">
        <v>1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1</v>
      </c>
      <c r="AK1584" s="1">
        <v>0</v>
      </c>
      <c r="AL1584" s="1">
        <v>39</v>
      </c>
      <c r="AM1584" s="2">
        <v>42216</v>
      </c>
      <c r="AN1584" t="str">
        <f t="shared" si="49"/>
        <v>20559,46,0.00223746291162022,1,0,88,13,1,29,3,0,7,2,2,0,3,8,0,0,0,0,0,0,0,35,24-35,2633,0,1,0,0,0,0,0,1,0,39,42216</v>
      </c>
    </row>
    <row r="1585" spans="1:40" ht="13" hidden="1" x14ac:dyDescent="0.15">
      <c r="A1585">
        <v>250</v>
      </c>
      <c r="B1585" s="1">
        <v>22070</v>
      </c>
      <c r="C1585" s="1">
        <v>46</v>
      </c>
      <c r="D1585" s="4">
        <f t="shared" si="48"/>
        <v>2.0842772995015857E-3</v>
      </c>
      <c r="E1585" s="1">
        <v>1</v>
      </c>
      <c r="F1585" s="1">
        <v>0</v>
      </c>
      <c r="G1585" s="1">
        <v>11</v>
      </c>
      <c r="H1585" s="1">
        <v>10</v>
      </c>
      <c r="I1585" s="1">
        <v>7</v>
      </c>
      <c r="J1585" s="1">
        <v>19</v>
      </c>
      <c r="K1585" s="1">
        <v>8</v>
      </c>
      <c r="L1585" s="1">
        <v>2</v>
      </c>
      <c r="M1585" s="1">
        <v>21</v>
      </c>
      <c r="N1585" s="1">
        <v>2</v>
      </c>
      <c r="O1585" s="1">
        <v>2</v>
      </c>
      <c r="P1585" s="1">
        <v>2</v>
      </c>
      <c r="Q1585" s="1">
        <v>2</v>
      </c>
      <c r="R1585" s="1">
        <v>6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50</v>
      </c>
      <c r="AA1585" s="1" t="str" cm="1">
        <f t="array" ref="AA1585">_xlfn.IFS(AND(Z1585&lt;36, Z1585&gt;23), "24-35", AND(Z1585&lt;51, Z1585&gt;35),"36-50", AND(Z1585&lt;66, Z1585&gt;50), "51-66", Z1585&gt;65, "66+", TRUE, "?")</f>
        <v>36-50</v>
      </c>
      <c r="AB1585" s="1">
        <v>2427</v>
      </c>
      <c r="AC1585" s="1">
        <v>0</v>
      </c>
      <c r="AD1585" s="1">
        <v>0</v>
      </c>
      <c r="AE1585" s="1">
        <v>0</v>
      </c>
      <c r="AF1585" s="1">
        <v>1</v>
      </c>
      <c r="AG1585" s="1">
        <v>0</v>
      </c>
      <c r="AH1585" s="1">
        <v>0</v>
      </c>
      <c r="AI1585" s="1">
        <v>1</v>
      </c>
      <c r="AJ1585" s="1">
        <v>0</v>
      </c>
      <c r="AK1585" s="1">
        <v>0</v>
      </c>
      <c r="AL1585" s="1">
        <v>25</v>
      </c>
      <c r="AM1585" s="2">
        <v>42422</v>
      </c>
      <c r="AN1585" t="str">
        <f t="shared" si="49"/>
        <v>22070,46,0.00208427729950159,1,0,11,10,7,19,8,2,21,2,2,2,2,6,0,0,0,0,0,0,0,50,36-50,2427,0,0,0,1,0,0,1,0,0,25,42422</v>
      </c>
    </row>
    <row r="1586" spans="1:40" ht="13" hidden="1" x14ac:dyDescent="0.15">
      <c r="A1586">
        <v>450</v>
      </c>
      <c r="B1586" s="1">
        <v>38961</v>
      </c>
      <c r="C1586" s="1">
        <v>46</v>
      </c>
      <c r="D1586" s="4">
        <f t="shared" si="48"/>
        <v>1.180667847334514E-3</v>
      </c>
      <c r="E1586" s="1">
        <v>1</v>
      </c>
      <c r="F1586" s="1">
        <v>0</v>
      </c>
      <c r="G1586" s="1">
        <v>60</v>
      </c>
      <c r="H1586" s="1">
        <v>19</v>
      </c>
      <c r="I1586" s="1">
        <v>7</v>
      </c>
      <c r="J1586" s="1">
        <v>19</v>
      </c>
      <c r="K1586" s="1">
        <v>0</v>
      </c>
      <c r="L1586" s="1">
        <v>1</v>
      </c>
      <c r="M1586" s="1">
        <v>24</v>
      </c>
      <c r="N1586" s="1">
        <v>1</v>
      </c>
      <c r="O1586" s="1">
        <v>2</v>
      </c>
      <c r="P1586" s="1">
        <v>1</v>
      </c>
      <c r="Q1586" s="1">
        <v>2</v>
      </c>
      <c r="R1586" s="1">
        <v>7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47</v>
      </c>
      <c r="AA1586" s="1" t="str" cm="1">
        <f t="array" ref="AA1586">_xlfn.IFS(AND(Z1586&lt;36, Z1586&gt;23), "24-35", AND(Z1586&lt;51, Z1586&gt;35),"36-50", AND(Z1586&lt;66, Z1586&gt;50), "51-66", Z1586&gt;65, "66+", TRUE, "?")</f>
        <v>36-50</v>
      </c>
      <c r="AB1586" s="1">
        <v>2340</v>
      </c>
      <c r="AC1586" s="1">
        <v>0</v>
      </c>
      <c r="AD1586" s="1">
        <v>1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1</v>
      </c>
      <c r="AK1586" s="1">
        <v>0</v>
      </c>
      <c r="AL1586" s="1">
        <v>22</v>
      </c>
      <c r="AM1586" s="2">
        <v>42509</v>
      </c>
      <c r="AN1586" t="str">
        <f t="shared" si="49"/>
        <v>38961,46,0.00118066784733451,1,0,60,19,7,19,0,1,24,1,2,1,2,7,0,0,0,0,0,0,0,47,36-50,2340,0,1,0,0,0,0,0,1,0,22,42509</v>
      </c>
    </row>
    <row r="1587" spans="1:40" ht="13" hidden="1" x14ac:dyDescent="0.15">
      <c r="A1587">
        <v>962</v>
      </c>
      <c r="B1587" s="1">
        <v>17345</v>
      </c>
      <c r="C1587" s="1">
        <v>46</v>
      </c>
      <c r="D1587" s="4">
        <f t="shared" si="48"/>
        <v>2.6520611127125973E-3</v>
      </c>
      <c r="E1587" s="1">
        <v>1</v>
      </c>
      <c r="F1587" s="1">
        <v>0</v>
      </c>
      <c r="G1587" s="1">
        <v>79</v>
      </c>
      <c r="H1587" s="1">
        <v>4</v>
      </c>
      <c r="I1587" s="1">
        <v>9</v>
      </c>
      <c r="J1587" s="1">
        <v>16</v>
      </c>
      <c r="K1587" s="1">
        <v>17</v>
      </c>
      <c r="L1587" s="1">
        <v>0</v>
      </c>
      <c r="M1587" s="1">
        <v>12</v>
      </c>
      <c r="N1587" s="1">
        <v>2</v>
      </c>
      <c r="O1587" s="1">
        <v>2</v>
      </c>
      <c r="P1587" s="1">
        <v>1</v>
      </c>
      <c r="Q1587" s="1">
        <v>2</v>
      </c>
      <c r="R1587" s="1">
        <v>8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42</v>
      </c>
      <c r="AA1587" s="1" t="str" cm="1">
        <f t="array" ref="AA1587">_xlfn.IFS(AND(Z1587&lt;36, Z1587&gt;23), "24-35", AND(Z1587&lt;51, Z1587&gt;35),"36-50", AND(Z1587&lt;66, Z1587&gt;50), "51-66", Z1587&gt;65, "66+", TRUE, "?")</f>
        <v>36-50</v>
      </c>
      <c r="AB1587" s="1">
        <v>2762</v>
      </c>
      <c r="AC1587" s="1">
        <v>0</v>
      </c>
      <c r="AD1587" s="1">
        <v>1</v>
      </c>
      <c r="AE1587" s="1">
        <v>0</v>
      </c>
      <c r="AF1587" s="1">
        <v>0</v>
      </c>
      <c r="AG1587" s="1">
        <v>0</v>
      </c>
      <c r="AH1587" s="1">
        <v>0</v>
      </c>
      <c r="AI1587" s="1">
        <v>1</v>
      </c>
      <c r="AJ1587" s="1">
        <v>0</v>
      </c>
      <c r="AK1587" s="1">
        <v>0</v>
      </c>
      <c r="AL1587" s="1">
        <v>34</v>
      </c>
      <c r="AM1587" s="2">
        <v>42087</v>
      </c>
      <c r="AN1587" t="str">
        <f t="shared" si="49"/>
        <v>17345,46,0.0026520611127126,1,0,79,4,9,16,17,0,12,2,2,1,2,8,0,0,0,0,0,0,0,42,36-50,2762,0,1,0,0,0,0,1,0,0,34,42087</v>
      </c>
    </row>
    <row r="1588" spans="1:40" ht="13" hidden="1" x14ac:dyDescent="0.15">
      <c r="A1588">
        <v>1085</v>
      </c>
      <c r="B1588" s="1">
        <v>23091</v>
      </c>
      <c r="C1588" s="1">
        <v>46</v>
      </c>
      <c r="D1588" s="4">
        <f t="shared" si="48"/>
        <v>1.9921181412671605E-3</v>
      </c>
      <c r="E1588" s="1">
        <v>1</v>
      </c>
      <c r="F1588" s="1">
        <v>1</v>
      </c>
      <c r="G1588" s="1">
        <v>98</v>
      </c>
      <c r="H1588" s="1">
        <v>35</v>
      </c>
      <c r="I1588" s="1">
        <v>0</v>
      </c>
      <c r="J1588" s="1">
        <v>11</v>
      </c>
      <c r="K1588" s="1">
        <v>0</v>
      </c>
      <c r="L1588" s="1">
        <v>0</v>
      </c>
      <c r="M1588" s="1">
        <v>2</v>
      </c>
      <c r="N1588" s="1">
        <v>4</v>
      </c>
      <c r="O1588" s="1">
        <v>2</v>
      </c>
      <c r="P1588" s="1">
        <v>1</v>
      </c>
      <c r="Q1588" s="1">
        <v>3</v>
      </c>
      <c r="R1588" s="1">
        <v>7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57</v>
      </c>
      <c r="AA1588" s="1" t="str" cm="1">
        <f t="array" ref="AA1588">_xlfn.IFS(AND(Z1588&lt;36, Z1588&gt;23), "24-35", AND(Z1588&lt;51, Z1588&gt;35),"36-50", AND(Z1588&lt;66, Z1588&gt;50), "51-66", Z1588&gt;65, "66+", TRUE, "?")</f>
        <v>51-66</v>
      </c>
      <c r="AB1588" s="1">
        <v>2191</v>
      </c>
      <c r="AC1588" s="1">
        <v>0</v>
      </c>
      <c r="AD1588" s="1">
        <v>0</v>
      </c>
      <c r="AE1588" s="1">
        <v>1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1</v>
      </c>
      <c r="AL1588" s="1">
        <v>44</v>
      </c>
      <c r="AM1588" s="2">
        <v>42658</v>
      </c>
      <c r="AN1588" t="str">
        <f t="shared" si="49"/>
        <v>23091,46,0.00199211814126716,1,1,98,35,0,11,0,0,2,4,2,1,3,7,0,0,0,0,0,0,0,57,51-66,2191,0,0,1,0,0,0,0,0,1,44,42658</v>
      </c>
    </row>
    <row r="1589" spans="1:40" ht="13" hidden="1" x14ac:dyDescent="0.15">
      <c r="A1589">
        <v>1157</v>
      </c>
      <c r="B1589" s="1">
        <v>28427</v>
      </c>
      <c r="C1589" s="1">
        <v>46</v>
      </c>
      <c r="D1589" s="4">
        <f t="shared" si="48"/>
        <v>1.6181798993914237E-3</v>
      </c>
      <c r="E1589" s="1">
        <v>1</v>
      </c>
      <c r="F1589" s="1">
        <v>0</v>
      </c>
      <c r="G1589" s="1">
        <v>67</v>
      </c>
      <c r="H1589" s="1">
        <v>18</v>
      </c>
      <c r="I1589" s="1">
        <v>3</v>
      </c>
      <c r="J1589" s="1">
        <v>19</v>
      </c>
      <c r="K1589" s="1">
        <v>3</v>
      </c>
      <c r="L1589" s="1">
        <v>3</v>
      </c>
      <c r="M1589" s="1">
        <v>6</v>
      </c>
      <c r="N1589" s="1">
        <v>2</v>
      </c>
      <c r="O1589" s="1">
        <v>2</v>
      </c>
      <c r="P1589" s="1">
        <v>0</v>
      </c>
      <c r="Q1589" s="1">
        <v>3</v>
      </c>
      <c r="R1589" s="1">
        <v>8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37</v>
      </c>
      <c r="AA1589" s="1" t="str" cm="1">
        <f t="array" ref="AA1589">_xlfn.IFS(AND(Z1589&lt;36, Z1589&gt;23), "24-35", AND(Z1589&lt;51, Z1589&gt;35),"36-50", AND(Z1589&lt;66, Z1589&gt;50), "51-66", Z1589&gt;65, "66+", TRUE, "?")</f>
        <v>36-50</v>
      </c>
      <c r="AB1589" s="1">
        <v>2624</v>
      </c>
      <c r="AC1589" s="1">
        <v>0</v>
      </c>
      <c r="AD1589" s="1">
        <v>0</v>
      </c>
      <c r="AE1589" s="1">
        <v>0</v>
      </c>
      <c r="AF1589" s="1">
        <v>1</v>
      </c>
      <c r="AG1589" s="1">
        <v>0</v>
      </c>
      <c r="AH1589" s="1">
        <v>0</v>
      </c>
      <c r="AI1589" s="1">
        <v>1</v>
      </c>
      <c r="AJ1589" s="1">
        <v>0</v>
      </c>
      <c r="AK1589" s="1">
        <v>0</v>
      </c>
      <c r="AL1589" s="1">
        <v>40</v>
      </c>
      <c r="AM1589" s="2">
        <v>42225</v>
      </c>
      <c r="AN1589" t="str">
        <f t="shared" si="49"/>
        <v>28427,46,0.00161817989939142,1,0,67,18,3,19,3,3,6,2,2,0,3,8,0,0,0,0,0,0,0,37,36-50,2624,0,0,0,1,0,0,1,0,0,40,42225</v>
      </c>
    </row>
    <row r="1590" spans="1:40" ht="13" hidden="1" x14ac:dyDescent="0.15">
      <c r="A1590">
        <v>1240</v>
      </c>
      <c r="B1590" s="1">
        <v>18393</v>
      </c>
      <c r="C1590" s="1">
        <v>46</v>
      </c>
      <c r="D1590" s="4">
        <f t="shared" si="48"/>
        <v>2.500951448920785E-3</v>
      </c>
      <c r="E1590" s="1">
        <v>1</v>
      </c>
      <c r="F1590" s="1">
        <v>0</v>
      </c>
      <c r="G1590" s="1">
        <v>2</v>
      </c>
      <c r="H1590" s="1">
        <v>7</v>
      </c>
      <c r="I1590" s="1">
        <v>10</v>
      </c>
      <c r="J1590" s="1">
        <v>13</v>
      </c>
      <c r="K1590" s="1">
        <v>16</v>
      </c>
      <c r="L1590" s="1">
        <v>0</v>
      </c>
      <c r="M1590" s="1">
        <v>4</v>
      </c>
      <c r="N1590" s="1">
        <v>2</v>
      </c>
      <c r="O1590" s="1">
        <v>3</v>
      </c>
      <c r="P1590" s="1">
        <v>0</v>
      </c>
      <c r="Q1590" s="1">
        <v>3</v>
      </c>
      <c r="R1590" s="1">
        <v>8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46</v>
      </c>
      <c r="AA1590" s="1" t="str" cm="1">
        <f t="array" ref="AA1590">_xlfn.IFS(AND(Z1590&lt;36, Z1590&gt;23), "24-35", AND(Z1590&lt;51, Z1590&gt;35),"36-50", AND(Z1590&lt;66, Z1590&gt;50), "51-66", Z1590&gt;65, "66+", TRUE, "?")</f>
        <v>36-50</v>
      </c>
      <c r="AB1590" s="1">
        <v>2251</v>
      </c>
      <c r="AC1590" s="1">
        <v>0</v>
      </c>
      <c r="AD1590" s="1">
        <v>1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42</v>
      </c>
      <c r="AM1590" s="2">
        <v>42598</v>
      </c>
      <c r="AN1590" t="str">
        <f t="shared" si="49"/>
        <v>18393,46,0.00250095144892079,1,0,2,7,10,13,16,0,4,2,3,0,3,8,0,0,0,0,0,0,0,46,36-50,2251,0,1,0,0,0,0,0,0,0,42,42598</v>
      </c>
    </row>
    <row r="1591" spans="1:40" ht="13" x14ac:dyDescent="0.15">
      <c r="A1591">
        <v>1824</v>
      </c>
      <c r="B1591" s="1">
        <v>24762</v>
      </c>
      <c r="C1591" s="1">
        <v>46</v>
      </c>
      <c r="D1591" s="4">
        <f t="shared" si="48"/>
        <v>1.8576851627493741E-3</v>
      </c>
      <c r="E1591" s="1">
        <v>1</v>
      </c>
      <c r="F1591" s="1">
        <v>0</v>
      </c>
      <c r="G1591" s="1">
        <v>16</v>
      </c>
      <c r="H1591" s="1">
        <v>6</v>
      </c>
      <c r="I1591" s="1">
        <v>10</v>
      </c>
      <c r="J1591" s="1">
        <v>12</v>
      </c>
      <c r="K1591" s="1">
        <v>3</v>
      </c>
      <c r="L1591" s="1">
        <v>15</v>
      </c>
      <c r="M1591" s="1">
        <v>40</v>
      </c>
      <c r="N1591" s="1">
        <v>3</v>
      </c>
      <c r="O1591" s="1">
        <v>3</v>
      </c>
      <c r="P1591" s="1">
        <v>1</v>
      </c>
      <c r="Q1591" s="1">
        <v>2</v>
      </c>
      <c r="R1591" s="1">
        <v>8</v>
      </c>
      <c r="S1591" s="1">
        <v>0</v>
      </c>
      <c r="T1591" s="1">
        <v>0</v>
      </c>
      <c r="U1591" s="1">
        <v>1</v>
      </c>
      <c r="V1591" s="1">
        <v>0</v>
      </c>
      <c r="W1591" s="1">
        <v>0</v>
      </c>
      <c r="X1591" s="1">
        <v>0</v>
      </c>
      <c r="Y1591" s="1">
        <v>1</v>
      </c>
      <c r="Z1591" s="1">
        <v>48</v>
      </c>
      <c r="AA1591" s="1" t="str" cm="1">
        <f t="array" ref="AA1591">_xlfn.IFS(AND(Z1591&lt;36, Z1591&gt;23), "24-35", AND(Z1591&lt;51, Z1591&gt;35),"36-50", AND(Z1591&lt;66, Z1591&gt;50), "51-66", Z1591&gt;65, "66+", TRUE, "?")</f>
        <v>36-50</v>
      </c>
      <c r="AB1591" s="1">
        <v>2298</v>
      </c>
      <c r="AC1591" s="1">
        <v>0</v>
      </c>
      <c r="AD1591" s="1">
        <v>0</v>
      </c>
      <c r="AE1591" s="1">
        <v>1</v>
      </c>
      <c r="AF1591" s="1">
        <v>0</v>
      </c>
      <c r="AG1591" s="1">
        <v>0</v>
      </c>
      <c r="AH1591" s="1">
        <v>0</v>
      </c>
      <c r="AI1591" s="1">
        <v>1</v>
      </c>
      <c r="AJ1591" s="1">
        <v>0</v>
      </c>
      <c r="AK1591" s="1">
        <v>0</v>
      </c>
      <c r="AL1591" s="1">
        <v>6</v>
      </c>
      <c r="AM1591" s="2">
        <v>42551</v>
      </c>
      <c r="AN1591" t="str">
        <f t="shared" si="49"/>
        <v>24762,46,0.00185768516274937,1,0,16,6,10,12,3,15,40,3,3,1,2,8,0,0,1,0,0,0,1,48,36-50,2298,0,0,1,0,0,0,1,0,0,6,42551</v>
      </c>
    </row>
    <row r="1592" spans="1:40" ht="13" x14ac:dyDescent="0.15">
      <c r="A1592">
        <v>1833</v>
      </c>
      <c r="B1592" s="1">
        <v>21645</v>
      </c>
      <c r="C1592" s="1">
        <v>46</v>
      </c>
      <c r="D1592" s="4">
        <f t="shared" si="48"/>
        <v>2.1252021252021252E-3</v>
      </c>
      <c r="E1592" s="1">
        <v>1</v>
      </c>
      <c r="F1592" s="1">
        <v>0</v>
      </c>
      <c r="G1592" s="1">
        <v>75</v>
      </c>
      <c r="H1592" s="1">
        <v>14</v>
      </c>
      <c r="I1592" s="1">
        <v>0</v>
      </c>
      <c r="J1592" s="1">
        <v>23</v>
      </c>
      <c r="K1592" s="1">
        <v>4</v>
      </c>
      <c r="L1592" s="1">
        <v>5</v>
      </c>
      <c r="M1592" s="1">
        <v>19</v>
      </c>
      <c r="N1592" s="1">
        <v>3</v>
      </c>
      <c r="O1592" s="1">
        <v>3</v>
      </c>
      <c r="P1592" s="1">
        <v>0</v>
      </c>
      <c r="Q1592" s="1">
        <v>3</v>
      </c>
      <c r="R1592" s="1">
        <v>9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1</v>
      </c>
      <c r="Z1592" s="1">
        <v>41</v>
      </c>
      <c r="AA1592" s="1" t="str" cm="1">
        <f t="array" ref="AA1592">_xlfn.IFS(AND(Z1592&lt;36, Z1592&gt;23), "24-35", AND(Z1592&lt;51, Z1592&gt;35),"36-50", AND(Z1592&lt;66, Z1592&gt;50), "51-66", Z1592&gt;65, "66+", TRUE, "?")</f>
        <v>36-50</v>
      </c>
      <c r="AB1592" s="1">
        <v>2823</v>
      </c>
      <c r="AC1592" s="1">
        <v>0</v>
      </c>
      <c r="AD1592" s="1">
        <v>0</v>
      </c>
      <c r="AE1592" s="1">
        <v>0</v>
      </c>
      <c r="AF1592" s="1">
        <v>1</v>
      </c>
      <c r="AG1592" s="1">
        <v>0</v>
      </c>
      <c r="AH1592" s="1">
        <v>0</v>
      </c>
      <c r="AI1592" s="1">
        <v>1</v>
      </c>
      <c r="AJ1592" s="1">
        <v>0</v>
      </c>
      <c r="AK1592" s="1">
        <v>0</v>
      </c>
      <c r="AL1592" s="1">
        <v>27</v>
      </c>
      <c r="AM1592" s="2">
        <v>42026</v>
      </c>
      <c r="AN1592" t="str">
        <f t="shared" si="49"/>
        <v>21645,46,0.00212520212520213,1,0,75,14,0,23,4,5,19,3,3,0,3,9,0,0,0,0,0,0,1,41,36-50,2823,0,0,0,1,0,0,1,0,0,27,42026</v>
      </c>
    </row>
    <row r="1593" spans="1:40" ht="13" hidden="1" x14ac:dyDescent="0.15">
      <c r="A1593">
        <v>1975</v>
      </c>
      <c r="B1593" s="1">
        <v>26487</v>
      </c>
      <c r="C1593" s="1">
        <v>46</v>
      </c>
      <c r="D1593" s="4">
        <f t="shared" si="48"/>
        <v>1.7367010231434288E-3</v>
      </c>
      <c r="E1593" s="1">
        <v>1</v>
      </c>
      <c r="F1593" s="1">
        <v>0</v>
      </c>
      <c r="G1593" s="1">
        <v>23</v>
      </c>
      <c r="H1593" s="1">
        <v>2</v>
      </c>
      <c r="I1593" s="1">
        <v>8</v>
      </c>
      <c r="J1593" s="1">
        <v>10</v>
      </c>
      <c r="K1593" s="1">
        <v>12</v>
      </c>
      <c r="L1593" s="1">
        <v>14</v>
      </c>
      <c r="M1593" s="1">
        <v>23</v>
      </c>
      <c r="N1593" s="1">
        <v>3</v>
      </c>
      <c r="O1593" s="1">
        <v>2</v>
      </c>
      <c r="P1593" s="1">
        <v>1</v>
      </c>
      <c r="Q1593" s="1">
        <v>3</v>
      </c>
      <c r="R1593" s="1">
        <v>5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42</v>
      </c>
      <c r="AA1593" s="1" t="str" cm="1">
        <f t="array" ref="AA1593">_xlfn.IFS(AND(Z1593&lt;36, Z1593&gt;23), "24-35", AND(Z1593&lt;51, Z1593&gt;35),"36-50", AND(Z1593&lt;66, Z1593&gt;50), "51-66", Z1593&gt;65, "66+", TRUE, "?")</f>
        <v>36-50</v>
      </c>
      <c r="AB1593" s="1">
        <v>2564</v>
      </c>
      <c r="AC1593" s="1">
        <v>0</v>
      </c>
      <c r="AD1593" s="1">
        <v>0</v>
      </c>
      <c r="AE1593" s="1">
        <v>1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23</v>
      </c>
      <c r="AM1593" s="2">
        <v>42285</v>
      </c>
      <c r="AN1593" t="str">
        <f t="shared" si="49"/>
        <v>26487,46,0.00173670102314343,1,0,23,2,8,10,12,14,23,3,2,1,3,5,0,0,0,0,0,0,0,42,36-50,2564,0,0,1,0,0,0,0,0,0,23,42285</v>
      </c>
    </row>
    <row r="1594" spans="1:40" ht="13" hidden="1" x14ac:dyDescent="0.15">
      <c r="A1594">
        <v>11</v>
      </c>
      <c r="B1594" s="1">
        <v>7500</v>
      </c>
      <c r="C1594" s="1">
        <v>45</v>
      </c>
      <c r="D1594" s="4">
        <f t="shared" si="48"/>
        <v>6.0000000000000001E-3</v>
      </c>
      <c r="E1594" s="1">
        <v>0</v>
      </c>
      <c r="F1594" s="1">
        <v>0</v>
      </c>
      <c r="G1594" s="1">
        <v>59</v>
      </c>
      <c r="H1594" s="1">
        <v>6</v>
      </c>
      <c r="I1594" s="1">
        <v>16</v>
      </c>
      <c r="J1594" s="1">
        <v>11</v>
      </c>
      <c r="K1594" s="1">
        <v>11</v>
      </c>
      <c r="L1594" s="1">
        <v>1</v>
      </c>
      <c r="M1594" s="1">
        <v>16</v>
      </c>
      <c r="N1594" s="1">
        <v>1</v>
      </c>
      <c r="O1594" s="1">
        <v>2</v>
      </c>
      <c r="P1594" s="1">
        <v>0</v>
      </c>
      <c r="Q1594" s="1">
        <v>3</v>
      </c>
      <c r="R1594" s="1">
        <v>8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44</v>
      </c>
      <c r="AA1594" s="1" t="str" cm="1">
        <f t="array" ref="AA1594">_xlfn.IFS(AND(Z1594&lt;36, Z1594&gt;23), "24-35", AND(Z1594&lt;51, Z1594&gt;35),"36-50", AND(Z1594&lt;66, Z1594&gt;50), "51-66", Z1594&gt;65, "66+", TRUE, "?")</f>
        <v>36-50</v>
      </c>
      <c r="AB1594" s="1">
        <v>2752</v>
      </c>
      <c r="AC1594" s="1">
        <v>0</v>
      </c>
      <c r="AD1594" s="1">
        <v>1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29</v>
      </c>
      <c r="AM1594" s="2">
        <v>42097</v>
      </c>
      <c r="AN1594" t="str">
        <f t="shared" si="49"/>
        <v>7500,45,0.006,0,0,59,6,16,11,11,1,16,1,2,0,3,8,0,0,0,0,0,0,0,44,36-50,2752,0,1,0,0,0,0,0,0,0,29,42097</v>
      </c>
    </row>
    <row r="1595" spans="1:40" ht="13" hidden="1" x14ac:dyDescent="0.15">
      <c r="A1595">
        <v>36</v>
      </c>
      <c r="B1595" s="1">
        <v>23718</v>
      </c>
      <c r="C1595" s="1">
        <v>45</v>
      </c>
      <c r="D1595" s="4">
        <f t="shared" si="48"/>
        <v>1.8972931950417406E-3</v>
      </c>
      <c r="E1595" s="1">
        <v>1</v>
      </c>
      <c r="F1595" s="1">
        <v>0</v>
      </c>
      <c r="G1595" s="1">
        <v>76</v>
      </c>
      <c r="H1595" s="1">
        <v>6</v>
      </c>
      <c r="I1595" s="1">
        <v>3</v>
      </c>
      <c r="J1595" s="1">
        <v>14</v>
      </c>
      <c r="K1595" s="1">
        <v>15</v>
      </c>
      <c r="L1595" s="1">
        <v>7</v>
      </c>
      <c r="M1595" s="1">
        <v>36</v>
      </c>
      <c r="N1595" s="1">
        <v>3</v>
      </c>
      <c r="O1595" s="1">
        <v>3</v>
      </c>
      <c r="P1595" s="1">
        <v>1</v>
      </c>
      <c r="Q1595" s="1">
        <v>2</v>
      </c>
      <c r="R1595" s="1">
        <v>7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44</v>
      </c>
      <c r="AA1595" s="1" t="str" cm="1">
        <f t="array" ref="AA1595">_xlfn.IFS(AND(Z1595&lt;36, Z1595&gt;23), "24-35", AND(Z1595&lt;51, Z1595&gt;35),"36-50", AND(Z1595&lt;66, Z1595&gt;50), "51-66", Z1595&gt;65, "66+", TRUE, "?")</f>
        <v>36-50</v>
      </c>
      <c r="AB1595" s="1">
        <v>2459</v>
      </c>
      <c r="AC1595" s="1">
        <v>0</v>
      </c>
      <c r="AD1595" s="1">
        <v>1</v>
      </c>
      <c r="AE1595" s="1">
        <v>0</v>
      </c>
      <c r="AF1595" s="1">
        <v>0</v>
      </c>
      <c r="AG1595" s="1">
        <v>0</v>
      </c>
      <c r="AH1595" s="1">
        <v>1</v>
      </c>
      <c r="AI1595" s="1">
        <v>0</v>
      </c>
      <c r="AJ1595" s="1">
        <v>0</v>
      </c>
      <c r="AK1595" s="1">
        <v>0</v>
      </c>
      <c r="AL1595" s="1">
        <v>9</v>
      </c>
      <c r="AM1595" s="2">
        <v>42390</v>
      </c>
      <c r="AN1595" t="str">
        <f t="shared" si="49"/>
        <v>23718,45,0.00189729319504174,1,0,76,6,3,14,15,7,36,3,3,1,2,7,0,0,0,0,0,0,0,44,36-50,2459,0,1,0,0,0,1,0,0,0,9,42390</v>
      </c>
    </row>
    <row r="1596" spans="1:40" ht="13" hidden="1" x14ac:dyDescent="0.15">
      <c r="A1596">
        <v>393</v>
      </c>
      <c r="B1596" s="1">
        <v>37401</v>
      </c>
      <c r="C1596" s="1">
        <v>45</v>
      </c>
      <c r="D1596" s="4">
        <f t="shared" si="48"/>
        <v>1.2031763856581374E-3</v>
      </c>
      <c r="E1596" s="1">
        <v>1</v>
      </c>
      <c r="F1596" s="1">
        <v>0</v>
      </c>
      <c r="G1596" s="1">
        <v>14</v>
      </c>
      <c r="H1596" s="1">
        <v>19</v>
      </c>
      <c r="I1596" s="1">
        <v>3</v>
      </c>
      <c r="J1596" s="1">
        <v>19</v>
      </c>
      <c r="K1596" s="1">
        <v>3</v>
      </c>
      <c r="L1596" s="1">
        <v>1</v>
      </c>
      <c r="M1596" s="1">
        <v>3</v>
      </c>
      <c r="N1596" s="1">
        <v>2</v>
      </c>
      <c r="O1596" s="1">
        <v>2</v>
      </c>
      <c r="P1596" s="1">
        <v>0</v>
      </c>
      <c r="Q1596" s="1">
        <v>3</v>
      </c>
      <c r="R1596" s="1">
        <v>7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47</v>
      </c>
      <c r="AA1596" s="1" t="str" cm="1">
        <f t="array" ref="AA1596">_xlfn.IFS(AND(Z1596&lt;36, Z1596&gt;23), "24-35", AND(Z1596&lt;51, Z1596&gt;35),"36-50", AND(Z1596&lt;66, Z1596&gt;50), "51-66", Z1596&gt;65, "66+", TRUE, "?")</f>
        <v>36-50</v>
      </c>
      <c r="AB1596" s="1">
        <v>2213</v>
      </c>
      <c r="AC1596" s="1">
        <v>0</v>
      </c>
      <c r="AD1596" s="1">
        <v>1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1</v>
      </c>
      <c r="AL1596" s="1">
        <v>42</v>
      </c>
      <c r="AM1596" s="2">
        <v>42636</v>
      </c>
      <c r="AN1596" t="str">
        <f t="shared" si="49"/>
        <v>37401,45,0.00120317638565814,1,0,14,19,3,19,3,1,3,2,2,0,3,7,0,0,0,0,0,0,0,47,36-50,2213,0,1,0,0,0,0,0,0,1,42,42636</v>
      </c>
    </row>
    <row r="1597" spans="1:40" ht="13" hidden="1" x14ac:dyDescent="0.15">
      <c r="A1597">
        <v>1759</v>
      </c>
      <c r="B1597" s="1">
        <v>29543</v>
      </c>
      <c r="C1597" s="1">
        <v>45</v>
      </c>
      <c r="D1597" s="4">
        <f t="shared" si="48"/>
        <v>1.5232034661341097E-3</v>
      </c>
      <c r="E1597" s="1">
        <v>2</v>
      </c>
      <c r="F1597" s="1">
        <v>0</v>
      </c>
      <c r="G1597" s="1">
        <v>47</v>
      </c>
      <c r="H1597" s="1">
        <v>17</v>
      </c>
      <c r="I1597" s="1">
        <v>3</v>
      </c>
      <c r="J1597" s="1">
        <v>18</v>
      </c>
      <c r="K1597" s="1">
        <v>3</v>
      </c>
      <c r="L1597" s="1">
        <v>4</v>
      </c>
      <c r="M1597" s="1">
        <v>18</v>
      </c>
      <c r="N1597" s="1">
        <v>2</v>
      </c>
      <c r="O1597" s="1">
        <v>3</v>
      </c>
      <c r="P1597" s="1">
        <v>1</v>
      </c>
      <c r="Q1597" s="1">
        <v>2</v>
      </c>
      <c r="R1597" s="1">
        <v>7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52</v>
      </c>
      <c r="AA1597" s="1" t="str" cm="1">
        <f t="array" ref="AA1597">_xlfn.IFS(AND(Z1597&lt;36, Z1597&gt;23), "24-35", AND(Z1597&lt;51, Z1597&gt;35),"36-50", AND(Z1597&lt;66, Z1597&gt;50), "51-66", Z1597&gt;65, "66+", TRUE, "?")</f>
        <v>51-66</v>
      </c>
      <c r="AB1597" s="1">
        <v>2248</v>
      </c>
      <c r="AC1597" s="1">
        <v>0</v>
      </c>
      <c r="AD1597" s="1">
        <v>1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1</v>
      </c>
      <c r="AK1597" s="1">
        <v>0</v>
      </c>
      <c r="AL1597" s="1">
        <v>27</v>
      </c>
      <c r="AM1597" s="2">
        <v>42601</v>
      </c>
      <c r="AN1597" t="str">
        <f t="shared" si="49"/>
        <v>29543,45,0.00152320346613411,2,0,47,17,3,18,3,4,18,2,3,1,2,7,0,0,0,0,0,0,0,52,51-66,2248,0,1,0,0,0,0,0,1,0,27,42601</v>
      </c>
    </row>
    <row r="1598" spans="1:40" ht="13" hidden="1" x14ac:dyDescent="0.15">
      <c r="A1598">
        <v>2002</v>
      </c>
      <c r="B1598" s="1">
        <v>38054</v>
      </c>
      <c r="C1598" s="1">
        <v>45</v>
      </c>
      <c r="D1598" s="4">
        <f t="shared" si="48"/>
        <v>1.182530088821149E-3</v>
      </c>
      <c r="E1598" s="1">
        <v>1</v>
      </c>
      <c r="F1598" s="1">
        <v>1</v>
      </c>
      <c r="G1598" s="1">
        <v>24</v>
      </c>
      <c r="H1598" s="1">
        <v>23</v>
      </c>
      <c r="I1598" s="1">
        <v>2</v>
      </c>
      <c r="J1598" s="1">
        <v>17</v>
      </c>
      <c r="K1598" s="1">
        <v>2</v>
      </c>
      <c r="L1598" s="1">
        <v>1</v>
      </c>
      <c r="M1598" s="1">
        <v>0</v>
      </c>
      <c r="N1598" s="1">
        <v>2</v>
      </c>
      <c r="O1598" s="1">
        <v>2</v>
      </c>
      <c r="P1598" s="1">
        <v>0</v>
      </c>
      <c r="Q1598" s="1">
        <v>3</v>
      </c>
      <c r="R1598" s="1">
        <v>7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70</v>
      </c>
      <c r="AA1598" s="1" t="str" cm="1">
        <f t="array" ref="AA1598">_xlfn.IFS(AND(Z1598&lt;36, Z1598&gt;23), "24-35", AND(Z1598&lt;51, Z1598&gt;35),"36-50", AND(Z1598&lt;66, Z1598&gt;50), "51-66", Z1598&gt;65, "66+", TRUE, "?")</f>
        <v>66+</v>
      </c>
      <c r="AB1598" s="1">
        <v>2218</v>
      </c>
      <c r="AC1598" s="1">
        <v>1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1</v>
      </c>
      <c r="AK1598" s="1">
        <v>0</v>
      </c>
      <c r="AL1598" s="1">
        <v>45</v>
      </c>
      <c r="AM1598" s="2">
        <v>42631</v>
      </c>
      <c r="AN1598" t="str">
        <f t="shared" si="49"/>
        <v>38054,45,0.00118253008882115,1,1,24,23,2,17,2,1,0,2,2,0,3,7,0,0,0,0,0,0,0,70,66+,2218,1,0,0,0,0,0,0,1,0,45,42631</v>
      </c>
    </row>
    <row r="1599" spans="1:40" ht="13" hidden="1" x14ac:dyDescent="0.15">
      <c r="A1599">
        <v>174</v>
      </c>
      <c r="B1599" s="1">
        <v>24882</v>
      </c>
      <c r="C1599" s="1">
        <v>44</v>
      </c>
      <c r="D1599" s="4">
        <f t="shared" si="48"/>
        <v>1.7683465959328027E-3</v>
      </c>
      <c r="E1599" s="1">
        <v>1</v>
      </c>
      <c r="F1599" s="1">
        <v>0</v>
      </c>
      <c r="G1599" s="1">
        <v>52</v>
      </c>
      <c r="H1599" s="1">
        <v>1</v>
      </c>
      <c r="I1599" s="1">
        <v>4</v>
      </c>
      <c r="J1599" s="1">
        <v>10</v>
      </c>
      <c r="K1599" s="1">
        <v>29</v>
      </c>
      <c r="L1599" s="1">
        <v>0</v>
      </c>
      <c r="M1599" s="1">
        <v>36</v>
      </c>
      <c r="N1599" s="1">
        <v>1</v>
      </c>
      <c r="O1599" s="1">
        <v>1</v>
      </c>
      <c r="P1599" s="1">
        <v>1</v>
      </c>
      <c r="Q1599" s="1">
        <v>2</v>
      </c>
      <c r="R1599" s="1">
        <v>6</v>
      </c>
      <c r="S1599" s="1">
        <v>0</v>
      </c>
      <c r="T1599" s="1">
        <v>0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42</v>
      </c>
      <c r="AA1599" s="1" t="str" cm="1">
        <f t="array" ref="AA1599">_xlfn.IFS(AND(Z1599&lt;36, Z1599&gt;23), "24-35", AND(Z1599&lt;51, Z1599&gt;35),"36-50", AND(Z1599&lt;66, Z1599&gt;50), "51-66", Z1599&gt;65, "66+", TRUE, "?")</f>
        <v>36-50</v>
      </c>
      <c r="AB1599" s="1">
        <v>2817</v>
      </c>
      <c r="AC1599" s="1">
        <v>0</v>
      </c>
      <c r="AD1599" s="1">
        <v>0</v>
      </c>
      <c r="AE1599" s="1">
        <v>0</v>
      </c>
      <c r="AF1599" s="1">
        <v>1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8</v>
      </c>
      <c r="AM1599" s="2">
        <v>42032</v>
      </c>
      <c r="AN1599" t="str">
        <f t="shared" si="49"/>
        <v>24882,44,0.0017683465959328,1,0,52,1,4,10,29,0,36,1,1,1,2,6,0,0,1,0,0,0,0,42,36-50,2817,0,0,0,1,0,0,0,0,0,8,42032</v>
      </c>
    </row>
    <row r="1600" spans="1:40" ht="13" hidden="1" x14ac:dyDescent="0.15">
      <c r="A1600">
        <v>254</v>
      </c>
      <c r="B1600" s="1">
        <v>29315</v>
      </c>
      <c r="C1600" s="1">
        <v>44</v>
      </c>
      <c r="D1600" s="4">
        <f t="shared" si="48"/>
        <v>1.50093808630394E-3</v>
      </c>
      <c r="E1600" s="1">
        <v>1</v>
      </c>
      <c r="F1600" s="1">
        <v>1</v>
      </c>
      <c r="G1600" s="1">
        <v>55</v>
      </c>
      <c r="H1600" s="1">
        <v>13</v>
      </c>
      <c r="I1600" s="1">
        <v>2</v>
      </c>
      <c r="J1600" s="1">
        <v>14</v>
      </c>
      <c r="K1600" s="1">
        <v>8</v>
      </c>
      <c r="L1600" s="1">
        <v>7</v>
      </c>
      <c r="M1600" s="1">
        <v>4</v>
      </c>
      <c r="N1600" s="1">
        <v>4</v>
      </c>
      <c r="O1600" s="1">
        <v>2</v>
      </c>
      <c r="P1600" s="1">
        <v>0</v>
      </c>
      <c r="Q1600" s="1">
        <v>4</v>
      </c>
      <c r="R1600" s="1">
        <v>6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60</v>
      </c>
      <c r="AA1600" s="1" t="str" cm="1">
        <f t="array" ref="AA1600">_xlfn.IFS(AND(Z1600&lt;36, Z1600&gt;23), "24-35", AND(Z1600&lt;51, Z1600&gt;35),"36-50", AND(Z1600&lt;66, Z1600&gt;50), "51-66", Z1600&gt;65, "66+", TRUE, "?")</f>
        <v>51-66</v>
      </c>
      <c r="AB1600" s="1">
        <v>2243</v>
      </c>
      <c r="AC1600" s="1">
        <v>0</v>
      </c>
      <c r="AD1600" s="1">
        <v>1</v>
      </c>
      <c r="AE1600" s="1">
        <v>0</v>
      </c>
      <c r="AF1600" s="1">
        <v>0</v>
      </c>
      <c r="AG1600" s="1">
        <v>0</v>
      </c>
      <c r="AH1600" s="1">
        <v>0</v>
      </c>
      <c r="AI1600" s="1">
        <v>1</v>
      </c>
      <c r="AJ1600" s="1">
        <v>0</v>
      </c>
      <c r="AK1600" s="1">
        <v>0</v>
      </c>
      <c r="AL1600" s="1">
        <v>40</v>
      </c>
      <c r="AM1600" s="2">
        <v>42606</v>
      </c>
      <c r="AN1600" t="str">
        <f t="shared" si="49"/>
        <v>29315,44,0.00150093808630394,1,1,55,13,2,14,8,7,4,4,2,0,4,6,0,0,0,0,0,0,0,60,51-66,2243,0,1,0,0,0,0,1,0,0,40,42606</v>
      </c>
    </row>
    <row r="1601" spans="1:40" ht="13" hidden="1" x14ac:dyDescent="0.15">
      <c r="A1601">
        <v>381</v>
      </c>
      <c r="B1601" s="1">
        <v>30351</v>
      </c>
      <c r="C1601" s="1">
        <v>44</v>
      </c>
      <c r="D1601" s="4">
        <f t="shared" si="48"/>
        <v>1.4497051168001055E-3</v>
      </c>
      <c r="E1601" s="1">
        <v>1</v>
      </c>
      <c r="F1601" s="1">
        <v>0</v>
      </c>
      <c r="G1601" s="1">
        <v>19</v>
      </c>
      <c r="H1601" s="1">
        <v>14</v>
      </c>
      <c r="I1601" s="1">
        <v>0</v>
      </c>
      <c r="J1601" s="1">
        <v>24</v>
      </c>
      <c r="K1601" s="1">
        <v>3</v>
      </c>
      <c r="L1601" s="1">
        <v>3</v>
      </c>
      <c r="M1601" s="1">
        <v>2</v>
      </c>
      <c r="N1601" s="1">
        <v>1</v>
      </c>
      <c r="O1601" s="1">
        <v>3</v>
      </c>
      <c r="P1601" s="1">
        <v>0</v>
      </c>
      <c r="Q1601" s="1">
        <v>2</v>
      </c>
      <c r="R1601" s="1">
        <v>9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46</v>
      </c>
      <c r="AA1601" s="1" t="str" cm="1">
        <f t="array" ref="AA1601">_xlfn.IFS(AND(Z1601&lt;36, Z1601&gt;23), "24-35", AND(Z1601&lt;51, Z1601&gt;35),"36-50", AND(Z1601&lt;66, Z1601&gt;50), "51-66", Z1601&gt;65, "66+", TRUE, "?")</f>
        <v>36-50</v>
      </c>
      <c r="AB1601" s="1">
        <v>2547</v>
      </c>
      <c r="AC1601" s="1">
        <v>0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>
        <v>0</v>
      </c>
      <c r="AJ1601" s="1">
        <v>0</v>
      </c>
      <c r="AK1601" s="1">
        <v>1</v>
      </c>
      <c r="AL1601" s="1">
        <v>42</v>
      </c>
      <c r="AM1601" s="2">
        <v>42302</v>
      </c>
      <c r="AN1601" t="str">
        <f t="shared" si="49"/>
        <v>30351,44,0.00144970511680011,1,0,19,14,0,24,3,3,2,1,3,0,2,9,0,0,0,0,0,0,0,46,36-50,2547,0,0,0,1,0,0,0,0,1,42,42302</v>
      </c>
    </row>
    <row r="1602" spans="1:40" ht="13" hidden="1" x14ac:dyDescent="0.15">
      <c r="A1602">
        <v>625</v>
      </c>
      <c r="B1602" s="1">
        <v>21063</v>
      </c>
      <c r="C1602" s="1">
        <v>44</v>
      </c>
      <c r="D1602" s="4">
        <f t="shared" ref="D1602:D1665" si="50">C1602/B1602</f>
        <v>2.0889711816930163E-3</v>
      </c>
      <c r="E1602" s="1">
        <v>1</v>
      </c>
      <c r="F1602" s="1">
        <v>0</v>
      </c>
      <c r="G1602" s="1">
        <v>34</v>
      </c>
      <c r="H1602" s="1">
        <v>1</v>
      </c>
      <c r="I1602" s="1">
        <v>10</v>
      </c>
      <c r="J1602" s="1">
        <v>11</v>
      </c>
      <c r="K1602" s="1">
        <v>19</v>
      </c>
      <c r="L1602" s="1">
        <v>3</v>
      </c>
      <c r="M1602" s="1">
        <v>15</v>
      </c>
      <c r="N1602" s="1">
        <v>2</v>
      </c>
      <c r="O1602" s="1">
        <v>2</v>
      </c>
      <c r="P1602" s="1">
        <v>0</v>
      </c>
      <c r="Q1602" s="1">
        <v>3</v>
      </c>
      <c r="R1602" s="1">
        <v>6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33</v>
      </c>
      <c r="AA1602" s="1" t="str" cm="1">
        <f t="array" ref="AA1602">_xlfn.IFS(AND(Z1602&lt;36, Z1602&gt;23), "24-35", AND(Z1602&lt;51, Z1602&gt;35),"36-50", AND(Z1602&lt;66, Z1602&gt;50), "51-66", Z1602&gt;65, "66+", TRUE, "?")</f>
        <v>24-35</v>
      </c>
      <c r="AB1602" s="1">
        <v>2436</v>
      </c>
      <c r="AC1602" s="1">
        <v>0</v>
      </c>
      <c r="AD1602" s="1">
        <v>0</v>
      </c>
      <c r="AE1602" s="1">
        <v>1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29</v>
      </c>
      <c r="AM1602" s="2">
        <v>42413</v>
      </c>
      <c r="AN1602" t="str">
        <f t="shared" ref="AN1602:AN1665" si="51">_xlfn.TEXTJOIN(",",TRUE,B1602:AM1602)</f>
        <v>21063,44,0.00208897118169302,1,0,34,1,10,11,19,3,15,2,2,0,3,6,0,0,0,0,0,0,0,33,24-35,2436,0,0,1,0,0,0,0,0,0,29,42413</v>
      </c>
    </row>
    <row r="1603" spans="1:40" ht="13" hidden="1" x14ac:dyDescent="0.15">
      <c r="A1603">
        <v>772</v>
      </c>
      <c r="B1603" s="1">
        <v>22063</v>
      </c>
      <c r="C1603" s="1">
        <v>44</v>
      </c>
      <c r="D1603" s="4">
        <f t="shared" si="50"/>
        <v>1.99428908126728E-3</v>
      </c>
      <c r="E1603" s="1">
        <v>1</v>
      </c>
      <c r="F1603" s="1">
        <v>0</v>
      </c>
      <c r="G1603" s="1">
        <v>43</v>
      </c>
      <c r="H1603" s="1">
        <v>7</v>
      </c>
      <c r="I1603" s="1">
        <v>10</v>
      </c>
      <c r="J1603" s="1">
        <v>13</v>
      </c>
      <c r="K1603" s="1">
        <v>3</v>
      </c>
      <c r="L1603" s="1">
        <v>11</v>
      </c>
      <c r="M1603" s="1">
        <v>11</v>
      </c>
      <c r="N1603" s="1">
        <v>2</v>
      </c>
      <c r="O1603" s="1">
        <v>2</v>
      </c>
      <c r="P1603" s="1">
        <v>0</v>
      </c>
      <c r="Q1603" s="1">
        <v>3</v>
      </c>
      <c r="R1603" s="1">
        <v>7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48</v>
      </c>
      <c r="AA1603" s="1" t="str" cm="1">
        <f t="array" ref="AA1603">_xlfn.IFS(AND(Z1603&lt;36, Z1603&gt;23), "24-35", AND(Z1603&lt;51, Z1603&gt;35),"36-50", AND(Z1603&lt;66, Z1603&gt;50), "51-66", Z1603&gt;65, "66+", TRUE, "?")</f>
        <v>36-50</v>
      </c>
      <c r="AB1603" s="1">
        <v>2484</v>
      </c>
      <c r="AC1603" s="1">
        <v>0</v>
      </c>
      <c r="AD1603" s="1">
        <v>1</v>
      </c>
      <c r="AE1603" s="1">
        <v>0</v>
      </c>
      <c r="AF1603" s="1">
        <v>0</v>
      </c>
      <c r="AG1603" s="1">
        <v>0</v>
      </c>
      <c r="AH1603" s="1">
        <v>0</v>
      </c>
      <c r="AI1603" s="1">
        <v>1</v>
      </c>
      <c r="AJ1603" s="1">
        <v>0</v>
      </c>
      <c r="AK1603" s="1">
        <v>0</v>
      </c>
      <c r="AL1603" s="1">
        <v>33</v>
      </c>
      <c r="AM1603" s="2">
        <v>42365</v>
      </c>
      <c r="AN1603" t="str">
        <f t="shared" si="51"/>
        <v>22063,44,0.00199428908126728,1,0,43,7,10,13,3,11,11,2,2,0,3,7,0,0,0,0,0,0,0,48,36-50,2484,0,1,0,0,0,0,1,0,0,33,42365</v>
      </c>
    </row>
    <row r="1604" spans="1:40" ht="13" hidden="1" x14ac:dyDescent="0.15">
      <c r="A1604">
        <v>878</v>
      </c>
      <c r="B1604" s="1">
        <v>32892</v>
      </c>
      <c r="C1604" s="1">
        <v>44</v>
      </c>
      <c r="D1604" s="4">
        <f t="shared" si="50"/>
        <v>1.3377112975799586E-3</v>
      </c>
      <c r="E1604" s="1">
        <v>1</v>
      </c>
      <c r="F1604" s="1">
        <v>0</v>
      </c>
      <c r="G1604" s="1">
        <v>78</v>
      </c>
      <c r="H1604" s="1">
        <v>26</v>
      </c>
      <c r="I1604" s="1">
        <v>0</v>
      </c>
      <c r="J1604" s="1">
        <v>15</v>
      </c>
      <c r="K1604" s="1">
        <v>2</v>
      </c>
      <c r="L1604" s="1">
        <v>1</v>
      </c>
      <c r="M1604" s="1">
        <v>2</v>
      </c>
      <c r="N1604" s="1">
        <v>2</v>
      </c>
      <c r="O1604" s="1">
        <v>3</v>
      </c>
      <c r="P1604" s="1">
        <v>0</v>
      </c>
      <c r="Q1604" s="1">
        <v>3</v>
      </c>
      <c r="R1604" s="1">
        <v>8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49</v>
      </c>
      <c r="AA1604" s="1" t="str" cm="1">
        <f t="array" ref="AA1604">_xlfn.IFS(AND(Z1604&lt;36, Z1604&gt;23), "24-35", AND(Z1604&lt;51, Z1604&gt;35),"36-50", AND(Z1604&lt;66, Z1604&gt;50), "51-66", Z1604&gt;65, "66+", TRUE, "?")</f>
        <v>36-50</v>
      </c>
      <c r="AB1604" s="1">
        <v>2194</v>
      </c>
      <c r="AC1604" s="1">
        <v>0</v>
      </c>
      <c r="AD1604" s="1">
        <v>0</v>
      </c>
      <c r="AE1604" s="1">
        <v>0</v>
      </c>
      <c r="AF1604" s="1">
        <v>1</v>
      </c>
      <c r="AG1604" s="1">
        <v>0</v>
      </c>
      <c r="AH1604" s="1">
        <v>0</v>
      </c>
      <c r="AI1604" s="1">
        <v>0</v>
      </c>
      <c r="AJ1604" s="1">
        <v>0</v>
      </c>
      <c r="AK1604" s="1">
        <v>1</v>
      </c>
      <c r="AL1604" s="1">
        <v>42</v>
      </c>
      <c r="AM1604" s="2">
        <v>42655</v>
      </c>
      <c r="AN1604" t="str">
        <f t="shared" si="51"/>
        <v>32892,44,0.00133771129757996,1,0,78,26,0,15,2,1,2,2,3,0,3,8,0,0,0,0,0,0,0,49,36-50,2194,0,0,0,1,0,0,0,0,1,42,42655</v>
      </c>
    </row>
    <row r="1605" spans="1:40" ht="13" hidden="1" x14ac:dyDescent="0.15">
      <c r="A1605">
        <v>1046</v>
      </c>
      <c r="B1605" s="1">
        <v>16269</v>
      </c>
      <c r="C1605" s="1">
        <v>44</v>
      </c>
      <c r="D1605" s="4">
        <f t="shared" si="50"/>
        <v>2.7045300878972278E-3</v>
      </c>
      <c r="E1605" s="1">
        <v>1</v>
      </c>
      <c r="F1605" s="1">
        <v>0</v>
      </c>
      <c r="G1605" s="1">
        <v>75</v>
      </c>
      <c r="H1605" s="1">
        <v>19</v>
      </c>
      <c r="I1605" s="1">
        <v>3</v>
      </c>
      <c r="J1605" s="1">
        <v>18</v>
      </c>
      <c r="K1605" s="1">
        <v>3</v>
      </c>
      <c r="L1605" s="1">
        <v>1</v>
      </c>
      <c r="M1605" s="1">
        <v>0</v>
      </c>
      <c r="N1605" s="1">
        <v>3</v>
      </c>
      <c r="O1605" s="1">
        <v>3</v>
      </c>
      <c r="P1605" s="1">
        <v>0</v>
      </c>
      <c r="Q1605" s="1">
        <v>3</v>
      </c>
      <c r="R1605" s="1">
        <v>8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36</v>
      </c>
      <c r="AA1605" s="1" t="str" cm="1">
        <f t="array" ref="AA1605">_xlfn.IFS(AND(Z1605&lt;36, Z1605&gt;23), "24-35", AND(Z1605&lt;51, Z1605&gt;35),"36-50", AND(Z1605&lt;66, Z1605&gt;50), "51-66", Z1605&gt;65, "66+", TRUE, "?")</f>
        <v>36-50</v>
      </c>
      <c r="AB1605" s="1">
        <v>2462</v>
      </c>
      <c r="AC1605" s="1">
        <v>0</v>
      </c>
      <c r="AD1605" s="1">
        <v>0</v>
      </c>
      <c r="AE1605" s="1">
        <v>1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1</v>
      </c>
      <c r="AL1605" s="1">
        <v>44</v>
      </c>
      <c r="AM1605" s="2">
        <v>42387</v>
      </c>
      <c r="AN1605" t="str">
        <f t="shared" si="51"/>
        <v>16269,44,0.00270453008789723,1,0,75,19,3,18,3,1,0,3,3,0,3,8,0,0,0,0,0,0,0,36,36-50,2462,0,0,1,0,0,0,0,0,1,44,42387</v>
      </c>
    </row>
    <row r="1606" spans="1:40" ht="13" hidden="1" x14ac:dyDescent="0.15">
      <c r="A1606">
        <v>1206</v>
      </c>
      <c r="B1606" s="1">
        <v>46831</v>
      </c>
      <c r="C1606" s="1">
        <v>44</v>
      </c>
      <c r="D1606" s="4">
        <f t="shared" si="50"/>
        <v>9.3954858960944678E-4</v>
      </c>
      <c r="E1606" s="1">
        <v>1</v>
      </c>
      <c r="F1606" s="1">
        <v>1</v>
      </c>
      <c r="G1606" s="1">
        <v>84</v>
      </c>
      <c r="H1606" s="1">
        <v>22</v>
      </c>
      <c r="I1606" s="1">
        <v>2</v>
      </c>
      <c r="J1606" s="1">
        <v>10</v>
      </c>
      <c r="K1606" s="1">
        <v>6</v>
      </c>
      <c r="L1606" s="1">
        <v>4</v>
      </c>
      <c r="M1606" s="1">
        <v>34</v>
      </c>
      <c r="N1606" s="1">
        <v>2</v>
      </c>
      <c r="O1606" s="1">
        <v>1</v>
      </c>
      <c r="P1606" s="1">
        <v>2</v>
      </c>
      <c r="Q1606" s="1">
        <v>2</v>
      </c>
      <c r="R1606" s="1">
        <v>4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51</v>
      </c>
      <c r="AA1606" s="1" t="str" cm="1">
        <f t="array" ref="AA1606">_xlfn.IFS(AND(Z1606&lt;36, Z1606&gt;23), "24-35", AND(Z1606&lt;51, Z1606&gt;35),"36-50", AND(Z1606&lt;66, Z1606&gt;50), "51-66", Z1606&gt;65, "66+", TRUE, "?")</f>
        <v>51-66</v>
      </c>
      <c r="AB1606" s="1">
        <v>2545</v>
      </c>
      <c r="AC1606" s="1">
        <v>0</v>
      </c>
      <c r="AD1606" s="1">
        <v>1</v>
      </c>
      <c r="AE1606" s="1">
        <v>0</v>
      </c>
      <c r="AF1606" s="1">
        <v>0</v>
      </c>
      <c r="AG1606" s="1">
        <v>0</v>
      </c>
      <c r="AH1606" s="1">
        <v>1</v>
      </c>
      <c r="AI1606" s="1">
        <v>0</v>
      </c>
      <c r="AJ1606" s="1">
        <v>0</v>
      </c>
      <c r="AK1606" s="1">
        <v>0</v>
      </c>
      <c r="AL1606" s="1">
        <v>10</v>
      </c>
      <c r="AM1606" s="2">
        <v>42304</v>
      </c>
      <c r="AN1606" t="str">
        <f t="shared" si="51"/>
        <v>46831,44,0.000939548589609447,1,1,84,22,2,10,6,4,34,2,1,2,2,4,0,0,0,0,0,0,0,51,51-66,2545,0,1,0,0,0,1,0,0,0,10,42304</v>
      </c>
    </row>
    <row r="1607" spans="1:40" ht="13" hidden="1" x14ac:dyDescent="0.15">
      <c r="A1607">
        <v>1319</v>
      </c>
      <c r="B1607" s="1">
        <v>36026</v>
      </c>
      <c r="C1607" s="1">
        <v>44</v>
      </c>
      <c r="D1607" s="4">
        <f t="shared" si="50"/>
        <v>1.2213401432298895E-3</v>
      </c>
      <c r="E1607" s="1">
        <v>2</v>
      </c>
      <c r="F1607" s="1">
        <v>1</v>
      </c>
      <c r="G1607" s="1">
        <v>34</v>
      </c>
      <c r="H1607" s="1">
        <v>20</v>
      </c>
      <c r="I1607" s="1">
        <v>4</v>
      </c>
      <c r="J1607" s="1">
        <v>10</v>
      </c>
      <c r="K1607" s="1">
        <v>6</v>
      </c>
      <c r="L1607" s="1">
        <v>4</v>
      </c>
      <c r="M1607" s="1">
        <v>17</v>
      </c>
      <c r="N1607" s="1">
        <v>2</v>
      </c>
      <c r="O1607" s="1">
        <v>2</v>
      </c>
      <c r="P1607" s="1">
        <v>0</v>
      </c>
      <c r="Q1607" s="1">
        <v>3</v>
      </c>
      <c r="R1607" s="1">
        <v>6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48</v>
      </c>
      <c r="AA1607" s="1" t="str" cm="1">
        <f t="array" ref="AA1607">_xlfn.IFS(AND(Z1607&lt;36, Z1607&gt;23), "24-35", AND(Z1607&lt;51, Z1607&gt;35),"36-50", AND(Z1607&lt;66, Z1607&gt;50), "51-66", Z1607&gt;65, "66+", TRUE, "?")</f>
        <v>36-50</v>
      </c>
      <c r="AB1607" s="1">
        <v>2264</v>
      </c>
      <c r="AC1607" s="1">
        <v>0</v>
      </c>
      <c r="AD1607" s="1">
        <v>1</v>
      </c>
      <c r="AE1607" s="1">
        <v>0</v>
      </c>
      <c r="AF1607" s="1">
        <v>0</v>
      </c>
      <c r="AG1607" s="1">
        <v>0</v>
      </c>
      <c r="AH1607" s="1">
        <v>0</v>
      </c>
      <c r="AI1607" s="1">
        <v>1</v>
      </c>
      <c r="AJ1607" s="1">
        <v>0</v>
      </c>
      <c r="AK1607" s="1">
        <v>0</v>
      </c>
      <c r="AL1607" s="1">
        <v>27</v>
      </c>
      <c r="AM1607" s="2">
        <v>42585</v>
      </c>
      <c r="AN1607" t="str">
        <f t="shared" si="51"/>
        <v>36026,44,0.00122134014322989,2,1,34,20,4,10,6,4,17,2,2,0,3,6,0,0,0,0,0,0,0,48,36-50,2264,0,1,0,0,0,0,1,0,0,27,42585</v>
      </c>
    </row>
    <row r="1608" spans="1:40" ht="13" hidden="1" x14ac:dyDescent="0.15">
      <c r="A1608">
        <v>1481</v>
      </c>
      <c r="B1608" s="1">
        <v>12393</v>
      </c>
      <c r="C1608" s="1">
        <v>44</v>
      </c>
      <c r="D1608" s="4">
        <f t="shared" si="50"/>
        <v>3.55039134995562E-3</v>
      </c>
      <c r="E1608" s="1">
        <v>0</v>
      </c>
      <c r="F1608" s="1">
        <v>0</v>
      </c>
      <c r="G1608" s="1">
        <v>38</v>
      </c>
      <c r="H1608" s="1">
        <v>5</v>
      </c>
      <c r="I1608" s="1">
        <v>6</v>
      </c>
      <c r="J1608" s="1">
        <v>15</v>
      </c>
      <c r="K1608" s="1">
        <v>11</v>
      </c>
      <c r="L1608" s="1">
        <v>7</v>
      </c>
      <c r="M1608" s="1">
        <v>13</v>
      </c>
      <c r="N1608" s="1">
        <v>1</v>
      </c>
      <c r="O1608" s="1">
        <v>2</v>
      </c>
      <c r="P1608" s="1">
        <v>0</v>
      </c>
      <c r="Q1608" s="1">
        <v>3</v>
      </c>
      <c r="R1608" s="1">
        <v>9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42</v>
      </c>
      <c r="AA1608" s="1" t="str" cm="1">
        <f t="array" ref="AA1608">_xlfn.IFS(AND(Z1608&lt;36, Z1608&gt;23), "24-35", AND(Z1608&lt;51, Z1608&gt;35),"36-50", AND(Z1608&lt;66, Z1608&gt;50), "51-66", Z1608&gt;65, "66+", TRUE, "?")</f>
        <v>36-50</v>
      </c>
      <c r="AB1608" s="1">
        <v>2731</v>
      </c>
      <c r="AC1608" s="1">
        <v>0</v>
      </c>
      <c r="AD1608" s="1">
        <v>1</v>
      </c>
      <c r="AE1608" s="1">
        <v>0</v>
      </c>
      <c r="AF1608" s="1">
        <v>0</v>
      </c>
      <c r="AG1608" s="1">
        <v>0</v>
      </c>
      <c r="AH1608" s="1">
        <v>1</v>
      </c>
      <c r="AI1608" s="1">
        <v>0</v>
      </c>
      <c r="AJ1608" s="1">
        <v>0</v>
      </c>
      <c r="AK1608" s="1">
        <v>0</v>
      </c>
      <c r="AL1608" s="1">
        <v>31</v>
      </c>
      <c r="AM1608" s="2">
        <v>42118</v>
      </c>
      <c r="AN1608" t="str">
        <f t="shared" si="51"/>
        <v>12393,44,0.00355039134995562,0,0,38,5,6,15,11,7,13,1,2,0,3,9,0,0,0,0,0,0,0,42,36-50,2731,0,1,0,0,0,1,0,0,0,31,42118</v>
      </c>
    </row>
    <row r="1609" spans="1:40" ht="13" hidden="1" x14ac:dyDescent="0.15">
      <c r="A1609">
        <v>1571</v>
      </c>
      <c r="B1609" s="1">
        <v>18746</v>
      </c>
      <c r="C1609" s="1">
        <v>44</v>
      </c>
      <c r="D1609" s="4">
        <f t="shared" si="50"/>
        <v>2.3471673957110848E-3</v>
      </c>
      <c r="E1609" s="1">
        <v>1</v>
      </c>
      <c r="F1609" s="1">
        <v>0</v>
      </c>
      <c r="G1609" s="1">
        <v>41</v>
      </c>
      <c r="H1609" s="1">
        <v>2</v>
      </c>
      <c r="I1609" s="1">
        <v>10</v>
      </c>
      <c r="J1609" s="1">
        <v>11</v>
      </c>
      <c r="K1609" s="1">
        <v>12</v>
      </c>
      <c r="L1609" s="1">
        <v>9</v>
      </c>
      <c r="M1609" s="1">
        <v>20</v>
      </c>
      <c r="N1609" s="1">
        <v>2</v>
      </c>
      <c r="O1609" s="1">
        <v>3</v>
      </c>
      <c r="P1609" s="1">
        <v>0</v>
      </c>
      <c r="Q1609" s="1">
        <v>3</v>
      </c>
      <c r="R1609" s="1">
        <v>6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28</v>
      </c>
      <c r="AA1609" s="1" t="str" cm="1">
        <f t="array" ref="AA1609">_xlfn.IFS(AND(Z1609&lt;36, Z1609&gt;23), "24-35", AND(Z1609&lt;51, Z1609&gt;35),"36-50", AND(Z1609&lt;66, Z1609&gt;50), "51-66", Z1609&gt;65, "66+", TRUE, "?")</f>
        <v>24-35</v>
      </c>
      <c r="AB1609" s="1">
        <v>2190</v>
      </c>
      <c r="AC1609" s="1">
        <v>0</v>
      </c>
      <c r="AD1609" s="1">
        <v>0</v>
      </c>
      <c r="AE1609" s="1">
        <v>1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24</v>
      </c>
      <c r="AM1609" s="2">
        <v>42659</v>
      </c>
      <c r="AN1609" t="str">
        <f t="shared" si="51"/>
        <v>18746,44,0.00234716739571108,1,0,41,2,10,11,12,9,20,2,3,0,3,6,0,0,0,0,0,0,0,28,24-35,2190,0,0,1,0,0,0,0,0,0,24,42659</v>
      </c>
    </row>
    <row r="1610" spans="1:40" ht="13" hidden="1" x14ac:dyDescent="0.15">
      <c r="A1610">
        <v>1615</v>
      </c>
      <c r="B1610" s="1">
        <v>21955</v>
      </c>
      <c r="C1610" s="1">
        <v>44</v>
      </c>
      <c r="D1610" s="4">
        <f t="shared" si="50"/>
        <v>2.0040992940104758E-3</v>
      </c>
      <c r="E1610" s="1">
        <v>1</v>
      </c>
      <c r="F1610" s="1">
        <v>0</v>
      </c>
      <c r="G1610" s="1">
        <v>81</v>
      </c>
      <c r="H1610" s="1">
        <v>5</v>
      </c>
      <c r="I1610" s="1">
        <v>1</v>
      </c>
      <c r="J1610" s="1">
        <v>7</v>
      </c>
      <c r="K1610" s="1">
        <v>17</v>
      </c>
      <c r="L1610" s="1">
        <v>14</v>
      </c>
      <c r="M1610" s="1">
        <v>11</v>
      </c>
      <c r="N1610" s="1">
        <v>2</v>
      </c>
      <c r="O1610" s="1">
        <v>2</v>
      </c>
      <c r="P1610" s="1">
        <v>1</v>
      </c>
      <c r="Q1610" s="1">
        <v>3</v>
      </c>
      <c r="R1610" s="1">
        <v>6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34</v>
      </c>
      <c r="AA1610" s="1" t="str" cm="1">
        <f t="array" ref="AA1610">_xlfn.IFS(AND(Z1610&lt;36, Z1610&gt;23), "24-35", AND(Z1610&lt;51, Z1610&gt;35),"36-50", AND(Z1610&lt;66, Z1610&gt;50), "51-66", Z1610&gt;65, "66+", TRUE, "?")</f>
        <v>24-35</v>
      </c>
      <c r="AB1610" s="1">
        <v>2454</v>
      </c>
      <c r="AC1610" s="1">
        <v>0</v>
      </c>
      <c r="AD1610" s="1">
        <v>1</v>
      </c>
      <c r="AE1610" s="1">
        <v>0</v>
      </c>
      <c r="AF1610" s="1">
        <v>0</v>
      </c>
      <c r="AG1610" s="1">
        <v>0</v>
      </c>
      <c r="AH1610" s="1">
        <v>1</v>
      </c>
      <c r="AI1610" s="1">
        <v>0</v>
      </c>
      <c r="AJ1610" s="1">
        <v>0</v>
      </c>
      <c r="AK1610" s="1">
        <v>0</v>
      </c>
      <c r="AL1610" s="1">
        <v>33</v>
      </c>
      <c r="AM1610" s="2">
        <v>42395</v>
      </c>
      <c r="AN1610" t="str">
        <f t="shared" si="51"/>
        <v>21955,44,0.00200409929401048,1,0,81,5,1,7,17,14,11,2,2,1,3,6,0,0,0,0,0,0,0,34,24-35,2454,0,1,0,0,0,1,0,0,0,33,42395</v>
      </c>
    </row>
    <row r="1611" spans="1:40" ht="13" hidden="1" x14ac:dyDescent="0.15">
      <c r="A1611">
        <v>1786</v>
      </c>
      <c r="B1611" s="1">
        <v>44359</v>
      </c>
      <c r="C1611" s="1">
        <v>44</v>
      </c>
      <c r="D1611" s="4">
        <f t="shared" si="50"/>
        <v>9.9190694109425361E-4</v>
      </c>
      <c r="E1611" s="1">
        <v>1</v>
      </c>
      <c r="F1611" s="1">
        <v>1</v>
      </c>
      <c r="G1611" s="1">
        <v>19</v>
      </c>
      <c r="H1611" s="1">
        <v>20</v>
      </c>
      <c r="I1611" s="1">
        <v>0</v>
      </c>
      <c r="J1611" s="1">
        <v>14</v>
      </c>
      <c r="K1611" s="1">
        <v>7</v>
      </c>
      <c r="L1611" s="1">
        <v>3</v>
      </c>
      <c r="M1611" s="1">
        <v>1</v>
      </c>
      <c r="N1611" s="1">
        <v>3</v>
      </c>
      <c r="O1611" s="1">
        <v>2</v>
      </c>
      <c r="P1611" s="1">
        <v>0</v>
      </c>
      <c r="Q1611" s="1">
        <v>4</v>
      </c>
      <c r="R1611" s="1">
        <v>3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42</v>
      </c>
      <c r="AA1611" s="1" t="str" cm="1">
        <f t="array" ref="AA1611">_xlfn.IFS(AND(Z1611&lt;36, Z1611&gt;23), "24-35", AND(Z1611&lt;51, Z1611&gt;35),"36-50", AND(Z1611&lt;66, Z1611&gt;50), "51-66", Z1611&gt;65, "66+", TRUE, "?")</f>
        <v>36-50</v>
      </c>
      <c r="AB1611" s="1">
        <v>2171</v>
      </c>
      <c r="AC1611" s="1">
        <v>0</v>
      </c>
      <c r="AD1611" s="1">
        <v>1</v>
      </c>
      <c r="AE1611" s="1">
        <v>0</v>
      </c>
      <c r="AF1611" s="1">
        <v>0</v>
      </c>
      <c r="AG1611" s="1">
        <v>0</v>
      </c>
      <c r="AH1611" s="1">
        <v>0</v>
      </c>
      <c r="AI1611" s="1">
        <v>1</v>
      </c>
      <c r="AJ1611" s="1">
        <v>0</v>
      </c>
      <c r="AK1611" s="1">
        <v>0</v>
      </c>
      <c r="AL1611" s="1">
        <v>43</v>
      </c>
      <c r="AM1611" s="2">
        <v>42678</v>
      </c>
      <c r="AN1611" t="str">
        <f t="shared" si="51"/>
        <v>44359,44,0.000991906941094254,1,1,19,20,0,14,7,3,1,3,2,0,4,3,0,0,0,0,0,0,0,42,36-50,2171,0,1,0,0,0,0,1,0,0,43,42678</v>
      </c>
    </row>
    <row r="1612" spans="1:40" ht="13" x14ac:dyDescent="0.15">
      <c r="A1612">
        <v>1835</v>
      </c>
      <c r="B1612" s="1">
        <v>30351</v>
      </c>
      <c r="C1612" s="1">
        <v>44</v>
      </c>
      <c r="D1612" s="4">
        <f t="shared" si="50"/>
        <v>1.4497051168001055E-3</v>
      </c>
      <c r="E1612" s="1">
        <v>1</v>
      </c>
      <c r="F1612" s="1">
        <v>0</v>
      </c>
      <c r="G1612" s="1">
        <v>19</v>
      </c>
      <c r="H1612" s="1">
        <v>14</v>
      </c>
      <c r="I1612" s="1">
        <v>0</v>
      </c>
      <c r="J1612" s="1">
        <v>24</v>
      </c>
      <c r="K1612" s="1">
        <v>3</v>
      </c>
      <c r="L1612" s="1">
        <v>3</v>
      </c>
      <c r="M1612" s="1">
        <v>2</v>
      </c>
      <c r="N1612" s="1">
        <v>1</v>
      </c>
      <c r="O1612" s="1">
        <v>3</v>
      </c>
      <c r="P1612" s="1">
        <v>0</v>
      </c>
      <c r="Q1612" s="1">
        <v>2</v>
      </c>
      <c r="R1612" s="1">
        <v>9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1</v>
      </c>
      <c r="Z1612" s="1">
        <v>46</v>
      </c>
      <c r="AA1612" s="1" t="str" cm="1">
        <f t="array" ref="AA1612">_xlfn.IFS(AND(Z1612&lt;36, Z1612&gt;23), "24-35", AND(Z1612&lt;51, Z1612&gt;35),"36-50", AND(Z1612&lt;66, Z1612&gt;50), "51-66", Z1612&gt;65, "66+", TRUE, "?")</f>
        <v>36-50</v>
      </c>
      <c r="AB1612" s="1">
        <v>2547</v>
      </c>
      <c r="AC1612" s="1">
        <v>0</v>
      </c>
      <c r="AD1612" s="1">
        <v>0</v>
      </c>
      <c r="AE1612" s="1">
        <v>0</v>
      </c>
      <c r="AF1612" s="1">
        <v>1</v>
      </c>
      <c r="AG1612" s="1">
        <v>0</v>
      </c>
      <c r="AH1612" s="1">
        <v>0</v>
      </c>
      <c r="AI1612" s="1">
        <v>0</v>
      </c>
      <c r="AJ1612" s="1">
        <v>0</v>
      </c>
      <c r="AK1612" s="1">
        <v>1</v>
      </c>
      <c r="AL1612" s="1">
        <v>42</v>
      </c>
      <c r="AM1612" s="2">
        <v>42302</v>
      </c>
      <c r="AN1612" t="str">
        <f t="shared" si="51"/>
        <v>30351,44,0.00144970511680011,1,0,19,14,0,24,3,3,2,1,3,0,2,9,0,0,0,0,0,0,1,46,36-50,2547,0,0,0,1,0,0,0,0,1,42,42302</v>
      </c>
    </row>
    <row r="1613" spans="1:40" ht="13" x14ac:dyDescent="0.15">
      <c r="A1613">
        <v>1836</v>
      </c>
      <c r="B1613" s="1">
        <v>19444</v>
      </c>
      <c r="C1613" s="1">
        <v>44</v>
      </c>
      <c r="D1613" s="4">
        <f t="shared" si="50"/>
        <v>2.2629088664883768E-3</v>
      </c>
      <c r="E1613" s="1">
        <v>1</v>
      </c>
      <c r="F1613" s="1">
        <v>0</v>
      </c>
      <c r="G1613" s="1">
        <v>8</v>
      </c>
      <c r="H1613" s="1">
        <v>16</v>
      </c>
      <c r="I1613" s="1">
        <v>0</v>
      </c>
      <c r="J1613" s="1">
        <v>23</v>
      </c>
      <c r="K1613" s="1">
        <v>3</v>
      </c>
      <c r="L1613" s="1">
        <v>2</v>
      </c>
      <c r="M1613" s="1">
        <v>10</v>
      </c>
      <c r="N1613" s="1">
        <v>3</v>
      </c>
      <c r="O1613" s="1">
        <v>4</v>
      </c>
      <c r="P1613" s="1">
        <v>1</v>
      </c>
      <c r="Q1613" s="1">
        <v>2</v>
      </c>
      <c r="R1613" s="1">
        <v>7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1</v>
      </c>
      <c r="Z1613" s="1">
        <v>38</v>
      </c>
      <c r="AA1613" s="1" t="str" cm="1">
        <f t="array" ref="AA1613">_xlfn.IFS(AND(Z1613&lt;36, Z1613&gt;23), "24-35", AND(Z1613&lt;51, Z1613&gt;35),"36-50", AND(Z1613&lt;66, Z1613&gt;50), "51-66", Z1613&gt;65, "66+", TRUE, "?")</f>
        <v>36-50</v>
      </c>
      <c r="AB1613" s="1">
        <v>2286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1</v>
      </c>
      <c r="AJ1613" s="1">
        <v>0</v>
      </c>
      <c r="AK1613" s="1">
        <v>0</v>
      </c>
      <c r="AL1613" s="1">
        <v>34</v>
      </c>
      <c r="AM1613" s="2">
        <v>42563</v>
      </c>
      <c r="AN1613" t="str">
        <f t="shared" si="51"/>
        <v>19444,44,0.00226290886648838,1,0,8,16,0,23,3,2,10,3,4,1,2,7,0,0,0,0,0,0,1,38,36-50,2286,0,0,0,1,0,0,1,0,0,34,42563</v>
      </c>
    </row>
    <row r="1614" spans="1:40" ht="13" hidden="1" x14ac:dyDescent="0.15">
      <c r="A1614">
        <v>1851</v>
      </c>
      <c r="B1614" s="1">
        <v>17649</v>
      </c>
      <c r="C1614" s="1">
        <v>44</v>
      </c>
      <c r="D1614" s="4">
        <f t="shared" si="50"/>
        <v>2.4930590968326818E-3</v>
      </c>
      <c r="E1614" s="1">
        <v>1</v>
      </c>
      <c r="F1614" s="1">
        <v>0</v>
      </c>
      <c r="G1614" s="1">
        <v>70</v>
      </c>
      <c r="H1614" s="1">
        <v>15</v>
      </c>
      <c r="I1614" s="1">
        <v>1</v>
      </c>
      <c r="J1614" s="1">
        <v>23</v>
      </c>
      <c r="K1614" s="1">
        <v>0</v>
      </c>
      <c r="L1614" s="1">
        <v>5</v>
      </c>
      <c r="M1614" s="1">
        <v>1</v>
      </c>
      <c r="N1614" s="1">
        <v>3</v>
      </c>
      <c r="O1614" s="1">
        <v>3</v>
      </c>
      <c r="P1614" s="1">
        <v>0</v>
      </c>
      <c r="Q1614" s="1">
        <v>3</v>
      </c>
      <c r="R1614" s="1">
        <v>8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44</v>
      </c>
      <c r="AA1614" s="1" t="str" cm="1">
        <f t="array" ref="AA1614">_xlfn.IFS(AND(Z1614&lt;36, Z1614&gt;23), "24-35", AND(Z1614&lt;51, Z1614&gt;35),"36-50", AND(Z1614&lt;66, Z1614&gt;50), "51-66", Z1614&gt;65, "66+", TRUE, "?")</f>
        <v>36-50</v>
      </c>
      <c r="AB1614" s="1">
        <v>2388</v>
      </c>
      <c r="AC1614" s="1">
        <v>0</v>
      </c>
      <c r="AD1614" s="1">
        <v>1</v>
      </c>
      <c r="AE1614" s="1">
        <v>0</v>
      </c>
      <c r="AF1614" s="1">
        <v>0</v>
      </c>
      <c r="AG1614" s="1">
        <v>0</v>
      </c>
      <c r="AH1614" s="1">
        <v>0</v>
      </c>
      <c r="AI1614" s="1">
        <v>1</v>
      </c>
      <c r="AJ1614" s="1">
        <v>0</v>
      </c>
      <c r="AK1614" s="1">
        <v>0</v>
      </c>
      <c r="AL1614" s="1">
        <v>43</v>
      </c>
      <c r="AM1614" s="2">
        <v>42461</v>
      </c>
      <c r="AN1614" t="str">
        <f t="shared" si="51"/>
        <v>17649,44,0.00249305909683268,1,0,70,15,1,23,0,5,1,3,3,0,3,8,0,0,0,0,0,0,0,44,36-50,2388,0,1,0,0,0,0,1,0,0,43,42461</v>
      </c>
    </row>
    <row r="1615" spans="1:40" ht="13" hidden="1" x14ac:dyDescent="0.15">
      <c r="A1615">
        <v>1893</v>
      </c>
      <c r="B1615" s="1">
        <v>30828</v>
      </c>
      <c r="C1615" s="1">
        <v>44</v>
      </c>
      <c r="D1615" s="4">
        <f t="shared" si="50"/>
        <v>1.4272739068379395E-3</v>
      </c>
      <c r="E1615" s="1">
        <v>1</v>
      </c>
      <c r="F1615" s="1">
        <v>0</v>
      </c>
      <c r="G1615" s="1">
        <v>16</v>
      </c>
      <c r="H1615" s="1">
        <v>16</v>
      </c>
      <c r="I1615" s="1">
        <v>11</v>
      </c>
      <c r="J1615" s="1">
        <v>15</v>
      </c>
      <c r="K1615" s="1">
        <v>2</v>
      </c>
      <c r="L1615" s="1">
        <v>0</v>
      </c>
      <c r="M1615" s="1">
        <v>12</v>
      </c>
      <c r="N1615" s="1">
        <v>2</v>
      </c>
      <c r="O1615" s="1">
        <v>1</v>
      </c>
      <c r="P1615" s="1">
        <v>1</v>
      </c>
      <c r="Q1615" s="1">
        <v>4</v>
      </c>
      <c r="R1615" s="1">
        <v>3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40</v>
      </c>
      <c r="AA1615" s="1" t="str" cm="1">
        <f t="array" ref="AA1615">_xlfn.IFS(AND(Z1615&lt;36, Z1615&gt;23), "24-35", AND(Z1615&lt;51, Z1615&gt;35),"36-50", AND(Z1615&lt;66, Z1615&gt;50), "51-66", Z1615&gt;65, "66+", TRUE, "?")</f>
        <v>36-50</v>
      </c>
      <c r="AB1615" s="1">
        <v>2427</v>
      </c>
      <c r="AC1615" s="1">
        <v>0</v>
      </c>
      <c r="AD1615" s="1">
        <v>0</v>
      </c>
      <c r="AE1615" s="1">
        <v>1</v>
      </c>
      <c r="AF1615" s="1">
        <v>0</v>
      </c>
      <c r="AG1615" s="1">
        <v>0</v>
      </c>
      <c r="AH1615" s="1">
        <v>0</v>
      </c>
      <c r="AI1615" s="1">
        <v>1</v>
      </c>
      <c r="AJ1615" s="1">
        <v>0</v>
      </c>
      <c r="AK1615" s="1">
        <v>0</v>
      </c>
      <c r="AL1615" s="1">
        <v>32</v>
      </c>
      <c r="AM1615" s="2">
        <v>42422</v>
      </c>
      <c r="AN1615" t="str">
        <f t="shared" si="51"/>
        <v>30828,44,0.00142727390683794,1,0,16,16,11,15,2,0,12,2,1,1,4,3,0,0,0,0,0,0,0,40,36-50,2427,0,0,1,0,0,0,1,0,0,32,42422</v>
      </c>
    </row>
    <row r="1616" spans="1:40" ht="13" hidden="1" x14ac:dyDescent="0.15">
      <c r="A1616">
        <v>1973</v>
      </c>
      <c r="B1616" s="1">
        <v>26067</v>
      </c>
      <c r="C1616" s="1">
        <v>44</v>
      </c>
      <c r="D1616" s="4">
        <f t="shared" si="50"/>
        <v>1.6879579545018605E-3</v>
      </c>
      <c r="E1616" s="1">
        <v>1</v>
      </c>
      <c r="F1616" s="1">
        <v>0</v>
      </c>
      <c r="G1616" s="1">
        <v>49</v>
      </c>
      <c r="H1616" s="1">
        <v>22</v>
      </c>
      <c r="I1616" s="1">
        <v>2</v>
      </c>
      <c r="J1616" s="1">
        <v>18</v>
      </c>
      <c r="K1616" s="1">
        <v>0</v>
      </c>
      <c r="L1616" s="1">
        <v>2</v>
      </c>
      <c r="M1616" s="1">
        <v>12</v>
      </c>
      <c r="N1616" s="1">
        <v>3</v>
      </c>
      <c r="O1616" s="1">
        <v>3</v>
      </c>
      <c r="P1616" s="1">
        <v>0</v>
      </c>
      <c r="Q1616" s="1">
        <v>3</v>
      </c>
      <c r="R1616" s="1">
        <v>8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46</v>
      </c>
      <c r="AA1616" s="1" t="str" cm="1">
        <f t="array" ref="AA1616">_xlfn.IFS(AND(Z1616&lt;36, Z1616&gt;23), "24-35", AND(Z1616&lt;51, Z1616&gt;35),"36-50", AND(Z1616&lt;66, Z1616&gt;50), "51-66", Z1616&gt;65, "66+", TRUE, "?")</f>
        <v>36-50</v>
      </c>
      <c r="AB1616" s="1">
        <v>2396</v>
      </c>
      <c r="AC1616" s="1">
        <v>0</v>
      </c>
      <c r="AD1616" s="1">
        <v>1</v>
      </c>
      <c r="AE1616" s="1">
        <v>0</v>
      </c>
      <c r="AF1616" s="1">
        <v>0</v>
      </c>
      <c r="AG1616" s="1">
        <v>0</v>
      </c>
      <c r="AH1616" s="1">
        <v>0</v>
      </c>
      <c r="AI1616" s="1">
        <v>1</v>
      </c>
      <c r="AJ1616" s="1">
        <v>0</v>
      </c>
      <c r="AK1616" s="1">
        <v>0</v>
      </c>
      <c r="AL1616" s="1">
        <v>32</v>
      </c>
      <c r="AM1616" s="2">
        <v>42453</v>
      </c>
      <c r="AN1616" t="str">
        <f t="shared" si="51"/>
        <v>26067,44,0.00168795795450186,1,0,49,22,2,18,0,2,12,3,3,0,3,8,0,0,0,0,0,0,0,46,36-50,2396,0,1,0,0,0,0,1,0,0,32,42453</v>
      </c>
    </row>
    <row r="1617" spans="1:40" ht="13" hidden="1" x14ac:dyDescent="0.15">
      <c r="A1617">
        <v>83</v>
      </c>
      <c r="B1617" s="1">
        <v>23626</v>
      </c>
      <c r="C1617" s="1">
        <v>43</v>
      </c>
      <c r="D1617" s="4">
        <f t="shared" si="50"/>
        <v>1.8200287818505036E-3</v>
      </c>
      <c r="E1617" s="1">
        <v>1</v>
      </c>
      <c r="F1617" s="1">
        <v>0</v>
      </c>
      <c r="G1617" s="1">
        <v>84</v>
      </c>
      <c r="H1617" s="1">
        <v>27</v>
      </c>
      <c r="I1617" s="1">
        <v>2</v>
      </c>
      <c r="J1617" s="1">
        <v>14</v>
      </c>
      <c r="K1617" s="1">
        <v>0</v>
      </c>
      <c r="L1617" s="1">
        <v>0</v>
      </c>
      <c r="M1617" s="1">
        <v>0</v>
      </c>
      <c r="N1617" s="1">
        <v>3</v>
      </c>
      <c r="O1617" s="1">
        <v>3</v>
      </c>
      <c r="P1617" s="1">
        <v>1</v>
      </c>
      <c r="Q1617" s="1">
        <v>3</v>
      </c>
      <c r="R1617" s="1">
        <v>5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50</v>
      </c>
      <c r="AA1617" s="1" t="str" cm="1">
        <f t="array" ref="AA1617">_xlfn.IFS(AND(Z1617&lt;36, Z1617&gt;23), "24-35", AND(Z1617&lt;51, Z1617&gt;35),"36-50", AND(Z1617&lt;66, Z1617&gt;50), "51-66", Z1617&gt;65, "66+", TRUE, "?")</f>
        <v>36-50</v>
      </c>
      <c r="AB1617" s="1">
        <v>2195</v>
      </c>
      <c r="AC1617" s="1">
        <v>0</v>
      </c>
      <c r="AD1617" s="1">
        <v>1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1</v>
      </c>
      <c r="AL1617" s="1">
        <v>43</v>
      </c>
      <c r="AM1617" s="2">
        <v>42654</v>
      </c>
      <c r="AN1617" t="str">
        <f t="shared" si="51"/>
        <v>23626,43,0.0018200287818505,1,0,84,27,2,14,0,0,0,3,3,1,3,5,0,0,0,0,0,0,0,50,36-50,2195,0,1,0,0,0,0,0,0,1,43,42654</v>
      </c>
    </row>
    <row r="1618" spans="1:40" ht="13" hidden="1" x14ac:dyDescent="0.15">
      <c r="A1618">
        <v>162</v>
      </c>
      <c r="B1618" s="1">
        <v>38853</v>
      </c>
      <c r="C1618" s="1">
        <v>43</v>
      </c>
      <c r="D1618" s="4">
        <f t="shared" si="50"/>
        <v>1.1067356446091679E-3</v>
      </c>
      <c r="E1618" s="1">
        <v>1</v>
      </c>
      <c r="F1618" s="1">
        <v>1</v>
      </c>
      <c r="G1618" s="1">
        <v>90</v>
      </c>
      <c r="H1618" s="1">
        <v>29</v>
      </c>
      <c r="I1618" s="1">
        <v>0</v>
      </c>
      <c r="J1618" s="1">
        <v>14</v>
      </c>
      <c r="K1618" s="1">
        <v>0</v>
      </c>
      <c r="L1618" s="1">
        <v>0</v>
      </c>
      <c r="M1618" s="1">
        <v>2</v>
      </c>
      <c r="N1618" s="1">
        <v>2</v>
      </c>
      <c r="O1618" s="1">
        <v>2</v>
      </c>
      <c r="P1618" s="1">
        <v>0</v>
      </c>
      <c r="Q1618" s="1">
        <v>3</v>
      </c>
      <c r="R1618" s="1">
        <v>7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50</v>
      </c>
      <c r="AA1618" s="1" t="str" cm="1">
        <f t="array" ref="AA1618">_xlfn.IFS(AND(Z1618&lt;36, Z1618&gt;23), "24-35", AND(Z1618&lt;51, Z1618&gt;35),"36-50", AND(Z1618&lt;66, Z1618&gt;50), "51-66", Z1618&gt;65, "66+", TRUE, "?")</f>
        <v>36-50</v>
      </c>
      <c r="AB1618" s="1">
        <v>2196</v>
      </c>
      <c r="AC1618" s="1">
        <v>0</v>
      </c>
      <c r="AD1618" s="1">
        <v>1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1</v>
      </c>
      <c r="AL1618" s="1">
        <v>41</v>
      </c>
      <c r="AM1618" s="2">
        <v>42653</v>
      </c>
      <c r="AN1618" t="str">
        <f t="shared" si="51"/>
        <v>38853,43,0.00110673564460917,1,1,90,29,0,14,0,0,2,2,2,0,3,7,0,0,0,0,0,0,0,50,36-50,2196,0,1,0,0,0,0,0,0,1,41,42653</v>
      </c>
    </row>
    <row r="1619" spans="1:40" ht="13" hidden="1" x14ac:dyDescent="0.15">
      <c r="A1619">
        <v>169</v>
      </c>
      <c r="B1619" s="1">
        <v>25271</v>
      </c>
      <c r="C1619" s="1">
        <v>43</v>
      </c>
      <c r="D1619" s="4">
        <f t="shared" si="50"/>
        <v>1.7015551422579242E-3</v>
      </c>
      <c r="E1619" s="1">
        <v>1</v>
      </c>
      <c r="F1619" s="1">
        <v>0</v>
      </c>
      <c r="G1619" s="1">
        <v>45</v>
      </c>
      <c r="H1619" s="1">
        <v>10</v>
      </c>
      <c r="I1619" s="1">
        <v>1</v>
      </c>
      <c r="J1619" s="1">
        <v>18</v>
      </c>
      <c r="K1619" s="1">
        <v>10</v>
      </c>
      <c r="L1619" s="1">
        <v>4</v>
      </c>
      <c r="M1619" s="1">
        <v>7</v>
      </c>
      <c r="N1619" s="1">
        <v>1</v>
      </c>
      <c r="O1619" s="1">
        <v>1</v>
      </c>
      <c r="P1619" s="1">
        <v>1</v>
      </c>
      <c r="Q1619" s="1">
        <v>2</v>
      </c>
      <c r="R1619" s="1">
        <v>9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37</v>
      </c>
      <c r="AA1619" s="1" t="str" cm="1">
        <f t="array" ref="AA1619">_xlfn.IFS(AND(Z1619&lt;36, Z1619&gt;23), "24-35", AND(Z1619&lt;51, Z1619&gt;35),"36-50", AND(Z1619&lt;66, Z1619&gt;50), "51-66", Z1619&gt;65, "66+", TRUE, "?")</f>
        <v>36-50</v>
      </c>
      <c r="AB1619" s="1">
        <v>2730</v>
      </c>
      <c r="AC1619" s="1">
        <v>0</v>
      </c>
      <c r="AD1619" s="1">
        <v>1</v>
      </c>
      <c r="AE1619" s="1">
        <v>0</v>
      </c>
      <c r="AF1619" s="1">
        <v>0</v>
      </c>
      <c r="AG1619" s="1">
        <v>0</v>
      </c>
      <c r="AH1619" s="1">
        <v>0</v>
      </c>
      <c r="AI1619" s="1">
        <v>1</v>
      </c>
      <c r="AJ1619" s="1">
        <v>0</v>
      </c>
      <c r="AK1619" s="1">
        <v>0</v>
      </c>
      <c r="AL1619" s="1">
        <v>36</v>
      </c>
      <c r="AM1619" s="2">
        <v>42119</v>
      </c>
      <c r="AN1619" t="str">
        <f t="shared" si="51"/>
        <v>25271,43,0.00170155514225792,1,0,45,10,1,18,10,4,7,1,1,1,2,9,0,0,0,0,0,0,0,37,36-50,2730,0,1,0,0,0,0,1,0,0,36,42119</v>
      </c>
    </row>
    <row r="1620" spans="1:40" ht="13" hidden="1" x14ac:dyDescent="0.15">
      <c r="A1620">
        <v>419</v>
      </c>
      <c r="B1620" s="1">
        <v>24027</v>
      </c>
      <c r="C1620" s="1">
        <v>43</v>
      </c>
      <c r="D1620" s="4">
        <f t="shared" si="50"/>
        <v>1.7896533066966329E-3</v>
      </c>
      <c r="E1620" s="1">
        <v>1</v>
      </c>
      <c r="F1620" s="1">
        <v>0</v>
      </c>
      <c r="G1620" s="1">
        <v>7</v>
      </c>
      <c r="H1620" s="1">
        <v>14</v>
      </c>
      <c r="I1620" s="1">
        <v>7</v>
      </c>
      <c r="J1620" s="1">
        <v>11</v>
      </c>
      <c r="K1620" s="1">
        <v>11</v>
      </c>
      <c r="L1620" s="1">
        <v>0</v>
      </c>
      <c r="M1620" s="1">
        <v>5</v>
      </c>
      <c r="N1620" s="1">
        <v>2</v>
      </c>
      <c r="O1620" s="1">
        <v>2</v>
      </c>
      <c r="P1620" s="1">
        <v>0</v>
      </c>
      <c r="Q1620" s="1">
        <v>3</v>
      </c>
      <c r="R1620" s="1">
        <v>8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44</v>
      </c>
      <c r="AA1620" s="1" t="str" cm="1">
        <f t="array" ref="AA1620">_xlfn.IFS(AND(Z1620&lt;36, Z1620&gt;23), "24-35", AND(Z1620&lt;51, Z1620&gt;35),"36-50", AND(Z1620&lt;66, Z1620&gt;50), "51-66", Z1620&gt;65, "66+", TRUE, "?")</f>
        <v>36-50</v>
      </c>
      <c r="AB1620" s="1">
        <v>2544</v>
      </c>
      <c r="AC1620" s="1">
        <v>0</v>
      </c>
      <c r="AD1620" s="1">
        <v>1</v>
      </c>
      <c r="AE1620" s="1">
        <v>0</v>
      </c>
      <c r="AF1620" s="1">
        <v>0</v>
      </c>
      <c r="AG1620" s="1">
        <v>0</v>
      </c>
      <c r="AH1620" s="1">
        <v>0</v>
      </c>
      <c r="AI1620" s="1">
        <v>1</v>
      </c>
      <c r="AJ1620" s="1">
        <v>0</v>
      </c>
      <c r="AK1620" s="1">
        <v>0</v>
      </c>
      <c r="AL1620" s="1">
        <v>38</v>
      </c>
      <c r="AM1620" s="2">
        <v>42305</v>
      </c>
      <c r="AN1620" t="str">
        <f t="shared" si="51"/>
        <v>24027,43,0.00178965330669663,1,0,7,14,7,11,11,0,5,2,2,0,3,8,0,0,0,0,0,0,0,44,36-50,2544,0,1,0,0,0,0,1,0,0,38,42305</v>
      </c>
    </row>
    <row r="1621" spans="1:40" ht="13" hidden="1" x14ac:dyDescent="0.15">
      <c r="A1621">
        <v>671</v>
      </c>
      <c r="B1621" s="1">
        <v>25851</v>
      </c>
      <c r="C1621" s="1">
        <v>43</v>
      </c>
      <c r="D1621" s="4">
        <f t="shared" si="50"/>
        <v>1.6633785927043442E-3</v>
      </c>
      <c r="E1621" s="1">
        <v>1</v>
      </c>
      <c r="F1621" s="1">
        <v>0</v>
      </c>
      <c r="G1621" s="1">
        <v>45</v>
      </c>
      <c r="H1621" s="1">
        <v>9</v>
      </c>
      <c r="I1621" s="1">
        <v>4</v>
      </c>
      <c r="J1621" s="1">
        <v>18</v>
      </c>
      <c r="K1621" s="1">
        <v>7</v>
      </c>
      <c r="L1621" s="1">
        <v>5</v>
      </c>
      <c r="M1621" s="1">
        <v>5</v>
      </c>
      <c r="N1621" s="1">
        <v>2</v>
      </c>
      <c r="O1621" s="1">
        <v>2</v>
      </c>
      <c r="P1621" s="1">
        <v>0</v>
      </c>
      <c r="Q1621" s="1">
        <v>3</v>
      </c>
      <c r="R1621" s="1">
        <v>7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42</v>
      </c>
      <c r="AA1621" s="1" t="str" cm="1">
        <f t="array" ref="AA1621">_xlfn.IFS(AND(Z1621&lt;36, Z1621&gt;23), "24-35", AND(Z1621&lt;51, Z1621&gt;35),"36-50", AND(Z1621&lt;66, Z1621&gt;50), "51-66", Z1621&gt;65, "66+", TRUE, "?")</f>
        <v>36-50</v>
      </c>
      <c r="AB1621" s="1">
        <v>2662</v>
      </c>
      <c r="AC1621" s="1">
        <v>0</v>
      </c>
      <c r="AD1621" s="1">
        <v>0</v>
      </c>
      <c r="AE1621" s="1">
        <v>0</v>
      </c>
      <c r="AF1621" s="1">
        <v>1</v>
      </c>
      <c r="AG1621" s="1">
        <v>0</v>
      </c>
      <c r="AH1621" s="1">
        <v>0</v>
      </c>
      <c r="AI1621" s="1">
        <v>1</v>
      </c>
      <c r="AJ1621" s="1">
        <v>0</v>
      </c>
      <c r="AK1621" s="1">
        <v>0</v>
      </c>
      <c r="AL1621" s="1">
        <v>38</v>
      </c>
      <c r="AM1621" s="2">
        <v>42187</v>
      </c>
      <c r="AN1621" t="str">
        <f t="shared" si="51"/>
        <v>25851,43,0.00166337859270434,1,0,45,9,4,18,7,5,5,2,2,0,3,7,0,0,0,0,0,0,0,42,36-50,2662,0,0,0,1,0,0,1,0,0,38,42187</v>
      </c>
    </row>
    <row r="1622" spans="1:40" ht="13" hidden="1" x14ac:dyDescent="0.15">
      <c r="A1622">
        <v>770</v>
      </c>
      <c r="B1622" s="1">
        <v>25804</v>
      </c>
      <c r="C1622" s="1">
        <v>43</v>
      </c>
      <c r="D1622" s="4">
        <f t="shared" si="50"/>
        <v>1.6664083087893349E-3</v>
      </c>
      <c r="E1622" s="1">
        <v>1</v>
      </c>
      <c r="F1622" s="1">
        <v>0</v>
      </c>
      <c r="G1622" s="1">
        <v>34</v>
      </c>
      <c r="H1622" s="1">
        <v>8</v>
      </c>
      <c r="I1622" s="1">
        <v>7</v>
      </c>
      <c r="J1622" s="1">
        <v>9</v>
      </c>
      <c r="K1622" s="1">
        <v>13</v>
      </c>
      <c r="L1622" s="1">
        <v>6</v>
      </c>
      <c r="M1622" s="1">
        <v>12</v>
      </c>
      <c r="N1622" s="1">
        <v>2</v>
      </c>
      <c r="O1622" s="1">
        <v>2</v>
      </c>
      <c r="P1622" s="1">
        <v>0</v>
      </c>
      <c r="Q1622" s="1">
        <v>3</v>
      </c>
      <c r="R1622" s="1">
        <v>8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42</v>
      </c>
      <c r="AA1622" s="1" t="str" cm="1">
        <f t="array" ref="AA1622">_xlfn.IFS(AND(Z1622&lt;36, Z1622&gt;23), "24-35", AND(Z1622&lt;51, Z1622&gt;35),"36-50", AND(Z1622&lt;66, Z1622&gt;50), "51-66", Z1622&gt;65, "66+", TRUE, "?")</f>
        <v>36-50</v>
      </c>
      <c r="AB1622" s="1">
        <v>2460</v>
      </c>
      <c r="AC1622" s="1">
        <v>0</v>
      </c>
      <c r="AD1622" s="1">
        <v>1</v>
      </c>
      <c r="AE1622" s="1">
        <v>0</v>
      </c>
      <c r="AF1622" s="1">
        <v>0</v>
      </c>
      <c r="AG1622" s="1">
        <v>0</v>
      </c>
      <c r="AH1622" s="1">
        <v>1</v>
      </c>
      <c r="AI1622" s="1">
        <v>0</v>
      </c>
      <c r="AJ1622" s="1">
        <v>0</v>
      </c>
      <c r="AK1622" s="1">
        <v>0</v>
      </c>
      <c r="AL1622" s="1">
        <v>31</v>
      </c>
      <c r="AM1622" s="2">
        <v>42389</v>
      </c>
      <c r="AN1622" t="str">
        <f t="shared" si="51"/>
        <v>25804,43,0.00166640830878933,1,0,34,8,7,9,13,6,12,2,2,0,3,8,0,0,0,0,0,0,0,42,36-50,2460,0,1,0,0,0,1,0,0,0,31,42389</v>
      </c>
    </row>
    <row r="1623" spans="1:40" ht="13" hidden="1" x14ac:dyDescent="0.15">
      <c r="A1623">
        <v>924</v>
      </c>
      <c r="B1623" s="1">
        <v>33462</v>
      </c>
      <c r="C1623" s="1">
        <v>43</v>
      </c>
      <c r="D1623" s="4">
        <f t="shared" si="50"/>
        <v>1.2850397465782081E-3</v>
      </c>
      <c r="E1623" s="1">
        <v>1</v>
      </c>
      <c r="F1623" s="1">
        <v>0</v>
      </c>
      <c r="G1623" s="1">
        <v>78</v>
      </c>
      <c r="H1623" s="1">
        <v>22</v>
      </c>
      <c r="I1623" s="1">
        <v>3</v>
      </c>
      <c r="J1623" s="1">
        <v>18</v>
      </c>
      <c r="K1623" s="1">
        <v>0</v>
      </c>
      <c r="L1623" s="1">
        <v>0</v>
      </c>
      <c r="M1623" s="1">
        <v>11</v>
      </c>
      <c r="N1623" s="1">
        <v>1</v>
      </c>
      <c r="O1623" s="1">
        <v>2</v>
      </c>
      <c r="P1623" s="1">
        <v>0</v>
      </c>
      <c r="Q1623" s="1">
        <v>3</v>
      </c>
      <c r="R1623" s="1">
        <v>7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41</v>
      </c>
      <c r="AA1623" s="1" t="str" cm="1">
        <f t="array" ref="AA1623">_xlfn.IFS(AND(Z1623&lt;36, Z1623&gt;23), "24-35", AND(Z1623&lt;51, Z1623&gt;35),"36-50", AND(Z1623&lt;66, Z1623&gt;50), "51-66", Z1623&gt;65, "66+", TRUE, "?")</f>
        <v>36-50</v>
      </c>
      <c r="AB1623" s="1">
        <v>2485</v>
      </c>
      <c r="AC1623" s="1">
        <v>1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1</v>
      </c>
      <c r="AK1623" s="1">
        <v>0</v>
      </c>
      <c r="AL1623" s="1">
        <v>32</v>
      </c>
      <c r="AM1623" s="2">
        <v>42364</v>
      </c>
      <c r="AN1623" t="str">
        <f t="shared" si="51"/>
        <v>33462,43,0.00128503974657821,1,0,78,22,3,18,0,0,11,1,2,0,3,7,0,0,0,0,0,0,0,41,36-50,2485,1,0,0,0,0,0,0,1,0,32,42364</v>
      </c>
    </row>
    <row r="1624" spans="1:40" ht="13" hidden="1" x14ac:dyDescent="0.15">
      <c r="A1624">
        <v>942</v>
      </c>
      <c r="B1624" s="1">
        <v>22434</v>
      </c>
      <c r="C1624" s="1">
        <v>43</v>
      </c>
      <c r="D1624" s="4">
        <f t="shared" si="50"/>
        <v>1.9167335294642061E-3</v>
      </c>
      <c r="E1624" s="1">
        <v>1</v>
      </c>
      <c r="F1624" s="1">
        <v>0</v>
      </c>
      <c r="G1624" s="1">
        <v>25</v>
      </c>
      <c r="H1624" s="1">
        <v>4</v>
      </c>
      <c r="I1624" s="1">
        <v>12</v>
      </c>
      <c r="J1624" s="1">
        <v>11</v>
      </c>
      <c r="K1624" s="1">
        <v>3</v>
      </c>
      <c r="L1624" s="1">
        <v>13</v>
      </c>
      <c r="M1624" s="1">
        <v>15</v>
      </c>
      <c r="N1624" s="1">
        <v>2</v>
      </c>
      <c r="O1624" s="1">
        <v>2</v>
      </c>
      <c r="P1624" s="1">
        <v>0</v>
      </c>
      <c r="Q1624" s="1">
        <v>3</v>
      </c>
      <c r="R1624" s="1">
        <v>8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33</v>
      </c>
      <c r="AA1624" s="1" t="str" cm="1">
        <f t="array" ref="AA1624">_xlfn.IFS(AND(Z1624&lt;36, Z1624&gt;23), "24-35", AND(Z1624&lt;51, Z1624&gt;35),"36-50", AND(Z1624&lt;66, Z1624&gt;50), "51-66", Z1624&gt;65, "66+", TRUE, "?")</f>
        <v>24-35</v>
      </c>
      <c r="AB1624" s="1">
        <v>2660</v>
      </c>
      <c r="AC1624" s="1">
        <v>0</v>
      </c>
      <c r="AD1624" s="1">
        <v>0</v>
      </c>
      <c r="AE1624" s="1">
        <v>0</v>
      </c>
      <c r="AF1624" s="1">
        <v>1</v>
      </c>
      <c r="AG1624" s="1">
        <v>0</v>
      </c>
      <c r="AH1624" s="1">
        <v>0</v>
      </c>
      <c r="AI1624" s="1">
        <v>1</v>
      </c>
      <c r="AJ1624" s="1">
        <v>0</v>
      </c>
      <c r="AK1624" s="1">
        <v>0</v>
      </c>
      <c r="AL1624" s="1">
        <v>28</v>
      </c>
      <c r="AM1624" s="2">
        <v>42189</v>
      </c>
      <c r="AN1624" t="str">
        <f t="shared" si="51"/>
        <v>22434,43,0.00191673352946421,1,0,25,4,12,11,3,13,15,2,2,0,3,8,0,0,0,0,0,0,0,33,24-35,2660,0,0,0,1,0,0,1,0,0,28,42189</v>
      </c>
    </row>
    <row r="1625" spans="1:40" ht="13" hidden="1" x14ac:dyDescent="0.15">
      <c r="A1625">
        <v>1298</v>
      </c>
      <c r="B1625" s="1">
        <v>41658</v>
      </c>
      <c r="C1625" s="1">
        <v>43</v>
      </c>
      <c r="D1625" s="4">
        <f t="shared" si="50"/>
        <v>1.0322147006577367E-3</v>
      </c>
      <c r="E1625" s="1">
        <v>1</v>
      </c>
      <c r="F1625" s="1">
        <v>1</v>
      </c>
      <c r="G1625" s="1">
        <v>30</v>
      </c>
      <c r="H1625" s="1">
        <v>8</v>
      </c>
      <c r="I1625" s="1">
        <v>4</v>
      </c>
      <c r="J1625" s="1">
        <v>12</v>
      </c>
      <c r="K1625" s="1">
        <v>15</v>
      </c>
      <c r="L1625" s="1">
        <v>4</v>
      </c>
      <c r="M1625" s="1">
        <v>29</v>
      </c>
      <c r="N1625" s="1">
        <v>2</v>
      </c>
      <c r="O1625" s="1">
        <v>1</v>
      </c>
      <c r="P1625" s="1">
        <v>1</v>
      </c>
      <c r="Q1625" s="1">
        <v>2</v>
      </c>
      <c r="R1625" s="1">
        <v>4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45</v>
      </c>
      <c r="AA1625" s="1" t="str" cm="1">
        <f t="array" ref="AA1625">_xlfn.IFS(AND(Z1625&lt;36, Z1625&gt;23), "24-35", AND(Z1625&lt;51, Z1625&gt;35),"36-50", AND(Z1625&lt;66, Z1625&gt;50), "51-66", Z1625&gt;65, "66+", TRUE, "?")</f>
        <v>36-50</v>
      </c>
      <c r="AB1625" s="1">
        <v>2756</v>
      </c>
      <c r="AC1625" s="1">
        <v>0</v>
      </c>
      <c r="AD1625" s="1">
        <v>0</v>
      </c>
      <c r="AE1625" s="1">
        <v>1</v>
      </c>
      <c r="AF1625" s="1">
        <v>0</v>
      </c>
      <c r="AG1625" s="1">
        <v>0</v>
      </c>
      <c r="AH1625" s="1">
        <v>1</v>
      </c>
      <c r="AI1625" s="1">
        <v>0</v>
      </c>
      <c r="AJ1625" s="1">
        <v>0</v>
      </c>
      <c r="AK1625" s="1">
        <v>0</v>
      </c>
      <c r="AL1625" s="1">
        <v>14</v>
      </c>
      <c r="AM1625" s="2">
        <v>42093</v>
      </c>
      <c r="AN1625" t="str">
        <f t="shared" si="51"/>
        <v>41658,43,0.00103221470065774,1,1,30,8,4,12,15,4,29,2,1,1,2,4,0,0,0,0,0,0,0,45,36-50,2756,0,0,1,0,0,1,0,0,0,14,42093</v>
      </c>
    </row>
    <row r="1626" spans="1:40" ht="13" hidden="1" x14ac:dyDescent="0.15">
      <c r="A1626">
        <v>1320</v>
      </c>
      <c r="B1626" s="1">
        <v>24639</v>
      </c>
      <c r="C1626" s="1">
        <v>43</v>
      </c>
      <c r="D1626" s="4">
        <f t="shared" si="50"/>
        <v>1.7452006980802793E-3</v>
      </c>
      <c r="E1626" s="1">
        <v>1</v>
      </c>
      <c r="F1626" s="1">
        <v>1</v>
      </c>
      <c r="G1626" s="1">
        <v>3</v>
      </c>
      <c r="H1626" s="1">
        <v>20</v>
      </c>
      <c r="I1626" s="1">
        <v>3</v>
      </c>
      <c r="J1626" s="1">
        <v>16</v>
      </c>
      <c r="K1626" s="1">
        <v>0</v>
      </c>
      <c r="L1626" s="1">
        <v>4</v>
      </c>
      <c r="M1626" s="1">
        <v>1</v>
      </c>
      <c r="N1626" s="1">
        <v>3</v>
      </c>
      <c r="O1626" s="1">
        <v>2</v>
      </c>
      <c r="P1626" s="1">
        <v>0</v>
      </c>
      <c r="Q1626" s="1">
        <v>4</v>
      </c>
      <c r="R1626" s="1">
        <v>6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47</v>
      </c>
      <c r="AA1626" s="1" t="str" cm="1">
        <f t="array" ref="AA1626">_xlfn.IFS(AND(Z1626&lt;36, Z1626&gt;23), "24-35", AND(Z1626&lt;51, Z1626&gt;35),"36-50", AND(Z1626&lt;66, Z1626&gt;50), "51-66", Z1626&gt;65, "66+", TRUE, "?")</f>
        <v>36-50</v>
      </c>
      <c r="AB1626" s="1">
        <v>2311</v>
      </c>
      <c r="AC1626" s="1">
        <v>0</v>
      </c>
      <c r="AD1626" s="1">
        <v>1</v>
      </c>
      <c r="AE1626" s="1">
        <v>0</v>
      </c>
      <c r="AF1626" s="1">
        <v>0</v>
      </c>
      <c r="AG1626" s="1">
        <v>0</v>
      </c>
      <c r="AH1626" s="1">
        <v>0</v>
      </c>
      <c r="AI1626" s="1">
        <v>1</v>
      </c>
      <c r="AJ1626" s="1">
        <v>0</v>
      </c>
      <c r="AK1626" s="1">
        <v>0</v>
      </c>
      <c r="AL1626" s="1">
        <v>42</v>
      </c>
      <c r="AM1626" s="2">
        <v>42538</v>
      </c>
      <c r="AN1626" t="str">
        <f t="shared" si="51"/>
        <v>24639,43,0.00174520069808028,1,1,3,20,3,16,0,4,1,3,2,0,4,6,0,0,0,0,0,0,0,47,36-50,2311,0,1,0,0,0,0,1,0,0,42,42538</v>
      </c>
    </row>
    <row r="1627" spans="1:40" ht="13" hidden="1" x14ac:dyDescent="0.15">
      <c r="A1627">
        <v>1363</v>
      </c>
      <c r="B1627" s="1">
        <v>23162</v>
      </c>
      <c r="C1627" s="1">
        <v>43</v>
      </c>
      <c r="D1627" s="4">
        <f t="shared" si="50"/>
        <v>1.8564890769363614E-3</v>
      </c>
      <c r="E1627" s="1">
        <v>1</v>
      </c>
      <c r="F1627" s="1">
        <v>1</v>
      </c>
      <c r="G1627" s="1">
        <v>82</v>
      </c>
      <c r="H1627" s="1">
        <v>8</v>
      </c>
      <c r="I1627" s="1">
        <v>3</v>
      </c>
      <c r="J1627" s="1">
        <v>9</v>
      </c>
      <c r="K1627" s="1">
        <v>19</v>
      </c>
      <c r="L1627" s="1">
        <v>4</v>
      </c>
      <c r="M1627" s="1">
        <v>22</v>
      </c>
      <c r="N1627" s="1">
        <v>3</v>
      </c>
      <c r="O1627" s="1">
        <v>1</v>
      </c>
      <c r="P1627" s="1">
        <v>1</v>
      </c>
      <c r="Q1627" s="1">
        <v>3</v>
      </c>
      <c r="R1627" s="1">
        <v>6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50</v>
      </c>
      <c r="AA1627" s="1" t="str" cm="1">
        <f t="array" ref="AA1627">_xlfn.IFS(AND(Z1627&lt;36, Z1627&gt;23), "24-35", AND(Z1627&lt;51, Z1627&gt;35),"36-50", AND(Z1627&lt;66, Z1627&gt;50), "51-66", Z1627&gt;65, "66+", TRUE, "?")</f>
        <v>36-50</v>
      </c>
      <c r="AB1627" s="1">
        <v>2349</v>
      </c>
      <c r="AC1627" s="1">
        <v>0</v>
      </c>
      <c r="AD1627" s="1">
        <v>1</v>
      </c>
      <c r="AE1627" s="1">
        <v>0</v>
      </c>
      <c r="AF1627" s="1">
        <v>0</v>
      </c>
      <c r="AG1627" s="1">
        <v>0</v>
      </c>
      <c r="AH1627" s="1">
        <v>1</v>
      </c>
      <c r="AI1627" s="1">
        <v>0</v>
      </c>
      <c r="AJ1627" s="1">
        <v>0</v>
      </c>
      <c r="AK1627" s="1">
        <v>0</v>
      </c>
      <c r="AL1627" s="1">
        <v>21</v>
      </c>
      <c r="AM1627" s="2">
        <v>42500</v>
      </c>
      <c r="AN1627" t="str">
        <f t="shared" si="51"/>
        <v>23162,43,0.00185648907693636,1,1,82,8,3,9,19,4,22,3,1,1,3,6,0,0,0,0,0,0,0,50,36-50,2349,0,1,0,0,0,1,0,0,0,21,42500</v>
      </c>
    </row>
    <row r="1628" spans="1:40" ht="13" hidden="1" x14ac:dyDescent="0.15">
      <c r="A1628">
        <v>1845</v>
      </c>
      <c r="B1628" s="1">
        <v>32765</v>
      </c>
      <c r="C1628" s="1">
        <v>43</v>
      </c>
      <c r="D1628" s="4">
        <f t="shared" si="50"/>
        <v>1.312376010987334E-3</v>
      </c>
      <c r="E1628" s="1">
        <v>1</v>
      </c>
      <c r="F1628" s="1">
        <v>0</v>
      </c>
      <c r="G1628" s="1">
        <v>49</v>
      </c>
      <c r="H1628" s="1">
        <v>13</v>
      </c>
      <c r="I1628" s="1">
        <v>3</v>
      </c>
      <c r="J1628" s="1">
        <v>17</v>
      </c>
      <c r="K1628" s="1">
        <v>7</v>
      </c>
      <c r="L1628" s="1">
        <v>3</v>
      </c>
      <c r="M1628" s="1">
        <v>3</v>
      </c>
      <c r="N1628" s="1">
        <v>2</v>
      </c>
      <c r="O1628" s="1">
        <v>2</v>
      </c>
      <c r="P1628" s="1">
        <v>0</v>
      </c>
      <c r="Q1628" s="1">
        <v>4</v>
      </c>
      <c r="R1628" s="1">
        <v>5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41</v>
      </c>
      <c r="AA1628" s="1" t="str" cm="1">
        <f t="array" ref="AA1628">_xlfn.IFS(AND(Z1628&lt;36, Z1628&gt;23), "24-35", AND(Z1628&lt;51, Z1628&gt;35),"36-50", AND(Z1628&lt;66, Z1628&gt;50), "51-66", Z1628&gt;65, "66+", TRUE, "?")</f>
        <v>36-50</v>
      </c>
      <c r="AB1628" s="1">
        <v>2285</v>
      </c>
      <c r="AC1628" s="1">
        <v>0</v>
      </c>
      <c r="AD1628" s="1">
        <v>1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1</v>
      </c>
      <c r="AK1628" s="1">
        <v>0</v>
      </c>
      <c r="AL1628" s="1">
        <v>40</v>
      </c>
      <c r="AM1628" s="2">
        <v>42564</v>
      </c>
      <c r="AN1628" t="str">
        <f t="shared" si="51"/>
        <v>32765,43,0.00131237601098733,1,0,49,13,3,17,7,3,3,2,2,0,4,5,0,0,0,0,0,0,0,41,36-50,2285,0,1,0,0,0,0,0,1,0,40,42564</v>
      </c>
    </row>
    <row r="1629" spans="1:40" ht="13" x14ac:dyDescent="0.15">
      <c r="A1629">
        <v>1847</v>
      </c>
      <c r="B1629" s="1">
        <v>20981</v>
      </c>
      <c r="C1629" s="1">
        <v>43</v>
      </c>
      <c r="D1629" s="4">
        <f t="shared" si="50"/>
        <v>2.0494733330155856E-3</v>
      </c>
      <c r="E1629" s="1">
        <v>0</v>
      </c>
      <c r="F1629" s="1">
        <v>0</v>
      </c>
      <c r="G1629" s="1">
        <v>14</v>
      </c>
      <c r="H1629" s="1">
        <v>2</v>
      </c>
      <c r="I1629" s="1">
        <v>12</v>
      </c>
      <c r="J1629" s="1">
        <v>10</v>
      </c>
      <c r="K1629" s="1">
        <v>6</v>
      </c>
      <c r="L1629" s="1">
        <v>13</v>
      </c>
      <c r="M1629" s="1">
        <v>30</v>
      </c>
      <c r="N1629" s="1">
        <v>1</v>
      </c>
      <c r="O1629" s="1">
        <v>3</v>
      </c>
      <c r="P1629" s="1">
        <v>1</v>
      </c>
      <c r="Q1629" s="1">
        <v>2</v>
      </c>
      <c r="R1629" s="1">
        <v>8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1</v>
      </c>
      <c r="Z1629" s="1">
        <v>43</v>
      </c>
      <c r="AA1629" s="1" t="str" cm="1">
        <f t="array" ref="AA1629">_xlfn.IFS(AND(Z1629&lt;36, Z1629&gt;23), "24-35", AND(Z1629&lt;51, Z1629&gt;35),"36-50", AND(Z1629&lt;66, Z1629&gt;50), "51-66", Z1629&gt;65, "66+", TRUE, "?")</f>
        <v>36-50</v>
      </c>
      <c r="AB1629" s="1">
        <v>2584</v>
      </c>
      <c r="AC1629" s="1">
        <v>0</v>
      </c>
      <c r="AD1629" s="1">
        <v>0</v>
      </c>
      <c r="AE1629" s="1">
        <v>0</v>
      </c>
      <c r="AF1629" s="1">
        <v>1</v>
      </c>
      <c r="AG1629" s="1">
        <v>0</v>
      </c>
      <c r="AH1629" s="1">
        <v>1</v>
      </c>
      <c r="AI1629" s="1">
        <v>0</v>
      </c>
      <c r="AJ1629" s="1">
        <v>0</v>
      </c>
      <c r="AK1629" s="1">
        <v>0</v>
      </c>
      <c r="AL1629" s="1">
        <v>13</v>
      </c>
      <c r="AM1629" s="2">
        <v>42265</v>
      </c>
      <c r="AN1629" t="str">
        <f t="shared" si="51"/>
        <v>20981,43,0.00204947333301559,0,0,14,2,12,10,6,13,30,1,3,1,2,8,0,0,0,0,0,0,1,43,36-50,2584,0,0,0,1,0,1,0,0,0,13,42265</v>
      </c>
    </row>
    <row r="1630" spans="1:40" ht="13" hidden="1" x14ac:dyDescent="0.15">
      <c r="A1630">
        <v>45</v>
      </c>
      <c r="B1630" s="1">
        <v>41728</v>
      </c>
      <c r="C1630" s="1">
        <v>42</v>
      </c>
      <c r="D1630" s="4">
        <f t="shared" si="50"/>
        <v>1.0065184049079755E-3</v>
      </c>
      <c r="E1630" s="1">
        <v>1</v>
      </c>
      <c r="F1630" s="1">
        <v>0</v>
      </c>
      <c r="G1630" s="1">
        <v>92</v>
      </c>
      <c r="H1630" s="1">
        <v>13</v>
      </c>
      <c r="I1630" s="1">
        <v>6</v>
      </c>
      <c r="J1630" s="1">
        <v>15</v>
      </c>
      <c r="K1630" s="1">
        <v>3</v>
      </c>
      <c r="L1630" s="1">
        <v>5</v>
      </c>
      <c r="M1630" s="1">
        <v>13</v>
      </c>
      <c r="N1630" s="1">
        <v>1</v>
      </c>
      <c r="O1630" s="1">
        <v>2</v>
      </c>
      <c r="P1630" s="1">
        <v>0</v>
      </c>
      <c r="Q1630" s="1">
        <v>2</v>
      </c>
      <c r="R1630" s="1">
        <v>10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52</v>
      </c>
      <c r="AA1630" s="1" t="str" cm="1">
        <f t="array" ref="AA1630">_xlfn.IFS(AND(Z1630&lt;36, Z1630&gt;23), "24-35", AND(Z1630&lt;51, Z1630&gt;35),"36-50", AND(Z1630&lt;66, Z1630&gt;50), "51-66", Z1630&gt;65, "66+", TRUE, "?")</f>
        <v>51-66</v>
      </c>
      <c r="AB1630" s="1">
        <v>2560</v>
      </c>
      <c r="AC1630" s="1">
        <v>0</v>
      </c>
      <c r="AD1630" s="1">
        <v>0</v>
      </c>
      <c r="AE1630" s="1">
        <v>0</v>
      </c>
      <c r="AF1630" s="1">
        <v>1</v>
      </c>
      <c r="AG1630" s="1">
        <v>0</v>
      </c>
      <c r="AH1630" s="1">
        <v>0</v>
      </c>
      <c r="AI1630" s="1">
        <v>1</v>
      </c>
      <c r="AJ1630" s="1">
        <v>0</v>
      </c>
      <c r="AK1630" s="1">
        <v>0</v>
      </c>
      <c r="AL1630" s="1">
        <v>29</v>
      </c>
      <c r="AM1630" s="2">
        <v>42289</v>
      </c>
      <c r="AN1630" t="str">
        <f t="shared" si="51"/>
        <v>41728,42,0.00100651840490798,1,0,92,13,6,15,3,5,13,1,2,0,2,10,0,0,0,0,0,0,0,52,51-66,2560,0,0,0,1,0,0,1,0,0,29,42289</v>
      </c>
    </row>
    <row r="1631" spans="1:40" ht="13" hidden="1" x14ac:dyDescent="0.15">
      <c r="A1631">
        <v>341</v>
      </c>
      <c r="B1631" s="1">
        <v>31615</v>
      </c>
      <c r="C1631" s="1">
        <v>42</v>
      </c>
      <c r="D1631" s="4">
        <f t="shared" si="50"/>
        <v>1.3284833148821762E-3</v>
      </c>
      <c r="E1631" s="1">
        <v>1</v>
      </c>
      <c r="F1631" s="1">
        <v>0</v>
      </c>
      <c r="G1631" s="1">
        <v>82</v>
      </c>
      <c r="H1631" s="1">
        <v>2</v>
      </c>
      <c r="I1631" s="1">
        <v>3</v>
      </c>
      <c r="J1631" s="1">
        <v>20</v>
      </c>
      <c r="K1631" s="1">
        <v>6</v>
      </c>
      <c r="L1631" s="1">
        <v>11</v>
      </c>
      <c r="M1631" s="1">
        <v>9</v>
      </c>
      <c r="N1631" s="1">
        <v>2</v>
      </c>
      <c r="O1631" s="1">
        <v>2</v>
      </c>
      <c r="P1631" s="1">
        <v>0</v>
      </c>
      <c r="Q1631" s="1">
        <v>3</v>
      </c>
      <c r="R1631" s="1">
        <v>7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44</v>
      </c>
      <c r="AA1631" s="1" t="str" cm="1">
        <f t="array" ref="AA1631">_xlfn.IFS(AND(Z1631&lt;36, Z1631&gt;23), "24-35", AND(Z1631&lt;51, Z1631&gt;35),"36-50", AND(Z1631&lt;66, Z1631&gt;50), "51-66", Z1631&gt;65, "66+", TRUE, "?")</f>
        <v>36-50</v>
      </c>
      <c r="AB1631" s="1">
        <v>2629</v>
      </c>
      <c r="AC1631" s="1">
        <v>1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1</v>
      </c>
      <c r="AJ1631" s="1">
        <v>0</v>
      </c>
      <c r="AK1631" s="1">
        <v>0</v>
      </c>
      <c r="AL1631" s="1">
        <v>33</v>
      </c>
      <c r="AM1631" s="2">
        <v>42220</v>
      </c>
      <c r="AN1631" t="str">
        <f t="shared" si="51"/>
        <v>31615,42,0.00132848331488218,1,0,82,2,3,20,6,11,9,2,2,0,3,7,0,0,0,0,0,0,0,44,36-50,2629,1,0,0,0,0,0,1,0,0,33,42220</v>
      </c>
    </row>
    <row r="1632" spans="1:40" ht="13" hidden="1" x14ac:dyDescent="0.15">
      <c r="A1632">
        <v>489</v>
      </c>
      <c r="B1632" s="1">
        <v>30630</v>
      </c>
      <c r="C1632" s="1">
        <v>42</v>
      </c>
      <c r="D1632" s="4">
        <f t="shared" si="50"/>
        <v>1.3712047012732615E-3</v>
      </c>
      <c r="E1632" s="1">
        <v>1</v>
      </c>
      <c r="F1632" s="1">
        <v>1</v>
      </c>
      <c r="G1632" s="1">
        <v>67</v>
      </c>
      <c r="H1632" s="1">
        <v>27</v>
      </c>
      <c r="I1632" s="1">
        <v>1</v>
      </c>
      <c r="J1632" s="1">
        <v>12</v>
      </c>
      <c r="K1632" s="1">
        <v>2</v>
      </c>
      <c r="L1632" s="1">
        <v>0</v>
      </c>
      <c r="M1632" s="1">
        <v>10</v>
      </c>
      <c r="N1632" s="1">
        <v>2</v>
      </c>
      <c r="O1632" s="1">
        <v>2</v>
      </c>
      <c r="P1632" s="1">
        <v>0</v>
      </c>
      <c r="Q1632" s="1">
        <v>3</v>
      </c>
      <c r="R1632" s="1">
        <v>7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55</v>
      </c>
      <c r="AA1632" s="1" t="str" cm="1">
        <f t="array" ref="AA1632">_xlfn.IFS(AND(Z1632&lt;36, Z1632&gt;23), "24-35", AND(Z1632&lt;51, Z1632&gt;35),"36-50", AND(Z1632&lt;66, Z1632&gt;50), "51-66", Z1632&gt;65, "66+", TRUE, "?")</f>
        <v>51-66</v>
      </c>
      <c r="AB1632" s="1">
        <v>2312</v>
      </c>
      <c r="AC1632" s="1">
        <v>1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1</v>
      </c>
      <c r="AJ1632" s="1">
        <v>0</v>
      </c>
      <c r="AK1632" s="1">
        <v>0</v>
      </c>
      <c r="AL1632" s="1">
        <v>32</v>
      </c>
      <c r="AM1632" s="2">
        <v>42537</v>
      </c>
      <c r="AN1632" t="str">
        <f t="shared" si="51"/>
        <v>30630,42,0.00137120470127326,1,1,67,27,1,12,2,0,10,2,2,0,3,7,0,0,0,0,0,0,0,55,51-66,2312,1,0,0,0,0,0,1,0,0,32,42537</v>
      </c>
    </row>
    <row r="1633" spans="1:40" ht="13" hidden="1" x14ac:dyDescent="0.15">
      <c r="A1633">
        <v>545</v>
      </c>
      <c r="B1633" s="1">
        <v>13260</v>
      </c>
      <c r="C1633" s="1">
        <v>42</v>
      </c>
      <c r="D1633" s="4">
        <f t="shared" si="50"/>
        <v>3.167420814479638E-3</v>
      </c>
      <c r="E1633" s="1">
        <v>1</v>
      </c>
      <c r="F1633" s="1">
        <v>1</v>
      </c>
      <c r="G1633" s="1">
        <v>48</v>
      </c>
      <c r="H1633" s="1">
        <v>9</v>
      </c>
      <c r="I1633" s="1">
        <v>4</v>
      </c>
      <c r="J1633" s="1">
        <v>17</v>
      </c>
      <c r="K1633" s="1">
        <v>10</v>
      </c>
      <c r="L1633" s="1">
        <v>2</v>
      </c>
      <c r="M1633" s="1">
        <v>7</v>
      </c>
      <c r="N1633" s="1">
        <v>4</v>
      </c>
      <c r="O1633" s="1">
        <v>3</v>
      </c>
      <c r="P1633" s="1">
        <v>0</v>
      </c>
      <c r="Q1633" s="1">
        <v>3</v>
      </c>
      <c r="R1633" s="1">
        <v>8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50</v>
      </c>
      <c r="AA1633" s="1" t="str" cm="1">
        <f t="array" ref="AA1633">_xlfn.IFS(AND(Z1633&lt;36, Z1633&gt;23), "24-35", AND(Z1633&lt;51, Z1633&gt;35),"36-50", AND(Z1633&lt;66, Z1633&gt;50), "51-66", Z1633&gt;65, "66+", TRUE, "?")</f>
        <v>36-50</v>
      </c>
      <c r="AB1633" s="1">
        <v>2469</v>
      </c>
      <c r="AC1633" s="1">
        <v>0</v>
      </c>
      <c r="AD1633" s="1">
        <v>1</v>
      </c>
      <c r="AE1633" s="1">
        <v>0</v>
      </c>
      <c r="AF1633" s="1">
        <v>0</v>
      </c>
      <c r="AG1633" s="1">
        <v>0</v>
      </c>
      <c r="AH1633" s="1">
        <v>0</v>
      </c>
      <c r="AI1633" s="1">
        <v>1</v>
      </c>
      <c r="AJ1633" s="1">
        <v>0</v>
      </c>
      <c r="AK1633" s="1">
        <v>0</v>
      </c>
      <c r="AL1633" s="1">
        <v>35</v>
      </c>
      <c r="AM1633" s="2">
        <v>42380</v>
      </c>
      <c r="AN1633" t="str">
        <f t="shared" si="51"/>
        <v>13260,42,0.00316742081447964,1,1,48,9,4,17,10,2,7,4,3,0,3,8,0,0,0,0,0,0,0,50,36-50,2469,0,1,0,0,0,0,1,0,0,35,42380</v>
      </c>
    </row>
    <row r="1634" spans="1:40" ht="13" hidden="1" x14ac:dyDescent="0.15">
      <c r="A1634">
        <v>612</v>
      </c>
      <c r="B1634" s="1">
        <v>29103</v>
      </c>
      <c r="C1634" s="1">
        <v>42</v>
      </c>
      <c r="D1634" s="4">
        <f t="shared" si="50"/>
        <v>1.4431501907019894E-3</v>
      </c>
      <c r="E1634" s="1">
        <v>1</v>
      </c>
      <c r="F1634" s="1">
        <v>0</v>
      </c>
      <c r="G1634" s="1">
        <v>38</v>
      </c>
      <c r="H1634" s="1">
        <v>16</v>
      </c>
      <c r="I1634" s="1">
        <v>0</v>
      </c>
      <c r="J1634" s="1">
        <v>17</v>
      </c>
      <c r="K1634" s="1">
        <v>6</v>
      </c>
      <c r="L1634" s="1">
        <v>3</v>
      </c>
      <c r="M1634" s="1">
        <v>6</v>
      </c>
      <c r="N1634" s="1">
        <v>2</v>
      </c>
      <c r="O1634" s="1">
        <v>1</v>
      </c>
      <c r="P1634" s="1">
        <v>0</v>
      </c>
      <c r="Q1634" s="1">
        <v>3</v>
      </c>
      <c r="R1634" s="1">
        <v>9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35</v>
      </c>
      <c r="AA1634" s="1" t="str" cm="1">
        <f t="array" ref="AA1634">_xlfn.IFS(AND(Z1634&lt;36, Z1634&gt;23), "24-35", AND(Z1634&lt;51, Z1634&gt;35),"36-50", AND(Z1634&lt;66, Z1634&gt;50), "51-66", Z1634&gt;65, "66+", TRUE, "?")</f>
        <v>24-35</v>
      </c>
      <c r="AB1634" s="1">
        <v>2830</v>
      </c>
      <c r="AC1634" s="1">
        <v>0</v>
      </c>
      <c r="AD1634" s="1">
        <v>0</v>
      </c>
      <c r="AE1634" s="1">
        <v>0</v>
      </c>
      <c r="AF1634" s="1">
        <v>1</v>
      </c>
      <c r="AG1634" s="1">
        <v>0</v>
      </c>
      <c r="AH1634" s="1">
        <v>0</v>
      </c>
      <c r="AI1634" s="1">
        <v>1</v>
      </c>
      <c r="AJ1634" s="1">
        <v>0</v>
      </c>
      <c r="AK1634" s="1">
        <v>0</v>
      </c>
      <c r="AL1634" s="1">
        <v>36</v>
      </c>
      <c r="AM1634" s="2">
        <v>42019</v>
      </c>
      <c r="AN1634" t="str">
        <f t="shared" si="51"/>
        <v>29103,42,0.00144315019070199,1,0,38,16,0,17,6,3,6,2,1,0,3,9,0,0,0,0,0,0,0,35,24-35,2830,0,0,0,1,0,0,1,0,0,36,42019</v>
      </c>
    </row>
    <row r="1635" spans="1:40" ht="13" hidden="1" x14ac:dyDescent="0.15">
      <c r="A1635">
        <v>1358</v>
      </c>
      <c r="B1635" s="1">
        <v>28072</v>
      </c>
      <c r="C1635" s="1">
        <v>42</v>
      </c>
      <c r="D1635" s="4">
        <f t="shared" si="50"/>
        <v>1.4961527500712453E-3</v>
      </c>
      <c r="E1635" s="1">
        <v>1</v>
      </c>
      <c r="F1635" s="1">
        <v>0</v>
      </c>
      <c r="G1635" s="1">
        <v>10</v>
      </c>
      <c r="H1635" s="1">
        <v>30</v>
      </c>
      <c r="I1635" s="1">
        <v>0</v>
      </c>
      <c r="J1635" s="1">
        <v>10</v>
      </c>
      <c r="K1635" s="1">
        <v>2</v>
      </c>
      <c r="L1635" s="1">
        <v>0</v>
      </c>
      <c r="M1635" s="1">
        <v>5</v>
      </c>
      <c r="N1635" s="1">
        <v>1</v>
      </c>
      <c r="O1635" s="1">
        <v>1</v>
      </c>
      <c r="P1635" s="1">
        <v>0</v>
      </c>
      <c r="Q1635" s="1">
        <v>3</v>
      </c>
      <c r="R1635" s="1">
        <v>7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34</v>
      </c>
      <c r="AA1635" s="1" t="str" cm="1">
        <f t="array" ref="AA1635">_xlfn.IFS(AND(Z1635&lt;36, Z1635&gt;23), "24-35", AND(Z1635&lt;51, Z1635&gt;35),"36-50", AND(Z1635&lt;66, Z1635&gt;50), "51-66", Z1635&gt;65, "66+", TRUE, "?")</f>
        <v>24-35</v>
      </c>
      <c r="AB1635" s="1">
        <v>2515</v>
      </c>
      <c r="AC1635" s="1">
        <v>0</v>
      </c>
      <c r="AD1635" s="1">
        <v>1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1</v>
      </c>
      <c r="AK1635" s="1">
        <v>0</v>
      </c>
      <c r="AL1635" s="1">
        <v>37</v>
      </c>
      <c r="AM1635" s="2">
        <v>42334</v>
      </c>
      <c r="AN1635" t="str">
        <f t="shared" si="51"/>
        <v>28072,42,0.00149615275007125,1,0,10,30,0,10,2,0,5,1,1,0,3,7,0,0,0,0,0,0,0,34,24-35,2515,0,1,0,0,0,0,0,1,0,37,42334</v>
      </c>
    </row>
    <row r="1636" spans="1:40" ht="13" x14ac:dyDescent="0.15">
      <c r="A1636">
        <v>1849</v>
      </c>
      <c r="B1636" s="1">
        <v>22585</v>
      </c>
      <c r="C1636" s="1">
        <v>42</v>
      </c>
      <c r="D1636" s="4">
        <f t="shared" si="50"/>
        <v>1.8596413548815586E-3</v>
      </c>
      <c r="E1636" s="1">
        <v>0</v>
      </c>
      <c r="F1636" s="1">
        <v>0</v>
      </c>
      <c r="G1636" s="1">
        <v>23</v>
      </c>
      <c r="H1636" s="1">
        <v>3</v>
      </c>
      <c r="I1636" s="1">
        <v>9</v>
      </c>
      <c r="J1636" s="1">
        <v>15</v>
      </c>
      <c r="K1636" s="1">
        <v>13</v>
      </c>
      <c r="L1636" s="1">
        <v>2</v>
      </c>
      <c r="M1636" s="1">
        <v>39</v>
      </c>
      <c r="N1636" s="1">
        <v>1</v>
      </c>
      <c r="O1636" s="1">
        <v>1</v>
      </c>
      <c r="P1636" s="1">
        <v>1</v>
      </c>
      <c r="Q1636" s="1">
        <v>2</v>
      </c>
      <c r="R1636" s="1">
        <v>9</v>
      </c>
      <c r="S1636" s="1">
        <v>0</v>
      </c>
      <c r="T1636" s="1">
        <v>0</v>
      </c>
      <c r="U1636" s="1">
        <v>1</v>
      </c>
      <c r="V1636" s="1">
        <v>0</v>
      </c>
      <c r="W1636" s="1">
        <v>0</v>
      </c>
      <c r="X1636" s="1">
        <v>0</v>
      </c>
      <c r="Y1636" s="1">
        <v>1</v>
      </c>
      <c r="Z1636" s="1">
        <v>50</v>
      </c>
      <c r="AA1636" s="1" t="str" cm="1">
        <f t="array" ref="AA1636">_xlfn.IFS(AND(Z1636&lt;36, Z1636&gt;23), "24-35", AND(Z1636&lt;51, Z1636&gt;35),"36-50", AND(Z1636&lt;66, Z1636&gt;50), "51-66", Z1636&gt;65, "66+", TRUE, "?")</f>
        <v>36-50</v>
      </c>
      <c r="AB1636" s="1">
        <v>2627</v>
      </c>
      <c r="AC1636" s="1">
        <v>0</v>
      </c>
      <c r="AD1636" s="1">
        <v>0</v>
      </c>
      <c r="AE1636" s="1">
        <v>1</v>
      </c>
      <c r="AF1636" s="1">
        <v>0</v>
      </c>
      <c r="AG1636" s="1">
        <v>0</v>
      </c>
      <c r="AH1636" s="1">
        <v>0</v>
      </c>
      <c r="AI1636" s="1">
        <v>1</v>
      </c>
      <c r="AJ1636" s="1">
        <v>0</v>
      </c>
      <c r="AK1636" s="1">
        <v>0</v>
      </c>
      <c r="AL1636" s="1">
        <v>3</v>
      </c>
      <c r="AM1636" s="2">
        <v>42222</v>
      </c>
      <c r="AN1636" t="str">
        <f t="shared" si="51"/>
        <v>22585,42,0.00185964135488156,0,0,23,3,9,15,13,2,39,1,1,1,2,9,0,0,1,0,0,0,1,50,36-50,2627,0,0,1,0,0,0,1,0,0,3,42222</v>
      </c>
    </row>
    <row r="1637" spans="1:40" ht="13" hidden="1" x14ac:dyDescent="0.15">
      <c r="A1637">
        <v>1861</v>
      </c>
      <c r="B1637" s="1">
        <v>29009</v>
      </c>
      <c r="C1637" s="1">
        <v>42</v>
      </c>
      <c r="D1637" s="4">
        <f t="shared" si="50"/>
        <v>1.4478265365920921E-3</v>
      </c>
      <c r="E1637" s="1">
        <v>1</v>
      </c>
      <c r="F1637" s="1">
        <v>0</v>
      </c>
      <c r="G1637" s="1">
        <v>19</v>
      </c>
      <c r="H1637" s="1">
        <v>6</v>
      </c>
      <c r="I1637" s="1">
        <v>6</v>
      </c>
      <c r="J1637" s="1">
        <v>15</v>
      </c>
      <c r="K1637" s="1">
        <v>10</v>
      </c>
      <c r="L1637" s="1">
        <v>5</v>
      </c>
      <c r="M1637" s="1">
        <v>2</v>
      </c>
      <c r="N1637" s="1">
        <v>2</v>
      </c>
      <c r="O1637" s="1">
        <v>2</v>
      </c>
      <c r="P1637" s="1">
        <v>0</v>
      </c>
      <c r="Q1637" s="1">
        <v>3</v>
      </c>
      <c r="R1637" s="1">
        <v>6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39</v>
      </c>
      <c r="AA1637" s="1" t="str" cm="1">
        <f t="array" ref="AA1637">_xlfn.IFS(AND(Z1637&lt;36, Z1637&gt;23), "24-35", AND(Z1637&lt;51, Z1637&gt;35),"36-50", AND(Z1637&lt;66, Z1637&gt;50), "51-66", Z1637&gt;65, "66+", TRUE, "?")</f>
        <v>36-50</v>
      </c>
      <c r="AB1637" s="1">
        <v>2371</v>
      </c>
      <c r="AC1637" s="1">
        <v>0</v>
      </c>
      <c r="AD1637" s="1">
        <v>1</v>
      </c>
      <c r="AE1637" s="1">
        <v>0</v>
      </c>
      <c r="AF1637" s="1">
        <v>0</v>
      </c>
      <c r="AG1637" s="1">
        <v>0</v>
      </c>
      <c r="AH1637" s="1">
        <v>0</v>
      </c>
      <c r="AI1637" s="1">
        <v>1</v>
      </c>
      <c r="AJ1637" s="1">
        <v>0</v>
      </c>
      <c r="AK1637" s="1">
        <v>0</v>
      </c>
      <c r="AL1637" s="1">
        <v>40</v>
      </c>
      <c r="AM1637" s="2">
        <v>42478</v>
      </c>
      <c r="AN1637" t="str">
        <f t="shared" si="51"/>
        <v>29009,42,0.00144782653659209,1,0,19,6,6,15,10,5,2,2,2,0,3,6,0,0,0,0,0,0,0,39,36-50,2371,0,1,0,0,0,0,1,0,0,40,42478</v>
      </c>
    </row>
    <row r="1638" spans="1:40" ht="13" hidden="1" x14ac:dyDescent="0.15">
      <c r="A1638">
        <v>14</v>
      </c>
      <c r="B1638" s="1">
        <v>17323</v>
      </c>
      <c r="C1638" s="1">
        <v>41</v>
      </c>
      <c r="D1638" s="4">
        <f t="shared" si="50"/>
        <v>2.366795589678462E-3</v>
      </c>
      <c r="E1638" s="1">
        <v>0</v>
      </c>
      <c r="F1638" s="1">
        <v>0</v>
      </c>
      <c r="G1638" s="1">
        <v>38</v>
      </c>
      <c r="H1638" s="1">
        <v>3</v>
      </c>
      <c r="I1638" s="1">
        <v>14</v>
      </c>
      <c r="J1638" s="1">
        <v>17</v>
      </c>
      <c r="K1638" s="1">
        <v>6</v>
      </c>
      <c r="L1638" s="1">
        <v>1</v>
      </c>
      <c r="M1638" s="1">
        <v>5</v>
      </c>
      <c r="N1638" s="1">
        <v>1</v>
      </c>
      <c r="O1638" s="1">
        <v>1</v>
      </c>
      <c r="P1638" s="1">
        <v>0</v>
      </c>
      <c r="Q1638" s="1">
        <v>3</v>
      </c>
      <c r="R1638" s="1">
        <v>8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33</v>
      </c>
      <c r="AA1638" s="1" t="str" cm="1">
        <f t="array" ref="AA1638">_xlfn.IFS(AND(Z1638&lt;36, Z1638&gt;23), "24-35", AND(Z1638&lt;51, Z1638&gt;35),"36-50", AND(Z1638&lt;66, Z1638&gt;50), "51-66", Z1638&gt;65, "66+", TRUE, "?")</f>
        <v>24-35</v>
      </c>
      <c r="AB1638" s="1">
        <v>2786</v>
      </c>
      <c r="AC1638" s="1">
        <v>0</v>
      </c>
      <c r="AD1638" s="1">
        <v>1</v>
      </c>
      <c r="AE1638" s="1">
        <v>0</v>
      </c>
      <c r="AF1638" s="1">
        <v>0</v>
      </c>
      <c r="AG1638" s="1">
        <v>0</v>
      </c>
      <c r="AH1638" s="1">
        <v>0</v>
      </c>
      <c r="AI1638" s="1">
        <v>1</v>
      </c>
      <c r="AJ1638" s="1">
        <v>0</v>
      </c>
      <c r="AK1638" s="1">
        <v>0</v>
      </c>
      <c r="AL1638" s="1">
        <v>36</v>
      </c>
      <c r="AM1638" s="2">
        <v>42063</v>
      </c>
      <c r="AN1638" t="str">
        <f t="shared" si="51"/>
        <v>17323,41,0.00236679558967846,0,0,38,3,14,17,6,1,5,1,1,0,3,8,0,0,0,0,0,0,0,33,24-35,2786,0,1,0,0,0,0,1,0,0,36,42063</v>
      </c>
    </row>
    <row r="1639" spans="1:40" ht="13" hidden="1" x14ac:dyDescent="0.15">
      <c r="A1639">
        <v>112</v>
      </c>
      <c r="B1639" s="1">
        <v>30992</v>
      </c>
      <c r="C1639" s="1">
        <v>41</v>
      </c>
      <c r="D1639" s="4">
        <f t="shared" si="50"/>
        <v>1.3229220443985545E-3</v>
      </c>
      <c r="E1639" s="1">
        <v>1</v>
      </c>
      <c r="F1639" s="1">
        <v>0</v>
      </c>
      <c r="G1639" s="1">
        <v>83</v>
      </c>
      <c r="H1639" s="1">
        <v>17</v>
      </c>
      <c r="I1639" s="1">
        <v>0</v>
      </c>
      <c r="J1639" s="1">
        <v>14</v>
      </c>
      <c r="K1639" s="1">
        <v>7</v>
      </c>
      <c r="L1639" s="1">
        <v>3</v>
      </c>
      <c r="M1639" s="1">
        <v>2</v>
      </c>
      <c r="N1639" s="1">
        <v>1</v>
      </c>
      <c r="O1639" s="1">
        <v>1</v>
      </c>
      <c r="P1639" s="1">
        <v>0</v>
      </c>
      <c r="Q1639" s="1">
        <v>3</v>
      </c>
      <c r="R1639" s="1">
        <v>7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44</v>
      </c>
      <c r="AA1639" s="1" t="str" cm="1">
        <f t="array" ref="AA1639">_xlfn.IFS(AND(Z1639&lt;36, Z1639&gt;23), "24-35", AND(Z1639&lt;51, Z1639&gt;35),"36-50", AND(Z1639&lt;66, Z1639&gt;50), "51-66", Z1639&gt;65, "66+", TRUE, "?")</f>
        <v>36-50</v>
      </c>
      <c r="AB1639" s="1">
        <v>2592</v>
      </c>
      <c r="AC1639" s="1">
        <v>1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1</v>
      </c>
      <c r="AJ1639" s="1">
        <v>0</v>
      </c>
      <c r="AK1639" s="1">
        <v>0</v>
      </c>
      <c r="AL1639" s="1">
        <v>39</v>
      </c>
      <c r="AM1639" s="2">
        <v>42257</v>
      </c>
      <c r="AN1639" t="str">
        <f t="shared" si="51"/>
        <v>30992,41,0.00132292204439855,1,0,83,17,0,14,7,3,2,1,1,0,3,7,0,0,0,0,0,0,0,44,36-50,2592,1,0,0,0,0,0,1,0,0,39,42257</v>
      </c>
    </row>
    <row r="1640" spans="1:40" ht="13" hidden="1" x14ac:dyDescent="0.15">
      <c r="A1640">
        <v>157</v>
      </c>
      <c r="B1640" s="1">
        <v>28718</v>
      </c>
      <c r="C1640" s="1">
        <v>41</v>
      </c>
      <c r="D1640" s="4">
        <f t="shared" si="50"/>
        <v>1.4276760220071035E-3</v>
      </c>
      <c r="E1640" s="1">
        <v>1</v>
      </c>
      <c r="F1640" s="1">
        <v>0</v>
      </c>
      <c r="G1640" s="1">
        <v>78</v>
      </c>
      <c r="H1640" s="1">
        <v>12</v>
      </c>
      <c r="I1640" s="1">
        <v>4</v>
      </c>
      <c r="J1640" s="1">
        <v>6</v>
      </c>
      <c r="K1640" s="1">
        <v>11</v>
      </c>
      <c r="L1640" s="1">
        <v>8</v>
      </c>
      <c r="M1640" s="1">
        <v>16</v>
      </c>
      <c r="N1640" s="1">
        <v>2</v>
      </c>
      <c r="O1640" s="1">
        <v>2</v>
      </c>
      <c r="P1640" s="1">
        <v>0</v>
      </c>
      <c r="Q1640" s="1">
        <v>3</v>
      </c>
      <c r="R1640" s="1">
        <v>8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38</v>
      </c>
      <c r="AA1640" s="1" t="str" cm="1">
        <f t="array" ref="AA1640">_xlfn.IFS(AND(Z1640&lt;36, Z1640&gt;23), "24-35", AND(Z1640&lt;51, Z1640&gt;35),"36-50", AND(Z1640&lt;66, Z1640&gt;50), "51-66", Z1640&gt;65, "66+", TRUE, "?")</f>
        <v>36-50</v>
      </c>
      <c r="AB1640" s="1">
        <v>2510</v>
      </c>
      <c r="AC1640" s="1">
        <v>0</v>
      </c>
      <c r="AD1640" s="1">
        <v>1</v>
      </c>
      <c r="AE1640" s="1">
        <v>0</v>
      </c>
      <c r="AF1640" s="1">
        <v>0</v>
      </c>
      <c r="AG1640" s="1">
        <v>0</v>
      </c>
      <c r="AH1640" s="1">
        <v>0</v>
      </c>
      <c r="AI1640" s="1">
        <v>1</v>
      </c>
      <c r="AJ1640" s="1">
        <v>0</v>
      </c>
      <c r="AK1640" s="1">
        <v>0</v>
      </c>
      <c r="AL1640" s="1">
        <v>25</v>
      </c>
      <c r="AM1640" s="2">
        <v>42339</v>
      </c>
      <c r="AN1640" t="str">
        <f t="shared" si="51"/>
        <v>28718,41,0.0014276760220071,1,0,78,12,4,6,11,8,16,2,2,0,3,8,0,0,0,0,0,0,0,38,36-50,2510,0,1,0,0,0,0,1,0,0,25,42339</v>
      </c>
    </row>
    <row r="1641" spans="1:40" ht="13" hidden="1" x14ac:dyDescent="0.15">
      <c r="A1641">
        <v>282</v>
      </c>
      <c r="B1641" s="1">
        <v>23976</v>
      </c>
      <c r="C1641" s="1">
        <v>41</v>
      </c>
      <c r="D1641" s="4">
        <f t="shared" si="50"/>
        <v>1.7100433767100434E-3</v>
      </c>
      <c r="E1641" s="1">
        <v>1</v>
      </c>
      <c r="F1641" s="1">
        <v>0</v>
      </c>
      <c r="G1641" s="1">
        <v>68</v>
      </c>
      <c r="H1641" s="1">
        <v>14</v>
      </c>
      <c r="I1641" s="1">
        <v>1</v>
      </c>
      <c r="J1641" s="1">
        <v>21</v>
      </c>
      <c r="K1641" s="1">
        <v>2</v>
      </c>
      <c r="L1641" s="1">
        <v>3</v>
      </c>
      <c r="M1641" s="1">
        <v>25</v>
      </c>
      <c r="N1641" s="1">
        <v>3</v>
      </c>
      <c r="O1641" s="1">
        <v>3</v>
      </c>
      <c r="P1641" s="1">
        <v>1</v>
      </c>
      <c r="Q1641" s="1">
        <v>3</v>
      </c>
      <c r="R1641" s="1">
        <v>7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36</v>
      </c>
      <c r="AA1641" s="1" t="str" cm="1">
        <f t="array" ref="AA1641">_xlfn.IFS(AND(Z1641&lt;36, Z1641&gt;23), "24-35", AND(Z1641&lt;51, Z1641&gt;35),"36-50", AND(Z1641&lt;66, Z1641&gt;50), "51-66", Z1641&gt;65, "66+", TRUE, "?")</f>
        <v>36-50</v>
      </c>
      <c r="AB1641" s="1">
        <v>2343</v>
      </c>
      <c r="AC1641" s="1">
        <v>0</v>
      </c>
      <c r="AD1641" s="1">
        <v>0</v>
      </c>
      <c r="AE1641" s="1">
        <v>0</v>
      </c>
      <c r="AF1641" s="1">
        <v>1</v>
      </c>
      <c r="AG1641" s="1">
        <v>0</v>
      </c>
      <c r="AH1641" s="1">
        <v>0</v>
      </c>
      <c r="AI1641" s="1">
        <v>1</v>
      </c>
      <c r="AJ1641" s="1">
        <v>0</v>
      </c>
      <c r="AK1641" s="1">
        <v>0</v>
      </c>
      <c r="AL1641" s="1">
        <v>16</v>
      </c>
      <c r="AM1641" s="2">
        <v>42506</v>
      </c>
      <c r="AN1641" t="str">
        <f t="shared" si="51"/>
        <v>23976,41,0.00171004337671004,1,0,68,14,1,21,2,3,25,3,3,1,3,7,0,0,0,0,0,0,0,36,36-50,2343,0,0,0,1,0,0,1,0,0,16,42506</v>
      </c>
    </row>
    <row r="1642" spans="1:40" ht="13" hidden="1" x14ac:dyDescent="0.15">
      <c r="A1642">
        <v>313</v>
      </c>
      <c r="B1642" s="1">
        <v>30675</v>
      </c>
      <c r="C1642" s="1">
        <v>41</v>
      </c>
      <c r="D1642" s="4">
        <f t="shared" si="50"/>
        <v>1.3365933170334148E-3</v>
      </c>
      <c r="E1642" s="1">
        <v>1</v>
      </c>
      <c r="F1642" s="1">
        <v>0</v>
      </c>
      <c r="G1642" s="1">
        <v>14</v>
      </c>
      <c r="H1642" s="1">
        <v>10</v>
      </c>
      <c r="I1642" s="1">
        <v>2</v>
      </c>
      <c r="J1642" s="1">
        <v>16</v>
      </c>
      <c r="K1642" s="1">
        <v>11</v>
      </c>
      <c r="L1642" s="1">
        <v>2</v>
      </c>
      <c r="M1642" s="1">
        <v>21</v>
      </c>
      <c r="N1642" s="1">
        <v>1</v>
      </c>
      <c r="O1642" s="1">
        <v>1</v>
      </c>
      <c r="P1642" s="1">
        <v>0</v>
      </c>
      <c r="Q1642" s="1">
        <v>3</v>
      </c>
      <c r="R1642" s="1">
        <v>8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48</v>
      </c>
      <c r="AA1642" s="1" t="str" cm="1">
        <f t="array" ref="AA1642">_xlfn.IFS(AND(Z1642&lt;36, Z1642&gt;23), "24-35", AND(Z1642&lt;51, Z1642&gt;35),"36-50", AND(Z1642&lt;66, Z1642&gt;50), "51-66", Z1642&gt;65, "66+", TRUE, "?")</f>
        <v>36-50</v>
      </c>
      <c r="AB1642" s="1">
        <v>2753</v>
      </c>
      <c r="AC1642" s="1">
        <v>0</v>
      </c>
      <c r="AD1642" s="1">
        <v>1</v>
      </c>
      <c r="AE1642" s="1">
        <v>0</v>
      </c>
      <c r="AF1642" s="1">
        <v>0</v>
      </c>
      <c r="AG1642" s="1">
        <v>0</v>
      </c>
      <c r="AH1642" s="1">
        <v>0</v>
      </c>
      <c r="AI1642" s="1">
        <v>1</v>
      </c>
      <c r="AJ1642" s="1">
        <v>0</v>
      </c>
      <c r="AK1642" s="1">
        <v>0</v>
      </c>
      <c r="AL1642" s="1">
        <v>20</v>
      </c>
      <c r="AM1642" s="2">
        <v>42096</v>
      </c>
      <c r="AN1642" t="str">
        <f t="shared" si="51"/>
        <v>30675,41,0.00133659331703341,1,0,14,10,2,16,11,2,21,1,1,0,3,8,0,0,0,0,0,0,0,48,36-50,2753,0,1,0,0,0,0,1,0,0,20,42096</v>
      </c>
    </row>
    <row r="1643" spans="1:40" ht="13" hidden="1" x14ac:dyDescent="0.15">
      <c r="A1643">
        <v>466</v>
      </c>
      <c r="B1643" s="1">
        <v>55563</v>
      </c>
      <c r="C1643" s="1">
        <v>41</v>
      </c>
      <c r="D1643" s="4">
        <f t="shared" si="50"/>
        <v>7.3790112124975254E-4</v>
      </c>
      <c r="E1643" s="1">
        <v>0</v>
      </c>
      <c r="F1643" s="1">
        <v>1</v>
      </c>
      <c r="G1643" s="1">
        <v>22</v>
      </c>
      <c r="H1643" s="1">
        <v>29</v>
      </c>
      <c r="I1643" s="1">
        <v>1</v>
      </c>
      <c r="J1643" s="1">
        <v>9</v>
      </c>
      <c r="K1643" s="1">
        <v>2</v>
      </c>
      <c r="L1643" s="1">
        <v>0</v>
      </c>
      <c r="M1643" s="1">
        <v>2</v>
      </c>
      <c r="N1643" s="1">
        <v>1</v>
      </c>
      <c r="O1643" s="1">
        <v>2</v>
      </c>
      <c r="P1643" s="1">
        <v>0</v>
      </c>
      <c r="Q1643" s="1">
        <v>3</v>
      </c>
      <c r="R1643" s="1">
        <v>3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42</v>
      </c>
      <c r="AA1643" s="1" t="str" cm="1">
        <f t="array" ref="AA1643">_xlfn.IFS(AND(Z1643&lt;36, Z1643&gt;23), "24-35", AND(Z1643&lt;51, Z1643&gt;35),"36-50", AND(Z1643&lt;66, Z1643&gt;50), "51-66", Z1643&gt;65, "66+", TRUE, "?")</f>
        <v>36-50</v>
      </c>
      <c r="AB1643" s="1">
        <v>2244</v>
      </c>
      <c r="AC1643" s="1">
        <v>1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1</v>
      </c>
      <c r="AJ1643" s="1">
        <v>0</v>
      </c>
      <c r="AK1643" s="1">
        <v>0</v>
      </c>
      <c r="AL1643" s="1">
        <v>39</v>
      </c>
      <c r="AM1643" s="2">
        <v>42605</v>
      </c>
      <c r="AN1643" t="str">
        <f t="shared" si="51"/>
        <v>55563,41,0.000737901121249753,0,1,22,29,1,9,2,0,2,1,2,0,3,3,0,0,0,0,0,0,0,42,36-50,2244,1,0,0,0,0,0,1,0,0,39,42605</v>
      </c>
    </row>
    <row r="1644" spans="1:40" ht="13" hidden="1" x14ac:dyDescent="0.15">
      <c r="A1644">
        <v>623</v>
      </c>
      <c r="B1644" s="1">
        <v>18690</v>
      </c>
      <c r="C1644" s="1">
        <v>41</v>
      </c>
      <c r="D1644" s="4">
        <f t="shared" si="50"/>
        <v>2.1936864633493847E-3</v>
      </c>
      <c r="E1644" s="1">
        <v>0</v>
      </c>
      <c r="F1644" s="1">
        <v>0</v>
      </c>
      <c r="G1644" s="1">
        <v>77</v>
      </c>
      <c r="H1644" s="1">
        <v>6</v>
      </c>
      <c r="I1644" s="1">
        <v>1</v>
      </c>
      <c r="J1644" s="1">
        <v>7</v>
      </c>
      <c r="K1644" s="1">
        <v>23</v>
      </c>
      <c r="L1644" s="1">
        <v>4</v>
      </c>
      <c r="M1644" s="1">
        <v>19</v>
      </c>
      <c r="N1644" s="1">
        <v>1</v>
      </c>
      <c r="O1644" s="1">
        <v>1</v>
      </c>
      <c r="P1644" s="1">
        <v>1</v>
      </c>
      <c r="Q1644" s="1">
        <v>2</v>
      </c>
      <c r="R1644" s="1">
        <v>8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61</v>
      </c>
      <c r="AA1644" s="1" t="str" cm="1">
        <f t="array" ref="AA1644">_xlfn.IFS(AND(Z1644&lt;36, Z1644&gt;23), "24-35", AND(Z1644&lt;51, Z1644&gt;35),"36-50", AND(Z1644&lt;66, Z1644&gt;50), "51-66", Z1644&gt;65, "66+", TRUE, "?")</f>
        <v>51-66</v>
      </c>
      <c r="AB1644" s="1">
        <v>2707</v>
      </c>
      <c r="AC1644" s="1">
        <v>0</v>
      </c>
      <c r="AD1644" s="1">
        <v>1</v>
      </c>
      <c r="AE1644" s="1">
        <v>0</v>
      </c>
      <c r="AF1644" s="1">
        <v>0</v>
      </c>
      <c r="AG1644" s="1">
        <v>0</v>
      </c>
      <c r="AH1644" s="1">
        <v>0</v>
      </c>
      <c r="AI1644" s="1">
        <v>1</v>
      </c>
      <c r="AJ1644" s="1">
        <v>0</v>
      </c>
      <c r="AK1644" s="1">
        <v>0</v>
      </c>
      <c r="AL1644" s="1">
        <v>22</v>
      </c>
      <c r="AM1644" s="2">
        <v>42142</v>
      </c>
      <c r="AN1644" t="str">
        <f t="shared" si="51"/>
        <v>18690,41,0.00219368646334938,0,0,77,6,1,7,23,4,19,1,1,1,2,8,0,0,0,0,0,0,0,61,51-66,2707,0,1,0,0,0,0,1,0,0,22,42142</v>
      </c>
    </row>
    <row r="1645" spans="1:40" ht="13" hidden="1" x14ac:dyDescent="0.15">
      <c r="A1645">
        <v>737</v>
      </c>
      <c r="B1645" s="1">
        <v>17144</v>
      </c>
      <c r="C1645" s="1">
        <v>41</v>
      </c>
      <c r="D1645" s="4">
        <f t="shared" si="50"/>
        <v>2.3915072328511431E-3</v>
      </c>
      <c r="E1645" s="1">
        <v>1</v>
      </c>
      <c r="F1645" s="1">
        <v>1</v>
      </c>
      <c r="G1645" s="1">
        <v>96</v>
      </c>
      <c r="H1645" s="1">
        <v>18</v>
      </c>
      <c r="I1645" s="1">
        <v>2</v>
      </c>
      <c r="J1645" s="1">
        <v>19</v>
      </c>
      <c r="K1645" s="1">
        <v>0</v>
      </c>
      <c r="L1645" s="1">
        <v>2</v>
      </c>
      <c r="M1645" s="1">
        <v>6</v>
      </c>
      <c r="N1645" s="1">
        <v>5</v>
      </c>
      <c r="O1645" s="1">
        <v>3</v>
      </c>
      <c r="P1645" s="1">
        <v>0</v>
      </c>
      <c r="Q1645" s="1">
        <v>4</v>
      </c>
      <c r="R1645" s="1">
        <v>7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60</v>
      </c>
      <c r="AA1645" s="1" t="str" cm="1">
        <f t="array" ref="AA1645">_xlfn.IFS(AND(Z1645&lt;36, Z1645&gt;23), "24-35", AND(Z1645&lt;51, Z1645&gt;35),"36-50", AND(Z1645&lt;66, Z1645&gt;50), "51-66", Z1645&gt;65, "66+", TRUE, "?")</f>
        <v>51-66</v>
      </c>
      <c r="AB1645" s="1">
        <v>2293</v>
      </c>
      <c r="AC1645" s="1">
        <v>0</v>
      </c>
      <c r="AD1645" s="1">
        <v>0</v>
      </c>
      <c r="AE1645" s="1">
        <v>0</v>
      </c>
      <c r="AF1645" s="1">
        <v>1</v>
      </c>
      <c r="AG1645" s="1">
        <v>0</v>
      </c>
      <c r="AH1645" s="1">
        <v>0</v>
      </c>
      <c r="AI1645" s="1">
        <v>0</v>
      </c>
      <c r="AJ1645" s="1">
        <v>1</v>
      </c>
      <c r="AK1645" s="1">
        <v>0</v>
      </c>
      <c r="AL1645" s="1">
        <v>35</v>
      </c>
      <c r="AM1645" s="2">
        <v>42556</v>
      </c>
      <c r="AN1645" t="str">
        <f t="shared" si="51"/>
        <v>17144,41,0.00239150723285114,1,1,96,18,2,19,0,2,6,5,3,0,4,7,0,0,0,0,0,0,0,60,51-66,2293,0,0,0,1,0,0,0,1,0,35,42556</v>
      </c>
    </row>
    <row r="1646" spans="1:40" ht="13" hidden="1" x14ac:dyDescent="0.15">
      <c r="A1646">
        <v>803</v>
      </c>
      <c r="B1646" s="1">
        <v>38576</v>
      </c>
      <c r="C1646" s="1">
        <v>41</v>
      </c>
      <c r="D1646" s="4">
        <f t="shared" si="50"/>
        <v>1.0628369970966404E-3</v>
      </c>
      <c r="E1646" s="1">
        <v>0</v>
      </c>
      <c r="F1646" s="1">
        <v>1</v>
      </c>
      <c r="G1646" s="1">
        <v>2</v>
      </c>
      <c r="H1646" s="1">
        <v>34</v>
      </c>
      <c r="I1646" s="1">
        <v>0</v>
      </c>
      <c r="J1646" s="1">
        <v>7</v>
      </c>
      <c r="K1646" s="1">
        <v>0</v>
      </c>
      <c r="L1646" s="1">
        <v>0</v>
      </c>
      <c r="M1646" s="1">
        <v>0</v>
      </c>
      <c r="N1646" s="1">
        <v>1</v>
      </c>
      <c r="O1646" s="1">
        <v>1</v>
      </c>
      <c r="P1646" s="1">
        <v>0</v>
      </c>
      <c r="Q1646" s="1">
        <v>3</v>
      </c>
      <c r="R1646" s="1">
        <v>7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47</v>
      </c>
      <c r="AA1646" s="1" t="str" cm="1">
        <f t="array" ref="AA1646">_xlfn.IFS(AND(Z1646&lt;36, Z1646&gt;23), "24-35", AND(Z1646&lt;51, Z1646&gt;35),"36-50", AND(Z1646&lt;66, Z1646&gt;50), "51-66", Z1646&gt;65, "66+", TRUE, "?")</f>
        <v>36-50</v>
      </c>
      <c r="AB1646" s="1">
        <v>2276</v>
      </c>
      <c r="AC1646" s="1">
        <v>0</v>
      </c>
      <c r="AD1646" s="1">
        <v>1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1</v>
      </c>
      <c r="AK1646" s="1">
        <v>0</v>
      </c>
      <c r="AL1646" s="1">
        <v>41</v>
      </c>
      <c r="AM1646" s="2">
        <v>42573</v>
      </c>
      <c r="AN1646" t="str">
        <f t="shared" si="51"/>
        <v>38576,41,0.00106283699709664,0,1,2,34,0,7,0,0,0,1,1,0,3,7,0,0,0,0,0,0,0,47,36-50,2276,0,1,0,0,0,0,0,1,0,41,42573</v>
      </c>
    </row>
    <row r="1647" spans="1:40" ht="13" hidden="1" x14ac:dyDescent="0.15">
      <c r="A1647">
        <v>819</v>
      </c>
      <c r="B1647" s="1">
        <v>21675</v>
      </c>
      <c r="C1647" s="1">
        <v>41</v>
      </c>
      <c r="D1647" s="4">
        <f t="shared" si="50"/>
        <v>1.8915801614763552E-3</v>
      </c>
      <c r="E1647" s="1">
        <v>1</v>
      </c>
      <c r="F1647" s="1">
        <v>0</v>
      </c>
      <c r="G1647" s="1">
        <v>55</v>
      </c>
      <c r="H1647" s="1">
        <v>4</v>
      </c>
      <c r="I1647" s="1">
        <v>0</v>
      </c>
      <c r="J1647" s="1">
        <v>16</v>
      </c>
      <c r="K1647" s="1">
        <v>17</v>
      </c>
      <c r="L1647" s="1">
        <v>4</v>
      </c>
      <c r="M1647" s="1">
        <v>4</v>
      </c>
      <c r="N1647" s="1">
        <v>3</v>
      </c>
      <c r="O1647" s="1">
        <v>4</v>
      </c>
      <c r="P1647" s="1">
        <v>0</v>
      </c>
      <c r="Q1647" s="1">
        <v>3</v>
      </c>
      <c r="R1647" s="1">
        <v>7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44</v>
      </c>
      <c r="AA1647" s="1" t="str" cm="1">
        <f t="array" ref="AA1647">_xlfn.IFS(AND(Z1647&lt;36, Z1647&gt;23), "24-35", AND(Z1647&lt;51, Z1647&gt;35),"36-50", AND(Z1647&lt;66, Z1647&gt;50), "51-66", Z1647&gt;65, "66+", TRUE, "?")</f>
        <v>36-50</v>
      </c>
      <c r="AB1647" s="1">
        <v>2177</v>
      </c>
      <c r="AC1647" s="1">
        <v>0</v>
      </c>
      <c r="AD1647" s="1">
        <v>0</v>
      </c>
      <c r="AE1647" s="1">
        <v>0</v>
      </c>
      <c r="AF1647" s="1">
        <v>1</v>
      </c>
      <c r="AG1647" s="1">
        <v>0</v>
      </c>
      <c r="AH1647" s="1">
        <v>0</v>
      </c>
      <c r="AI1647" s="1">
        <v>1</v>
      </c>
      <c r="AJ1647" s="1">
        <v>0</v>
      </c>
      <c r="AK1647" s="1">
        <v>0</v>
      </c>
      <c r="AL1647" s="1">
        <v>37</v>
      </c>
      <c r="AM1647" s="2">
        <v>42672</v>
      </c>
      <c r="AN1647" t="str">
        <f t="shared" si="51"/>
        <v>21675,41,0.00189158016147636,1,0,55,4,0,16,17,4,4,3,4,0,3,7,0,0,0,0,0,0,0,44,36-50,2177,0,0,0,1,0,0,1,0,0,37,42672</v>
      </c>
    </row>
    <row r="1648" spans="1:40" ht="13" hidden="1" x14ac:dyDescent="0.15">
      <c r="A1648">
        <v>946</v>
      </c>
      <c r="B1648" s="1">
        <v>19514</v>
      </c>
      <c r="C1648" s="1">
        <v>41</v>
      </c>
      <c r="D1648" s="4">
        <f t="shared" si="50"/>
        <v>2.1010556523521572E-3</v>
      </c>
      <c r="E1648" s="1">
        <v>1</v>
      </c>
      <c r="F1648" s="1">
        <v>1</v>
      </c>
      <c r="G1648" s="1">
        <v>47</v>
      </c>
      <c r="H1648" s="1">
        <v>14</v>
      </c>
      <c r="I1648" s="1">
        <v>3</v>
      </c>
      <c r="J1648" s="1">
        <v>21</v>
      </c>
      <c r="K1648" s="1">
        <v>2</v>
      </c>
      <c r="L1648" s="1">
        <v>1</v>
      </c>
      <c r="M1648" s="1">
        <v>28</v>
      </c>
      <c r="N1648" s="1">
        <v>4</v>
      </c>
      <c r="O1648" s="1">
        <v>3</v>
      </c>
      <c r="P1648" s="1">
        <v>1</v>
      </c>
      <c r="Q1648" s="1">
        <v>2</v>
      </c>
      <c r="R1648" s="1">
        <v>8</v>
      </c>
      <c r="S1648" s="1">
        <v>0</v>
      </c>
      <c r="T1648" s="1">
        <v>0</v>
      </c>
      <c r="U1648" s="1">
        <v>1</v>
      </c>
      <c r="V1648" s="1">
        <v>0</v>
      </c>
      <c r="W1648" s="1">
        <v>0</v>
      </c>
      <c r="X1648" s="1">
        <v>0</v>
      </c>
      <c r="Y1648" s="1">
        <v>0</v>
      </c>
      <c r="Z1648" s="1">
        <v>52</v>
      </c>
      <c r="AA1648" s="1" t="str" cm="1">
        <f t="array" ref="AA1648">_xlfn.IFS(AND(Z1648&lt;36, Z1648&gt;23), "24-35", AND(Z1648&lt;51, Z1648&gt;35),"36-50", AND(Z1648&lt;66, Z1648&gt;50), "51-66", Z1648&gt;65, "66+", TRUE, "?")</f>
        <v>51-66</v>
      </c>
      <c r="AB1648" s="1">
        <v>2313</v>
      </c>
      <c r="AC1648" s="1">
        <v>0</v>
      </c>
      <c r="AD1648" s="1">
        <v>1</v>
      </c>
      <c r="AE1648" s="1">
        <v>0</v>
      </c>
      <c r="AF1648" s="1">
        <v>0</v>
      </c>
      <c r="AG1648" s="1">
        <v>0</v>
      </c>
      <c r="AH1648" s="1">
        <v>0</v>
      </c>
      <c r="AI1648" s="1">
        <v>1</v>
      </c>
      <c r="AJ1648" s="1">
        <v>0</v>
      </c>
      <c r="AK1648" s="1">
        <v>0</v>
      </c>
      <c r="AL1648" s="1">
        <v>13</v>
      </c>
      <c r="AM1648" s="2">
        <v>42536</v>
      </c>
      <c r="AN1648" t="str">
        <f t="shared" si="51"/>
        <v>19514,41,0.00210105565235216,1,1,47,14,3,21,2,1,28,4,3,1,2,8,0,0,1,0,0,0,0,52,51-66,2313,0,1,0,0,0,0,1,0,0,13,42536</v>
      </c>
    </row>
    <row r="1649" spans="1:40" ht="13" hidden="1" x14ac:dyDescent="0.15">
      <c r="A1649">
        <v>952</v>
      </c>
      <c r="B1649" s="1">
        <v>38196</v>
      </c>
      <c r="C1649" s="1">
        <v>41</v>
      </c>
      <c r="D1649" s="4">
        <f t="shared" si="50"/>
        <v>1.0734108283589905E-3</v>
      </c>
      <c r="E1649" s="1">
        <v>1</v>
      </c>
      <c r="F1649" s="1">
        <v>1</v>
      </c>
      <c r="G1649" s="1">
        <v>20</v>
      </c>
      <c r="H1649" s="1">
        <v>30</v>
      </c>
      <c r="I1649" s="1">
        <v>0</v>
      </c>
      <c r="J1649" s="1">
        <v>11</v>
      </c>
      <c r="K1649" s="1">
        <v>0</v>
      </c>
      <c r="L1649" s="1">
        <v>0</v>
      </c>
      <c r="M1649" s="1">
        <v>3</v>
      </c>
      <c r="N1649" s="1">
        <v>3</v>
      </c>
      <c r="O1649" s="1">
        <v>2</v>
      </c>
      <c r="P1649" s="1">
        <v>0</v>
      </c>
      <c r="Q1649" s="1">
        <v>4</v>
      </c>
      <c r="R1649" s="1">
        <v>5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49</v>
      </c>
      <c r="AA1649" s="1" t="str" cm="1">
        <f t="array" ref="AA1649">_xlfn.IFS(AND(Z1649&lt;36, Z1649&gt;23), "24-35", AND(Z1649&lt;51, Z1649&gt;35),"36-50", AND(Z1649&lt;66, Z1649&gt;50), "51-66", Z1649&gt;65, "66+", TRUE, "?")</f>
        <v>36-50</v>
      </c>
      <c r="AB1649" s="1">
        <v>2231</v>
      </c>
      <c r="AC1649" s="1">
        <v>0</v>
      </c>
      <c r="AD1649" s="1">
        <v>1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1</v>
      </c>
      <c r="AK1649" s="1">
        <v>0</v>
      </c>
      <c r="AL1649" s="1">
        <v>38</v>
      </c>
      <c r="AM1649" s="2">
        <v>42618</v>
      </c>
      <c r="AN1649" t="str">
        <f t="shared" si="51"/>
        <v>38196,41,0.00107341082835899,1,1,20,30,0,11,0,0,3,3,2,0,4,5,0,0,0,0,0,0,0,49,36-50,2231,0,1,0,0,0,0,0,1,0,38,42618</v>
      </c>
    </row>
    <row r="1650" spans="1:40" ht="13" hidden="1" x14ac:dyDescent="0.15">
      <c r="A1650">
        <v>1064</v>
      </c>
      <c r="B1650" s="1">
        <v>42693</v>
      </c>
      <c r="C1650" s="1">
        <v>41</v>
      </c>
      <c r="D1650" s="4">
        <f t="shared" si="50"/>
        <v>9.6034478720164894E-4</v>
      </c>
      <c r="E1650" s="1">
        <v>1</v>
      </c>
      <c r="F1650" s="1">
        <v>0</v>
      </c>
      <c r="G1650" s="1">
        <v>29</v>
      </c>
      <c r="H1650" s="1">
        <v>8</v>
      </c>
      <c r="I1650" s="1">
        <v>4</v>
      </c>
      <c r="J1650" s="1">
        <v>20</v>
      </c>
      <c r="K1650" s="1">
        <v>6</v>
      </c>
      <c r="L1650" s="1">
        <v>3</v>
      </c>
      <c r="M1650" s="1">
        <v>16</v>
      </c>
      <c r="N1650" s="1">
        <v>1</v>
      </c>
      <c r="O1650" s="1">
        <v>1</v>
      </c>
      <c r="P1650" s="1">
        <v>0</v>
      </c>
      <c r="Q1650" s="1">
        <v>3</v>
      </c>
      <c r="R1650" s="1">
        <v>5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42</v>
      </c>
      <c r="AA1650" s="1" t="str" cm="1">
        <f t="array" ref="AA1650">_xlfn.IFS(AND(Z1650&lt;36, Z1650&gt;23), "24-35", AND(Z1650&lt;51, Z1650&gt;35),"36-50", AND(Z1650&lt;66, Z1650&gt;50), "51-66", Z1650&gt;65, "66+", TRUE, "?")</f>
        <v>36-50</v>
      </c>
      <c r="AB1650" s="1">
        <v>2181</v>
      </c>
      <c r="AC1650" s="1">
        <v>0</v>
      </c>
      <c r="AD1650" s="1">
        <v>1</v>
      </c>
      <c r="AE1650" s="1">
        <v>0</v>
      </c>
      <c r="AF1650" s="1">
        <v>0</v>
      </c>
      <c r="AG1650" s="1">
        <v>0</v>
      </c>
      <c r="AH1650" s="1">
        <v>0</v>
      </c>
      <c r="AI1650" s="1">
        <v>1</v>
      </c>
      <c r="AJ1650" s="1">
        <v>0</v>
      </c>
      <c r="AK1650" s="1">
        <v>0</v>
      </c>
      <c r="AL1650" s="1">
        <v>25</v>
      </c>
      <c r="AM1650" s="2">
        <v>42668</v>
      </c>
      <c r="AN1650" t="str">
        <f t="shared" si="51"/>
        <v>42693,41,0.000960344787201649,1,0,29,8,4,20,6,3,16,1,1,0,3,5,0,0,0,0,0,0,0,42,36-50,2181,0,1,0,0,0,0,1,0,0,25,42668</v>
      </c>
    </row>
    <row r="1651" spans="1:40" ht="13" hidden="1" x14ac:dyDescent="0.15">
      <c r="A1651">
        <v>1235</v>
      </c>
      <c r="B1651" s="1">
        <v>37235</v>
      </c>
      <c r="C1651" s="1">
        <v>41</v>
      </c>
      <c r="D1651" s="4">
        <f t="shared" si="50"/>
        <v>1.1011145427689002E-3</v>
      </c>
      <c r="E1651" s="1">
        <v>1</v>
      </c>
      <c r="F1651" s="1">
        <v>0</v>
      </c>
      <c r="G1651" s="1">
        <v>68</v>
      </c>
      <c r="H1651" s="1">
        <v>20</v>
      </c>
      <c r="I1651" s="1">
        <v>2</v>
      </c>
      <c r="J1651" s="1">
        <v>9</v>
      </c>
      <c r="K1651" s="1">
        <v>4</v>
      </c>
      <c r="L1651" s="1">
        <v>6</v>
      </c>
      <c r="M1651" s="1">
        <v>20</v>
      </c>
      <c r="N1651" s="1">
        <v>1</v>
      </c>
      <c r="O1651" s="1">
        <v>1</v>
      </c>
      <c r="P1651" s="1">
        <v>1</v>
      </c>
      <c r="Q1651" s="1">
        <v>2</v>
      </c>
      <c r="R1651" s="1">
        <v>4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36</v>
      </c>
      <c r="AA1651" s="1" t="str" cm="1">
        <f t="array" ref="AA1651">_xlfn.IFS(AND(Z1651&lt;36, Z1651&gt;23), "24-35", AND(Z1651&lt;51, Z1651&gt;35),"36-50", AND(Z1651&lt;66, Z1651&gt;50), "51-66", Z1651&gt;65, "66+", TRUE, "?")</f>
        <v>36-50</v>
      </c>
      <c r="AB1651" s="1">
        <v>2307</v>
      </c>
      <c r="AC1651" s="1">
        <v>0</v>
      </c>
      <c r="AD1651" s="1">
        <v>0</v>
      </c>
      <c r="AE1651" s="1">
        <v>0</v>
      </c>
      <c r="AF1651" s="1">
        <v>1</v>
      </c>
      <c r="AG1651" s="1">
        <v>0</v>
      </c>
      <c r="AH1651" s="1">
        <v>0</v>
      </c>
      <c r="AI1651" s="1">
        <v>1</v>
      </c>
      <c r="AJ1651" s="1">
        <v>0</v>
      </c>
      <c r="AK1651" s="1">
        <v>0</v>
      </c>
      <c r="AL1651" s="1">
        <v>21</v>
      </c>
      <c r="AM1651" s="2">
        <v>42542</v>
      </c>
      <c r="AN1651" t="str">
        <f t="shared" si="51"/>
        <v>37235,41,0.0011011145427689,1,0,68,20,2,9,4,6,20,1,1,1,2,4,0,0,0,0,0,0,0,36,36-50,2307,0,0,0,1,0,0,1,0,0,21,42542</v>
      </c>
    </row>
    <row r="1652" spans="1:40" ht="13" hidden="1" x14ac:dyDescent="0.15">
      <c r="A1652">
        <v>1292</v>
      </c>
      <c r="B1652" s="1">
        <v>20895</v>
      </c>
      <c r="C1652" s="1">
        <v>41</v>
      </c>
      <c r="D1652" s="4">
        <f t="shared" si="50"/>
        <v>1.9621919119406557E-3</v>
      </c>
      <c r="E1652" s="1">
        <v>1</v>
      </c>
      <c r="F1652" s="1">
        <v>0</v>
      </c>
      <c r="G1652" s="1">
        <v>24</v>
      </c>
      <c r="H1652" s="1">
        <v>18</v>
      </c>
      <c r="I1652" s="1">
        <v>3</v>
      </c>
      <c r="J1652" s="1">
        <v>17</v>
      </c>
      <c r="K1652" s="1">
        <v>3</v>
      </c>
      <c r="L1652" s="1">
        <v>0</v>
      </c>
      <c r="M1652" s="1">
        <v>4</v>
      </c>
      <c r="N1652" s="1">
        <v>1</v>
      </c>
      <c r="O1652" s="1">
        <v>2</v>
      </c>
      <c r="P1652" s="1">
        <v>0</v>
      </c>
      <c r="Q1652" s="1">
        <v>3</v>
      </c>
      <c r="R1652" s="1">
        <v>9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47</v>
      </c>
      <c r="AA1652" s="1" t="str" cm="1">
        <f t="array" ref="AA1652">_xlfn.IFS(AND(Z1652&lt;36, Z1652&gt;23), "24-35", AND(Z1652&lt;51, Z1652&gt;35),"36-50", AND(Z1652&lt;66, Z1652&gt;50), "51-66", Z1652&gt;65, "66+", TRUE, "?")</f>
        <v>36-50</v>
      </c>
      <c r="AB1652" s="1">
        <v>2790</v>
      </c>
      <c r="AC1652" s="1">
        <v>0</v>
      </c>
      <c r="AD1652" s="1">
        <v>1</v>
      </c>
      <c r="AE1652" s="1">
        <v>0</v>
      </c>
      <c r="AF1652" s="1">
        <v>0</v>
      </c>
      <c r="AG1652" s="1">
        <v>0</v>
      </c>
      <c r="AH1652" s="1">
        <v>0</v>
      </c>
      <c r="AI1652" s="1">
        <v>1</v>
      </c>
      <c r="AJ1652" s="1">
        <v>0</v>
      </c>
      <c r="AK1652" s="1">
        <v>0</v>
      </c>
      <c r="AL1652" s="1">
        <v>37</v>
      </c>
      <c r="AM1652" s="2">
        <v>42059</v>
      </c>
      <c r="AN1652" t="str">
        <f t="shared" si="51"/>
        <v>20895,41,0.00196219191194066,1,0,24,18,3,17,3,0,4,1,2,0,3,9,0,0,0,0,0,0,0,47,36-50,2790,0,1,0,0,0,0,1,0,0,37,42059</v>
      </c>
    </row>
    <row r="1653" spans="1:40" ht="13" hidden="1" x14ac:dyDescent="0.15">
      <c r="A1653">
        <v>1450</v>
      </c>
      <c r="B1653" s="1">
        <v>27161</v>
      </c>
      <c r="C1653" s="1">
        <v>41</v>
      </c>
      <c r="D1653" s="4">
        <f t="shared" si="50"/>
        <v>1.5095173226317147E-3</v>
      </c>
      <c r="E1653" s="1">
        <v>1</v>
      </c>
      <c r="F1653" s="1">
        <v>0</v>
      </c>
      <c r="G1653" s="1">
        <v>41</v>
      </c>
      <c r="H1653" s="1">
        <v>7</v>
      </c>
      <c r="I1653" s="1">
        <v>4</v>
      </c>
      <c r="J1653" s="1">
        <v>23</v>
      </c>
      <c r="K1653" s="1">
        <v>7</v>
      </c>
      <c r="L1653" s="1">
        <v>0</v>
      </c>
      <c r="M1653" s="1">
        <v>11</v>
      </c>
      <c r="N1653" s="1">
        <v>1</v>
      </c>
      <c r="O1653" s="1">
        <v>1</v>
      </c>
      <c r="P1653" s="1">
        <v>0</v>
      </c>
      <c r="Q1653" s="1">
        <v>3</v>
      </c>
      <c r="R1653" s="1">
        <v>7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34</v>
      </c>
      <c r="AA1653" s="1" t="str" cm="1">
        <f t="array" ref="AA1653">_xlfn.IFS(AND(Z1653&lt;36, Z1653&gt;23), "24-35", AND(Z1653&lt;51, Z1653&gt;35),"36-50", AND(Z1653&lt;66, Z1653&gt;50), "51-66", Z1653&gt;65, "66+", TRUE, "?")</f>
        <v>24-35</v>
      </c>
      <c r="AB1653" s="1">
        <v>2403</v>
      </c>
      <c r="AC1653" s="1">
        <v>0</v>
      </c>
      <c r="AD1653" s="1">
        <v>1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1</v>
      </c>
      <c r="AK1653" s="1">
        <v>0</v>
      </c>
      <c r="AL1653" s="1">
        <v>30</v>
      </c>
      <c r="AM1653" s="2">
        <v>42446</v>
      </c>
      <c r="AN1653" t="str">
        <f t="shared" si="51"/>
        <v>27161,41,0.00150951732263171,1,0,41,7,4,23,7,0,11,1,1,0,3,7,0,0,0,0,0,0,0,34,24-35,2403,0,1,0,0,0,0,0,1,0,30,42446</v>
      </c>
    </row>
    <row r="1654" spans="1:40" ht="13" hidden="1" x14ac:dyDescent="0.15">
      <c r="A1654">
        <v>1738</v>
      </c>
      <c r="B1654" s="1">
        <v>35701</v>
      </c>
      <c r="C1654" s="1">
        <v>41</v>
      </c>
      <c r="D1654" s="4">
        <f t="shared" si="50"/>
        <v>1.1484272149239517E-3</v>
      </c>
      <c r="E1654" s="1">
        <v>0</v>
      </c>
      <c r="F1654" s="1">
        <v>0</v>
      </c>
      <c r="G1654" s="1">
        <v>36</v>
      </c>
      <c r="H1654" s="1">
        <v>21</v>
      </c>
      <c r="I1654" s="1">
        <v>1</v>
      </c>
      <c r="J1654" s="1">
        <v>9</v>
      </c>
      <c r="K1654" s="1">
        <v>7</v>
      </c>
      <c r="L1654" s="1">
        <v>3</v>
      </c>
      <c r="M1654" s="1">
        <v>5</v>
      </c>
      <c r="N1654" s="1">
        <v>1</v>
      </c>
      <c r="O1654" s="1">
        <v>1</v>
      </c>
      <c r="P1654" s="1">
        <v>0</v>
      </c>
      <c r="Q1654" s="1">
        <v>3</v>
      </c>
      <c r="R1654" s="1">
        <v>6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61</v>
      </c>
      <c r="AA1654" s="1" t="str" cm="1">
        <f t="array" ref="AA1654">_xlfn.IFS(AND(Z1654&lt;36, Z1654&gt;23), "24-35", AND(Z1654&lt;51, Z1654&gt;35),"36-50", AND(Z1654&lt;66, Z1654&gt;50), "51-66", Z1654&gt;65, "66+", TRUE, "?")</f>
        <v>51-66</v>
      </c>
      <c r="AB1654" s="1">
        <v>2626</v>
      </c>
      <c r="AC1654" s="1">
        <v>0</v>
      </c>
      <c r="AD1654" s="1">
        <v>1</v>
      </c>
      <c r="AE1654" s="1">
        <v>0</v>
      </c>
      <c r="AF1654" s="1">
        <v>0</v>
      </c>
      <c r="AG1654" s="1">
        <v>0</v>
      </c>
      <c r="AH1654" s="1">
        <v>0</v>
      </c>
      <c r="AI1654" s="1">
        <v>1</v>
      </c>
      <c r="AJ1654" s="1">
        <v>0</v>
      </c>
      <c r="AK1654" s="1">
        <v>0</v>
      </c>
      <c r="AL1654" s="1">
        <v>36</v>
      </c>
      <c r="AM1654" s="2">
        <v>42223</v>
      </c>
      <c r="AN1654" t="str">
        <f t="shared" si="51"/>
        <v>35701,41,0.00114842721492395,0,0,36,21,1,9,7,3,5,1,1,0,3,6,0,0,0,0,0,0,0,61,51-66,2626,0,1,0,0,0,0,1,0,0,36,42223</v>
      </c>
    </row>
    <row r="1655" spans="1:40" ht="13" x14ac:dyDescent="0.15">
      <c r="A1655">
        <v>1867</v>
      </c>
      <c r="B1655" s="1">
        <v>35178</v>
      </c>
      <c r="C1655" s="1">
        <v>41</v>
      </c>
      <c r="D1655" s="4">
        <f t="shared" si="50"/>
        <v>1.1655011655011655E-3</v>
      </c>
      <c r="E1655" s="1">
        <v>1</v>
      </c>
      <c r="F1655" s="1">
        <v>0</v>
      </c>
      <c r="G1655" s="1">
        <v>10</v>
      </c>
      <c r="H1655" s="1">
        <v>23</v>
      </c>
      <c r="I1655" s="1">
        <v>1</v>
      </c>
      <c r="J1655" s="1">
        <v>13</v>
      </c>
      <c r="K1655" s="1">
        <v>2</v>
      </c>
      <c r="L1655" s="1">
        <v>2</v>
      </c>
      <c r="M1655" s="1">
        <v>18</v>
      </c>
      <c r="N1655" s="1">
        <v>1</v>
      </c>
      <c r="O1655" s="1">
        <v>1</v>
      </c>
      <c r="P1655" s="1">
        <v>1</v>
      </c>
      <c r="Q1655" s="1">
        <v>2</v>
      </c>
      <c r="R1655" s="1">
        <v>7</v>
      </c>
      <c r="S1655" s="1">
        <v>0</v>
      </c>
      <c r="T1655" s="1">
        <v>0</v>
      </c>
      <c r="U1655" s="1">
        <v>1</v>
      </c>
      <c r="V1655" s="1">
        <v>0</v>
      </c>
      <c r="W1655" s="1">
        <v>0</v>
      </c>
      <c r="X1655" s="1">
        <v>0</v>
      </c>
      <c r="Y1655" s="1">
        <v>1</v>
      </c>
      <c r="Z1655" s="1">
        <v>49</v>
      </c>
      <c r="AA1655" s="1" t="str" cm="1">
        <f t="array" ref="AA1655">_xlfn.IFS(AND(Z1655&lt;36, Z1655&gt;23), "24-35", AND(Z1655&lt;51, Z1655&gt;35),"36-50", AND(Z1655&lt;66, Z1655&gt;50), "51-66", Z1655&gt;65, "66+", TRUE, "?")</f>
        <v>36-50</v>
      </c>
      <c r="AB1655" s="1">
        <v>2694</v>
      </c>
      <c r="AC1655" s="1">
        <v>0</v>
      </c>
      <c r="AD1655" s="1">
        <v>1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1</v>
      </c>
      <c r="AK1655" s="1">
        <v>0</v>
      </c>
      <c r="AL1655" s="1">
        <v>23</v>
      </c>
      <c r="AM1655" s="2">
        <v>42155</v>
      </c>
      <c r="AN1655" t="str">
        <f t="shared" si="51"/>
        <v>35178,41,0.00116550116550117,1,0,10,23,1,13,2,2,18,1,1,1,2,7,0,0,1,0,0,0,1,49,36-50,2694,0,1,0,0,0,0,0,1,0,23,42155</v>
      </c>
    </row>
    <row r="1656" spans="1:40" ht="13" hidden="1" x14ac:dyDescent="0.15">
      <c r="A1656">
        <v>1877</v>
      </c>
      <c r="B1656" s="1">
        <v>42554</v>
      </c>
      <c r="C1656" s="1">
        <v>41</v>
      </c>
      <c r="D1656" s="4">
        <f t="shared" si="50"/>
        <v>9.6348169384781685E-4</v>
      </c>
      <c r="E1656" s="1">
        <v>1</v>
      </c>
      <c r="F1656" s="1">
        <v>1</v>
      </c>
      <c r="G1656" s="1">
        <v>93</v>
      </c>
      <c r="H1656" s="1">
        <v>29</v>
      </c>
      <c r="I1656" s="1">
        <v>1</v>
      </c>
      <c r="J1656" s="1">
        <v>11</v>
      </c>
      <c r="K1656" s="1">
        <v>0</v>
      </c>
      <c r="L1656" s="1">
        <v>0</v>
      </c>
      <c r="M1656" s="1">
        <v>0</v>
      </c>
      <c r="N1656" s="1">
        <v>2</v>
      </c>
      <c r="O1656" s="1">
        <v>2</v>
      </c>
      <c r="P1656" s="1">
        <v>0</v>
      </c>
      <c r="Q1656" s="1">
        <v>3</v>
      </c>
      <c r="R1656" s="1">
        <v>4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42</v>
      </c>
      <c r="AA1656" s="1" t="str" cm="1">
        <f t="array" ref="AA1656">_xlfn.IFS(AND(Z1656&lt;36, Z1656&gt;23), "24-35", AND(Z1656&lt;51, Z1656&gt;35),"36-50", AND(Z1656&lt;66, Z1656&gt;50), "51-66", Z1656&gt;65, "66+", TRUE, "?")</f>
        <v>36-50</v>
      </c>
      <c r="AB1656" s="1">
        <v>2692</v>
      </c>
      <c r="AC1656" s="1">
        <v>0</v>
      </c>
      <c r="AD1656" s="1">
        <v>0</v>
      </c>
      <c r="AE1656" s="1">
        <v>0</v>
      </c>
      <c r="AF1656" s="1">
        <v>1</v>
      </c>
      <c r="AG1656" s="1">
        <v>0</v>
      </c>
      <c r="AH1656" s="1">
        <v>0</v>
      </c>
      <c r="AI1656" s="1">
        <v>1</v>
      </c>
      <c r="AJ1656" s="1">
        <v>0</v>
      </c>
      <c r="AK1656" s="1">
        <v>0</v>
      </c>
      <c r="AL1656" s="1">
        <v>41</v>
      </c>
      <c r="AM1656" s="2">
        <v>42157</v>
      </c>
      <c r="AN1656" t="str">
        <f t="shared" si="51"/>
        <v>42554,41,0.000963481693847817,1,1,93,29,1,11,0,0,0,2,2,0,3,4,0,0,0,0,0,0,0,42,36-50,2692,0,0,0,1,0,0,1,0,0,41,42157</v>
      </c>
    </row>
    <row r="1657" spans="1:40" ht="13" x14ac:dyDescent="0.15">
      <c r="A1657">
        <v>1885</v>
      </c>
      <c r="B1657" s="1">
        <v>19514</v>
      </c>
      <c r="C1657" s="1">
        <v>41</v>
      </c>
      <c r="D1657" s="4">
        <f t="shared" si="50"/>
        <v>2.1010556523521572E-3</v>
      </c>
      <c r="E1657" s="1">
        <v>1</v>
      </c>
      <c r="F1657" s="1">
        <v>1</v>
      </c>
      <c r="G1657" s="1">
        <v>47</v>
      </c>
      <c r="H1657" s="1">
        <v>14</v>
      </c>
      <c r="I1657" s="1">
        <v>3</v>
      </c>
      <c r="J1657" s="1">
        <v>21</v>
      </c>
      <c r="K1657" s="1">
        <v>2</v>
      </c>
      <c r="L1657" s="1">
        <v>1</v>
      </c>
      <c r="M1657" s="1">
        <v>28</v>
      </c>
      <c r="N1657" s="1">
        <v>4</v>
      </c>
      <c r="O1657" s="1">
        <v>3</v>
      </c>
      <c r="P1657" s="1">
        <v>1</v>
      </c>
      <c r="Q1657" s="1">
        <v>2</v>
      </c>
      <c r="R1657" s="1">
        <v>8</v>
      </c>
      <c r="S1657" s="1">
        <v>0</v>
      </c>
      <c r="T1657" s="1">
        <v>0</v>
      </c>
      <c r="U1657" s="1">
        <v>1</v>
      </c>
      <c r="V1657" s="1">
        <v>0</v>
      </c>
      <c r="W1657" s="1">
        <v>0</v>
      </c>
      <c r="X1657" s="1">
        <v>0</v>
      </c>
      <c r="Y1657" s="1">
        <v>1</v>
      </c>
      <c r="Z1657" s="1">
        <v>52</v>
      </c>
      <c r="AA1657" s="1" t="str" cm="1">
        <f t="array" ref="AA1657">_xlfn.IFS(AND(Z1657&lt;36, Z1657&gt;23), "24-35", AND(Z1657&lt;51, Z1657&gt;35),"36-50", AND(Z1657&lt;66, Z1657&gt;50), "51-66", Z1657&gt;65, "66+", TRUE, "?")</f>
        <v>51-66</v>
      </c>
      <c r="AB1657" s="1">
        <v>2313</v>
      </c>
      <c r="AC1657" s="1">
        <v>0</v>
      </c>
      <c r="AD1657" s="1">
        <v>1</v>
      </c>
      <c r="AE1657" s="1">
        <v>0</v>
      </c>
      <c r="AF1657" s="1">
        <v>0</v>
      </c>
      <c r="AG1657" s="1">
        <v>0</v>
      </c>
      <c r="AH1657" s="1">
        <v>0</v>
      </c>
      <c r="AI1657" s="1">
        <v>1</v>
      </c>
      <c r="AJ1657" s="1">
        <v>0</v>
      </c>
      <c r="AK1657" s="1">
        <v>0</v>
      </c>
      <c r="AL1657" s="1">
        <v>13</v>
      </c>
      <c r="AM1657" s="2">
        <v>42536</v>
      </c>
      <c r="AN1657" t="str">
        <f t="shared" si="51"/>
        <v>19514,41,0.00210105565235216,1,1,47,14,3,21,2,1,28,4,3,1,2,8,0,0,1,0,0,0,1,52,51-66,2313,0,1,0,0,0,0,1,0,0,13,42536</v>
      </c>
    </row>
    <row r="1658" spans="1:40" ht="13" hidden="1" x14ac:dyDescent="0.15">
      <c r="A1658">
        <v>268</v>
      </c>
      <c r="B1658" s="1">
        <v>32414</v>
      </c>
      <c r="C1658" s="1">
        <v>40</v>
      </c>
      <c r="D1658" s="4">
        <f t="shared" si="50"/>
        <v>1.2340346763744061E-3</v>
      </c>
      <c r="E1658" s="1">
        <v>0</v>
      </c>
      <c r="F1658" s="1">
        <v>0</v>
      </c>
      <c r="G1658" s="1">
        <v>11</v>
      </c>
      <c r="H1658" s="1">
        <v>20</v>
      </c>
      <c r="I1658" s="1">
        <v>6</v>
      </c>
      <c r="J1658" s="1">
        <v>5</v>
      </c>
      <c r="K1658" s="1">
        <v>0</v>
      </c>
      <c r="L1658" s="1">
        <v>9</v>
      </c>
      <c r="M1658" s="1">
        <v>12</v>
      </c>
      <c r="N1658" s="1">
        <v>1</v>
      </c>
      <c r="O1658" s="1">
        <v>1</v>
      </c>
      <c r="P1658" s="1">
        <v>0</v>
      </c>
      <c r="Q1658" s="1">
        <v>3</v>
      </c>
      <c r="R1658" s="1">
        <v>7</v>
      </c>
      <c r="S1658" s="1">
        <v>0</v>
      </c>
      <c r="T1658" s="1">
        <v>0</v>
      </c>
      <c r="U1658" s="1">
        <v>1</v>
      </c>
      <c r="V1658" s="1">
        <v>0</v>
      </c>
      <c r="W1658" s="1">
        <v>0</v>
      </c>
      <c r="X1658" s="1">
        <v>0</v>
      </c>
      <c r="Y1658" s="1">
        <v>0</v>
      </c>
      <c r="Z1658" s="1">
        <v>36</v>
      </c>
      <c r="AA1658" s="1" t="str" cm="1">
        <f t="array" ref="AA1658">_xlfn.IFS(AND(Z1658&lt;36, Z1658&gt;23), "24-35", AND(Z1658&lt;51, Z1658&gt;35),"36-50", AND(Z1658&lt;66, Z1658&gt;50), "51-66", Z1658&gt;65, "66+", TRUE, "?")</f>
        <v>36-50</v>
      </c>
      <c r="AB1658" s="1">
        <v>2519</v>
      </c>
      <c r="AC1658" s="1">
        <v>0</v>
      </c>
      <c r="AD1658" s="1">
        <v>0</v>
      </c>
      <c r="AE1658" s="1">
        <v>0</v>
      </c>
      <c r="AF1658" s="1">
        <v>1</v>
      </c>
      <c r="AG1658" s="1">
        <v>0</v>
      </c>
      <c r="AH1658" s="1">
        <v>1</v>
      </c>
      <c r="AI1658" s="1">
        <v>0</v>
      </c>
      <c r="AJ1658" s="1">
        <v>0</v>
      </c>
      <c r="AK1658" s="1">
        <v>0</v>
      </c>
      <c r="AL1658" s="1">
        <v>28</v>
      </c>
      <c r="AM1658" s="2">
        <v>42330</v>
      </c>
      <c r="AN1658" t="str">
        <f t="shared" si="51"/>
        <v>32414,40,0.00123403467637441,0,0,11,20,6,5,0,9,12,1,1,0,3,7,0,0,1,0,0,0,0,36,36-50,2519,0,0,0,1,0,1,0,0,0,28,42330</v>
      </c>
    </row>
    <row r="1659" spans="1:40" ht="13" hidden="1" x14ac:dyDescent="0.15">
      <c r="A1659">
        <v>407</v>
      </c>
      <c r="B1659" s="1">
        <v>50943</v>
      </c>
      <c r="C1659" s="1">
        <v>40</v>
      </c>
      <c r="D1659" s="4">
        <f t="shared" si="50"/>
        <v>7.8519129222856922E-4</v>
      </c>
      <c r="E1659" s="1">
        <v>0</v>
      </c>
      <c r="F1659" s="1">
        <v>1</v>
      </c>
      <c r="G1659" s="1">
        <v>49</v>
      </c>
      <c r="H1659" s="1">
        <v>31</v>
      </c>
      <c r="I1659" s="1">
        <v>0</v>
      </c>
      <c r="J1659" s="1">
        <v>7</v>
      </c>
      <c r="K1659" s="1">
        <v>2</v>
      </c>
      <c r="L1659" s="1">
        <v>0</v>
      </c>
      <c r="M1659" s="1">
        <v>6</v>
      </c>
      <c r="N1659" s="1">
        <v>1</v>
      </c>
      <c r="O1659" s="1">
        <v>1</v>
      </c>
      <c r="P1659" s="1">
        <v>0</v>
      </c>
      <c r="Q1659" s="1">
        <v>3</v>
      </c>
      <c r="R1659" s="1">
        <v>5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64</v>
      </c>
      <c r="AA1659" s="1" t="str" cm="1">
        <f t="array" ref="AA1659">_xlfn.IFS(AND(Z1659&lt;36, Z1659&gt;23), "24-35", AND(Z1659&lt;51, Z1659&gt;35),"36-50", AND(Z1659&lt;66, Z1659&gt;50), "51-66", Z1659&gt;65, "66+", TRUE, "?")</f>
        <v>51-66</v>
      </c>
      <c r="AB1659" s="1">
        <v>2532</v>
      </c>
      <c r="AC1659" s="1">
        <v>0</v>
      </c>
      <c r="AD1659" s="1">
        <v>0</v>
      </c>
      <c r="AE1659" s="1">
        <v>0</v>
      </c>
      <c r="AF1659" s="1">
        <v>1</v>
      </c>
      <c r="AG1659" s="1">
        <v>0</v>
      </c>
      <c r="AH1659" s="1">
        <v>0</v>
      </c>
      <c r="AI1659" s="1">
        <v>0</v>
      </c>
      <c r="AJ1659" s="1">
        <v>1</v>
      </c>
      <c r="AK1659" s="1">
        <v>0</v>
      </c>
      <c r="AL1659" s="1">
        <v>34</v>
      </c>
      <c r="AM1659" s="2">
        <v>42317</v>
      </c>
      <c r="AN1659" t="str">
        <f t="shared" si="51"/>
        <v>50943,40,0.000785191292228569,0,1,49,31,0,7,2,0,6,1,1,0,3,5,0,0,0,0,0,0,0,64,51-66,2532,0,0,0,1,0,0,0,1,0,34,42317</v>
      </c>
    </row>
    <row r="1660" spans="1:40" ht="13" hidden="1" x14ac:dyDescent="0.15">
      <c r="A1660">
        <v>443</v>
      </c>
      <c r="B1660" s="1">
        <v>38415</v>
      </c>
      <c r="C1660" s="1">
        <v>40</v>
      </c>
      <c r="D1660" s="4">
        <f t="shared" si="50"/>
        <v>1.0412599245086555E-3</v>
      </c>
      <c r="E1660" s="1">
        <v>1</v>
      </c>
      <c r="F1660" s="1">
        <v>1</v>
      </c>
      <c r="G1660" s="1">
        <v>91</v>
      </c>
      <c r="H1660" s="1">
        <v>22</v>
      </c>
      <c r="I1660" s="1">
        <v>1</v>
      </c>
      <c r="J1660" s="1">
        <v>13</v>
      </c>
      <c r="K1660" s="1">
        <v>4</v>
      </c>
      <c r="L1660" s="1">
        <v>0</v>
      </c>
      <c r="M1660" s="1">
        <v>4</v>
      </c>
      <c r="N1660" s="1">
        <v>2</v>
      </c>
      <c r="O1660" s="1">
        <v>1</v>
      </c>
      <c r="P1660" s="1">
        <v>0</v>
      </c>
      <c r="Q1660" s="1">
        <v>3</v>
      </c>
      <c r="R1660" s="1">
        <v>7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42</v>
      </c>
      <c r="AA1660" s="1" t="str" cm="1">
        <f t="array" ref="AA1660">_xlfn.IFS(AND(Z1660&lt;36, Z1660&gt;23), "24-35", AND(Z1660&lt;51, Z1660&gt;35),"36-50", AND(Z1660&lt;66, Z1660&gt;50), "51-66", Z1660&gt;65, "66+", TRUE, "?")</f>
        <v>36-50</v>
      </c>
      <c r="AB1660" s="1">
        <v>2702</v>
      </c>
      <c r="AC1660" s="1">
        <v>0</v>
      </c>
      <c r="AD1660" s="1">
        <v>1</v>
      </c>
      <c r="AE1660" s="1">
        <v>0</v>
      </c>
      <c r="AF1660" s="1">
        <v>0</v>
      </c>
      <c r="AG1660" s="1">
        <v>0</v>
      </c>
      <c r="AH1660" s="1">
        <v>0</v>
      </c>
      <c r="AI1660" s="1">
        <v>1</v>
      </c>
      <c r="AJ1660" s="1">
        <v>0</v>
      </c>
      <c r="AK1660" s="1">
        <v>0</v>
      </c>
      <c r="AL1660" s="1">
        <v>36</v>
      </c>
      <c r="AM1660" s="2">
        <v>42147</v>
      </c>
      <c r="AN1660" t="str">
        <f t="shared" si="51"/>
        <v>38415,40,0.00104125992450866,1,1,91,22,1,13,4,0,4,2,1,0,3,7,0,0,0,0,0,0,0,42,36-50,2702,0,1,0,0,0,0,1,0,0,36,42147</v>
      </c>
    </row>
    <row r="1661" spans="1:40" ht="13" hidden="1" x14ac:dyDescent="0.15">
      <c r="A1661">
        <v>470</v>
      </c>
      <c r="B1661" s="1">
        <v>27203</v>
      </c>
      <c r="C1661" s="1">
        <v>40</v>
      </c>
      <c r="D1661" s="4">
        <f t="shared" si="50"/>
        <v>1.4704260559497114E-3</v>
      </c>
      <c r="E1661" s="1">
        <v>1</v>
      </c>
      <c r="F1661" s="1">
        <v>1</v>
      </c>
      <c r="G1661" s="1">
        <v>92</v>
      </c>
      <c r="H1661" s="1">
        <v>13</v>
      </c>
      <c r="I1661" s="1">
        <v>2</v>
      </c>
      <c r="J1661" s="1">
        <v>21</v>
      </c>
      <c r="K1661" s="1">
        <v>4</v>
      </c>
      <c r="L1661" s="1">
        <v>0</v>
      </c>
      <c r="M1661" s="1">
        <v>24</v>
      </c>
      <c r="N1661" s="1">
        <v>2</v>
      </c>
      <c r="O1661" s="1">
        <v>1</v>
      </c>
      <c r="P1661" s="1">
        <v>1</v>
      </c>
      <c r="Q1661" s="1">
        <v>2</v>
      </c>
      <c r="R1661" s="1">
        <v>8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70</v>
      </c>
      <c r="AA1661" s="1" t="str" cm="1">
        <f t="array" ref="AA1661">_xlfn.IFS(AND(Z1661&lt;36, Z1661&gt;23), "24-35", AND(Z1661&lt;51, Z1661&gt;35),"36-50", AND(Z1661&lt;66, Z1661&gt;50), "51-66", Z1661&gt;65, "66+", TRUE, "?")</f>
        <v>66+</v>
      </c>
      <c r="AB1661" s="1">
        <v>2851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>
        <v>1</v>
      </c>
      <c r="AJ1661" s="1">
        <v>0</v>
      </c>
      <c r="AK1661" s="1">
        <v>0</v>
      </c>
      <c r="AL1661" s="1">
        <v>16</v>
      </c>
      <c r="AM1661" s="2">
        <v>41998</v>
      </c>
      <c r="AN1661" t="str">
        <f t="shared" si="51"/>
        <v>27203,40,0.00147042605594971,1,1,92,13,2,21,4,0,24,2,1,1,2,8,0,0,0,0,0,0,0,70,66+,2851,0,0,0,1,0,0,1,0,0,16,41998</v>
      </c>
    </row>
    <row r="1662" spans="1:40" ht="13" hidden="1" x14ac:dyDescent="0.15">
      <c r="A1662">
        <v>494</v>
      </c>
      <c r="B1662" s="1">
        <v>32880</v>
      </c>
      <c r="C1662" s="1">
        <v>40</v>
      </c>
      <c r="D1662" s="4">
        <f t="shared" si="50"/>
        <v>1.2165450121654502E-3</v>
      </c>
      <c r="E1662" s="1">
        <v>1</v>
      </c>
      <c r="F1662" s="1">
        <v>0</v>
      </c>
      <c r="G1662" s="1">
        <v>76</v>
      </c>
      <c r="H1662" s="1">
        <v>8</v>
      </c>
      <c r="I1662" s="1">
        <v>4</v>
      </c>
      <c r="J1662" s="1">
        <v>15</v>
      </c>
      <c r="K1662" s="1">
        <v>7</v>
      </c>
      <c r="L1662" s="1">
        <v>6</v>
      </c>
      <c r="M1662" s="1">
        <v>2</v>
      </c>
      <c r="N1662" s="1">
        <v>1</v>
      </c>
      <c r="O1662" s="1">
        <v>1</v>
      </c>
      <c r="P1662" s="1">
        <v>0</v>
      </c>
      <c r="Q1662" s="1">
        <v>3</v>
      </c>
      <c r="R1662" s="1">
        <v>8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34</v>
      </c>
      <c r="AA1662" s="1" t="str" cm="1">
        <f t="array" ref="AA1662">_xlfn.IFS(AND(Z1662&lt;36, Z1662&gt;23), "24-35", AND(Z1662&lt;51, Z1662&gt;35),"36-50", AND(Z1662&lt;66, Z1662&gt;50), "51-66", Z1662&gt;65, "66+", TRUE, "?")</f>
        <v>24-35</v>
      </c>
      <c r="AB1662" s="1">
        <v>2731</v>
      </c>
      <c r="AC1662" s="1">
        <v>0</v>
      </c>
      <c r="AD1662" s="1">
        <v>1</v>
      </c>
      <c r="AE1662" s="1">
        <v>0</v>
      </c>
      <c r="AF1662" s="1">
        <v>0</v>
      </c>
      <c r="AG1662" s="1">
        <v>0</v>
      </c>
      <c r="AH1662" s="1">
        <v>0</v>
      </c>
      <c r="AI1662" s="1">
        <v>1</v>
      </c>
      <c r="AJ1662" s="1">
        <v>0</v>
      </c>
      <c r="AK1662" s="1">
        <v>0</v>
      </c>
      <c r="AL1662" s="1">
        <v>38</v>
      </c>
      <c r="AM1662" s="2">
        <v>42118</v>
      </c>
      <c r="AN1662" t="str">
        <f t="shared" si="51"/>
        <v>32880,40,0.00121654501216545,1,0,76,8,4,15,7,6,2,1,1,0,3,8,0,0,0,0,0,0,0,34,24-35,2731,0,1,0,0,0,0,1,0,0,38,42118</v>
      </c>
    </row>
    <row r="1663" spans="1:40" ht="13" hidden="1" x14ac:dyDescent="0.15">
      <c r="A1663">
        <v>503</v>
      </c>
      <c r="B1663" s="1">
        <v>28567</v>
      </c>
      <c r="C1663" s="1">
        <v>40</v>
      </c>
      <c r="D1663" s="4">
        <f t="shared" si="50"/>
        <v>1.4002170336402141E-3</v>
      </c>
      <c r="E1663" s="1">
        <v>1</v>
      </c>
      <c r="F1663" s="1">
        <v>0</v>
      </c>
      <c r="G1663" s="1">
        <v>57</v>
      </c>
      <c r="H1663" s="1">
        <v>11</v>
      </c>
      <c r="I1663" s="1">
        <v>3</v>
      </c>
      <c r="J1663" s="1">
        <v>22</v>
      </c>
      <c r="K1663" s="1">
        <v>2</v>
      </c>
      <c r="L1663" s="1">
        <v>2</v>
      </c>
      <c r="M1663" s="1">
        <v>6</v>
      </c>
      <c r="N1663" s="1">
        <v>2</v>
      </c>
      <c r="O1663" s="1">
        <v>2</v>
      </c>
      <c r="P1663" s="1">
        <v>0</v>
      </c>
      <c r="Q1663" s="1">
        <v>3</v>
      </c>
      <c r="R1663" s="1">
        <v>6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38</v>
      </c>
      <c r="AA1663" s="1" t="str" cm="1">
        <f t="array" ref="AA1663">_xlfn.IFS(AND(Z1663&lt;36, Z1663&gt;23), "24-35", AND(Z1663&lt;51, Z1663&gt;35),"36-50", AND(Z1663&lt;66, Z1663&gt;50), "51-66", Z1663&gt;65, "66+", TRUE, "?")</f>
        <v>36-50</v>
      </c>
      <c r="AB1663" s="1">
        <v>2536</v>
      </c>
      <c r="AC1663" s="1">
        <v>0</v>
      </c>
      <c r="AD1663" s="1">
        <v>0</v>
      </c>
      <c r="AE1663" s="1">
        <v>1</v>
      </c>
      <c r="AF1663" s="1">
        <v>0</v>
      </c>
      <c r="AG1663" s="1">
        <v>0</v>
      </c>
      <c r="AH1663" s="1">
        <v>0</v>
      </c>
      <c r="AI1663" s="1">
        <v>1</v>
      </c>
      <c r="AJ1663" s="1">
        <v>0</v>
      </c>
      <c r="AK1663" s="1">
        <v>0</v>
      </c>
      <c r="AL1663" s="1">
        <v>34</v>
      </c>
      <c r="AM1663" s="2">
        <v>42313</v>
      </c>
      <c r="AN1663" t="str">
        <f t="shared" si="51"/>
        <v>28567,40,0.00140021703364021,1,0,57,11,3,22,2,2,6,2,2,0,3,6,0,0,0,0,0,0,0,38,36-50,2536,0,0,1,0,0,0,1,0,0,34,42313</v>
      </c>
    </row>
    <row r="1664" spans="1:40" ht="13" hidden="1" x14ac:dyDescent="0.15">
      <c r="A1664">
        <v>736</v>
      </c>
      <c r="B1664" s="1">
        <v>20425</v>
      </c>
      <c r="C1664" s="1">
        <v>40</v>
      </c>
      <c r="D1664" s="4">
        <f t="shared" si="50"/>
        <v>1.9583843329253367E-3</v>
      </c>
      <c r="E1664" s="1">
        <v>1</v>
      </c>
      <c r="F1664" s="1">
        <v>0</v>
      </c>
      <c r="G1664" s="1">
        <v>5</v>
      </c>
      <c r="H1664" s="1">
        <v>4</v>
      </c>
      <c r="I1664" s="1">
        <v>12</v>
      </c>
      <c r="J1664" s="1">
        <v>5</v>
      </c>
      <c r="K1664" s="1">
        <v>3</v>
      </c>
      <c r="L1664" s="1">
        <v>16</v>
      </c>
      <c r="M1664" s="1">
        <v>17</v>
      </c>
      <c r="N1664" s="1">
        <v>2</v>
      </c>
      <c r="O1664" s="1">
        <v>2</v>
      </c>
      <c r="P1664" s="1">
        <v>0</v>
      </c>
      <c r="Q1664" s="1">
        <v>3</v>
      </c>
      <c r="R1664" s="1">
        <v>7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34</v>
      </c>
      <c r="AA1664" s="1" t="str" cm="1">
        <f t="array" ref="AA1664">_xlfn.IFS(AND(Z1664&lt;36, Z1664&gt;23), "24-35", AND(Z1664&lt;51, Z1664&gt;35),"36-50", AND(Z1664&lt;66, Z1664&gt;50), "51-66", Z1664&gt;65, "66+", TRUE, "?")</f>
        <v>24-35</v>
      </c>
      <c r="AB1664" s="1">
        <v>2767</v>
      </c>
      <c r="AC1664" s="1">
        <v>0</v>
      </c>
      <c r="AD1664" s="1">
        <v>1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23</v>
      </c>
      <c r="AM1664" s="2">
        <v>42082</v>
      </c>
      <c r="AN1664" t="str">
        <f t="shared" si="51"/>
        <v>20425,40,0.00195838433292534,1,0,5,4,12,5,3,16,17,2,2,0,3,7,0,0,0,0,0,0,0,34,24-35,2767,0,1,0,0,0,0,0,0,0,23,42082</v>
      </c>
    </row>
    <row r="1665" spans="1:40" ht="13" hidden="1" x14ac:dyDescent="0.15">
      <c r="A1665">
        <v>761</v>
      </c>
      <c r="B1665" s="1">
        <v>26872</v>
      </c>
      <c r="C1665" s="1">
        <v>40</v>
      </c>
      <c r="D1665" s="4">
        <f t="shared" si="50"/>
        <v>1.4885382554331646E-3</v>
      </c>
      <c r="E1665" s="1">
        <v>0</v>
      </c>
      <c r="F1665" s="1">
        <v>0</v>
      </c>
      <c r="G1665" s="1">
        <v>0</v>
      </c>
      <c r="H1665" s="1">
        <v>3</v>
      </c>
      <c r="I1665" s="1">
        <v>10</v>
      </c>
      <c r="J1665" s="1">
        <v>8</v>
      </c>
      <c r="K1665" s="1">
        <v>3</v>
      </c>
      <c r="L1665" s="1">
        <v>16</v>
      </c>
      <c r="M1665" s="1">
        <v>32</v>
      </c>
      <c r="N1665" s="1">
        <v>1</v>
      </c>
      <c r="O1665" s="1">
        <v>1</v>
      </c>
      <c r="P1665" s="1">
        <v>1</v>
      </c>
      <c r="Q1665" s="1">
        <v>2</v>
      </c>
      <c r="R1665" s="1">
        <v>6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39</v>
      </c>
      <c r="AA1665" s="1" t="str" cm="1">
        <f t="array" ref="AA1665">_xlfn.IFS(AND(Z1665&lt;36, Z1665&gt;23), "24-35", AND(Z1665&lt;51, Z1665&gt;35),"36-50", AND(Z1665&lt;66, Z1665&gt;50), "51-66", Z1665&gt;65, "66+", TRUE, "?")</f>
        <v>36-50</v>
      </c>
      <c r="AB1665" s="1">
        <v>2415</v>
      </c>
      <c r="AC1665" s="1">
        <v>0</v>
      </c>
      <c r="AD1665" s="1">
        <v>1</v>
      </c>
      <c r="AE1665" s="1">
        <v>0</v>
      </c>
      <c r="AF1665" s="1">
        <v>0</v>
      </c>
      <c r="AG1665" s="1">
        <v>0</v>
      </c>
      <c r="AH1665" s="1">
        <v>0</v>
      </c>
      <c r="AI1665" s="1">
        <v>1</v>
      </c>
      <c r="AJ1665" s="1">
        <v>0</v>
      </c>
      <c r="AK1665" s="1">
        <v>0</v>
      </c>
      <c r="AL1665" s="1">
        <v>8</v>
      </c>
      <c r="AM1665" s="2">
        <v>42434</v>
      </c>
      <c r="AN1665" t="str">
        <f t="shared" si="51"/>
        <v>26872,40,0.00148853825543316,0,0,0,3,10,8,3,16,32,1,1,1,2,6,0,0,0,0,0,0,0,39,36-50,2415,0,1,0,0,0,0,1,0,0,8,42434</v>
      </c>
    </row>
    <row r="1666" spans="1:40" ht="13" hidden="1" x14ac:dyDescent="0.15">
      <c r="A1666">
        <v>807</v>
      </c>
      <c r="B1666" s="1">
        <v>23228</v>
      </c>
      <c r="C1666" s="1">
        <v>40</v>
      </c>
      <c r="D1666" s="4">
        <f t="shared" ref="D1666:D1729" si="52">C1666/B1666</f>
        <v>1.7220595832615809E-3</v>
      </c>
      <c r="E1666" s="1">
        <v>1</v>
      </c>
      <c r="F1666" s="1">
        <v>0</v>
      </c>
      <c r="G1666" s="1">
        <v>71</v>
      </c>
      <c r="H1666" s="1">
        <v>13</v>
      </c>
      <c r="I1666" s="1">
        <v>2</v>
      </c>
      <c r="J1666" s="1">
        <v>18</v>
      </c>
      <c r="K1666" s="1">
        <v>6</v>
      </c>
      <c r="L1666" s="1">
        <v>1</v>
      </c>
      <c r="M1666" s="1">
        <v>0</v>
      </c>
      <c r="N1666" s="1">
        <v>2</v>
      </c>
      <c r="O1666" s="1">
        <v>2</v>
      </c>
      <c r="P1666" s="1">
        <v>0</v>
      </c>
      <c r="Q1666" s="1">
        <v>3</v>
      </c>
      <c r="R1666" s="1">
        <v>8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51</v>
      </c>
      <c r="AA1666" s="1" t="str" cm="1">
        <f t="array" ref="AA1666">_xlfn.IFS(AND(Z1666&lt;36, Z1666&gt;23), "24-35", AND(Z1666&lt;51, Z1666&gt;35),"36-50", AND(Z1666&lt;66, Z1666&gt;50), "51-66", Z1666&gt;65, "66+", TRUE, "?")</f>
        <v>51-66</v>
      </c>
      <c r="AB1666" s="1">
        <v>2313</v>
      </c>
      <c r="AC1666" s="1">
        <v>0</v>
      </c>
      <c r="AD1666" s="1">
        <v>0</v>
      </c>
      <c r="AE1666" s="1">
        <v>0</v>
      </c>
      <c r="AF1666" s="1">
        <v>1</v>
      </c>
      <c r="AG1666" s="1">
        <v>0</v>
      </c>
      <c r="AH1666" s="1">
        <v>0</v>
      </c>
      <c r="AI1666" s="1">
        <v>1</v>
      </c>
      <c r="AJ1666" s="1">
        <v>0</v>
      </c>
      <c r="AK1666" s="1">
        <v>0</v>
      </c>
      <c r="AL1666" s="1">
        <v>40</v>
      </c>
      <c r="AM1666" s="2">
        <v>42536</v>
      </c>
      <c r="AN1666" t="str">
        <f t="shared" ref="AN1666:AN1729" si="53">_xlfn.TEXTJOIN(",",TRUE,B1666:AM1666)</f>
        <v>23228,40,0.00172205958326158,1,0,71,13,2,18,6,1,0,2,2,0,3,8,0,0,0,0,0,0,0,51,51-66,2313,0,0,0,1,0,0,1,0,0,40,42536</v>
      </c>
    </row>
    <row r="1667" spans="1:40" ht="13" hidden="1" x14ac:dyDescent="0.15">
      <c r="A1667">
        <v>865</v>
      </c>
      <c r="B1667" s="1">
        <v>46015</v>
      </c>
      <c r="C1667" s="1">
        <v>40</v>
      </c>
      <c r="D1667" s="4">
        <f t="shared" si="52"/>
        <v>8.6928175594914699E-4</v>
      </c>
      <c r="E1667" s="1">
        <v>1</v>
      </c>
      <c r="F1667" s="1">
        <v>1</v>
      </c>
      <c r="G1667" s="1">
        <v>25</v>
      </c>
      <c r="H1667" s="1">
        <v>38</v>
      </c>
      <c r="I1667" s="1">
        <v>0</v>
      </c>
      <c r="J1667" s="1">
        <v>2</v>
      </c>
      <c r="K1667" s="1">
        <v>0</v>
      </c>
      <c r="L1667" s="1">
        <v>0</v>
      </c>
      <c r="M1667" s="1">
        <v>6</v>
      </c>
      <c r="N1667" s="1">
        <v>1</v>
      </c>
      <c r="O1667" s="1">
        <v>1</v>
      </c>
      <c r="P1667" s="1">
        <v>0</v>
      </c>
      <c r="Q1667" s="1">
        <v>3</v>
      </c>
      <c r="R1667" s="1">
        <v>7</v>
      </c>
      <c r="S1667" s="1">
        <v>0</v>
      </c>
      <c r="T1667" s="1">
        <v>1</v>
      </c>
      <c r="U1667" s="1">
        <v>1</v>
      </c>
      <c r="V1667" s="1">
        <v>0</v>
      </c>
      <c r="W1667" s="1">
        <v>0</v>
      </c>
      <c r="X1667" s="1">
        <v>0</v>
      </c>
      <c r="Y1667" s="1">
        <v>0</v>
      </c>
      <c r="Z1667" s="1">
        <v>65</v>
      </c>
      <c r="AA1667" s="1" t="str" cm="1">
        <f t="array" ref="AA1667">_xlfn.IFS(AND(Z1667&lt;36, Z1667&gt;23), "24-35", AND(Z1667&lt;51, Z1667&gt;35),"36-50", AND(Z1667&lt;66, Z1667&gt;50), "51-66", Z1667&gt;65, "66+", TRUE, "?")</f>
        <v>51-66</v>
      </c>
      <c r="AB1667" s="1">
        <v>2236</v>
      </c>
      <c r="AC1667" s="1">
        <v>0</v>
      </c>
      <c r="AD1667" s="1">
        <v>0</v>
      </c>
      <c r="AE1667" s="1">
        <v>0</v>
      </c>
      <c r="AF1667" s="1">
        <v>1</v>
      </c>
      <c r="AG1667" s="1">
        <v>0</v>
      </c>
      <c r="AH1667" s="1">
        <v>0</v>
      </c>
      <c r="AI1667" s="1">
        <v>0</v>
      </c>
      <c r="AJ1667" s="1">
        <v>0</v>
      </c>
      <c r="AK1667" s="1">
        <v>1</v>
      </c>
      <c r="AL1667" s="1">
        <v>34</v>
      </c>
      <c r="AM1667" s="2">
        <v>42613</v>
      </c>
      <c r="AN1667" t="str">
        <f t="shared" si="53"/>
        <v>46015,40,0.000869281755949147,1,1,25,38,0,2,0,0,6,1,1,0,3,7,0,1,1,0,0,0,0,65,51-66,2236,0,0,0,1,0,0,0,0,1,34,42613</v>
      </c>
    </row>
    <row r="1668" spans="1:40" ht="13" hidden="1" x14ac:dyDescent="0.15">
      <c r="A1668">
        <v>897</v>
      </c>
      <c r="B1668" s="1">
        <v>46106</v>
      </c>
      <c r="C1668" s="1">
        <v>40</v>
      </c>
      <c r="D1668" s="4">
        <f t="shared" si="52"/>
        <v>8.6756604346505876E-4</v>
      </c>
      <c r="E1668" s="1">
        <v>1</v>
      </c>
      <c r="F1668" s="1">
        <v>1</v>
      </c>
      <c r="G1668" s="1">
        <v>84</v>
      </c>
      <c r="H1668" s="1">
        <v>30</v>
      </c>
      <c r="I1668" s="1">
        <v>0</v>
      </c>
      <c r="J1668" s="1">
        <v>8</v>
      </c>
      <c r="K1668" s="1">
        <v>2</v>
      </c>
      <c r="L1668" s="1">
        <v>0</v>
      </c>
      <c r="M1668" s="1">
        <v>14</v>
      </c>
      <c r="N1668" s="1">
        <v>1</v>
      </c>
      <c r="O1668" s="1">
        <v>1</v>
      </c>
      <c r="P1668" s="1">
        <v>1</v>
      </c>
      <c r="Q1668" s="1">
        <v>2</v>
      </c>
      <c r="R1668" s="1">
        <v>6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44</v>
      </c>
      <c r="AA1668" s="1" t="str" cm="1">
        <f t="array" ref="AA1668">_xlfn.IFS(AND(Z1668&lt;36, Z1668&gt;23), "24-35", AND(Z1668&lt;51, Z1668&gt;35),"36-50", AND(Z1668&lt;66, Z1668&gt;50), "51-66", Z1668&gt;65, "66+", TRUE, "?")</f>
        <v>36-50</v>
      </c>
      <c r="AB1668" s="1">
        <v>2208</v>
      </c>
      <c r="AC1668" s="1">
        <v>0</v>
      </c>
      <c r="AD1668" s="1">
        <v>0</v>
      </c>
      <c r="AE1668" s="1">
        <v>0</v>
      </c>
      <c r="AF1668" s="1">
        <v>1</v>
      </c>
      <c r="AG1668" s="1">
        <v>0</v>
      </c>
      <c r="AH1668" s="1">
        <v>0</v>
      </c>
      <c r="AI1668" s="1">
        <v>0</v>
      </c>
      <c r="AJ1668" s="1">
        <v>1</v>
      </c>
      <c r="AK1668" s="1">
        <v>0</v>
      </c>
      <c r="AL1668" s="1">
        <v>26</v>
      </c>
      <c r="AM1668" s="2">
        <v>42641</v>
      </c>
      <c r="AN1668" t="str">
        <f t="shared" si="53"/>
        <v>46106,40,0.000867566043465059,1,1,84,30,0,8,2,0,14,1,1,1,2,6,0,0,0,0,0,0,0,44,36-50,2208,0,0,0,1,0,0,0,1,0,26,42641</v>
      </c>
    </row>
    <row r="1669" spans="1:40" ht="13" hidden="1" x14ac:dyDescent="0.15">
      <c r="A1669">
        <v>930</v>
      </c>
      <c r="B1669" s="1">
        <v>35340</v>
      </c>
      <c r="C1669" s="1">
        <v>40</v>
      </c>
      <c r="D1669" s="4">
        <f t="shared" si="52"/>
        <v>1.1318619128466328E-3</v>
      </c>
      <c r="E1669" s="1">
        <v>1</v>
      </c>
      <c r="F1669" s="1">
        <v>1</v>
      </c>
      <c r="G1669" s="1">
        <v>1</v>
      </c>
      <c r="H1669" s="1">
        <v>27</v>
      </c>
      <c r="I1669" s="1">
        <v>0</v>
      </c>
      <c r="J1669" s="1">
        <v>12</v>
      </c>
      <c r="K1669" s="1">
        <v>0</v>
      </c>
      <c r="L1669" s="1">
        <v>1</v>
      </c>
      <c r="M1669" s="1">
        <v>5</v>
      </c>
      <c r="N1669" s="1">
        <v>2</v>
      </c>
      <c r="O1669" s="1">
        <v>2</v>
      </c>
      <c r="P1669" s="1">
        <v>0</v>
      </c>
      <c r="Q1669" s="1">
        <v>3</v>
      </c>
      <c r="R1669" s="1">
        <v>5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64</v>
      </c>
      <c r="AA1669" s="1" t="str" cm="1">
        <f t="array" ref="AA1669">_xlfn.IFS(AND(Z1669&lt;36, Z1669&gt;23), "24-35", AND(Z1669&lt;51, Z1669&gt;35),"36-50", AND(Z1669&lt;66, Z1669&gt;50), "51-66", Z1669&gt;65, "66+", TRUE, "?")</f>
        <v>51-66</v>
      </c>
      <c r="AB1669" s="1">
        <v>2159</v>
      </c>
      <c r="AC1669" s="1">
        <v>0</v>
      </c>
      <c r="AD1669" s="1">
        <v>0</v>
      </c>
      <c r="AE1669" s="1">
        <v>0</v>
      </c>
      <c r="AF1669" s="1">
        <v>0</v>
      </c>
      <c r="AG1669" s="1">
        <v>1</v>
      </c>
      <c r="AH1669" s="1">
        <v>0</v>
      </c>
      <c r="AI1669" s="1">
        <v>0</v>
      </c>
      <c r="AJ1669" s="1">
        <v>0</v>
      </c>
      <c r="AK1669" s="1">
        <v>1</v>
      </c>
      <c r="AL1669" s="1">
        <v>35</v>
      </c>
      <c r="AM1669" s="2">
        <v>42690</v>
      </c>
      <c r="AN1669" t="str">
        <f t="shared" si="53"/>
        <v>35340,40,0.00113186191284663,1,1,1,27,0,12,0,1,5,2,2,0,3,5,0,0,0,0,0,0,0,64,51-66,2159,0,0,0,0,1,0,0,0,1,35,42690</v>
      </c>
    </row>
    <row r="1670" spans="1:40" ht="13" hidden="1" x14ac:dyDescent="0.15">
      <c r="A1670">
        <v>1038</v>
      </c>
      <c r="B1670" s="1">
        <v>30023</v>
      </c>
      <c r="C1670" s="1">
        <v>40</v>
      </c>
      <c r="D1670" s="4">
        <f t="shared" si="52"/>
        <v>1.3323118942144357E-3</v>
      </c>
      <c r="E1670" s="1">
        <v>1</v>
      </c>
      <c r="F1670" s="1">
        <v>0</v>
      </c>
      <c r="G1670" s="1">
        <v>28</v>
      </c>
      <c r="H1670" s="1">
        <v>11</v>
      </c>
      <c r="I1670" s="1">
        <v>0</v>
      </c>
      <c r="J1670" s="1">
        <v>16</v>
      </c>
      <c r="K1670" s="1">
        <v>7</v>
      </c>
      <c r="L1670" s="1">
        <v>6</v>
      </c>
      <c r="M1670" s="1">
        <v>21</v>
      </c>
      <c r="N1670" s="1">
        <v>1</v>
      </c>
      <c r="O1670" s="1">
        <v>2</v>
      </c>
      <c r="P1670" s="1">
        <v>0</v>
      </c>
      <c r="Q1670" s="1">
        <v>3</v>
      </c>
      <c r="R1670" s="1">
        <v>8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48</v>
      </c>
      <c r="AA1670" s="1" t="str" cm="1">
        <f t="array" ref="AA1670">_xlfn.IFS(AND(Z1670&lt;36, Z1670&gt;23), "24-35", AND(Z1670&lt;51, Z1670&gt;35),"36-50", AND(Z1670&lt;66, Z1670&gt;50), "51-66", Z1670&gt;65, "66+", TRUE, "?")</f>
        <v>36-50</v>
      </c>
      <c r="AB1670" s="1">
        <v>2256</v>
      </c>
      <c r="AC1670" s="1">
        <v>0</v>
      </c>
      <c r="AD1670" s="1">
        <v>1</v>
      </c>
      <c r="AE1670" s="1">
        <v>0</v>
      </c>
      <c r="AF1670" s="1">
        <v>0</v>
      </c>
      <c r="AG1670" s="1">
        <v>0</v>
      </c>
      <c r="AH1670" s="1">
        <v>0</v>
      </c>
      <c r="AI1670" s="1">
        <v>1</v>
      </c>
      <c r="AJ1670" s="1">
        <v>0</v>
      </c>
      <c r="AK1670" s="1">
        <v>0</v>
      </c>
      <c r="AL1670" s="1">
        <v>19</v>
      </c>
      <c r="AM1670" s="2">
        <v>42593</v>
      </c>
      <c r="AN1670" t="str">
        <f t="shared" si="53"/>
        <v>30023,40,0.00133231189421444,1,0,28,11,0,16,7,6,21,1,2,0,3,8,0,0,0,0,0,0,0,48,36-50,2256,0,1,0,0,0,0,1,0,0,19,42593</v>
      </c>
    </row>
    <row r="1671" spans="1:40" ht="13" hidden="1" x14ac:dyDescent="0.15">
      <c r="A1671">
        <v>1274</v>
      </c>
      <c r="B1671" s="1">
        <v>17256</v>
      </c>
      <c r="C1671" s="1">
        <v>40</v>
      </c>
      <c r="D1671" s="4">
        <f t="shared" si="52"/>
        <v>2.3180343069077423E-3</v>
      </c>
      <c r="E1671" s="1">
        <v>1</v>
      </c>
      <c r="F1671" s="1">
        <v>0</v>
      </c>
      <c r="G1671" s="1">
        <v>10</v>
      </c>
      <c r="H1671" s="1">
        <v>6</v>
      </c>
      <c r="I1671" s="1">
        <v>4</v>
      </c>
      <c r="J1671" s="1">
        <v>14</v>
      </c>
      <c r="K1671" s="1">
        <v>8</v>
      </c>
      <c r="L1671" s="1">
        <v>8</v>
      </c>
      <c r="M1671" s="1">
        <v>22</v>
      </c>
      <c r="N1671" s="1">
        <v>2</v>
      </c>
      <c r="O1671" s="1">
        <v>2</v>
      </c>
      <c r="P1671" s="1">
        <v>1</v>
      </c>
      <c r="Q1671" s="1">
        <v>2</v>
      </c>
      <c r="R1671" s="1">
        <v>8</v>
      </c>
      <c r="S1671" s="1">
        <v>0</v>
      </c>
      <c r="T1671" s="1">
        <v>0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28</v>
      </c>
      <c r="AA1671" s="1" t="str" cm="1">
        <f t="array" ref="AA1671">_xlfn.IFS(AND(Z1671&lt;36, Z1671&gt;23), "24-35", AND(Z1671&lt;51, Z1671&gt;35),"36-50", AND(Z1671&lt;66, Z1671&gt;50), "51-66", Z1671&gt;65, "66+", TRUE, "?")</f>
        <v>24-35</v>
      </c>
      <c r="AB1671" s="1">
        <v>2377</v>
      </c>
      <c r="AC1671" s="1">
        <v>0</v>
      </c>
      <c r="AD1671" s="1">
        <v>1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18</v>
      </c>
      <c r="AM1671" s="2">
        <v>42472</v>
      </c>
      <c r="AN1671" t="str">
        <f t="shared" si="53"/>
        <v>17256,40,0.00231803430690774,1,0,10,6,4,14,8,8,22,2,2,1,2,8,0,0,1,0,0,0,0,28,24-35,2377,0,1,0,0,0,0,0,0,0,18,42472</v>
      </c>
    </row>
    <row r="1672" spans="1:40" ht="13" hidden="1" x14ac:dyDescent="0.15">
      <c r="A1672">
        <v>1529</v>
      </c>
      <c r="B1672" s="1">
        <v>36732</v>
      </c>
      <c r="C1672" s="1">
        <v>40</v>
      </c>
      <c r="D1672" s="4">
        <f t="shared" si="52"/>
        <v>1.0889687465969727E-3</v>
      </c>
      <c r="E1672" s="1">
        <v>1</v>
      </c>
      <c r="F1672" s="1">
        <v>1</v>
      </c>
      <c r="G1672" s="1">
        <v>71</v>
      </c>
      <c r="H1672" s="1">
        <v>21</v>
      </c>
      <c r="I1672" s="1">
        <v>5</v>
      </c>
      <c r="J1672" s="1">
        <v>3</v>
      </c>
      <c r="K1672" s="1">
        <v>10</v>
      </c>
      <c r="L1672" s="1">
        <v>1</v>
      </c>
      <c r="M1672" s="1">
        <v>7</v>
      </c>
      <c r="N1672" s="1">
        <v>3</v>
      </c>
      <c r="O1672" s="1">
        <v>1</v>
      </c>
      <c r="P1672" s="1">
        <v>1</v>
      </c>
      <c r="Q1672" s="1">
        <v>4</v>
      </c>
      <c r="R1672" s="1">
        <v>2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61</v>
      </c>
      <c r="AA1672" s="1" t="str" cm="1">
        <f t="array" ref="AA1672">_xlfn.IFS(AND(Z1672&lt;36, Z1672&gt;23), "24-35", AND(Z1672&lt;51, Z1672&gt;35),"36-50", AND(Z1672&lt;66, Z1672&gt;50), "51-66", Z1672&gt;65, "66+", TRUE, "?")</f>
        <v>51-66</v>
      </c>
      <c r="AB1672" s="1">
        <v>2341</v>
      </c>
      <c r="AC1672" s="1">
        <v>0</v>
      </c>
      <c r="AD1672" s="1">
        <v>1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1</v>
      </c>
      <c r="AL1672" s="1">
        <v>33</v>
      </c>
      <c r="AM1672" s="2">
        <v>42508</v>
      </c>
      <c r="AN1672" t="str">
        <f t="shared" si="53"/>
        <v>36732,40,0.00108896874659697,1,1,71,21,5,3,10,1,7,3,1,1,4,2,0,0,0,0,0,0,0,61,51-66,2341,0,1,0,0,0,0,0,0,1,33,42508</v>
      </c>
    </row>
    <row r="1673" spans="1:40" ht="13" hidden="1" x14ac:dyDescent="0.15">
      <c r="A1673">
        <v>1609</v>
      </c>
      <c r="B1673" s="1">
        <v>38725</v>
      </c>
      <c r="C1673" s="1">
        <v>40</v>
      </c>
      <c r="D1673" s="4">
        <f t="shared" si="52"/>
        <v>1.0329244673983216E-3</v>
      </c>
      <c r="E1673" s="1">
        <v>1</v>
      </c>
      <c r="F1673" s="1">
        <v>1</v>
      </c>
      <c r="G1673" s="1">
        <v>52</v>
      </c>
      <c r="H1673" s="1">
        <v>31</v>
      </c>
      <c r="I1673" s="1">
        <v>0</v>
      </c>
      <c r="J1673" s="1">
        <v>6</v>
      </c>
      <c r="K1673" s="1">
        <v>2</v>
      </c>
      <c r="L1673" s="1">
        <v>1</v>
      </c>
      <c r="M1673" s="1">
        <v>5</v>
      </c>
      <c r="N1673" s="1">
        <v>2</v>
      </c>
      <c r="O1673" s="1">
        <v>1</v>
      </c>
      <c r="P1673" s="1">
        <v>0</v>
      </c>
      <c r="Q1673" s="1">
        <v>4</v>
      </c>
      <c r="R1673" s="1">
        <v>4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65</v>
      </c>
      <c r="AA1673" s="1" t="str" cm="1">
        <f t="array" ref="AA1673">_xlfn.IFS(AND(Z1673&lt;36, Z1673&gt;23), "24-35", AND(Z1673&lt;51, Z1673&gt;35),"36-50", AND(Z1673&lt;66, Z1673&gt;50), "51-66", Z1673&gt;65, "66+", TRUE, "?")</f>
        <v>51-66</v>
      </c>
      <c r="AB1673" s="1">
        <v>2209</v>
      </c>
      <c r="AC1673" s="1">
        <v>0</v>
      </c>
      <c r="AD1673" s="1">
        <v>1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1</v>
      </c>
      <c r="AL1673" s="1">
        <v>35</v>
      </c>
      <c r="AM1673" s="2">
        <v>42640</v>
      </c>
      <c r="AN1673" t="str">
        <f t="shared" si="53"/>
        <v>38725,40,0.00103292446739832,1,1,52,31,0,6,2,1,5,2,1,0,4,4,0,0,0,0,0,0,0,65,51-66,2209,0,1,0,0,0,0,0,0,1,35,42640</v>
      </c>
    </row>
    <row r="1674" spans="1:40" ht="13" hidden="1" x14ac:dyDescent="0.15">
      <c r="A1674">
        <v>1708</v>
      </c>
      <c r="B1674" s="1">
        <v>44503</v>
      </c>
      <c r="C1674" s="1">
        <v>40</v>
      </c>
      <c r="D1674" s="4">
        <f t="shared" si="52"/>
        <v>8.9881581017010089E-4</v>
      </c>
      <c r="E1674" s="1">
        <v>1</v>
      </c>
      <c r="F1674" s="1">
        <v>1</v>
      </c>
      <c r="G1674" s="1">
        <v>83</v>
      </c>
      <c r="H1674" s="1">
        <v>31</v>
      </c>
      <c r="I1674" s="1">
        <v>1</v>
      </c>
      <c r="J1674" s="1">
        <v>8</v>
      </c>
      <c r="K1674" s="1">
        <v>0</v>
      </c>
      <c r="L1674" s="1">
        <v>0</v>
      </c>
      <c r="M1674" s="1">
        <v>8</v>
      </c>
      <c r="N1674" s="1">
        <v>2</v>
      </c>
      <c r="O1674" s="1">
        <v>2</v>
      </c>
      <c r="P1674" s="1">
        <v>0</v>
      </c>
      <c r="Q1674" s="1">
        <v>3</v>
      </c>
      <c r="R1674" s="1">
        <v>6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48</v>
      </c>
      <c r="AA1674" s="1" t="str" cm="1">
        <f t="array" ref="AA1674">_xlfn.IFS(AND(Z1674&lt;36, Z1674&gt;23), "24-35", AND(Z1674&lt;51, Z1674&gt;35),"36-50", AND(Z1674&lt;66, Z1674&gt;50), "51-66", Z1674&gt;65, "66+", TRUE, "?")</f>
        <v>36-50</v>
      </c>
      <c r="AB1674" s="1">
        <v>2233</v>
      </c>
      <c r="AC1674" s="1">
        <v>0</v>
      </c>
      <c r="AD1674" s="1">
        <v>0</v>
      </c>
      <c r="AE1674" s="1">
        <v>1</v>
      </c>
      <c r="AF1674" s="1">
        <v>0</v>
      </c>
      <c r="AG1674" s="1">
        <v>0</v>
      </c>
      <c r="AH1674" s="1">
        <v>0</v>
      </c>
      <c r="AI1674" s="1">
        <v>1</v>
      </c>
      <c r="AJ1674" s="1">
        <v>0</v>
      </c>
      <c r="AK1674" s="1">
        <v>0</v>
      </c>
      <c r="AL1674" s="1">
        <v>32</v>
      </c>
      <c r="AM1674" s="2">
        <v>42616</v>
      </c>
      <c r="AN1674" t="str">
        <f t="shared" si="53"/>
        <v>44503,40,0.000898815810170101,1,1,83,31,1,8,0,0,8,2,2,0,3,6,0,0,0,0,0,0,0,48,36-50,2233,0,0,1,0,0,0,1,0,0,32,42616</v>
      </c>
    </row>
    <row r="1675" spans="1:40" ht="13" hidden="1" x14ac:dyDescent="0.15">
      <c r="A1675">
        <v>1745</v>
      </c>
      <c r="B1675" s="1">
        <v>36038</v>
      </c>
      <c r="C1675" s="1">
        <v>40</v>
      </c>
      <c r="D1675" s="4">
        <f t="shared" si="52"/>
        <v>1.1099395082967978E-3</v>
      </c>
      <c r="E1675" s="1">
        <v>1</v>
      </c>
      <c r="F1675" s="1">
        <v>0</v>
      </c>
      <c r="G1675" s="1">
        <v>82</v>
      </c>
      <c r="H1675" s="1">
        <v>23</v>
      </c>
      <c r="I1675" s="1">
        <v>0</v>
      </c>
      <c r="J1675" s="1">
        <v>15</v>
      </c>
      <c r="K1675" s="1">
        <v>0</v>
      </c>
      <c r="L1675" s="1">
        <v>2</v>
      </c>
      <c r="M1675" s="1">
        <v>7</v>
      </c>
      <c r="N1675" s="1">
        <v>2</v>
      </c>
      <c r="O1675" s="1">
        <v>3</v>
      </c>
      <c r="P1675" s="1">
        <v>0</v>
      </c>
      <c r="Q1675" s="1">
        <v>3</v>
      </c>
      <c r="R1675" s="1">
        <v>6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39</v>
      </c>
      <c r="AA1675" s="1" t="str" cm="1">
        <f t="array" ref="AA1675">_xlfn.IFS(AND(Z1675&lt;36, Z1675&gt;23), "24-35", AND(Z1675&lt;51, Z1675&gt;35),"36-50", AND(Z1675&lt;66, Z1675&gt;50), "51-66", Z1675&gt;65, "66+", TRUE, "?")</f>
        <v>36-50</v>
      </c>
      <c r="AB1675" s="1">
        <v>2553</v>
      </c>
      <c r="AC1675" s="1">
        <v>0</v>
      </c>
      <c r="AD1675" s="1">
        <v>0</v>
      </c>
      <c r="AE1675" s="1">
        <v>1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1</v>
      </c>
      <c r="AL1675" s="1">
        <v>33</v>
      </c>
      <c r="AM1675" s="2">
        <v>42296</v>
      </c>
      <c r="AN1675" t="str">
        <f t="shared" si="53"/>
        <v>36038,40,0.0011099395082968,1,0,82,23,0,15,0,2,7,2,3,0,3,6,0,0,0,0,0,0,0,39,36-50,2553,0,0,1,0,0,0,0,0,1,33,42296</v>
      </c>
    </row>
    <row r="1676" spans="1:40" ht="13" hidden="1" x14ac:dyDescent="0.15">
      <c r="A1676">
        <v>1918</v>
      </c>
      <c r="B1676" s="1">
        <v>27733</v>
      </c>
      <c r="C1676" s="1">
        <v>40</v>
      </c>
      <c r="D1676" s="4">
        <f t="shared" si="52"/>
        <v>1.4423250279450475E-3</v>
      </c>
      <c r="E1676" s="1">
        <v>1</v>
      </c>
      <c r="F1676" s="1">
        <v>0</v>
      </c>
      <c r="G1676" s="1">
        <v>16</v>
      </c>
      <c r="H1676" s="1">
        <v>0</v>
      </c>
      <c r="I1676" s="1">
        <v>7</v>
      </c>
      <c r="J1676" s="1">
        <v>5</v>
      </c>
      <c r="K1676" s="1">
        <v>26</v>
      </c>
      <c r="L1676" s="1">
        <v>2</v>
      </c>
      <c r="M1676" s="1">
        <v>17</v>
      </c>
      <c r="N1676" s="1">
        <v>2</v>
      </c>
      <c r="O1676" s="1">
        <v>2</v>
      </c>
      <c r="P1676" s="1">
        <v>0</v>
      </c>
      <c r="Q1676" s="1">
        <v>3</v>
      </c>
      <c r="R1676" s="1">
        <v>7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39</v>
      </c>
      <c r="AA1676" s="1" t="str" cm="1">
        <f t="array" ref="AA1676">_xlfn.IFS(AND(Z1676&lt;36, Z1676&gt;23), "24-35", AND(Z1676&lt;51, Z1676&gt;35),"36-50", AND(Z1676&lt;66, Z1676&gt;50), "51-66", Z1676&gt;65, "66+", TRUE, "?")</f>
        <v>36-50</v>
      </c>
      <c r="AB1676" s="1">
        <v>2466</v>
      </c>
      <c r="AC1676" s="1">
        <v>0</v>
      </c>
      <c r="AD1676" s="1">
        <v>1</v>
      </c>
      <c r="AE1676" s="1">
        <v>0</v>
      </c>
      <c r="AF1676" s="1">
        <v>0</v>
      </c>
      <c r="AG1676" s="1">
        <v>0</v>
      </c>
      <c r="AH1676" s="1">
        <v>1</v>
      </c>
      <c r="AI1676" s="1">
        <v>0</v>
      </c>
      <c r="AJ1676" s="1">
        <v>0</v>
      </c>
      <c r="AK1676" s="1">
        <v>0</v>
      </c>
      <c r="AL1676" s="1">
        <v>23</v>
      </c>
      <c r="AM1676" s="2">
        <v>42383</v>
      </c>
      <c r="AN1676" t="str">
        <f t="shared" si="53"/>
        <v>27733,40,0.00144232502794505,1,0,16,0,7,5,26,2,17,2,2,0,3,7,0,0,0,0,0,0,0,39,36-50,2466,0,1,0,0,0,1,0,0,0,23,42383</v>
      </c>
    </row>
    <row r="1677" spans="1:40" ht="13" hidden="1" x14ac:dyDescent="0.15">
      <c r="A1677">
        <v>1938</v>
      </c>
      <c r="B1677" s="1">
        <v>35788</v>
      </c>
      <c r="C1677" s="1">
        <v>40</v>
      </c>
      <c r="D1677" s="4">
        <f t="shared" si="52"/>
        <v>1.1176930814798256E-3</v>
      </c>
      <c r="E1677" s="1">
        <v>1</v>
      </c>
      <c r="F1677" s="1">
        <v>1</v>
      </c>
      <c r="G1677" s="1">
        <v>34</v>
      </c>
      <c r="H1677" s="1">
        <v>23</v>
      </c>
      <c r="I1677" s="1">
        <v>2</v>
      </c>
      <c r="J1677" s="1">
        <v>11</v>
      </c>
      <c r="K1677" s="1">
        <v>3</v>
      </c>
      <c r="L1677" s="1">
        <v>1</v>
      </c>
      <c r="M1677" s="1">
        <v>4</v>
      </c>
      <c r="N1677" s="1">
        <v>2</v>
      </c>
      <c r="O1677" s="1">
        <v>2</v>
      </c>
      <c r="P1677" s="1">
        <v>0</v>
      </c>
      <c r="Q1677" s="1">
        <v>3</v>
      </c>
      <c r="R1677" s="1">
        <v>6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49</v>
      </c>
      <c r="AA1677" s="1" t="str" cm="1">
        <f t="array" ref="AA1677">_xlfn.IFS(AND(Z1677&lt;36, Z1677&gt;23), "24-35", AND(Z1677&lt;51, Z1677&gt;35),"36-50", AND(Z1677&lt;66, Z1677&gt;50), "51-66", Z1677&gt;65, "66+", TRUE, "?")</f>
        <v>36-50</v>
      </c>
      <c r="AB1677" s="1">
        <v>2316</v>
      </c>
      <c r="AC1677" s="1">
        <v>0</v>
      </c>
      <c r="AD1677" s="1">
        <v>1</v>
      </c>
      <c r="AE1677" s="1">
        <v>0</v>
      </c>
      <c r="AF1677" s="1">
        <v>0</v>
      </c>
      <c r="AG1677" s="1">
        <v>0</v>
      </c>
      <c r="AH1677" s="1">
        <v>0</v>
      </c>
      <c r="AI1677" s="1">
        <v>1</v>
      </c>
      <c r="AJ1677" s="1">
        <v>0</v>
      </c>
      <c r="AK1677" s="1">
        <v>0</v>
      </c>
      <c r="AL1677" s="1">
        <v>36</v>
      </c>
      <c r="AM1677" s="2">
        <v>42533</v>
      </c>
      <c r="AN1677" t="str">
        <f t="shared" si="53"/>
        <v>35788,40,0.00111769308147983,1,1,34,23,2,11,3,1,4,2,2,0,3,6,0,0,0,0,0,0,0,49,36-50,2316,0,1,0,0,0,0,1,0,0,36,42533</v>
      </c>
    </row>
    <row r="1678" spans="1:40" ht="13" hidden="1" x14ac:dyDescent="0.15">
      <c r="A1678">
        <v>1976</v>
      </c>
      <c r="B1678" s="1">
        <v>53233</v>
      </c>
      <c r="C1678" s="1">
        <v>40</v>
      </c>
      <c r="D1678" s="4">
        <f t="shared" si="52"/>
        <v>7.5141359682903458E-4</v>
      </c>
      <c r="E1678" s="1">
        <v>0</v>
      </c>
      <c r="F1678" s="1">
        <v>1</v>
      </c>
      <c r="G1678" s="1">
        <v>18</v>
      </c>
      <c r="H1678" s="1">
        <v>28</v>
      </c>
      <c r="I1678" s="1">
        <v>0</v>
      </c>
      <c r="J1678" s="1">
        <v>9</v>
      </c>
      <c r="K1678" s="1">
        <v>3</v>
      </c>
      <c r="L1678" s="1">
        <v>0</v>
      </c>
      <c r="M1678" s="1">
        <v>0</v>
      </c>
      <c r="N1678" s="1">
        <v>1</v>
      </c>
      <c r="O1678" s="1">
        <v>1</v>
      </c>
      <c r="P1678" s="1">
        <v>0</v>
      </c>
      <c r="Q1678" s="1">
        <v>3</v>
      </c>
      <c r="R1678" s="1">
        <v>4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63</v>
      </c>
      <c r="AA1678" s="1" t="str" cm="1">
        <f t="array" ref="AA1678">_xlfn.IFS(AND(Z1678&lt;36, Z1678&gt;23), "24-35", AND(Z1678&lt;51, Z1678&gt;35),"36-50", AND(Z1678&lt;66, Z1678&gt;50), "51-66", Z1678&gt;65, "66+", TRUE, "?")</f>
        <v>51-66</v>
      </c>
      <c r="AB1678" s="1">
        <v>2262</v>
      </c>
      <c r="AC1678" s="1">
        <v>0</v>
      </c>
      <c r="AD1678" s="1">
        <v>1</v>
      </c>
      <c r="AE1678" s="1">
        <v>0</v>
      </c>
      <c r="AF1678" s="1">
        <v>0</v>
      </c>
      <c r="AG1678" s="1">
        <v>0</v>
      </c>
      <c r="AH1678" s="1">
        <v>1</v>
      </c>
      <c r="AI1678" s="1">
        <v>0</v>
      </c>
      <c r="AJ1678" s="1">
        <v>0</v>
      </c>
      <c r="AK1678" s="1">
        <v>0</v>
      </c>
      <c r="AL1678" s="1">
        <v>40</v>
      </c>
      <c r="AM1678" s="2">
        <v>42587</v>
      </c>
      <c r="AN1678" t="str">
        <f t="shared" si="53"/>
        <v>53233,40,0.000751413596829035,0,1,18,28,0,9,3,0,0,1,1,0,3,4,0,0,0,0,0,0,0,63,51-66,2262,0,1,0,0,0,1,0,0,0,40,42587</v>
      </c>
    </row>
    <row r="1679" spans="1:40" ht="13" hidden="1" x14ac:dyDescent="0.15">
      <c r="A1679">
        <v>188</v>
      </c>
      <c r="B1679" s="1">
        <v>29604</v>
      </c>
      <c r="C1679" s="1">
        <v>39</v>
      </c>
      <c r="D1679" s="4">
        <f t="shared" si="52"/>
        <v>1.31738954195379E-3</v>
      </c>
      <c r="E1679" s="1">
        <v>1</v>
      </c>
      <c r="F1679" s="1">
        <v>0</v>
      </c>
      <c r="G1679" s="1">
        <v>88</v>
      </c>
      <c r="H1679" s="1">
        <v>7</v>
      </c>
      <c r="I1679" s="1">
        <v>6</v>
      </c>
      <c r="J1679" s="1">
        <v>13</v>
      </c>
      <c r="K1679" s="1">
        <v>7</v>
      </c>
      <c r="L1679" s="1">
        <v>6</v>
      </c>
      <c r="M1679" s="1">
        <v>14</v>
      </c>
      <c r="N1679" s="1">
        <v>1</v>
      </c>
      <c r="O1679" s="1">
        <v>1</v>
      </c>
      <c r="P1679" s="1">
        <v>0</v>
      </c>
      <c r="Q1679" s="1">
        <v>3</v>
      </c>
      <c r="R1679" s="1">
        <v>9</v>
      </c>
      <c r="S1679" s="1">
        <v>0</v>
      </c>
      <c r="T1679" s="1">
        <v>0</v>
      </c>
      <c r="U1679" s="1">
        <v>1</v>
      </c>
      <c r="V1679" s="1">
        <v>0</v>
      </c>
      <c r="W1679" s="1">
        <v>0</v>
      </c>
      <c r="X1679" s="1">
        <v>0</v>
      </c>
      <c r="Y1679" s="1">
        <v>0</v>
      </c>
      <c r="Z1679" s="1">
        <v>32</v>
      </c>
      <c r="AA1679" s="1" t="str" cm="1">
        <f t="array" ref="AA1679">_xlfn.IFS(AND(Z1679&lt;36, Z1679&gt;23), "24-35", AND(Z1679&lt;51, Z1679&gt;35),"36-50", AND(Z1679&lt;66, Z1679&gt;50), "51-66", Z1679&gt;65, "66+", TRUE, "?")</f>
        <v>24-35</v>
      </c>
      <c r="AB1679" s="1">
        <v>2362</v>
      </c>
      <c r="AC1679" s="1">
        <v>0</v>
      </c>
      <c r="AD1679" s="1">
        <v>0</v>
      </c>
      <c r="AE1679" s="1">
        <v>0</v>
      </c>
      <c r="AF1679" s="1">
        <v>1</v>
      </c>
      <c r="AG1679" s="1">
        <v>0</v>
      </c>
      <c r="AH1679" s="1">
        <v>0</v>
      </c>
      <c r="AI1679" s="1">
        <v>1</v>
      </c>
      <c r="AJ1679" s="1">
        <v>0</v>
      </c>
      <c r="AK1679" s="1">
        <v>0</v>
      </c>
      <c r="AL1679" s="1">
        <v>25</v>
      </c>
      <c r="AM1679" s="2">
        <v>42487</v>
      </c>
      <c r="AN1679" t="str">
        <f t="shared" si="53"/>
        <v>29604,39,0.00131738954195379,1,0,88,7,6,13,7,6,14,1,1,0,3,9,0,0,1,0,0,0,0,32,24-35,2362,0,0,0,1,0,0,1,0,0,25,42487</v>
      </c>
    </row>
    <row r="1680" spans="1:40" ht="13" hidden="1" x14ac:dyDescent="0.15">
      <c r="A1680">
        <v>321</v>
      </c>
      <c r="B1680" s="1">
        <v>44300</v>
      </c>
      <c r="C1680" s="1">
        <v>39</v>
      </c>
      <c r="D1680" s="4">
        <f t="shared" si="52"/>
        <v>8.8036117381489842E-4</v>
      </c>
      <c r="E1680" s="1">
        <v>1</v>
      </c>
      <c r="F1680" s="1">
        <v>1</v>
      </c>
      <c r="G1680" s="1">
        <v>65</v>
      </c>
      <c r="H1680" s="1">
        <v>30</v>
      </c>
      <c r="I1680" s="1">
        <v>0</v>
      </c>
      <c r="J1680" s="1">
        <v>9</v>
      </c>
      <c r="K1680" s="1">
        <v>0</v>
      </c>
      <c r="L1680" s="1">
        <v>0</v>
      </c>
      <c r="M1680" s="1">
        <v>3</v>
      </c>
      <c r="N1680" s="1">
        <v>2</v>
      </c>
      <c r="O1680" s="1">
        <v>1</v>
      </c>
      <c r="P1680" s="1">
        <v>0</v>
      </c>
      <c r="Q1680" s="1">
        <v>3</v>
      </c>
      <c r="R1680" s="1">
        <v>6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55</v>
      </c>
      <c r="AA1680" s="1" t="str" cm="1">
        <f t="array" ref="AA1680">_xlfn.IFS(AND(Z1680&lt;36, Z1680&gt;23), "24-35", AND(Z1680&lt;51, Z1680&gt;35),"36-50", AND(Z1680&lt;66, Z1680&gt;50), "51-66", Z1680&gt;65, "66+", TRUE, "?")</f>
        <v>51-66</v>
      </c>
      <c r="AB1680" s="1">
        <v>2530</v>
      </c>
      <c r="AC1680" s="1">
        <v>0</v>
      </c>
      <c r="AD1680" s="1">
        <v>1</v>
      </c>
      <c r="AE1680" s="1">
        <v>0</v>
      </c>
      <c r="AF1680" s="1">
        <v>0</v>
      </c>
      <c r="AG1680" s="1">
        <v>0</v>
      </c>
      <c r="AH1680" s="1">
        <v>0</v>
      </c>
      <c r="AI1680" s="1">
        <v>1</v>
      </c>
      <c r="AJ1680" s="1">
        <v>0</v>
      </c>
      <c r="AK1680" s="1">
        <v>0</v>
      </c>
      <c r="AL1680" s="1">
        <v>36</v>
      </c>
      <c r="AM1680" s="2">
        <v>42319</v>
      </c>
      <c r="AN1680" t="str">
        <f t="shared" si="53"/>
        <v>44300,39,0.000880361173814898,1,1,65,30,0,9,0,0,3,2,1,0,3,6,0,0,0,0,0,0,0,55,51-66,2530,0,1,0,0,0,0,1,0,0,36,42319</v>
      </c>
    </row>
    <row r="1681" spans="1:40" ht="13" hidden="1" x14ac:dyDescent="0.15">
      <c r="A1681">
        <v>330</v>
      </c>
      <c r="B1681" s="1">
        <v>38643</v>
      </c>
      <c r="C1681" s="1">
        <v>39</v>
      </c>
      <c r="D1681" s="4">
        <f t="shared" si="52"/>
        <v>1.0092384131666797E-3</v>
      </c>
      <c r="E1681" s="1">
        <v>1</v>
      </c>
      <c r="F1681" s="1">
        <v>1</v>
      </c>
      <c r="G1681" s="1">
        <v>45</v>
      </c>
      <c r="H1681" s="1">
        <v>22</v>
      </c>
      <c r="I1681" s="1">
        <v>2</v>
      </c>
      <c r="J1681" s="1">
        <v>14</v>
      </c>
      <c r="K1681" s="1">
        <v>0</v>
      </c>
      <c r="L1681" s="1">
        <v>1</v>
      </c>
      <c r="M1681" s="1">
        <v>10</v>
      </c>
      <c r="N1681" s="1">
        <v>2</v>
      </c>
      <c r="O1681" s="1">
        <v>2</v>
      </c>
      <c r="P1681" s="1">
        <v>0</v>
      </c>
      <c r="Q1681" s="1">
        <v>3</v>
      </c>
      <c r="R1681" s="1">
        <v>7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1</v>
      </c>
      <c r="Y1681" s="1">
        <v>0</v>
      </c>
      <c r="Z1681" s="1">
        <v>42</v>
      </c>
      <c r="AA1681" s="1" t="str" cm="1">
        <f t="array" ref="AA1681">_xlfn.IFS(AND(Z1681&lt;36, Z1681&gt;23), "24-35", AND(Z1681&lt;51, Z1681&gt;35),"36-50", AND(Z1681&lt;66, Z1681&gt;50), "51-66", Z1681&gt;65, "66+", TRUE, "?")</f>
        <v>36-50</v>
      </c>
      <c r="AB1681" s="1">
        <v>2371</v>
      </c>
      <c r="AC1681" s="1">
        <v>0</v>
      </c>
      <c r="AD1681" s="1">
        <v>0</v>
      </c>
      <c r="AE1681" s="1">
        <v>1</v>
      </c>
      <c r="AF1681" s="1">
        <v>0</v>
      </c>
      <c r="AG1681" s="1">
        <v>0</v>
      </c>
      <c r="AH1681" s="1">
        <v>0</v>
      </c>
      <c r="AI1681" s="1">
        <v>1</v>
      </c>
      <c r="AJ1681" s="1">
        <v>0</v>
      </c>
      <c r="AK1681" s="1">
        <v>0</v>
      </c>
      <c r="AL1681" s="1">
        <v>29</v>
      </c>
      <c r="AM1681" s="2">
        <v>42478</v>
      </c>
      <c r="AN1681" t="str">
        <f t="shared" si="53"/>
        <v>38643,39,0.00100923841316668,1,1,45,22,2,14,0,1,10,2,2,0,3,7,0,0,0,0,0,1,0,42,36-50,2371,0,0,1,0,0,0,1,0,0,29,42478</v>
      </c>
    </row>
    <row r="1682" spans="1:40" ht="13" hidden="1" x14ac:dyDescent="0.15">
      <c r="A1682">
        <v>353</v>
      </c>
      <c r="B1682" s="1">
        <v>30822</v>
      </c>
      <c r="C1682" s="1">
        <v>39</v>
      </c>
      <c r="D1682" s="4">
        <f t="shared" si="52"/>
        <v>1.265329959120109E-3</v>
      </c>
      <c r="E1682" s="1">
        <v>1</v>
      </c>
      <c r="F1682" s="1">
        <v>0</v>
      </c>
      <c r="G1682" s="1">
        <v>92</v>
      </c>
      <c r="H1682" s="1">
        <v>3</v>
      </c>
      <c r="I1682" s="1">
        <v>9</v>
      </c>
      <c r="J1682" s="1">
        <v>13</v>
      </c>
      <c r="K1682" s="1">
        <v>2</v>
      </c>
      <c r="L1682" s="1">
        <v>12</v>
      </c>
      <c r="M1682" s="1">
        <v>12</v>
      </c>
      <c r="N1682" s="1">
        <v>1</v>
      </c>
      <c r="O1682" s="1">
        <v>1</v>
      </c>
      <c r="P1682" s="1">
        <v>0</v>
      </c>
      <c r="Q1682" s="1">
        <v>3</v>
      </c>
      <c r="R1682" s="1">
        <v>7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51</v>
      </c>
      <c r="AA1682" s="1" t="str" cm="1">
        <f t="array" ref="AA1682">_xlfn.IFS(AND(Z1682&lt;36, Z1682&gt;23), "24-35", AND(Z1682&lt;51, Z1682&gt;35),"36-50", AND(Z1682&lt;66, Z1682&gt;50), "51-66", Z1682&gt;65, "66+", TRUE, "?")</f>
        <v>51-66</v>
      </c>
      <c r="AB1682" s="1">
        <v>2539</v>
      </c>
      <c r="AC1682" s="1">
        <v>0</v>
      </c>
      <c r="AD1682" s="1">
        <v>0</v>
      </c>
      <c r="AE1682" s="1">
        <v>1</v>
      </c>
      <c r="AF1682" s="1">
        <v>0</v>
      </c>
      <c r="AG1682" s="1">
        <v>0</v>
      </c>
      <c r="AH1682" s="1">
        <v>0</v>
      </c>
      <c r="AI1682" s="1">
        <v>1</v>
      </c>
      <c r="AJ1682" s="1">
        <v>0</v>
      </c>
      <c r="AK1682" s="1">
        <v>0</v>
      </c>
      <c r="AL1682" s="1">
        <v>27</v>
      </c>
      <c r="AM1682" s="2">
        <v>42310</v>
      </c>
      <c r="AN1682" t="str">
        <f t="shared" si="53"/>
        <v>30822,39,0.00126532995912011,1,0,92,3,9,13,2,12,12,1,1,0,3,7,0,0,0,0,0,0,0,51,51-66,2539,0,0,1,0,0,0,1,0,0,27,42310</v>
      </c>
    </row>
    <row r="1683" spans="1:40" ht="13" hidden="1" x14ac:dyDescent="0.15">
      <c r="A1683">
        <v>378</v>
      </c>
      <c r="B1683" s="1">
        <v>48006</v>
      </c>
      <c r="C1683" s="1">
        <v>39</v>
      </c>
      <c r="D1683" s="4">
        <f t="shared" si="52"/>
        <v>8.1239845019372581E-4</v>
      </c>
      <c r="E1683" s="1">
        <v>1</v>
      </c>
      <c r="F1683" s="1">
        <v>1</v>
      </c>
      <c r="G1683" s="1">
        <v>55</v>
      </c>
      <c r="H1683" s="1">
        <v>23</v>
      </c>
      <c r="I1683" s="1">
        <v>0</v>
      </c>
      <c r="J1683" s="1">
        <v>11</v>
      </c>
      <c r="K1683" s="1">
        <v>3</v>
      </c>
      <c r="L1683" s="1">
        <v>2</v>
      </c>
      <c r="M1683" s="1">
        <v>2</v>
      </c>
      <c r="N1683" s="1">
        <v>1</v>
      </c>
      <c r="O1683" s="1">
        <v>1</v>
      </c>
      <c r="P1683" s="1">
        <v>0</v>
      </c>
      <c r="Q1683" s="1">
        <v>3</v>
      </c>
      <c r="R1683" s="1">
        <v>6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55</v>
      </c>
      <c r="AA1683" s="1" t="str" cm="1">
        <f t="array" ref="AA1683">_xlfn.IFS(AND(Z1683&lt;36, Z1683&gt;23), "24-35", AND(Z1683&lt;51, Z1683&gt;35),"36-50", AND(Z1683&lt;66, Z1683&gt;50), "51-66", Z1683&gt;65, "66+", TRUE, "?")</f>
        <v>51-66</v>
      </c>
      <c r="AB1683" s="1">
        <v>2179</v>
      </c>
      <c r="AC1683" s="1">
        <v>0</v>
      </c>
      <c r="AD1683" s="1">
        <v>1</v>
      </c>
      <c r="AE1683" s="1">
        <v>0</v>
      </c>
      <c r="AF1683" s="1">
        <v>0</v>
      </c>
      <c r="AG1683" s="1">
        <v>0</v>
      </c>
      <c r="AH1683" s="1">
        <v>0</v>
      </c>
      <c r="AI1683" s="1">
        <v>1</v>
      </c>
      <c r="AJ1683" s="1">
        <v>0</v>
      </c>
      <c r="AK1683" s="1">
        <v>0</v>
      </c>
      <c r="AL1683" s="1">
        <v>37</v>
      </c>
      <c r="AM1683" s="2">
        <v>42670</v>
      </c>
      <c r="AN1683" t="str">
        <f t="shared" si="53"/>
        <v>48006,39,0.000812398450193726,1,1,55,23,0,11,3,2,2,1,1,0,3,6,0,0,0,0,0,0,0,55,51-66,2179,0,1,0,0,0,0,1,0,0,37,42670</v>
      </c>
    </row>
    <row r="1684" spans="1:40" ht="13" hidden="1" x14ac:dyDescent="0.15">
      <c r="A1684">
        <v>661</v>
      </c>
      <c r="B1684" s="1">
        <v>35682</v>
      </c>
      <c r="C1684" s="1">
        <v>39</v>
      </c>
      <c r="D1684" s="4">
        <f t="shared" si="52"/>
        <v>1.0929880612073313E-3</v>
      </c>
      <c r="E1684" s="1">
        <v>1</v>
      </c>
      <c r="F1684" s="1">
        <v>0</v>
      </c>
      <c r="G1684" s="1">
        <v>34</v>
      </c>
      <c r="H1684" s="1">
        <v>23</v>
      </c>
      <c r="I1684" s="1">
        <v>0</v>
      </c>
      <c r="J1684" s="1">
        <v>8</v>
      </c>
      <c r="K1684" s="1">
        <v>6</v>
      </c>
      <c r="L1684" s="1">
        <v>2</v>
      </c>
      <c r="M1684" s="1">
        <v>18</v>
      </c>
      <c r="N1684" s="1">
        <v>1</v>
      </c>
      <c r="O1684" s="1">
        <v>1</v>
      </c>
      <c r="P1684" s="1">
        <v>1</v>
      </c>
      <c r="Q1684" s="1">
        <v>3</v>
      </c>
      <c r="R1684" s="1">
        <v>2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50</v>
      </c>
      <c r="AA1684" s="1" t="str" cm="1">
        <f t="array" ref="AA1684">_xlfn.IFS(AND(Z1684&lt;36, Z1684&gt;23), "24-35", AND(Z1684&lt;51, Z1684&gt;35),"36-50", AND(Z1684&lt;66, Z1684&gt;50), "51-66", Z1684&gt;65, "66+", TRUE, "?")</f>
        <v>36-50</v>
      </c>
      <c r="AB1684" s="1">
        <v>2161</v>
      </c>
      <c r="AC1684" s="1">
        <v>1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1</v>
      </c>
      <c r="AL1684" s="1">
        <v>21</v>
      </c>
      <c r="AM1684" s="2">
        <v>42688</v>
      </c>
      <c r="AN1684" t="str">
        <f t="shared" si="53"/>
        <v>35682,39,0.00109298806120733,1,0,34,23,0,8,6,2,18,1,1,1,3,2,0,0,0,0,0,0,0,50,36-50,2161,1,0,0,0,0,0,0,0,1,21,42688</v>
      </c>
    </row>
    <row r="1685" spans="1:40" ht="13" hidden="1" x14ac:dyDescent="0.15">
      <c r="A1685">
        <v>729</v>
      </c>
      <c r="B1685" s="1">
        <v>51124</v>
      </c>
      <c r="C1685" s="1">
        <v>39</v>
      </c>
      <c r="D1685" s="4">
        <f t="shared" si="52"/>
        <v>7.6285110711211957E-4</v>
      </c>
      <c r="E1685" s="1">
        <v>1</v>
      </c>
      <c r="F1685" s="1">
        <v>1</v>
      </c>
      <c r="G1685" s="1">
        <v>79</v>
      </c>
      <c r="H1685" s="1">
        <v>26</v>
      </c>
      <c r="I1685" s="1">
        <v>1</v>
      </c>
      <c r="J1685" s="1">
        <v>11</v>
      </c>
      <c r="K1685" s="1">
        <v>0</v>
      </c>
      <c r="L1685" s="1">
        <v>1</v>
      </c>
      <c r="M1685" s="1">
        <v>4</v>
      </c>
      <c r="N1685" s="1">
        <v>2</v>
      </c>
      <c r="O1685" s="1">
        <v>1</v>
      </c>
      <c r="P1685" s="1">
        <v>0</v>
      </c>
      <c r="Q1685" s="1">
        <v>3</v>
      </c>
      <c r="R1685" s="1">
        <v>3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65</v>
      </c>
      <c r="AA1685" s="1" t="str" cm="1">
        <f t="array" ref="AA1685">_xlfn.IFS(AND(Z1685&lt;36, Z1685&gt;23), "24-35", AND(Z1685&lt;51, Z1685&gt;35),"36-50", AND(Z1685&lt;66, Z1685&gt;50), "51-66", Z1685&gt;65, "66+", TRUE, "?")</f>
        <v>51-66</v>
      </c>
      <c r="AB1685" s="1">
        <v>2352</v>
      </c>
      <c r="AC1685" s="1">
        <v>0</v>
      </c>
      <c r="AD1685" s="1">
        <v>0</v>
      </c>
      <c r="AE1685" s="1">
        <v>1</v>
      </c>
      <c r="AF1685" s="1">
        <v>0</v>
      </c>
      <c r="AG1685" s="1">
        <v>0</v>
      </c>
      <c r="AH1685" s="1">
        <v>0</v>
      </c>
      <c r="AI1685" s="1">
        <v>0</v>
      </c>
      <c r="AJ1685" s="1">
        <v>1</v>
      </c>
      <c r="AK1685" s="1">
        <v>0</v>
      </c>
      <c r="AL1685" s="1">
        <v>35</v>
      </c>
      <c r="AM1685" s="2">
        <v>42497</v>
      </c>
      <c r="AN1685" t="str">
        <f t="shared" si="53"/>
        <v>51124,39,0.00076285110711212,1,1,79,26,1,11,0,1,4,2,1,0,3,3,0,0,0,0,0,0,0,65,51-66,2352,0,0,1,0,0,0,0,1,0,35,42497</v>
      </c>
    </row>
    <row r="1686" spans="1:40" ht="13" hidden="1" x14ac:dyDescent="0.15">
      <c r="A1686">
        <v>805</v>
      </c>
      <c r="B1686" s="1">
        <v>37758</v>
      </c>
      <c r="C1686" s="1">
        <v>39</v>
      </c>
      <c r="D1686" s="4">
        <f t="shared" si="52"/>
        <v>1.0328936914031463E-3</v>
      </c>
      <c r="E1686" s="1">
        <v>1</v>
      </c>
      <c r="F1686" s="1">
        <v>1</v>
      </c>
      <c r="G1686" s="1">
        <v>49</v>
      </c>
      <c r="H1686" s="1">
        <v>27</v>
      </c>
      <c r="I1686" s="1">
        <v>2</v>
      </c>
      <c r="J1686" s="1">
        <v>10</v>
      </c>
      <c r="K1686" s="1">
        <v>0</v>
      </c>
      <c r="L1686" s="1">
        <v>0</v>
      </c>
      <c r="M1686" s="1">
        <v>1</v>
      </c>
      <c r="N1686" s="1">
        <v>2</v>
      </c>
      <c r="O1686" s="1">
        <v>1</v>
      </c>
      <c r="P1686" s="1">
        <v>0</v>
      </c>
      <c r="Q1686" s="1">
        <v>3</v>
      </c>
      <c r="R1686" s="1">
        <v>8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54</v>
      </c>
      <c r="AA1686" s="1" t="str" cm="1">
        <f t="array" ref="AA1686">_xlfn.IFS(AND(Z1686&lt;36, Z1686&gt;23), "24-35", AND(Z1686&lt;51, Z1686&gt;35),"36-50", AND(Z1686&lt;66, Z1686&gt;50), "51-66", Z1686&gt;65, "66+", TRUE, "?")</f>
        <v>51-66</v>
      </c>
      <c r="AB1686" s="1">
        <v>2792</v>
      </c>
      <c r="AC1686" s="1">
        <v>0</v>
      </c>
      <c r="AD1686" s="1">
        <v>0</v>
      </c>
      <c r="AE1686" s="1">
        <v>0</v>
      </c>
      <c r="AF1686" s="1">
        <v>1</v>
      </c>
      <c r="AG1686" s="1">
        <v>0</v>
      </c>
      <c r="AH1686" s="1">
        <v>0</v>
      </c>
      <c r="AI1686" s="1">
        <v>1</v>
      </c>
      <c r="AJ1686" s="1">
        <v>0</v>
      </c>
      <c r="AK1686" s="1">
        <v>0</v>
      </c>
      <c r="AL1686" s="1">
        <v>38</v>
      </c>
      <c r="AM1686" s="2">
        <v>42057</v>
      </c>
      <c r="AN1686" t="str">
        <f t="shared" si="53"/>
        <v>37758,39,0.00103289369140315,1,1,49,27,2,10,0,0,1,2,1,0,3,8,0,0,0,0,0,0,0,54,51-66,2792,0,0,0,1,0,0,1,0,0,38,42057</v>
      </c>
    </row>
    <row r="1687" spans="1:40" ht="13" hidden="1" x14ac:dyDescent="0.15">
      <c r="A1687">
        <v>971</v>
      </c>
      <c r="B1687" s="1">
        <v>31056</v>
      </c>
      <c r="C1687" s="1">
        <v>39</v>
      </c>
      <c r="D1687" s="4">
        <f t="shared" si="52"/>
        <v>1.2557959814528594E-3</v>
      </c>
      <c r="E1687" s="1">
        <v>1</v>
      </c>
      <c r="F1687" s="1">
        <v>0</v>
      </c>
      <c r="G1687" s="1">
        <v>99</v>
      </c>
      <c r="H1687" s="1">
        <v>5</v>
      </c>
      <c r="I1687" s="1">
        <v>10</v>
      </c>
      <c r="J1687" s="1">
        <v>13</v>
      </c>
      <c r="K1687" s="1">
        <v>3</v>
      </c>
      <c r="L1687" s="1">
        <v>8</v>
      </c>
      <c r="M1687" s="1">
        <v>16</v>
      </c>
      <c r="N1687" s="1">
        <v>1</v>
      </c>
      <c r="O1687" s="1">
        <v>1</v>
      </c>
      <c r="P1687" s="1">
        <v>0</v>
      </c>
      <c r="Q1687" s="1">
        <v>3</v>
      </c>
      <c r="R1687" s="1">
        <v>8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43</v>
      </c>
      <c r="AA1687" s="1" t="str" cm="1">
        <f t="array" ref="AA1687">_xlfn.IFS(AND(Z1687&lt;36, Z1687&gt;23), "24-35", AND(Z1687&lt;51, Z1687&gt;35),"36-50", AND(Z1687&lt;66, Z1687&gt;50), "51-66", Z1687&gt;65, "66+", TRUE, "?")</f>
        <v>36-50</v>
      </c>
      <c r="AB1687" s="1">
        <v>2682</v>
      </c>
      <c r="AC1687" s="1">
        <v>0</v>
      </c>
      <c r="AD1687" s="1">
        <v>1</v>
      </c>
      <c r="AE1687" s="1">
        <v>0</v>
      </c>
      <c r="AF1687" s="1">
        <v>0</v>
      </c>
      <c r="AG1687" s="1">
        <v>0</v>
      </c>
      <c r="AH1687" s="1">
        <v>1</v>
      </c>
      <c r="AI1687" s="1">
        <v>0</v>
      </c>
      <c r="AJ1687" s="1">
        <v>0</v>
      </c>
      <c r="AK1687" s="1">
        <v>0</v>
      </c>
      <c r="AL1687" s="1">
        <v>23</v>
      </c>
      <c r="AM1687" s="2">
        <v>42167</v>
      </c>
      <c r="AN1687" t="str">
        <f t="shared" si="53"/>
        <v>31056,39,0.00125579598145286,1,0,99,5,10,13,3,8,16,1,1,0,3,8,0,0,0,0,0,0,0,43,36-50,2682,0,1,0,0,0,1,0,0,0,23,42167</v>
      </c>
    </row>
    <row r="1688" spans="1:40" ht="13" hidden="1" x14ac:dyDescent="0.15">
      <c r="A1688">
        <v>1008</v>
      </c>
      <c r="B1688" s="1">
        <v>39722</v>
      </c>
      <c r="C1688" s="1">
        <v>39</v>
      </c>
      <c r="D1688" s="4">
        <f t="shared" si="52"/>
        <v>9.818236745380393E-4</v>
      </c>
      <c r="E1688" s="1">
        <v>0</v>
      </c>
      <c r="F1688" s="1">
        <v>1</v>
      </c>
      <c r="G1688" s="1">
        <v>92</v>
      </c>
      <c r="H1688" s="1">
        <v>32</v>
      </c>
      <c r="I1688" s="1">
        <v>0</v>
      </c>
      <c r="J1688" s="1">
        <v>5</v>
      </c>
      <c r="K1688" s="1">
        <v>2</v>
      </c>
      <c r="L1688" s="1">
        <v>0</v>
      </c>
      <c r="M1688" s="1">
        <v>8</v>
      </c>
      <c r="N1688" s="1">
        <v>2</v>
      </c>
      <c r="O1688" s="1">
        <v>2</v>
      </c>
      <c r="P1688" s="1">
        <v>0</v>
      </c>
      <c r="Q1688" s="1">
        <v>3</v>
      </c>
      <c r="R1688" s="1">
        <v>5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67</v>
      </c>
      <c r="AA1688" s="1" t="str" cm="1">
        <f t="array" ref="AA1688">_xlfn.IFS(AND(Z1688&lt;36, Z1688&gt;23), "24-35", AND(Z1688&lt;51, Z1688&gt;35),"36-50", AND(Z1688&lt;66, Z1688&gt;50), "51-66", Z1688&gt;65, "66+", TRUE, "?")</f>
        <v>66+</v>
      </c>
      <c r="AB1688" s="1">
        <v>2284</v>
      </c>
      <c r="AC1688" s="1">
        <v>0</v>
      </c>
      <c r="AD1688" s="1">
        <v>1</v>
      </c>
      <c r="AE1688" s="1">
        <v>0</v>
      </c>
      <c r="AF1688" s="1">
        <v>0</v>
      </c>
      <c r="AG1688" s="1">
        <v>0</v>
      </c>
      <c r="AH1688" s="1">
        <v>0</v>
      </c>
      <c r="AI1688" s="1">
        <v>1</v>
      </c>
      <c r="AJ1688" s="1">
        <v>0</v>
      </c>
      <c r="AK1688" s="1">
        <v>0</v>
      </c>
      <c r="AL1688" s="1">
        <v>31</v>
      </c>
      <c r="AM1688" s="2">
        <v>42565</v>
      </c>
      <c r="AN1688" t="str">
        <f t="shared" si="53"/>
        <v>39722,39,0.000981823674538039,0,1,92,32,0,5,2,0,8,2,2,0,3,5,0,0,0,0,0,0,0,67,66+,2284,0,1,0,0,0,0,1,0,0,31,42565</v>
      </c>
    </row>
    <row r="1689" spans="1:40" ht="13" hidden="1" x14ac:dyDescent="0.15">
      <c r="A1689">
        <v>1133</v>
      </c>
      <c r="B1689" s="1">
        <v>40451</v>
      </c>
      <c r="C1689" s="1">
        <v>39</v>
      </c>
      <c r="D1689" s="4">
        <f t="shared" si="52"/>
        <v>9.6412944055771182E-4</v>
      </c>
      <c r="E1689" s="1">
        <v>0</v>
      </c>
      <c r="F1689" s="1">
        <v>2</v>
      </c>
      <c r="G1689" s="1">
        <v>54</v>
      </c>
      <c r="H1689" s="1">
        <v>35</v>
      </c>
      <c r="I1689" s="1">
        <v>0</v>
      </c>
      <c r="J1689" s="1">
        <v>4</v>
      </c>
      <c r="K1689" s="1">
        <v>0</v>
      </c>
      <c r="L1689" s="1">
        <v>0</v>
      </c>
      <c r="M1689" s="1">
        <v>10</v>
      </c>
      <c r="N1689" s="1">
        <v>1</v>
      </c>
      <c r="O1689" s="1">
        <v>1</v>
      </c>
      <c r="P1689" s="1">
        <v>1</v>
      </c>
      <c r="Q1689" s="1">
        <v>2</v>
      </c>
      <c r="R1689" s="1">
        <v>5</v>
      </c>
      <c r="S1689" s="1">
        <v>0</v>
      </c>
      <c r="T1689" s="1">
        <v>0</v>
      </c>
      <c r="U1689" s="1">
        <v>1</v>
      </c>
      <c r="V1689" s="1">
        <v>0</v>
      </c>
      <c r="W1689" s="1">
        <v>0</v>
      </c>
      <c r="X1689" s="1">
        <v>0</v>
      </c>
      <c r="Y1689" s="1">
        <v>0</v>
      </c>
      <c r="Z1689" s="1">
        <v>63</v>
      </c>
      <c r="AA1689" s="1" t="str" cm="1">
        <f t="array" ref="AA1689">_xlfn.IFS(AND(Z1689&lt;36, Z1689&gt;23), "24-35", AND(Z1689&lt;51, Z1689&gt;35),"36-50", AND(Z1689&lt;66, Z1689&gt;50), "51-66", Z1689&gt;65, "66+", TRUE, "?")</f>
        <v>51-66</v>
      </c>
      <c r="AB1689" s="1">
        <v>2292</v>
      </c>
      <c r="AC1689" s="1">
        <v>0</v>
      </c>
      <c r="AD1689" s="1">
        <v>0</v>
      </c>
      <c r="AE1689" s="1">
        <v>0</v>
      </c>
      <c r="AF1689" s="1">
        <v>1</v>
      </c>
      <c r="AG1689" s="1">
        <v>0</v>
      </c>
      <c r="AH1689" s="1">
        <v>0</v>
      </c>
      <c r="AI1689" s="1">
        <v>0</v>
      </c>
      <c r="AJ1689" s="1">
        <v>0</v>
      </c>
      <c r="AK1689" s="1">
        <v>1</v>
      </c>
      <c r="AL1689" s="1">
        <v>29</v>
      </c>
      <c r="AM1689" s="2">
        <v>42557</v>
      </c>
      <c r="AN1689" t="str">
        <f t="shared" si="53"/>
        <v>40451,39,0.000964129440557712,0,2,54,35,0,4,0,0,10,1,1,1,2,5,0,0,1,0,0,0,0,63,51-66,2292,0,0,0,1,0,0,0,0,1,29,42557</v>
      </c>
    </row>
    <row r="1690" spans="1:40" ht="13" hidden="1" x14ac:dyDescent="0.15">
      <c r="A1690">
        <v>1183</v>
      </c>
      <c r="B1690" s="1">
        <v>31454</v>
      </c>
      <c r="C1690" s="1">
        <v>39</v>
      </c>
      <c r="D1690" s="4">
        <f t="shared" si="52"/>
        <v>1.2399058943218669E-3</v>
      </c>
      <c r="E1690" s="1">
        <v>1</v>
      </c>
      <c r="F1690" s="1">
        <v>1</v>
      </c>
      <c r="G1690" s="1">
        <v>40</v>
      </c>
      <c r="H1690" s="1">
        <v>28</v>
      </c>
      <c r="I1690" s="1">
        <v>0</v>
      </c>
      <c r="J1690" s="1">
        <v>11</v>
      </c>
      <c r="K1690" s="1">
        <v>0</v>
      </c>
      <c r="L1690" s="1">
        <v>0</v>
      </c>
      <c r="M1690" s="1">
        <v>9</v>
      </c>
      <c r="N1690" s="1">
        <v>3</v>
      </c>
      <c r="O1690" s="1">
        <v>2</v>
      </c>
      <c r="P1690" s="1">
        <v>0</v>
      </c>
      <c r="Q1690" s="1">
        <v>3</v>
      </c>
      <c r="R1690" s="1">
        <v>8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60</v>
      </c>
      <c r="AA1690" s="1" t="str" cm="1">
        <f t="array" ref="AA1690">_xlfn.IFS(AND(Z1690&lt;36, Z1690&gt;23), "24-35", AND(Z1690&lt;51, Z1690&gt;35),"36-50", AND(Z1690&lt;66, Z1690&gt;50), "51-66", Z1690&gt;65, "66+", TRUE, "?")</f>
        <v>51-66</v>
      </c>
      <c r="AB1690" s="1">
        <v>2517</v>
      </c>
      <c r="AC1690" s="1">
        <v>0</v>
      </c>
      <c r="AD1690" s="1">
        <v>1</v>
      </c>
      <c r="AE1690" s="1">
        <v>0</v>
      </c>
      <c r="AF1690" s="1">
        <v>0</v>
      </c>
      <c r="AG1690" s="1">
        <v>0</v>
      </c>
      <c r="AH1690" s="1">
        <v>0</v>
      </c>
      <c r="AI1690" s="1">
        <v>1</v>
      </c>
      <c r="AJ1690" s="1">
        <v>0</v>
      </c>
      <c r="AK1690" s="1">
        <v>0</v>
      </c>
      <c r="AL1690" s="1">
        <v>30</v>
      </c>
      <c r="AM1690" s="2">
        <v>42332</v>
      </c>
      <c r="AN1690" t="str">
        <f t="shared" si="53"/>
        <v>31454,39,0.00123990589432187,1,1,40,28,0,11,0,0,9,3,2,0,3,8,0,0,0,0,0,0,0,60,51-66,2517,0,1,0,0,0,0,1,0,0,30,42332</v>
      </c>
    </row>
    <row r="1691" spans="1:40" ht="13" hidden="1" x14ac:dyDescent="0.15">
      <c r="A1691">
        <v>1204</v>
      </c>
      <c r="B1691" s="1">
        <v>33986</v>
      </c>
      <c r="C1691" s="1">
        <v>39</v>
      </c>
      <c r="D1691" s="4">
        <f t="shared" si="52"/>
        <v>1.1475313364326487E-3</v>
      </c>
      <c r="E1691" s="1">
        <v>1</v>
      </c>
      <c r="F1691" s="1">
        <v>0</v>
      </c>
      <c r="G1691" s="1">
        <v>43</v>
      </c>
      <c r="H1691" s="1">
        <v>16</v>
      </c>
      <c r="I1691" s="1">
        <v>2</v>
      </c>
      <c r="J1691" s="1">
        <v>18</v>
      </c>
      <c r="K1691" s="1">
        <v>2</v>
      </c>
      <c r="L1691" s="1">
        <v>1</v>
      </c>
      <c r="M1691" s="1">
        <v>5</v>
      </c>
      <c r="N1691" s="1">
        <v>1</v>
      </c>
      <c r="O1691" s="1">
        <v>1</v>
      </c>
      <c r="P1691" s="1">
        <v>0</v>
      </c>
      <c r="Q1691" s="1">
        <v>3</v>
      </c>
      <c r="R1691" s="1">
        <v>7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50</v>
      </c>
      <c r="AA1691" s="1" t="str" cm="1">
        <f t="array" ref="AA1691">_xlfn.IFS(AND(Z1691&lt;36, Z1691&gt;23), "24-35", AND(Z1691&lt;51, Z1691&gt;35),"36-50", AND(Z1691&lt;66, Z1691&gt;50), "51-66", Z1691&gt;65, "66+", TRUE, "?")</f>
        <v>36-50</v>
      </c>
      <c r="AB1691" s="1">
        <v>2631</v>
      </c>
      <c r="AC1691" s="1">
        <v>1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1</v>
      </c>
      <c r="AJ1691" s="1">
        <v>0</v>
      </c>
      <c r="AK1691" s="1">
        <v>0</v>
      </c>
      <c r="AL1691" s="1">
        <v>34</v>
      </c>
      <c r="AM1691" s="2">
        <v>42218</v>
      </c>
      <c r="AN1691" t="str">
        <f t="shared" si="53"/>
        <v>33986,39,0.00114753133643265,1,0,43,16,2,18,2,1,5,1,1,0,3,7,0,0,0,0,0,0,0,50,36-50,2631,1,0,0,0,0,0,1,0,0,34,42218</v>
      </c>
    </row>
    <row r="1692" spans="1:40" ht="13" hidden="1" x14ac:dyDescent="0.15">
      <c r="A1692">
        <v>1214</v>
      </c>
      <c r="B1692" s="1">
        <v>34043</v>
      </c>
      <c r="C1692" s="1">
        <v>39</v>
      </c>
      <c r="D1692" s="4">
        <f t="shared" si="52"/>
        <v>1.1456099638692241E-3</v>
      </c>
      <c r="E1692" s="1">
        <v>1</v>
      </c>
      <c r="F1692" s="1">
        <v>0</v>
      </c>
      <c r="G1692" s="1">
        <v>97</v>
      </c>
      <c r="H1692" s="1">
        <v>20</v>
      </c>
      <c r="I1692" s="1">
        <v>2</v>
      </c>
      <c r="J1692" s="1">
        <v>14</v>
      </c>
      <c r="K1692" s="1">
        <v>3</v>
      </c>
      <c r="L1692" s="1">
        <v>0</v>
      </c>
      <c r="M1692" s="1">
        <v>10</v>
      </c>
      <c r="N1692" s="1">
        <v>1</v>
      </c>
      <c r="O1692" s="1">
        <v>2</v>
      </c>
      <c r="P1692" s="1">
        <v>0</v>
      </c>
      <c r="Q1692" s="1">
        <v>2</v>
      </c>
      <c r="R1692" s="1">
        <v>9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42</v>
      </c>
      <c r="AA1692" s="1" t="str" cm="1">
        <f t="array" ref="AA1692">_xlfn.IFS(AND(Z1692&lt;36, Z1692&gt;23), "24-35", AND(Z1692&lt;51, Z1692&gt;35),"36-50", AND(Z1692&lt;66, Z1692&gt;50), "51-66", Z1692&gt;65, "66+", TRUE, "?")</f>
        <v>36-50</v>
      </c>
      <c r="AB1692" s="1">
        <v>2406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0</v>
      </c>
      <c r="AJ1692" s="1">
        <v>0</v>
      </c>
      <c r="AK1692" s="1">
        <v>1</v>
      </c>
      <c r="AL1692" s="1">
        <v>29</v>
      </c>
      <c r="AM1692" s="2">
        <v>42443</v>
      </c>
      <c r="AN1692" t="str">
        <f t="shared" si="53"/>
        <v>34043,39,0.00114560996386922,1,0,97,20,2,14,3,0,10,1,2,0,2,9,0,0,0,0,0,0,0,42,36-50,2406,0,0,0,1,0,0,0,0,1,29,42443</v>
      </c>
    </row>
    <row r="1693" spans="1:40" ht="13" hidden="1" x14ac:dyDescent="0.15">
      <c r="A1693">
        <v>1234</v>
      </c>
      <c r="B1693" s="1">
        <v>46094</v>
      </c>
      <c r="C1693" s="1">
        <v>39</v>
      </c>
      <c r="D1693" s="4">
        <f t="shared" si="52"/>
        <v>8.4609710591400183E-4</v>
      </c>
      <c r="E1693" s="1">
        <v>1</v>
      </c>
      <c r="F1693" s="1">
        <v>1</v>
      </c>
      <c r="G1693" s="1">
        <v>62</v>
      </c>
      <c r="H1693" s="1">
        <v>12</v>
      </c>
      <c r="I1693" s="1">
        <v>2</v>
      </c>
      <c r="J1693" s="1">
        <v>20</v>
      </c>
      <c r="K1693" s="1">
        <v>3</v>
      </c>
      <c r="L1693" s="1">
        <v>2</v>
      </c>
      <c r="M1693" s="1">
        <v>5</v>
      </c>
      <c r="N1693" s="1">
        <v>1</v>
      </c>
      <c r="O1693" s="1">
        <v>1</v>
      </c>
      <c r="P1693" s="1">
        <v>0</v>
      </c>
      <c r="Q1693" s="1">
        <v>3</v>
      </c>
      <c r="R1693" s="1">
        <v>7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47</v>
      </c>
      <c r="AA1693" s="1" t="str" cm="1">
        <f t="array" ref="AA1693">_xlfn.IFS(AND(Z1693&lt;36, Z1693&gt;23), "24-35", AND(Z1693&lt;51, Z1693&gt;35),"36-50", AND(Z1693&lt;66, Z1693&gt;50), "51-66", Z1693&gt;65, "66+", TRUE, "?")</f>
        <v>36-50</v>
      </c>
      <c r="AB1693" s="1">
        <v>2178</v>
      </c>
      <c r="AC1693" s="1">
        <v>0</v>
      </c>
      <c r="AD1693" s="1">
        <v>1</v>
      </c>
      <c r="AE1693" s="1">
        <v>0</v>
      </c>
      <c r="AF1693" s="1">
        <v>0</v>
      </c>
      <c r="AG1693" s="1">
        <v>0</v>
      </c>
      <c r="AH1693" s="1">
        <v>1</v>
      </c>
      <c r="AI1693" s="1">
        <v>0</v>
      </c>
      <c r="AJ1693" s="1">
        <v>0</v>
      </c>
      <c r="AK1693" s="1">
        <v>0</v>
      </c>
      <c r="AL1693" s="1">
        <v>34</v>
      </c>
      <c r="AM1693" s="2">
        <v>42671</v>
      </c>
      <c r="AN1693" t="str">
        <f t="shared" si="53"/>
        <v>46094,39,0.000846097105914002,1,1,62,12,2,20,3,2,5,1,1,0,3,7,0,0,0,0,0,0,0,47,36-50,2178,0,1,0,0,0,1,0,0,0,34,42671</v>
      </c>
    </row>
    <row r="1694" spans="1:40" ht="13" hidden="1" x14ac:dyDescent="0.15">
      <c r="A1694">
        <v>1294</v>
      </c>
      <c r="B1694" s="1">
        <v>44964</v>
      </c>
      <c r="C1694" s="1">
        <v>39</v>
      </c>
      <c r="D1694" s="4">
        <f t="shared" si="52"/>
        <v>8.6736055511075529E-4</v>
      </c>
      <c r="E1694" s="1">
        <v>1</v>
      </c>
      <c r="F1694" s="1">
        <v>1</v>
      </c>
      <c r="G1694" s="1">
        <v>35</v>
      </c>
      <c r="H1694" s="1">
        <v>19</v>
      </c>
      <c r="I1694" s="1">
        <v>1</v>
      </c>
      <c r="J1694" s="1">
        <v>17</v>
      </c>
      <c r="K1694" s="1">
        <v>2</v>
      </c>
      <c r="L1694" s="1">
        <v>0</v>
      </c>
      <c r="M1694" s="1">
        <v>2</v>
      </c>
      <c r="N1694" s="1">
        <v>1</v>
      </c>
      <c r="O1694" s="1">
        <v>1</v>
      </c>
      <c r="P1694" s="1">
        <v>0</v>
      </c>
      <c r="Q1694" s="1">
        <v>3</v>
      </c>
      <c r="R1694" s="1">
        <v>8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40</v>
      </c>
      <c r="AA1694" s="1" t="str" cm="1">
        <f t="array" ref="AA1694">_xlfn.IFS(AND(Z1694&lt;36, Z1694&gt;23), "24-35", AND(Z1694&lt;51, Z1694&gt;35),"36-50", AND(Z1694&lt;66, Z1694&gt;50), "51-66", Z1694&gt;65, "66+", TRUE, "?")</f>
        <v>36-50</v>
      </c>
      <c r="AB1694" s="1">
        <v>2719</v>
      </c>
      <c r="AC1694" s="1">
        <v>0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1</v>
      </c>
      <c r="AJ1694" s="1">
        <v>0</v>
      </c>
      <c r="AK1694" s="1">
        <v>0</v>
      </c>
      <c r="AL1694" s="1">
        <v>37</v>
      </c>
      <c r="AM1694" s="2">
        <v>42130</v>
      </c>
      <c r="AN1694" t="str">
        <f t="shared" si="53"/>
        <v>44964,39,0.000867360555110755,1,1,35,19,1,17,2,0,2,1,1,0,3,8,0,0,0,0,0,0,0,40,36-50,2719,0,0,0,1,0,0,1,0,0,37,42130</v>
      </c>
    </row>
    <row r="1695" spans="1:40" ht="13" hidden="1" x14ac:dyDescent="0.15">
      <c r="A1695">
        <v>1297</v>
      </c>
      <c r="B1695" s="1">
        <v>38887</v>
      </c>
      <c r="C1695" s="1">
        <v>39</v>
      </c>
      <c r="D1695" s="4">
        <f t="shared" si="52"/>
        <v>1.0029058554272636E-3</v>
      </c>
      <c r="E1695" s="1">
        <v>1</v>
      </c>
      <c r="F1695" s="1">
        <v>0</v>
      </c>
      <c r="G1695" s="1">
        <v>17</v>
      </c>
      <c r="H1695" s="1">
        <v>25</v>
      </c>
      <c r="I1695" s="1">
        <v>1</v>
      </c>
      <c r="J1695" s="1">
        <v>13</v>
      </c>
      <c r="K1695" s="1">
        <v>0</v>
      </c>
      <c r="L1695" s="1">
        <v>0</v>
      </c>
      <c r="M1695" s="1">
        <v>3</v>
      </c>
      <c r="N1695" s="1">
        <v>1</v>
      </c>
      <c r="O1695" s="1">
        <v>1</v>
      </c>
      <c r="P1695" s="1">
        <v>0</v>
      </c>
      <c r="Q1695" s="1">
        <v>3</v>
      </c>
      <c r="R1695" s="1">
        <v>7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48</v>
      </c>
      <c r="AA1695" s="1" t="str" cm="1">
        <f t="array" ref="AA1695">_xlfn.IFS(AND(Z1695&lt;36, Z1695&gt;23), "24-35", AND(Z1695&lt;51, Z1695&gt;35),"36-50", AND(Z1695&lt;66, Z1695&gt;50), "51-66", Z1695&gt;65, "66+", TRUE, "?")</f>
        <v>36-50</v>
      </c>
      <c r="AB1695" s="1">
        <v>2278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0</v>
      </c>
      <c r="AJ1695" s="1">
        <v>0</v>
      </c>
      <c r="AK1695" s="1">
        <v>1</v>
      </c>
      <c r="AL1695" s="1">
        <v>36</v>
      </c>
      <c r="AM1695" s="2">
        <v>42571</v>
      </c>
      <c r="AN1695" t="str">
        <f t="shared" si="53"/>
        <v>38887,39,0.00100290585542726,1,0,17,25,1,13,0,0,3,1,1,0,3,7,0,0,0,0,0,0,0,48,36-50,2278,0,0,0,1,0,0,0,0,1,36,42571</v>
      </c>
    </row>
    <row r="1696" spans="1:40" ht="13" hidden="1" x14ac:dyDescent="0.15">
      <c r="A1696">
        <v>1323</v>
      </c>
      <c r="B1696" s="1">
        <v>54132</v>
      </c>
      <c r="C1696" s="1">
        <v>39</v>
      </c>
      <c r="D1696" s="4">
        <f t="shared" si="52"/>
        <v>7.2046109510086451E-4</v>
      </c>
      <c r="E1696" s="1">
        <v>0</v>
      </c>
      <c r="F1696" s="1">
        <v>1</v>
      </c>
      <c r="G1696" s="1">
        <v>81</v>
      </c>
      <c r="H1696" s="1">
        <v>30</v>
      </c>
      <c r="I1696" s="1">
        <v>1</v>
      </c>
      <c r="J1696" s="1">
        <v>8</v>
      </c>
      <c r="K1696" s="1">
        <v>0</v>
      </c>
      <c r="L1696" s="1">
        <v>0</v>
      </c>
      <c r="M1696" s="1">
        <v>3</v>
      </c>
      <c r="N1696" s="1">
        <v>1</v>
      </c>
      <c r="O1696" s="1">
        <v>1</v>
      </c>
      <c r="P1696" s="1">
        <v>0</v>
      </c>
      <c r="Q1696" s="1">
        <v>3</v>
      </c>
      <c r="R1696" s="1">
        <v>7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51</v>
      </c>
      <c r="AA1696" s="1" t="str" cm="1">
        <f t="array" ref="AA1696">_xlfn.IFS(AND(Z1696&lt;36, Z1696&gt;23), "24-35", AND(Z1696&lt;51, Z1696&gt;35),"36-50", AND(Z1696&lt;66, Z1696&gt;50), "51-66", Z1696&gt;65, "66+", TRUE, "?")</f>
        <v>51-66</v>
      </c>
      <c r="AB1696" s="1">
        <v>2292</v>
      </c>
      <c r="AC1696" s="1">
        <v>0</v>
      </c>
      <c r="AD1696" s="1">
        <v>0</v>
      </c>
      <c r="AE1696" s="1">
        <v>0</v>
      </c>
      <c r="AF1696" s="1">
        <v>1</v>
      </c>
      <c r="AG1696" s="1">
        <v>0</v>
      </c>
      <c r="AH1696" s="1">
        <v>0</v>
      </c>
      <c r="AI1696" s="1">
        <v>0</v>
      </c>
      <c r="AJ1696" s="1">
        <v>0</v>
      </c>
      <c r="AK1696" s="1">
        <v>1</v>
      </c>
      <c r="AL1696" s="1">
        <v>36</v>
      </c>
      <c r="AM1696" s="2">
        <v>42557</v>
      </c>
      <c r="AN1696" t="str">
        <f t="shared" si="53"/>
        <v>54132,39,0.000720461095100865,0,1,81,30,1,8,0,0,3,1,1,0,3,7,0,0,0,0,0,0,0,51,51-66,2292,0,0,0,1,0,0,0,0,1,36,42557</v>
      </c>
    </row>
    <row r="1697" spans="1:40" ht="13" hidden="1" x14ac:dyDescent="0.15">
      <c r="A1697">
        <v>1477</v>
      </c>
      <c r="B1697" s="1">
        <v>54072</v>
      </c>
      <c r="C1697" s="1">
        <v>39</v>
      </c>
      <c r="D1697" s="4">
        <f t="shared" si="52"/>
        <v>7.2126054150022188E-4</v>
      </c>
      <c r="E1697" s="1">
        <v>1</v>
      </c>
      <c r="F1697" s="1">
        <v>1</v>
      </c>
      <c r="G1697" s="1">
        <v>71</v>
      </c>
      <c r="H1697" s="1">
        <v>35</v>
      </c>
      <c r="I1697" s="1">
        <v>0</v>
      </c>
      <c r="J1697" s="1">
        <v>4</v>
      </c>
      <c r="K1697" s="1">
        <v>0</v>
      </c>
      <c r="L1697" s="1">
        <v>0</v>
      </c>
      <c r="M1697" s="1">
        <v>0</v>
      </c>
      <c r="N1697" s="1">
        <v>1</v>
      </c>
      <c r="O1697" s="1">
        <v>2</v>
      </c>
      <c r="P1697" s="1">
        <v>0</v>
      </c>
      <c r="Q1697" s="1">
        <v>2</v>
      </c>
      <c r="R1697" s="1">
        <v>8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57</v>
      </c>
      <c r="AA1697" s="1" t="str" cm="1">
        <f t="array" ref="AA1697">_xlfn.IFS(AND(Z1697&lt;36, Z1697&gt;23), "24-35", AND(Z1697&lt;51, Z1697&gt;35),"36-50", AND(Z1697&lt;66, Z1697&gt;50), "51-66", Z1697&gt;65, "66+", TRUE, "?")</f>
        <v>51-66</v>
      </c>
      <c r="AB1697" s="1">
        <v>2496</v>
      </c>
      <c r="AC1697" s="1">
        <v>0</v>
      </c>
      <c r="AD1697" s="1">
        <v>1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1</v>
      </c>
      <c r="AL1697" s="1">
        <v>39</v>
      </c>
      <c r="AM1697" s="2">
        <v>42353</v>
      </c>
      <c r="AN1697" t="str">
        <f t="shared" si="53"/>
        <v>54072,39,0.000721260541500222,1,1,71,35,0,4,0,0,0,1,2,0,2,8,0,0,0,0,0,0,0,57,51-66,2496,0,1,0,0,0,0,0,0,1,39,42353</v>
      </c>
    </row>
    <row r="1698" spans="1:40" ht="13" hidden="1" x14ac:dyDescent="0.15">
      <c r="A1698">
        <v>1593</v>
      </c>
      <c r="B1698" s="1">
        <v>42403</v>
      </c>
      <c r="C1698" s="1">
        <v>39</v>
      </c>
      <c r="D1698" s="4">
        <f t="shared" si="52"/>
        <v>9.197462443695021E-4</v>
      </c>
      <c r="E1698" s="1">
        <v>1</v>
      </c>
      <c r="F1698" s="1">
        <v>0</v>
      </c>
      <c r="G1698" s="1">
        <v>18</v>
      </c>
      <c r="H1698" s="1">
        <v>22</v>
      </c>
      <c r="I1698" s="1">
        <v>1</v>
      </c>
      <c r="J1698" s="1">
        <v>11</v>
      </c>
      <c r="K1698" s="1">
        <v>0</v>
      </c>
      <c r="L1698" s="1">
        <v>5</v>
      </c>
      <c r="M1698" s="1">
        <v>3</v>
      </c>
      <c r="N1698" s="1">
        <v>1</v>
      </c>
      <c r="O1698" s="1">
        <v>1</v>
      </c>
      <c r="P1698" s="1">
        <v>0</v>
      </c>
      <c r="Q1698" s="1">
        <v>3</v>
      </c>
      <c r="R1698" s="1">
        <v>8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49</v>
      </c>
      <c r="AA1698" s="1" t="str" cm="1">
        <f t="array" ref="AA1698">_xlfn.IFS(AND(Z1698&lt;36, Z1698&gt;23), "24-35", AND(Z1698&lt;51, Z1698&gt;35),"36-50", AND(Z1698&lt;66, Z1698&gt;50), "51-66", Z1698&gt;65, "66+", TRUE, "?")</f>
        <v>36-50</v>
      </c>
      <c r="AB1698" s="1">
        <v>2359</v>
      </c>
      <c r="AC1698" s="1">
        <v>0</v>
      </c>
      <c r="AD1698" s="1">
        <v>1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1</v>
      </c>
      <c r="AL1698" s="1">
        <v>36</v>
      </c>
      <c r="AM1698" s="2">
        <v>42490</v>
      </c>
      <c r="AN1698" t="str">
        <f t="shared" si="53"/>
        <v>42403,39,0.000919746244369502,1,0,18,22,1,11,0,5,3,1,1,0,3,8,0,0,0,0,0,0,0,49,36-50,2359,0,1,0,0,0,0,0,0,1,36,42490</v>
      </c>
    </row>
    <row r="1699" spans="1:40" ht="13" hidden="1" x14ac:dyDescent="0.15">
      <c r="A1699">
        <v>1710</v>
      </c>
      <c r="B1699" s="1">
        <v>49638</v>
      </c>
      <c r="C1699" s="1">
        <v>39</v>
      </c>
      <c r="D1699" s="4">
        <f t="shared" si="52"/>
        <v>7.8568838389943187E-4</v>
      </c>
      <c r="E1699" s="1">
        <v>0</v>
      </c>
      <c r="F1699" s="1">
        <v>1</v>
      </c>
      <c r="G1699" s="1">
        <v>71</v>
      </c>
      <c r="H1699" s="1">
        <v>18</v>
      </c>
      <c r="I1699" s="1">
        <v>10</v>
      </c>
      <c r="J1699" s="1">
        <v>3</v>
      </c>
      <c r="K1699" s="1">
        <v>3</v>
      </c>
      <c r="L1699" s="1">
        <v>5</v>
      </c>
      <c r="M1699" s="1">
        <v>0</v>
      </c>
      <c r="N1699" s="1">
        <v>1</v>
      </c>
      <c r="O1699" s="1">
        <v>1</v>
      </c>
      <c r="P1699" s="1">
        <v>0</v>
      </c>
      <c r="Q1699" s="1">
        <v>3</v>
      </c>
      <c r="R1699" s="1">
        <v>2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68</v>
      </c>
      <c r="AA1699" s="1" t="str" cm="1">
        <f t="array" ref="AA1699">_xlfn.IFS(AND(Z1699&lt;36, Z1699&gt;23), "24-35", AND(Z1699&lt;51, Z1699&gt;35),"36-50", AND(Z1699&lt;66, Z1699&gt;50), "51-66", Z1699&gt;65, "66+", TRUE, "?")</f>
        <v>66+</v>
      </c>
      <c r="AB1699" s="1">
        <v>2230</v>
      </c>
      <c r="AC1699" s="1">
        <v>1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1</v>
      </c>
      <c r="AJ1699" s="1">
        <v>0</v>
      </c>
      <c r="AK1699" s="1">
        <v>0</v>
      </c>
      <c r="AL1699" s="1">
        <v>39</v>
      </c>
      <c r="AM1699" s="2">
        <v>42619</v>
      </c>
      <c r="AN1699" t="str">
        <f t="shared" si="53"/>
        <v>49638,39,0.000785688383899432,0,1,71,18,10,3,3,5,0,1,1,0,3,2,0,0,0,0,0,0,0,68,66+,2230,1,0,0,0,0,0,1,0,0,39,42619</v>
      </c>
    </row>
    <row r="1700" spans="1:40" ht="13" hidden="1" x14ac:dyDescent="0.15">
      <c r="A1700">
        <v>1767</v>
      </c>
      <c r="B1700" s="1">
        <v>28320</v>
      </c>
      <c r="C1700" s="1">
        <v>39</v>
      </c>
      <c r="D1700" s="4">
        <f t="shared" si="52"/>
        <v>1.3771186440677966E-3</v>
      </c>
      <c r="E1700" s="1">
        <v>0</v>
      </c>
      <c r="F1700" s="1">
        <v>1</v>
      </c>
      <c r="G1700" s="1">
        <v>68</v>
      </c>
      <c r="H1700" s="1">
        <v>19</v>
      </c>
      <c r="I1700" s="1">
        <v>1</v>
      </c>
      <c r="J1700" s="1">
        <v>14</v>
      </c>
      <c r="K1700" s="1">
        <v>3</v>
      </c>
      <c r="L1700" s="1">
        <v>2</v>
      </c>
      <c r="M1700" s="1">
        <v>4</v>
      </c>
      <c r="N1700" s="1">
        <v>1</v>
      </c>
      <c r="O1700" s="1">
        <v>1</v>
      </c>
      <c r="P1700" s="1">
        <v>0</v>
      </c>
      <c r="Q1700" s="1">
        <v>3</v>
      </c>
      <c r="R1700" s="1">
        <v>8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70</v>
      </c>
      <c r="AA1700" s="1" t="str" cm="1">
        <f t="array" ref="AA1700">_xlfn.IFS(AND(Z1700&lt;36, Z1700&gt;23), "24-35", AND(Z1700&lt;51, Z1700&gt;35),"36-50", AND(Z1700&lt;66, Z1700&gt;50), "51-66", Z1700&gt;65, "66+", TRUE, "?")</f>
        <v>66+</v>
      </c>
      <c r="AB1700" s="1">
        <v>2690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1</v>
      </c>
      <c r="AJ1700" s="1">
        <v>0</v>
      </c>
      <c r="AK1700" s="1">
        <v>0</v>
      </c>
      <c r="AL1700" s="1">
        <v>35</v>
      </c>
      <c r="AM1700" s="2">
        <v>42159</v>
      </c>
      <c r="AN1700" t="str">
        <f t="shared" si="53"/>
        <v>28320,39,0.0013771186440678,0,1,68,19,1,14,3,2,4,1,1,0,3,8,0,0,0,0,0,0,0,70,66+,2690,0,0,0,1,0,0,1,0,0,35,42159</v>
      </c>
    </row>
    <row r="1701" spans="1:40" ht="13" hidden="1" x14ac:dyDescent="0.15">
      <c r="A1701">
        <v>1873</v>
      </c>
      <c r="B1701" s="1">
        <v>48794</v>
      </c>
      <c r="C1701" s="1">
        <v>39</v>
      </c>
      <c r="D1701" s="4">
        <f t="shared" si="52"/>
        <v>7.9927859982784771E-4</v>
      </c>
      <c r="E1701" s="1">
        <v>1</v>
      </c>
      <c r="F1701" s="1">
        <v>1</v>
      </c>
      <c r="G1701" s="1">
        <v>97</v>
      </c>
      <c r="H1701" s="1">
        <v>25</v>
      </c>
      <c r="I1701" s="1">
        <v>0</v>
      </c>
      <c r="J1701" s="1">
        <v>11</v>
      </c>
      <c r="K1701" s="1">
        <v>3</v>
      </c>
      <c r="L1701" s="1">
        <v>0</v>
      </c>
      <c r="M1701" s="1">
        <v>15</v>
      </c>
      <c r="N1701" s="1">
        <v>1</v>
      </c>
      <c r="O1701" s="1">
        <v>1</v>
      </c>
      <c r="P1701" s="1">
        <v>0</v>
      </c>
      <c r="Q1701" s="1">
        <v>3</v>
      </c>
      <c r="R1701" s="1">
        <v>4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67</v>
      </c>
      <c r="AA1701" s="1" t="str" cm="1">
        <f t="array" ref="AA1701">_xlfn.IFS(AND(Z1701&lt;36, Z1701&gt;23), "24-35", AND(Z1701&lt;51, Z1701&gt;35),"36-50", AND(Z1701&lt;66, Z1701&gt;50), "51-66", Z1701&gt;65, "66+", TRUE, "?")</f>
        <v>66+</v>
      </c>
      <c r="AB1701" s="1">
        <v>2162</v>
      </c>
      <c r="AC1701" s="1">
        <v>0</v>
      </c>
      <c r="AD1701" s="1">
        <v>0</v>
      </c>
      <c r="AE1701" s="1">
        <v>0</v>
      </c>
      <c r="AF1701" s="1">
        <v>1</v>
      </c>
      <c r="AG1701" s="1">
        <v>0</v>
      </c>
      <c r="AH1701" s="1">
        <v>0</v>
      </c>
      <c r="AI1701" s="1">
        <v>1</v>
      </c>
      <c r="AJ1701" s="1">
        <v>0</v>
      </c>
      <c r="AK1701" s="1">
        <v>0</v>
      </c>
      <c r="AL1701" s="1">
        <v>24</v>
      </c>
      <c r="AM1701" s="2">
        <v>42687</v>
      </c>
      <c r="AN1701" t="str">
        <f t="shared" si="53"/>
        <v>48794,39,0.000799278599827848,1,1,97,25,0,11,3,0,15,1,1,0,3,4,0,0,0,0,0,0,0,67,66+,2162,0,0,0,1,0,0,1,0,0,24,42687</v>
      </c>
    </row>
    <row r="1702" spans="1:40" ht="13" x14ac:dyDescent="0.15">
      <c r="A1702">
        <v>1899</v>
      </c>
      <c r="B1702" s="1">
        <v>33569</v>
      </c>
      <c r="C1702" s="1">
        <v>39</v>
      </c>
      <c r="D1702" s="4">
        <f t="shared" si="52"/>
        <v>1.1617861717656171E-3</v>
      </c>
      <c r="E1702" s="1">
        <v>1</v>
      </c>
      <c r="F1702" s="1">
        <v>0</v>
      </c>
      <c r="G1702" s="1">
        <v>10</v>
      </c>
      <c r="H1702" s="1">
        <v>16</v>
      </c>
      <c r="I1702" s="1">
        <v>2</v>
      </c>
      <c r="J1702" s="1">
        <v>18</v>
      </c>
      <c r="K1702" s="1">
        <v>3</v>
      </c>
      <c r="L1702" s="1">
        <v>0</v>
      </c>
      <c r="M1702" s="1">
        <v>24</v>
      </c>
      <c r="N1702" s="1">
        <v>1</v>
      </c>
      <c r="O1702" s="1">
        <v>1</v>
      </c>
      <c r="P1702" s="1">
        <v>1</v>
      </c>
      <c r="Q1702" s="1">
        <v>2</v>
      </c>
      <c r="R1702" s="1">
        <v>8</v>
      </c>
      <c r="S1702" s="1">
        <v>0</v>
      </c>
      <c r="T1702" s="1">
        <v>0</v>
      </c>
      <c r="U1702" s="1">
        <v>1</v>
      </c>
      <c r="V1702" s="1">
        <v>0</v>
      </c>
      <c r="W1702" s="1">
        <v>0</v>
      </c>
      <c r="X1702" s="1">
        <v>0</v>
      </c>
      <c r="Y1702" s="1">
        <v>1</v>
      </c>
      <c r="Z1702" s="1">
        <v>37</v>
      </c>
      <c r="AA1702" s="1" t="str" cm="1">
        <f t="array" ref="AA1702">_xlfn.IFS(AND(Z1702&lt;36, Z1702&gt;23), "24-35", AND(Z1702&lt;51, Z1702&gt;35),"36-50", AND(Z1702&lt;66, Z1702&gt;50), "51-66", Z1702&gt;65, "66+", TRUE, "?")</f>
        <v>36-50</v>
      </c>
      <c r="AB1702" s="1">
        <v>2415</v>
      </c>
      <c r="AC1702" s="1">
        <v>0</v>
      </c>
      <c r="AD1702" s="1">
        <v>1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1</v>
      </c>
      <c r="AL1702" s="1">
        <v>15</v>
      </c>
      <c r="AM1702" s="2">
        <v>42434</v>
      </c>
      <c r="AN1702" t="str">
        <f t="shared" si="53"/>
        <v>33569,39,0.00116178617176562,1,0,10,16,2,18,3,0,24,1,1,1,2,8,0,0,1,0,0,0,1,37,36-50,2415,0,1,0,0,0,0,0,0,1,15,42434</v>
      </c>
    </row>
    <row r="1703" spans="1:40" ht="13" x14ac:dyDescent="0.15">
      <c r="A1703">
        <v>1895</v>
      </c>
      <c r="B1703" s="1">
        <v>17459</v>
      </c>
      <c r="C1703" s="1">
        <v>39</v>
      </c>
      <c r="D1703" s="4">
        <f t="shared" si="52"/>
        <v>2.2338049143708115E-3</v>
      </c>
      <c r="E1703" s="1">
        <v>1</v>
      </c>
      <c r="F1703" s="1">
        <v>0</v>
      </c>
      <c r="G1703" s="1">
        <v>12</v>
      </c>
      <c r="H1703" s="1">
        <v>6</v>
      </c>
      <c r="I1703" s="1">
        <v>4</v>
      </c>
      <c r="J1703" s="1">
        <v>16</v>
      </c>
      <c r="K1703" s="1">
        <v>3</v>
      </c>
      <c r="L1703" s="1">
        <v>10</v>
      </c>
      <c r="M1703" s="1">
        <v>30</v>
      </c>
      <c r="N1703" s="1">
        <v>3</v>
      </c>
      <c r="O1703" s="1">
        <v>3</v>
      </c>
      <c r="P1703" s="1">
        <v>1</v>
      </c>
      <c r="Q1703" s="1">
        <v>2</v>
      </c>
      <c r="R1703" s="1">
        <v>7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1</v>
      </c>
      <c r="Z1703" s="1">
        <v>45</v>
      </c>
      <c r="AA1703" s="1" t="str" cm="1">
        <f t="array" ref="AA1703">_xlfn.IFS(AND(Z1703&lt;36, Z1703&gt;23), "24-35", AND(Z1703&lt;51, Z1703&gt;35),"36-50", AND(Z1703&lt;66, Z1703&gt;50), "51-66", Z1703&gt;65, "66+", TRUE, "?")</f>
        <v>36-50</v>
      </c>
      <c r="AB1703" s="1">
        <v>2442</v>
      </c>
      <c r="AC1703" s="1">
        <v>0</v>
      </c>
      <c r="AD1703" s="1">
        <v>0</v>
      </c>
      <c r="AE1703" s="1">
        <v>0</v>
      </c>
      <c r="AF1703" s="1">
        <v>1</v>
      </c>
      <c r="AG1703" s="1">
        <v>0</v>
      </c>
      <c r="AH1703" s="1">
        <v>0</v>
      </c>
      <c r="AI1703" s="1">
        <v>0</v>
      </c>
      <c r="AJ1703" s="1">
        <v>1</v>
      </c>
      <c r="AK1703" s="1">
        <v>0</v>
      </c>
      <c r="AL1703" s="1">
        <v>9</v>
      </c>
      <c r="AM1703" s="2">
        <v>42407</v>
      </c>
      <c r="AN1703" t="str">
        <f t="shared" si="53"/>
        <v>17459,39,0.00223380491437081,1,0,12,6,4,16,3,10,30,3,3,1,2,7,0,0,0,0,0,0,1,45,36-50,2442,0,0,0,1,0,0,0,1,0,9,42407</v>
      </c>
    </row>
    <row r="1704" spans="1:40" ht="13" x14ac:dyDescent="0.15">
      <c r="A1704">
        <v>1898</v>
      </c>
      <c r="B1704" s="1">
        <v>7500</v>
      </c>
      <c r="C1704" s="1">
        <v>39</v>
      </c>
      <c r="D1704" s="4">
        <f t="shared" si="52"/>
        <v>5.1999999999999998E-3</v>
      </c>
      <c r="E1704" s="1">
        <v>1</v>
      </c>
      <c r="F1704" s="1">
        <v>0</v>
      </c>
      <c r="G1704" s="1">
        <v>19</v>
      </c>
      <c r="H1704" s="1">
        <v>7</v>
      </c>
      <c r="I1704" s="1">
        <v>0</v>
      </c>
      <c r="J1704" s="1">
        <v>12</v>
      </c>
      <c r="K1704" s="1">
        <v>13</v>
      </c>
      <c r="L1704" s="1">
        <v>7</v>
      </c>
      <c r="M1704" s="1">
        <v>32</v>
      </c>
      <c r="N1704" s="1">
        <v>5</v>
      </c>
      <c r="O1704" s="1">
        <v>4</v>
      </c>
      <c r="P1704" s="1">
        <v>1</v>
      </c>
      <c r="Q1704" s="1">
        <v>2</v>
      </c>
      <c r="R1704" s="1">
        <v>9</v>
      </c>
      <c r="S1704" s="1">
        <v>0</v>
      </c>
      <c r="T1704" s="1">
        <v>0</v>
      </c>
      <c r="U1704" s="1">
        <v>1</v>
      </c>
      <c r="V1704" s="1">
        <v>0</v>
      </c>
      <c r="W1704" s="1">
        <v>0</v>
      </c>
      <c r="X1704" s="1">
        <v>0</v>
      </c>
      <c r="Y1704" s="1">
        <v>1</v>
      </c>
      <c r="Z1704" s="1">
        <v>44</v>
      </c>
      <c r="AA1704" s="1" t="str" cm="1">
        <f t="array" ref="AA1704">_xlfn.IFS(AND(Z1704&lt;36, Z1704&gt;23), "24-35", AND(Z1704&lt;51, Z1704&gt;35),"36-50", AND(Z1704&lt;66, Z1704&gt;50), "51-66", Z1704&gt;65, "66+", TRUE, "?")</f>
        <v>36-50</v>
      </c>
      <c r="AB1704" s="1">
        <v>2856</v>
      </c>
      <c r="AC1704" s="1">
        <v>0</v>
      </c>
      <c r="AD1704" s="1">
        <v>1</v>
      </c>
      <c r="AE1704" s="1">
        <v>0</v>
      </c>
      <c r="AF1704" s="1">
        <v>0</v>
      </c>
      <c r="AG1704" s="1">
        <v>0</v>
      </c>
      <c r="AH1704" s="1">
        <v>0</v>
      </c>
      <c r="AI1704" s="1">
        <v>1</v>
      </c>
      <c r="AJ1704" s="1">
        <v>0</v>
      </c>
      <c r="AK1704" s="1">
        <v>0</v>
      </c>
      <c r="AL1704" s="1">
        <v>7</v>
      </c>
      <c r="AM1704" s="2">
        <v>41993</v>
      </c>
      <c r="AN1704" t="str">
        <f t="shared" si="53"/>
        <v>7500,39,0.0052,1,0,19,7,0,12,13,7,32,5,4,1,2,9,0,0,1,0,0,0,1,44,36-50,2856,0,1,0,0,0,0,1,0,0,7,41993</v>
      </c>
    </row>
    <row r="1705" spans="1:40" ht="13" hidden="1" x14ac:dyDescent="0.15">
      <c r="A1705">
        <v>1900</v>
      </c>
      <c r="B1705" s="1">
        <v>48699</v>
      </c>
      <c r="C1705" s="1">
        <v>39</v>
      </c>
      <c r="D1705" s="4">
        <f t="shared" si="52"/>
        <v>8.0083779954413846E-4</v>
      </c>
      <c r="E1705" s="1">
        <v>1</v>
      </c>
      <c r="F1705" s="1">
        <v>1</v>
      </c>
      <c r="G1705" s="1">
        <v>90</v>
      </c>
      <c r="H1705" s="1">
        <v>26</v>
      </c>
      <c r="I1705" s="1">
        <v>1</v>
      </c>
      <c r="J1705" s="1">
        <v>10</v>
      </c>
      <c r="K1705" s="1">
        <v>2</v>
      </c>
      <c r="L1705" s="1">
        <v>0</v>
      </c>
      <c r="M1705" s="1">
        <v>1</v>
      </c>
      <c r="N1705" s="1">
        <v>1</v>
      </c>
      <c r="O1705" s="1">
        <v>1</v>
      </c>
      <c r="P1705" s="1">
        <v>0</v>
      </c>
      <c r="Q1705" s="1">
        <v>3</v>
      </c>
      <c r="R1705" s="1">
        <v>5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70</v>
      </c>
      <c r="AA1705" s="1" t="str" cm="1">
        <f t="array" ref="AA1705">_xlfn.IFS(AND(Z1705&lt;36, Z1705&gt;23), "24-35", AND(Z1705&lt;51, Z1705&gt;35),"36-50", AND(Z1705&lt;66, Z1705&gt;50), "51-66", Z1705&gt;65, "66+", TRUE, "?")</f>
        <v>66+</v>
      </c>
      <c r="AB1705" s="1">
        <v>2563</v>
      </c>
      <c r="AC1705" s="1">
        <v>0</v>
      </c>
      <c r="AD1705" s="1">
        <v>1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1</v>
      </c>
      <c r="AL1705" s="1">
        <v>38</v>
      </c>
      <c r="AM1705" s="2">
        <v>42286</v>
      </c>
      <c r="AN1705" t="str">
        <f t="shared" si="53"/>
        <v>48699,39,0.000800837799544138,1,1,90,26,1,10,2,0,1,1,1,0,3,5,0,0,0,0,0,0,0,70,66+,2563,0,1,0,0,0,0,0,0,1,38,42286</v>
      </c>
    </row>
    <row r="1706" spans="1:40" ht="13" hidden="1" x14ac:dyDescent="0.15">
      <c r="A1706">
        <v>1905</v>
      </c>
      <c r="B1706" s="1">
        <v>53204</v>
      </c>
      <c r="C1706" s="1">
        <v>39</v>
      </c>
      <c r="D1706" s="4">
        <f t="shared" si="52"/>
        <v>7.3302759191038271E-4</v>
      </c>
      <c r="E1706" s="1">
        <v>1</v>
      </c>
      <c r="F1706" s="1">
        <v>1</v>
      </c>
      <c r="G1706" s="1">
        <v>40</v>
      </c>
      <c r="H1706" s="1">
        <v>29</v>
      </c>
      <c r="I1706" s="1">
        <v>0</v>
      </c>
      <c r="J1706" s="1">
        <v>8</v>
      </c>
      <c r="K1706" s="1">
        <v>2</v>
      </c>
      <c r="L1706" s="1">
        <v>0</v>
      </c>
      <c r="M1706" s="1">
        <v>6</v>
      </c>
      <c r="N1706" s="1">
        <v>1</v>
      </c>
      <c r="O1706" s="1">
        <v>1</v>
      </c>
      <c r="P1706" s="1">
        <v>0</v>
      </c>
      <c r="Q1706" s="1">
        <v>3</v>
      </c>
      <c r="R1706" s="1">
        <v>4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44</v>
      </c>
      <c r="AA1706" s="1" t="str" cm="1">
        <f t="array" ref="AA1706">_xlfn.IFS(AND(Z1706&lt;36, Z1706&gt;23), "24-35", AND(Z1706&lt;51, Z1706&gt;35),"36-50", AND(Z1706&lt;66, Z1706&gt;50), "51-66", Z1706&gt;65, "66+", TRUE, "?")</f>
        <v>36-50</v>
      </c>
      <c r="AB1706" s="1">
        <v>2260</v>
      </c>
      <c r="AC1706" s="1">
        <v>0</v>
      </c>
      <c r="AD1706" s="1">
        <v>1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1</v>
      </c>
      <c r="AK1706" s="1">
        <v>0</v>
      </c>
      <c r="AL1706" s="1">
        <v>33</v>
      </c>
      <c r="AM1706" s="2">
        <v>42589</v>
      </c>
      <c r="AN1706" t="str">
        <f t="shared" si="53"/>
        <v>53204,39,0.000733027591910383,1,1,40,29,0,8,2,0,6,1,1,0,3,4,0,0,0,0,0,0,0,44,36-50,2260,0,1,0,0,0,0,0,1,0,33,42589</v>
      </c>
    </row>
    <row r="1707" spans="1:40" ht="13" hidden="1" x14ac:dyDescent="0.15">
      <c r="A1707">
        <v>1963</v>
      </c>
      <c r="B1707" s="1">
        <v>41967</v>
      </c>
      <c r="C1707" s="1">
        <v>39</v>
      </c>
      <c r="D1707" s="4">
        <f t="shared" si="52"/>
        <v>9.2930159410965763E-4</v>
      </c>
      <c r="E1707" s="1">
        <v>1</v>
      </c>
      <c r="F1707" s="1">
        <v>1</v>
      </c>
      <c r="G1707" s="1">
        <v>66</v>
      </c>
      <c r="H1707" s="1">
        <v>23</v>
      </c>
      <c r="I1707" s="1">
        <v>4</v>
      </c>
      <c r="J1707" s="1">
        <v>10</v>
      </c>
      <c r="K1707" s="1">
        <v>0</v>
      </c>
      <c r="L1707" s="1">
        <v>2</v>
      </c>
      <c r="M1707" s="1">
        <v>15</v>
      </c>
      <c r="N1707" s="1">
        <v>1</v>
      </c>
      <c r="O1707" s="1">
        <v>1</v>
      </c>
      <c r="P1707" s="1">
        <v>0</v>
      </c>
      <c r="Q1707" s="1">
        <v>3</v>
      </c>
      <c r="R1707" s="1">
        <v>4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39</v>
      </c>
      <c r="AA1707" s="1" t="str" cm="1">
        <f t="array" ref="AA1707">_xlfn.IFS(AND(Z1707&lt;36, Z1707&gt;23), "24-35", AND(Z1707&lt;51, Z1707&gt;35),"36-50", AND(Z1707&lt;66, Z1707&gt;50), "51-66", Z1707&gt;65, "66+", TRUE, "?")</f>
        <v>36-50</v>
      </c>
      <c r="AB1707" s="1">
        <v>2377</v>
      </c>
      <c r="AC1707" s="1">
        <v>0</v>
      </c>
      <c r="AD1707" s="1">
        <v>0</v>
      </c>
      <c r="AE1707" s="1">
        <v>1</v>
      </c>
      <c r="AF1707" s="1">
        <v>0</v>
      </c>
      <c r="AG1707" s="1">
        <v>0</v>
      </c>
      <c r="AH1707" s="1">
        <v>0</v>
      </c>
      <c r="AI1707" s="1">
        <v>1</v>
      </c>
      <c r="AJ1707" s="1">
        <v>0</v>
      </c>
      <c r="AK1707" s="1">
        <v>0</v>
      </c>
      <c r="AL1707" s="1">
        <v>24</v>
      </c>
      <c r="AM1707" s="2">
        <v>42472</v>
      </c>
      <c r="AN1707" t="str">
        <f t="shared" si="53"/>
        <v>41967,39,0.000929301594109658,1,1,66,23,4,10,0,2,15,1,1,0,3,4,0,0,0,0,0,0,0,39,36-50,2377,0,0,1,0,0,0,1,0,0,24,42472</v>
      </c>
    </row>
    <row r="1708" spans="1:40" ht="13" hidden="1" x14ac:dyDescent="0.15">
      <c r="A1708">
        <v>304</v>
      </c>
      <c r="B1708" s="1">
        <v>54432</v>
      </c>
      <c r="C1708" s="1">
        <v>38</v>
      </c>
      <c r="D1708" s="4">
        <f t="shared" si="52"/>
        <v>6.9811875367430923E-4</v>
      </c>
      <c r="E1708" s="1">
        <v>2</v>
      </c>
      <c r="F1708" s="1">
        <v>1</v>
      </c>
      <c r="G1708" s="1">
        <v>37</v>
      </c>
      <c r="H1708" s="1">
        <v>33</v>
      </c>
      <c r="I1708" s="1">
        <v>0</v>
      </c>
      <c r="J1708" s="1">
        <v>5</v>
      </c>
      <c r="K1708" s="1">
        <v>0</v>
      </c>
      <c r="L1708" s="1">
        <v>0</v>
      </c>
      <c r="M1708" s="1">
        <v>0</v>
      </c>
      <c r="N1708" s="1">
        <v>1</v>
      </c>
      <c r="O1708" s="1">
        <v>1</v>
      </c>
      <c r="P1708" s="1">
        <v>0</v>
      </c>
      <c r="Q1708" s="1">
        <v>3</v>
      </c>
      <c r="R1708" s="1">
        <v>4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70</v>
      </c>
      <c r="AA1708" s="1" t="str" cm="1">
        <f t="array" ref="AA1708">_xlfn.IFS(AND(Z1708&lt;36, Z1708&gt;23), "24-35", AND(Z1708&lt;51, Z1708&gt;35),"36-50", AND(Z1708&lt;66, Z1708&gt;50), "51-66", Z1708&gt;65, "66+", TRUE, "?")</f>
        <v>66+</v>
      </c>
      <c r="AB1708" s="1">
        <v>2575</v>
      </c>
      <c r="AC1708" s="1">
        <v>0</v>
      </c>
      <c r="AD1708" s="1">
        <v>1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1</v>
      </c>
      <c r="AL1708" s="1">
        <v>38</v>
      </c>
      <c r="AM1708" s="2">
        <v>42274</v>
      </c>
      <c r="AN1708" t="str">
        <f t="shared" si="53"/>
        <v>54432,38,0.000698118753674309,2,1,37,33,0,5,0,0,0,1,1,0,3,4,0,0,0,0,0,0,0,70,66+,2575,0,1,0,0,0,0,0,0,1,38,42274</v>
      </c>
    </row>
    <row r="1709" spans="1:40" ht="13" hidden="1" x14ac:dyDescent="0.15">
      <c r="A1709">
        <v>567</v>
      </c>
      <c r="B1709" s="1">
        <v>30081</v>
      </c>
      <c r="C1709" s="1">
        <v>38</v>
      </c>
      <c r="D1709" s="4">
        <f t="shared" si="52"/>
        <v>1.2632558758020013E-3</v>
      </c>
      <c r="E1709" s="1">
        <v>0</v>
      </c>
      <c r="F1709" s="1">
        <v>1</v>
      </c>
      <c r="G1709" s="1">
        <v>27</v>
      </c>
      <c r="H1709" s="1">
        <v>36</v>
      </c>
      <c r="I1709" s="1">
        <v>0</v>
      </c>
      <c r="J1709" s="1">
        <v>2</v>
      </c>
      <c r="K1709" s="1">
        <v>0</v>
      </c>
      <c r="L1709" s="1">
        <v>0</v>
      </c>
      <c r="M1709" s="1">
        <v>4</v>
      </c>
      <c r="N1709" s="1">
        <v>1</v>
      </c>
      <c r="O1709" s="1">
        <v>1</v>
      </c>
      <c r="P1709" s="1">
        <v>0</v>
      </c>
      <c r="Q1709" s="1">
        <v>3</v>
      </c>
      <c r="R1709" s="1">
        <v>7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59</v>
      </c>
      <c r="AA1709" s="1" t="str" cm="1">
        <f t="array" ref="AA1709">_xlfn.IFS(AND(Z1709&lt;36, Z1709&gt;23), "24-35", AND(Z1709&lt;51, Z1709&gt;35),"36-50", AND(Z1709&lt;66, Z1709&gt;50), "51-66", Z1709&gt;65, "66+", TRUE, "?")</f>
        <v>51-66</v>
      </c>
      <c r="AB1709" s="1">
        <v>2652</v>
      </c>
      <c r="AC1709" s="1">
        <v>0</v>
      </c>
      <c r="AD1709" s="1">
        <v>0</v>
      </c>
      <c r="AE1709" s="1">
        <v>1</v>
      </c>
      <c r="AF1709" s="1">
        <v>0</v>
      </c>
      <c r="AG1709" s="1">
        <v>0</v>
      </c>
      <c r="AH1709" s="1">
        <v>0</v>
      </c>
      <c r="AI1709" s="1">
        <v>1</v>
      </c>
      <c r="AJ1709" s="1">
        <v>0</v>
      </c>
      <c r="AK1709" s="1">
        <v>0</v>
      </c>
      <c r="AL1709" s="1">
        <v>34</v>
      </c>
      <c r="AM1709" s="2">
        <v>42197</v>
      </c>
      <c r="AN1709" t="str">
        <f t="shared" si="53"/>
        <v>30081,38,0.001263255875802,0,1,27,36,0,2,0,0,4,1,1,0,3,7,0,0,0,0,0,0,0,59,51-66,2652,0,0,1,0,0,0,1,0,0,34,42197</v>
      </c>
    </row>
    <row r="1710" spans="1:40" ht="13" hidden="1" x14ac:dyDescent="0.15">
      <c r="A1710">
        <v>783</v>
      </c>
      <c r="B1710" s="1">
        <v>35441</v>
      </c>
      <c r="C1710" s="1">
        <v>38</v>
      </c>
      <c r="D1710" s="4">
        <f t="shared" si="52"/>
        <v>1.072204508902119E-3</v>
      </c>
      <c r="E1710" s="1">
        <v>1</v>
      </c>
      <c r="F1710" s="1">
        <v>1</v>
      </c>
      <c r="G1710" s="1">
        <v>94</v>
      </c>
      <c r="H1710" s="1">
        <v>25</v>
      </c>
      <c r="I1710" s="1">
        <v>1</v>
      </c>
      <c r="J1710" s="1">
        <v>9</v>
      </c>
      <c r="K1710" s="1">
        <v>2</v>
      </c>
      <c r="L1710" s="1">
        <v>1</v>
      </c>
      <c r="M1710" s="1">
        <v>1</v>
      </c>
      <c r="N1710" s="1">
        <v>2</v>
      </c>
      <c r="O1710" s="1">
        <v>1</v>
      </c>
      <c r="P1710" s="1">
        <v>0</v>
      </c>
      <c r="Q1710" s="1">
        <v>3</v>
      </c>
      <c r="R1710" s="1">
        <v>8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53</v>
      </c>
      <c r="AA1710" s="1" t="str" cm="1">
        <f t="array" ref="AA1710">_xlfn.IFS(AND(Z1710&lt;36, Z1710&gt;23), "24-35", AND(Z1710&lt;51, Z1710&gt;35),"36-50", AND(Z1710&lt;66, Z1710&gt;50), "51-66", Z1710&gt;65, "66+", TRUE, "?")</f>
        <v>51-66</v>
      </c>
      <c r="AB1710" s="1">
        <v>2659</v>
      </c>
      <c r="AC1710" s="1">
        <v>0</v>
      </c>
      <c r="AD1710" s="1">
        <v>1</v>
      </c>
      <c r="AE1710" s="1">
        <v>0</v>
      </c>
      <c r="AF1710" s="1">
        <v>0</v>
      </c>
      <c r="AG1710" s="1">
        <v>0</v>
      </c>
      <c r="AH1710" s="1">
        <v>0</v>
      </c>
      <c r="AI1710" s="1">
        <v>1</v>
      </c>
      <c r="AJ1710" s="1">
        <v>0</v>
      </c>
      <c r="AK1710" s="1">
        <v>0</v>
      </c>
      <c r="AL1710" s="1">
        <v>37</v>
      </c>
      <c r="AM1710" s="2">
        <v>42190</v>
      </c>
      <c r="AN1710" t="str">
        <f t="shared" si="53"/>
        <v>35441,38,0.00107220450890212,1,1,94,25,1,9,2,1,1,2,1,0,3,8,0,0,0,0,0,0,0,53,51-66,2659,0,1,0,0,0,0,1,0,0,37,42190</v>
      </c>
    </row>
    <row r="1711" spans="1:40" ht="13" hidden="1" x14ac:dyDescent="0.15">
      <c r="A1711">
        <v>787</v>
      </c>
      <c r="B1711" s="1">
        <v>45889</v>
      </c>
      <c r="C1711" s="1">
        <v>38</v>
      </c>
      <c r="D1711" s="4">
        <f t="shared" si="52"/>
        <v>8.2808516202139944E-4</v>
      </c>
      <c r="E1711" s="1">
        <v>0</v>
      </c>
      <c r="F1711" s="1">
        <v>1</v>
      </c>
      <c r="G1711" s="1">
        <v>42</v>
      </c>
      <c r="H1711" s="1">
        <v>31</v>
      </c>
      <c r="I1711" s="1">
        <v>0</v>
      </c>
      <c r="J1711" s="1">
        <v>6</v>
      </c>
      <c r="K1711" s="1">
        <v>0</v>
      </c>
      <c r="L1711" s="1">
        <v>1</v>
      </c>
      <c r="M1711" s="1">
        <v>8</v>
      </c>
      <c r="N1711" s="1">
        <v>1</v>
      </c>
      <c r="O1711" s="1">
        <v>1</v>
      </c>
      <c r="P1711" s="1">
        <v>0</v>
      </c>
      <c r="Q1711" s="1">
        <v>3</v>
      </c>
      <c r="R1711" s="1">
        <v>6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40</v>
      </c>
      <c r="AA1711" s="1" t="str" cm="1">
        <f t="array" ref="AA1711">_xlfn.IFS(AND(Z1711&lt;36, Z1711&gt;23), "24-35", AND(Z1711&lt;51, Z1711&gt;35),"36-50", AND(Z1711&lt;66, Z1711&gt;50), "51-66", Z1711&gt;65, "66+", TRUE, "?")</f>
        <v>36-50</v>
      </c>
      <c r="AB1711" s="1">
        <v>2521</v>
      </c>
      <c r="AC1711" s="1">
        <v>0</v>
      </c>
      <c r="AD1711" s="1">
        <v>0</v>
      </c>
      <c r="AE1711" s="1">
        <v>1</v>
      </c>
      <c r="AF1711" s="1">
        <v>0</v>
      </c>
      <c r="AG1711" s="1">
        <v>0</v>
      </c>
      <c r="AH1711" s="1">
        <v>1</v>
      </c>
      <c r="AI1711" s="1">
        <v>0</v>
      </c>
      <c r="AJ1711" s="1">
        <v>0</v>
      </c>
      <c r="AK1711" s="1">
        <v>0</v>
      </c>
      <c r="AL1711" s="1">
        <v>30</v>
      </c>
      <c r="AM1711" s="2">
        <v>42328</v>
      </c>
      <c r="AN1711" t="str">
        <f t="shared" si="53"/>
        <v>45889,38,0.000828085162021399,0,1,42,31,0,6,0,1,8,1,1,0,3,6,0,0,0,0,0,0,0,40,36-50,2521,0,0,1,0,0,1,0,0,0,30,42328</v>
      </c>
    </row>
    <row r="1712" spans="1:40" ht="13" hidden="1" x14ac:dyDescent="0.15">
      <c r="A1712">
        <v>1117</v>
      </c>
      <c r="B1712" s="1">
        <v>45894</v>
      </c>
      <c r="C1712" s="1">
        <v>38</v>
      </c>
      <c r="D1712" s="4">
        <f t="shared" si="52"/>
        <v>8.2799494487296814E-4</v>
      </c>
      <c r="E1712" s="1">
        <v>0</v>
      </c>
      <c r="F1712" s="1">
        <v>2</v>
      </c>
      <c r="G1712" s="1">
        <v>15</v>
      </c>
      <c r="H1712" s="1">
        <v>27</v>
      </c>
      <c r="I1712" s="1">
        <v>2</v>
      </c>
      <c r="J1712" s="1">
        <v>7</v>
      </c>
      <c r="K1712" s="1">
        <v>0</v>
      </c>
      <c r="L1712" s="1">
        <v>2</v>
      </c>
      <c r="M1712" s="1">
        <v>13</v>
      </c>
      <c r="N1712" s="1">
        <v>1</v>
      </c>
      <c r="O1712" s="1">
        <v>1</v>
      </c>
      <c r="P1712" s="1">
        <v>0</v>
      </c>
      <c r="Q1712" s="1">
        <v>3</v>
      </c>
      <c r="R1712" s="1">
        <v>5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46</v>
      </c>
      <c r="AA1712" s="1" t="str" cm="1">
        <f t="array" ref="AA1712">_xlfn.IFS(AND(Z1712&lt;36, Z1712&gt;23), "24-35", AND(Z1712&lt;51, Z1712&gt;35),"36-50", AND(Z1712&lt;66, Z1712&gt;50), "51-66", Z1712&gt;65, "66+", TRUE, "?")</f>
        <v>36-50</v>
      </c>
      <c r="AB1712" s="1">
        <v>2281</v>
      </c>
      <c r="AC1712" s="1">
        <v>0</v>
      </c>
      <c r="AD1712" s="1">
        <v>1</v>
      </c>
      <c r="AE1712" s="1">
        <v>0</v>
      </c>
      <c r="AF1712" s="1">
        <v>0</v>
      </c>
      <c r="AG1712" s="1">
        <v>0</v>
      </c>
      <c r="AH1712" s="1">
        <v>1</v>
      </c>
      <c r="AI1712" s="1">
        <v>0</v>
      </c>
      <c r="AJ1712" s="1">
        <v>0</v>
      </c>
      <c r="AK1712" s="1">
        <v>0</v>
      </c>
      <c r="AL1712" s="1">
        <v>25</v>
      </c>
      <c r="AM1712" s="2">
        <v>42568</v>
      </c>
      <c r="AN1712" t="str">
        <f t="shared" si="53"/>
        <v>45894,38,0.000827994944872968,0,2,15,27,2,7,0,2,13,1,1,0,3,5,0,0,0,0,0,0,0,46,36-50,2281,0,1,0,0,0,1,0,0,0,25,42568</v>
      </c>
    </row>
    <row r="1713" spans="1:40" ht="13" hidden="1" x14ac:dyDescent="0.15">
      <c r="A1713">
        <v>1476</v>
      </c>
      <c r="B1713" s="1">
        <v>27116</v>
      </c>
      <c r="C1713" s="1">
        <v>38</v>
      </c>
      <c r="D1713" s="4">
        <f t="shared" si="52"/>
        <v>1.4013866351969316E-3</v>
      </c>
      <c r="E1713" s="1">
        <v>1</v>
      </c>
      <c r="F1713" s="1">
        <v>1</v>
      </c>
      <c r="G1713" s="1">
        <v>78</v>
      </c>
      <c r="H1713" s="1">
        <v>12</v>
      </c>
      <c r="I1713" s="1">
        <v>1</v>
      </c>
      <c r="J1713" s="1">
        <v>21</v>
      </c>
      <c r="K1713" s="1">
        <v>2</v>
      </c>
      <c r="L1713" s="1">
        <v>2</v>
      </c>
      <c r="M1713" s="1">
        <v>3</v>
      </c>
      <c r="N1713" s="1">
        <v>2</v>
      </c>
      <c r="O1713" s="1">
        <v>2</v>
      </c>
      <c r="P1713" s="1">
        <v>0</v>
      </c>
      <c r="Q1713" s="1">
        <v>3</v>
      </c>
      <c r="R1713" s="1">
        <v>7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59</v>
      </c>
      <c r="AA1713" s="1" t="str" cm="1">
        <f t="array" ref="AA1713">_xlfn.IFS(AND(Z1713&lt;36, Z1713&gt;23), "24-35", AND(Z1713&lt;51, Z1713&gt;35),"36-50", AND(Z1713&lt;66, Z1713&gt;50), "51-66", Z1713&gt;65, "66+", TRUE, "?")</f>
        <v>51-66</v>
      </c>
      <c r="AB1713" s="1">
        <v>2278</v>
      </c>
      <c r="AC1713" s="1">
        <v>0</v>
      </c>
      <c r="AD1713" s="1">
        <v>1</v>
      </c>
      <c r="AE1713" s="1">
        <v>0</v>
      </c>
      <c r="AF1713" s="1">
        <v>0</v>
      </c>
      <c r="AG1713" s="1">
        <v>0</v>
      </c>
      <c r="AH1713" s="1">
        <v>0</v>
      </c>
      <c r="AI1713" s="1">
        <v>1</v>
      </c>
      <c r="AJ1713" s="1">
        <v>0</v>
      </c>
      <c r="AK1713" s="1">
        <v>0</v>
      </c>
      <c r="AL1713" s="1">
        <v>35</v>
      </c>
      <c r="AM1713" s="2">
        <v>42571</v>
      </c>
      <c r="AN1713" t="str">
        <f t="shared" si="53"/>
        <v>27116,38,0.00140138663519693,1,1,78,12,1,21,2,2,3,2,2,0,3,7,0,0,0,0,0,0,0,59,51-66,2278,0,1,0,0,0,0,1,0,0,35,42571</v>
      </c>
    </row>
    <row r="1714" spans="1:40" ht="13" hidden="1" x14ac:dyDescent="0.15">
      <c r="A1714">
        <v>1732</v>
      </c>
      <c r="B1714" s="1">
        <v>22148</v>
      </c>
      <c r="C1714" s="1">
        <v>38</v>
      </c>
      <c r="D1714" s="4">
        <f t="shared" si="52"/>
        <v>1.7157305400036121E-3</v>
      </c>
      <c r="E1714" s="1">
        <v>0</v>
      </c>
      <c r="F1714" s="1">
        <v>0</v>
      </c>
      <c r="G1714" s="1">
        <v>16</v>
      </c>
      <c r="H1714" s="1">
        <v>15</v>
      </c>
      <c r="I1714" s="1">
        <v>5</v>
      </c>
      <c r="J1714" s="1">
        <v>14</v>
      </c>
      <c r="K1714" s="1">
        <v>0</v>
      </c>
      <c r="L1714" s="1">
        <v>4</v>
      </c>
      <c r="M1714" s="1">
        <v>11</v>
      </c>
      <c r="N1714" s="1">
        <v>1</v>
      </c>
      <c r="O1714" s="1">
        <v>1</v>
      </c>
      <c r="P1714" s="1">
        <v>0</v>
      </c>
      <c r="Q1714" s="1">
        <v>3</v>
      </c>
      <c r="R1714" s="1">
        <v>7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37</v>
      </c>
      <c r="AA1714" s="1" t="str" cm="1">
        <f t="array" ref="AA1714">_xlfn.IFS(AND(Z1714&lt;36, Z1714&gt;23), "24-35", AND(Z1714&lt;51, Z1714&gt;35),"36-50", AND(Z1714&lt;66, Z1714&gt;50), "51-66", Z1714&gt;65, "66+", TRUE, "?")</f>
        <v>36-50</v>
      </c>
      <c r="AB1714" s="1">
        <v>2236</v>
      </c>
      <c r="AC1714" s="1">
        <v>0</v>
      </c>
      <c r="AD1714" s="1">
        <v>0</v>
      </c>
      <c r="AE1714" s="1">
        <v>1</v>
      </c>
      <c r="AF1714" s="1">
        <v>0</v>
      </c>
      <c r="AG1714" s="1">
        <v>0</v>
      </c>
      <c r="AH1714" s="1">
        <v>0</v>
      </c>
      <c r="AI1714" s="1">
        <v>1</v>
      </c>
      <c r="AJ1714" s="1">
        <v>0</v>
      </c>
      <c r="AK1714" s="1">
        <v>0</v>
      </c>
      <c r="AL1714" s="1">
        <v>27</v>
      </c>
      <c r="AM1714" s="2">
        <v>42613</v>
      </c>
      <c r="AN1714" t="str">
        <f t="shared" si="53"/>
        <v>22148,38,0.00171573054000361,0,0,16,15,5,14,0,4,11,1,1,0,3,7,0,0,0,0,0,0,0,37,36-50,2236,0,0,1,0,0,0,1,0,0,27,42613</v>
      </c>
    </row>
    <row r="1715" spans="1:40" ht="13" hidden="1" x14ac:dyDescent="0.15">
      <c r="A1715">
        <v>1798</v>
      </c>
      <c r="B1715" s="1">
        <v>4428</v>
      </c>
      <c r="C1715" s="1">
        <v>38</v>
      </c>
      <c r="D1715" s="4">
        <f t="shared" si="52"/>
        <v>8.5817524841915079E-3</v>
      </c>
      <c r="E1715" s="1">
        <v>0</v>
      </c>
      <c r="F1715" s="1">
        <v>1</v>
      </c>
      <c r="G1715" s="1">
        <v>0</v>
      </c>
      <c r="H1715" s="1">
        <v>16</v>
      </c>
      <c r="I1715" s="1">
        <v>4</v>
      </c>
      <c r="J1715" s="1">
        <v>12</v>
      </c>
      <c r="K1715" s="1">
        <v>2</v>
      </c>
      <c r="L1715" s="1">
        <v>4</v>
      </c>
      <c r="M1715" s="1">
        <v>321</v>
      </c>
      <c r="N1715" s="1">
        <v>0</v>
      </c>
      <c r="O1715" s="1">
        <v>25</v>
      </c>
      <c r="P1715" s="1">
        <v>0</v>
      </c>
      <c r="Q1715" s="1">
        <v>0</v>
      </c>
      <c r="R1715" s="1">
        <v>1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51</v>
      </c>
      <c r="AA1715" s="1" t="str" cm="1">
        <f t="array" ref="AA1715">_xlfn.IFS(AND(Z1715&lt;36, Z1715&gt;23), "24-35", AND(Z1715&lt;51, Z1715&gt;35),"36-50", AND(Z1715&lt;66, Z1715&gt;50), "51-66", Z1715&gt;65, "66+", TRUE, "?")</f>
        <v>51-66</v>
      </c>
      <c r="AB1715" s="1">
        <v>2426</v>
      </c>
      <c r="AC1715" s="1">
        <v>0</v>
      </c>
      <c r="AD1715" s="1">
        <v>1</v>
      </c>
      <c r="AE1715" s="1">
        <v>0</v>
      </c>
      <c r="AF1715" s="1">
        <v>0</v>
      </c>
      <c r="AG1715" s="1">
        <v>0</v>
      </c>
      <c r="AH1715" s="1">
        <v>0</v>
      </c>
      <c r="AI1715" s="1">
        <v>1</v>
      </c>
      <c r="AJ1715" s="1">
        <v>0</v>
      </c>
      <c r="AK1715" s="1">
        <v>0</v>
      </c>
      <c r="AL1715" s="1">
        <v>-283</v>
      </c>
      <c r="AM1715" s="2">
        <v>42423</v>
      </c>
      <c r="AN1715" t="str">
        <f t="shared" si="53"/>
        <v>4428,38,0.00858175248419151,0,1,0,16,4,12,2,4,321,0,25,0,0,1,0,0,0,0,0,0,0,51,51-66,2426,0,1,0,0,0,0,1,0,0,-283,42423</v>
      </c>
    </row>
    <row r="1716" spans="1:40" ht="13" hidden="1" x14ac:dyDescent="0.15">
      <c r="A1716">
        <v>1869</v>
      </c>
      <c r="B1716" s="1">
        <v>32871</v>
      </c>
      <c r="C1716" s="1">
        <v>38</v>
      </c>
      <c r="D1716" s="4">
        <f t="shared" si="52"/>
        <v>1.1560341942745886E-3</v>
      </c>
      <c r="E1716" s="1">
        <v>1</v>
      </c>
      <c r="F1716" s="1">
        <v>1</v>
      </c>
      <c r="G1716" s="1">
        <v>28</v>
      </c>
      <c r="H1716" s="1">
        <v>22</v>
      </c>
      <c r="I1716" s="1">
        <v>2</v>
      </c>
      <c r="J1716" s="1">
        <v>12</v>
      </c>
      <c r="K1716" s="1">
        <v>0</v>
      </c>
      <c r="L1716" s="1">
        <v>2</v>
      </c>
      <c r="M1716" s="1">
        <v>5</v>
      </c>
      <c r="N1716" s="1">
        <v>1</v>
      </c>
      <c r="O1716" s="1">
        <v>1</v>
      </c>
      <c r="P1716" s="1">
        <v>0</v>
      </c>
      <c r="Q1716" s="1">
        <v>3</v>
      </c>
      <c r="R1716" s="1">
        <v>4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69</v>
      </c>
      <c r="AA1716" s="1" t="str" cm="1">
        <f t="array" ref="AA1716">_xlfn.IFS(AND(Z1716&lt;36, Z1716&gt;23), "24-35", AND(Z1716&lt;51, Z1716&gt;35),"36-50", AND(Z1716&lt;66, Z1716&gt;50), "51-66", Z1716&gt;65, "66+", TRUE, "?")</f>
        <v>66+</v>
      </c>
      <c r="AB1716" s="1">
        <v>2636</v>
      </c>
      <c r="AC1716" s="1">
        <v>0</v>
      </c>
      <c r="AD1716" s="1">
        <v>1</v>
      </c>
      <c r="AE1716" s="1">
        <v>0</v>
      </c>
      <c r="AF1716" s="1">
        <v>0</v>
      </c>
      <c r="AG1716" s="1">
        <v>0</v>
      </c>
      <c r="AH1716" s="1">
        <v>0</v>
      </c>
      <c r="AI1716" s="1">
        <v>1</v>
      </c>
      <c r="AJ1716" s="1">
        <v>0</v>
      </c>
      <c r="AK1716" s="1">
        <v>0</v>
      </c>
      <c r="AL1716" s="1">
        <v>33</v>
      </c>
      <c r="AM1716" s="2">
        <v>42213</v>
      </c>
      <c r="AN1716" t="str">
        <f t="shared" si="53"/>
        <v>32871,38,0.00115603419427459,1,1,28,22,2,12,0,2,5,1,1,0,3,4,0,0,0,0,0,0,0,69,66+,2636,0,1,0,0,0,0,1,0,0,33,42213</v>
      </c>
    </row>
    <row r="1717" spans="1:40" ht="13" x14ac:dyDescent="0.15">
      <c r="A1717">
        <v>1903</v>
      </c>
      <c r="B1717" s="1">
        <v>21359</v>
      </c>
      <c r="C1717" s="1">
        <v>38</v>
      </c>
      <c r="D1717" s="4">
        <f t="shared" si="52"/>
        <v>1.7791095088721383E-3</v>
      </c>
      <c r="E1717" s="1">
        <v>1</v>
      </c>
      <c r="F1717" s="1">
        <v>0</v>
      </c>
      <c r="G1717" s="1">
        <v>1</v>
      </c>
      <c r="H1717" s="1">
        <v>12</v>
      </c>
      <c r="I1717" s="1">
        <v>2</v>
      </c>
      <c r="J1717" s="1">
        <v>17</v>
      </c>
      <c r="K1717" s="1">
        <v>6</v>
      </c>
      <c r="L1717" s="1">
        <v>1</v>
      </c>
      <c r="M1717" s="1">
        <v>10</v>
      </c>
      <c r="N1717" s="1">
        <v>2</v>
      </c>
      <c r="O1717" s="1">
        <v>2</v>
      </c>
      <c r="P1717" s="1">
        <v>0</v>
      </c>
      <c r="Q1717" s="1">
        <v>3</v>
      </c>
      <c r="R1717" s="1">
        <v>8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1</v>
      </c>
      <c r="Z1717" s="1">
        <v>48</v>
      </c>
      <c r="AA1717" s="1" t="str" cm="1">
        <f t="array" ref="AA1717">_xlfn.IFS(AND(Z1717&lt;36, Z1717&gt;23), "24-35", AND(Z1717&lt;51, Z1717&gt;35),"36-50", AND(Z1717&lt;66, Z1717&gt;50), "51-66", Z1717&gt;65, "66+", TRUE, "?")</f>
        <v>36-50</v>
      </c>
      <c r="AB1717" s="1">
        <v>2594</v>
      </c>
      <c r="AC1717" s="1">
        <v>0</v>
      </c>
      <c r="AD1717" s="1">
        <v>0</v>
      </c>
      <c r="AE1717" s="1">
        <v>1</v>
      </c>
      <c r="AF1717" s="1">
        <v>0</v>
      </c>
      <c r="AG1717" s="1">
        <v>0</v>
      </c>
      <c r="AH1717" s="1">
        <v>0</v>
      </c>
      <c r="AI1717" s="1">
        <v>1</v>
      </c>
      <c r="AJ1717" s="1">
        <v>0</v>
      </c>
      <c r="AK1717" s="1">
        <v>0</v>
      </c>
      <c r="AL1717" s="1">
        <v>28</v>
      </c>
      <c r="AM1717" s="2">
        <v>42255</v>
      </c>
      <c r="AN1717" t="str">
        <f t="shared" si="53"/>
        <v>21359,38,0.00177910950887214,1,0,1,12,2,17,6,1,10,2,2,0,3,8,0,0,0,0,0,0,1,48,36-50,2594,0,0,1,0,0,0,1,0,0,28,42255</v>
      </c>
    </row>
    <row r="1718" spans="1:40" ht="13" hidden="1" x14ac:dyDescent="0.15">
      <c r="A1718">
        <v>1981</v>
      </c>
      <c r="B1718" s="1">
        <v>25224</v>
      </c>
      <c r="C1718" s="1">
        <v>38</v>
      </c>
      <c r="D1718" s="4">
        <f t="shared" si="52"/>
        <v>1.5065017443704409E-3</v>
      </c>
      <c r="E1718" s="1">
        <v>1</v>
      </c>
      <c r="F1718" s="1">
        <v>0</v>
      </c>
      <c r="G1718" s="1">
        <v>36</v>
      </c>
      <c r="H1718" s="1">
        <v>4</v>
      </c>
      <c r="I1718" s="1">
        <v>9</v>
      </c>
      <c r="J1718" s="1">
        <v>12</v>
      </c>
      <c r="K1718" s="1">
        <v>11</v>
      </c>
      <c r="L1718" s="1">
        <v>2</v>
      </c>
      <c r="M1718" s="1">
        <v>8</v>
      </c>
      <c r="N1718" s="1">
        <v>2</v>
      </c>
      <c r="O1718" s="1">
        <v>1</v>
      </c>
      <c r="P1718" s="1">
        <v>1</v>
      </c>
      <c r="Q1718" s="1">
        <v>3</v>
      </c>
      <c r="R1718" s="1">
        <v>3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48</v>
      </c>
      <c r="AA1718" s="1" t="str" cm="1">
        <f t="array" ref="AA1718">_xlfn.IFS(AND(Z1718&lt;36, Z1718&gt;23), "24-35", AND(Z1718&lt;51, Z1718&gt;35),"36-50", AND(Z1718&lt;66, Z1718&gt;50), "51-66", Z1718&gt;65, "66+", TRUE, "?")</f>
        <v>36-50</v>
      </c>
      <c r="AB1718" s="1">
        <v>2264</v>
      </c>
      <c r="AC1718" s="1">
        <v>0</v>
      </c>
      <c r="AD1718" s="1">
        <v>1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30</v>
      </c>
      <c r="AM1718" s="2">
        <v>42585</v>
      </c>
      <c r="AN1718" t="str">
        <f t="shared" si="53"/>
        <v>25224,38,0.00150650174437044,1,0,36,4,9,12,11,2,8,2,1,1,3,3,0,0,0,0,0,0,0,48,36-50,2264,0,1,0,0,0,0,0,0,0,30,42585</v>
      </c>
    </row>
    <row r="1719" spans="1:40" ht="13" hidden="1" x14ac:dyDescent="0.15">
      <c r="A1719">
        <v>1999</v>
      </c>
      <c r="B1719" s="1">
        <v>45146</v>
      </c>
      <c r="C1719" s="1">
        <v>38</v>
      </c>
      <c r="D1719" s="4">
        <f t="shared" si="52"/>
        <v>8.4171355158818052E-4</v>
      </c>
      <c r="E1719" s="1">
        <v>1</v>
      </c>
      <c r="F1719" s="1">
        <v>1</v>
      </c>
      <c r="G1719" s="1">
        <v>28</v>
      </c>
      <c r="H1719" s="1">
        <v>33</v>
      </c>
      <c r="I1719" s="1">
        <v>0</v>
      </c>
      <c r="J1719" s="1">
        <v>5</v>
      </c>
      <c r="K1719" s="1">
        <v>0</v>
      </c>
      <c r="L1719" s="1">
        <v>0</v>
      </c>
      <c r="M1719" s="1">
        <v>15</v>
      </c>
      <c r="N1719" s="1">
        <v>2</v>
      </c>
      <c r="O1719" s="1">
        <v>1</v>
      </c>
      <c r="P1719" s="1">
        <v>1</v>
      </c>
      <c r="Q1719" s="1">
        <v>2</v>
      </c>
      <c r="R1719" s="1">
        <v>4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57</v>
      </c>
      <c r="AA1719" s="1" t="str" cm="1">
        <f t="array" ref="AA1719">_xlfn.IFS(AND(Z1719&lt;36, Z1719&gt;23), "24-35", AND(Z1719&lt;51, Z1719&gt;35),"36-50", AND(Z1719&lt;66, Z1719&gt;50), "51-66", Z1719&gt;65, "66+", TRUE, "?")</f>
        <v>51-66</v>
      </c>
      <c r="AB1719" s="1">
        <v>2508</v>
      </c>
      <c r="AC1719" s="1">
        <v>1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1</v>
      </c>
      <c r="AJ1719" s="1">
        <v>0</v>
      </c>
      <c r="AK1719" s="1">
        <v>0</v>
      </c>
      <c r="AL1719" s="1">
        <v>23</v>
      </c>
      <c r="AM1719" s="2">
        <v>42341</v>
      </c>
      <c r="AN1719" t="str">
        <f t="shared" si="53"/>
        <v>45146,38,0.000841713551588181,1,1,28,33,0,5,0,0,15,2,1,1,2,4,0,0,0,0,0,0,0,57,51-66,2508,1,0,0,0,0,0,1,0,0,23,42341</v>
      </c>
    </row>
    <row r="1720" spans="1:40" ht="13" hidden="1" x14ac:dyDescent="0.15">
      <c r="A1720">
        <v>170</v>
      </c>
      <c r="B1720" s="1">
        <v>32303</v>
      </c>
      <c r="C1720" s="1">
        <v>37</v>
      </c>
      <c r="D1720" s="4">
        <f t="shared" si="52"/>
        <v>1.1454044515989228E-3</v>
      </c>
      <c r="E1720" s="1">
        <v>0</v>
      </c>
      <c r="F1720" s="1">
        <v>1</v>
      </c>
      <c r="G1720" s="1">
        <v>63</v>
      </c>
      <c r="H1720" s="1">
        <v>35</v>
      </c>
      <c r="I1720" s="1">
        <v>0</v>
      </c>
      <c r="J1720" s="1">
        <v>2</v>
      </c>
      <c r="K1720" s="1">
        <v>0</v>
      </c>
      <c r="L1720" s="1">
        <v>0</v>
      </c>
      <c r="M1720" s="1">
        <v>2</v>
      </c>
      <c r="N1720" s="1">
        <v>2</v>
      </c>
      <c r="O1720" s="1">
        <v>1</v>
      </c>
      <c r="P1720" s="1">
        <v>0</v>
      </c>
      <c r="Q1720" s="1">
        <v>4</v>
      </c>
      <c r="R1720" s="1">
        <v>5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50</v>
      </c>
      <c r="AA1720" s="1" t="str" cm="1">
        <f t="array" ref="AA1720">_xlfn.IFS(AND(Z1720&lt;36, Z1720&gt;23), "24-35", AND(Z1720&lt;51, Z1720&gt;35),"36-50", AND(Z1720&lt;66, Z1720&gt;50), "51-66", Z1720&gt;65, "66+", TRUE, "?")</f>
        <v>36-50</v>
      </c>
      <c r="AB1720" s="1">
        <v>2272</v>
      </c>
      <c r="AC1720" s="1">
        <v>0</v>
      </c>
      <c r="AD1720" s="1">
        <v>0</v>
      </c>
      <c r="AE1720" s="1">
        <v>1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1</v>
      </c>
      <c r="AL1720" s="1">
        <v>35</v>
      </c>
      <c r="AM1720" s="2">
        <v>42577</v>
      </c>
      <c r="AN1720" t="str">
        <f t="shared" si="53"/>
        <v>32303,37,0.00114540445159892,0,1,63,35,0,2,0,0,2,2,1,0,4,5,0,0,0,0,0,0,0,50,36-50,2272,0,0,1,0,0,0,0,0,1,35,42577</v>
      </c>
    </row>
    <row r="1721" spans="1:40" ht="13" hidden="1" x14ac:dyDescent="0.15">
      <c r="A1721">
        <v>220</v>
      </c>
      <c r="B1721" s="1">
        <v>7500</v>
      </c>
      <c r="C1721" s="1">
        <v>37</v>
      </c>
      <c r="D1721" s="4">
        <f t="shared" si="52"/>
        <v>4.933333333333333E-3</v>
      </c>
      <c r="E1721" s="1">
        <v>1</v>
      </c>
      <c r="F1721" s="1">
        <v>0</v>
      </c>
      <c r="G1721" s="1">
        <v>54</v>
      </c>
      <c r="H1721" s="1">
        <v>5</v>
      </c>
      <c r="I1721" s="1">
        <v>3</v>
      </c>
      <c r="J1721" s="1">
        <v>10</v>
      </c>
      <c r="K1721" s="1">
        <v>12</v>
      </c>
      <c r="L1721" s="1">
        <v>7</v>
      </c>
      <c r="M1721" s="1">
        <v>20</v>
      </c>
      <c r="N1721" s="1">
        <v>4</v>
      </c>
      <c r="O1721" s="1">
        <v>3</v>
      </c>
      <c r="P1721" s="1">
        <v>1</v>
      </c>
      <c r="Q1721" s="1">
        <v>3</v>
      </c>
      <c r="R1721" s="1">
        <v>7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47</v>
      </c>
      <c r="AA1721" s="1" t="str" cm="1">
        <f t="array" ref="AA1721">_xlfn.IFS(AND(Z1721&lt;36, Z1721&gt;23), "24-35", AND(Z1721&lt;51, Z1721&gt;35),"36-50", AND(Z1721&lt;66, Z1721&gt;50), "51-66", Z1721&gt;65, "66+", TRUE, "?")</f>
        <v>36-50</v>
      </c>
      <c r="AB1721" s="1">
        <v>2344</v>
      </c>
      <c r="AC1721" s="1">
        <v>0</v>
      </c>
      <c r="AD1721" s="1">
        <v>0</v>
      </c>
      <c r="AE1721" s="1">
        <v>1</v>
      </c>
      <c r="AF1721" s="1">
        <v>0</v>
      </c>
      <c r="AG1721" s="1">
        <v>0</v>
      </c>
      <c r="AH1721" s="1">
        <v>0</v>
      </c>
      <c r="AI1721" s="1">
        <v>1</v>
      </c>
      <c r="AJ1721" s="1">
        <v>0</v>
      </c>
      <c r="AK1721" s="1">
        <v>0</v>
      </c>
      <c r="AL1721" s="1">
        <v>17</v>
      </c>
      <c r="AM1721" s="2">
        <v>42505</v>
      </c>
      <c r="AN1721" t="str">
        <f t="shared" si="53"/>
        <v>7500,37,0.00493333333333333,1,0,54,5,3,10,12,7,20,4,3,1,3,7,0,0,0,0,0,0,0,47,36-50,2344,0,0,1,0,0,0,1,0,0,17,42505</v>
      </c>
    </row>
    <row r="1722" spans="1:40" ht="13" hidden="1" x14ac:dyDescent="0.15">
      <c r="A1722">
        <v>323</v>
      </c>
      <c r="B1722" s="1">
        <v>30372</v>
      </c>
      <c r="C1722" s="1">
        <v>37</v>
      </c>
      <c r="D1722" s="4">
        <f t="shared" si="52"/>
        <v>1.2182273146318979E-3</v>
      </c>
      <c r="E1722" s="1">
        <v>1</v>
      </c>
      <c r="F1722" s="1">
        <v>1</v>
      </c>
      <c r="G1722" s="1">
        <v>33</v>
      </c>
      <c r="H1722" s="1">
        <v>15</v>
      </c>
      <c r="I1722" s="1">
        <v>0</v>
      </c>
      <c r="J1722" s="1">
        <v>12</v>
      </c>
      <c r="K1722" s="1">
        <v>7</v>
      </c>
      <c r="L1722" s="1">
        <v>3</v>
      </c>
      <c r="M1722" s="1">
        <v>7</v>
      </c>
      <c r="N1722" s="1">
        <v>3</v>
      </c>
      <c r="O1722" s="1">
        <v>2</v>
      </c>
      <c r="P1722" s="1">
        <v>0</v>
      </c>
      <c r="Q1722" s="1">
        <v>3</v>
      </c>
      <c r="R1722" s="1">
        <v>7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49</v>
      </c>
      <c r="AA1722" s="1" t="str" cm="1">
        <f t="array" ref="AA1722">_xlfn.IFS(AND(Z1722&lt;36, Z1722&gt;23), "24-35", AND(Z1722&lt;51, Z1722&gt;35),"36-50", AND(Z1722&lt;66, Z1722&gt;50), "51-66", Z1722&gt;65, "66+", TRUE, "?")</f>
        <v>36-50</v>
      </c>
      <c r="AB1722" s="1">
        <v>2710</v>
      </c>
      <c r="AC1722" s="1">
        <v>0</v>
      </c>
      <c r="AD1722" s="1">
        <v>0</v>
      </c>
      <c r="AE1722" s="1">
        <v>0</v>
      </c>
      <c r="AF1722" s="1">
        <v>0</v>
      </c>
      <c r="AG1722" s="1">
        <v>1</v>
      </c>
      <c r="AH1722" s="1">
        <v>0</v>
      </c>
      <c r="AI1722" s="1">
        <v>1</v>
      </c>
      <c r="AJ1722" s="1">
        <v>0</v>
      </c>
      <c r="AK1722" s="1">
        <v>0</v>
      </c>
      <c r="AL1722" s="1">
        <v>30</v>
      </c>
      <c r="AM1722" s="2">
        <v>42139</v>
      </c>
      <c r="AN1722" t="str">
        <f t="shared" si="53"/>
        <v>30372,37,0.0012182273146319,1,1,33,15,0,12,7,3,7,3,2,0,3,7,0,0,0,0,0,0,0,49,36-50,2710,0,0,0,0,1,0,1,0,0,30,42139</v>
      </c>
    </row>
    <row r="1723" spans="1:40" ht="13" hidden="1" x14ac:dyDescent="0.15">
      <c r="A1723">
        <v>539</v>
      </c>
      <c r="B1723" s="1">
        <v>38443</v>
      </c>
      <c r="C1723" s="1">
        <v>37</v>
      </c>
      <c r="D1723" s="4">
        <f t="shared" si="52"/>
        <v>9.6246390760346492E-4</v>
      </c>
      <c r="E1723" s="1">
        <v>1</v>
      </c>
      <c r="F1723" s="1">
        <v>1</v>
      </c>
      <c r="G1723" s="1">
        <v>58</v>
      </c>
      <c r="H1723" s="1">
        <v>32</v>
      </c>
      <c r="I1723" s="1">
        <v>0</v>
      </c>
      <c r="J1723" s="1">
        <v>5</v>
      </c>
      <c r="K1723" s="1">
        <v>0</v>
      </c>
      <c r="L1723" s="1">
        <v>0</v>
      </c>
      <c r="M1723" s="1">
        <v>1</v>
      </c>
      <c r="N1723" s="1">
        <v>2</v>
      </c>
      <c r="O1723" s="1">
        <v>1</v>
      </c>
      <c r="P1723" s="1">
        <v>0</v>
      </c>
      <c r="Q1723" s="1">
        <v>3</v>
      </c>
      <c r="R1723" s="1">
        <v>7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52</v>
      </c>
      <c r="AA1723" s="1" t="str" cm="1">
        <f t="array" ref="AA1723">_xlfn.IFS(AND(Z1723&lt;36, Z1723&gt;23), "24-35", AND(Z1723&lt;51, Z1723&gt;35),"36-50", AND(Z1723&lt;66, Z1723&gt;50), "51-66", Z1723&gt;65, "66+", TRUE, "?")</f>
        <v>51-66</v>
      </c>
      <c r="AB1723" s="1">
        <v>2312</v>
      </c>
      <c r="AC1723" s="1">
        <v>0</v>
      </c>
      <c r="AD1723" s="1">
        <v>1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1</v>
      </c>
      <c r="AL1723" s="1">
        <v>36</v>
      </c>
      <c r="AM1723" s="2">
        <v>42537</v>
      </c>
      <c r="AN1723" t="str">
        <f t="shared" si="53"/>
        <v>38443,37,0.000962463907603465,1,1,58,32,0,5,0,0,1,2,1,0,3,7,0,0,0,0,0,0,0,52,51-66,2312,0,1,0,0,0,0,0,0,1,36,42537</v>
      </c>
    </row>
    <row r="1724" spans="1:40" ht="13" hidden="1" x14ac:dyDescent="0.15">
      <c r="A1724">
        <v>549</v>
      </c>
      <c r="B1724" s="1">
        <v>47821</v>
      </c>
      <c r="C1724" s="1">
        <v>37</v>
      </c>
      <c r="D1724" s="4">
        <f t="shared" si="52"/>
        <v>7.7371865916647494E-4</v>
      </c>
      <c r="E1724" s="1">
        <v>1</v>
      </c>
      <c r="F1724" s="1">
        <v>1</v>
      </c>
      <c r="G1724" s="1">
        <v>54</v>
      </c>
      <c r="H1724" s="1">
        <v>9</v>
      </c>
      <c r="I1724" s="1">
        <v>0</v>
      </c>
      <c r="J1724" s="1">
        <v>16</v>
      </c>
      <c r="K1724" s="1">
        <v>6</v>
      </c>
      <c r="L1724" s="1">
        <v>6</v>
      </c>
      <c r="M1724" s="1">
        <v>10</v>
      </c>
      <c r="N1724" s="1">
        <v>1</v>
      </c>
      <c r="O1724" s="1">
        <v>1</v>
      </c>
      <c r="P1724" s="1">
        <v>0</v>
      </c>
      <c r="Q1724" s="1">
        <v>3</v>
      </c>
      <c r="R1724" s="1">
        <v>8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53</v>
      </c>
      <c r="AA1724" s="1" t="str" cm="1">
        <f t="array" ref="AA1724">_xlfn.IFS(AND(Z1724&lt;36, Z1724&gt;23), "24-35", AND(Z1724&lt;51, Z1724&gt;35),"36-50", AND(Z1724&lt;66, Z1724&gt;50), "51-66", Z1724&gt;65, "66+", TRUE, "?")</f>
        <v>51-66</v>
      </c>
      <c r="AB1724" s="1">
        <v>2411</v>
      </c>
      <c r="AC1724" s="1">
        <v>0</v>
      </c>
      <c r="AD1724" s="1">
        <v>0</v>
      </c>
      <c r="AE1724" s="1">
        <v>0</v>
      </c>
      <c r="AF1724" s="1">
        <v>1</v>
      </c>
      <c r="AG1724" s="1">
        <v>0</v>
      </c>
      <c r="AH1724" s="1">
        <v>1</v>
      </c>
      <c r="AI1724" s="1">
        <v>0</v>
      </c>
      <c r="AJ1724" s="1">
        <v>0</v>
      </c>
      <c r="AK1724" s="1">
        <v>0</v>
      </c>
      <c r="AL1724" s="1">
        <v>27</v>
      </c>
      <c r="AM1724" s="2">
        <v>42438</v>
      </c>
      <c r="AN1724" t="str">
        <f t="shared" si="53"/>
        <v>47821,37,0.000773718659166475,1,1,54,9,0,16,6,6,10,1,1,0,3,8,0,0,0,0,0,0,0,53,51-66,2411,0,0,0,1,0,1,0,0,0,27,42438</v>
      </c>
    </row>
    <row r="1725" spans="1:40" ht="13" hidden="1" x14ac:dyDescent="0.15">
      <c r="A1725">
        <v>743</v>
      </c>
      <c r="B1725" s="1">
        <v>16813</v>
      </c>
      <c r="C1725" s="1">
        <v>37</v>
      </c>
      <c r="D1725" s="4">
        <f t="shared" si="52"/>
        <v>2.2006780467495389E-3</v>
      </c>
      <c r="E1725" s="1">
        <v>0</v>
      </c>
      <c r="F1725" s="1">
        <v>0</v>
      </c>
      <c r="G1725" s="1">
        <v>49</v>
      </c>
      <c r="H1725" s="1">
        <v>4</v>
      </c>
      <c r="I1725" s="1">
        <v>8</v>
      </c>
      <c r="J1725" s="1">
        <v>11</v>
      </c>
      <c r="K1725" s="1">
        <v>12</v>
      </c>
      <c r="L1725" s="1">
        <v>2</v>
      </c>
      <c r="M1725" s="1">
        <v>13</v>
      </c>
      <c r="N1725" s="1">
        <v>1</v>
      </c>
      <c r="O1725" s="1">
        <v>2</v>
      </c>
      <c r="P1725" s="1">
        <v>0</v>
      </c>
      <c r="Q1725" s="1">
        <v>3</v>
      </c>
      <c r="R1725" s="1">
        <v>7</v>
      </c>
      <c r="S1725" s="1">
        <v>0</v>
      </c>
      <c r="T1725" s="1">
        <v>0</v>
      </c>
      <c r="U1725" s="1">
        <v>1</v>
      </c>
      <c r="V1725" s="1">
        <v>0</v>
      </c>
      <c r="W1725" s="1">
        <v>0</v>
      </c>
      <c r="X1725" s="1">
        <v>0</v>
      </c>
      <c r="Y1725" s="1">
        <v>0</v>
      </c>
      <c r="Z1725" s="1">
        <v>70</v>
      </c>
      <c r="AA1725" s="1" t="str" cm="1">
        <f t="array" ref="AA1725">_xlfn.IFS(AND(Z1725&lt;36, Z1725&gt;23), "24-35", AND(Z1725&lt;51, Z1725&gt;35),"36-50", AND(Z1725&lt;66, Z1725&gt;50), "51-66", Z1725&gt;65, "66+", TRUE, "?")</f>
        <v>66+</v>
      </c>
      <c r="AB1725" s="1">
        <v>2504</v>
      </c>
      <c r="AC1725" s="1">
        <v>0</v>
      </c>
      <c r="AD1725" s="1">
        <v>0</v>
      </c>
      <c r="AE1725" s="1">
        <v>1</v>
      </c>
      <c r="AF1725" s="1">
        <v>0</v>
      </c>
      <c r="AG1725" s="1">
        <v>0</v>
      </c>
      <c r="AH1725" s="1">
        <v>0</v>
      </c>
      <c r="AI1725" s="1">
        <v>1</v>
      </c>
      <c r="AJ1725" s="1">
        <v>0</v>
      </c>
      <c r="AK1725" s="1">
        <v>0</v>
      </c>
      <c r="AL1725" s="1">
        <v>24</v>
      </c>
      <c r="AM1725" s="2">
        <v>42345</v>
      </c>
      <c r="AN1725" t="str">
        <f t="shared" si="53"/>
        <v>16813,37,0.00220067804674954,0,0,49,4,8,11,12,2,13,1,2,0,3,7,0,0,1,0,0,0,0,70,66+,2504,0,0,1,0,0,0,1,0,0,24,42345</v>
      </c>
    </row>
    <row r="1726" spans="1:40" ht="13" hidden="1" x14ac:dyDescent="0.15">
      <c r="A1726">
        <v>1155</v>
      </c>
      <c r="B1726" s="1">
        <v>38197</v>
      </c>
      <c r="C1726" s="1">
        <v>37</v>
      </c>
      <c r="D1726" s="4">
        <f t="shared" si="52"/>
        <v>9.686624604026494E-4</v>
      </c>
      <c r="E1726" s="1">
        <v>1</v>
      </c>
      <c r="F1726" s="1">
        <v>0</v>
      </c>
      <c r="G1726" s="1">
        <v>86</v>
      </c>
      <c r="H1726" s="1">
        <v>23</v>
      </c>
      <c r="I1726" s="1">
        <v>0</v>
      </c>
      <c r="J1726" s="1">
        <v>11</v>
      </c>
      <c r="K1726" s="1">
        <v>2</v>
      </c>
      <c r="L1726" s="1">
        <v>1</v>
      </c>
      <c r="M1726" s="1">
        <v>3</v>
      </c>
      <c r="N1726" s="1">
        <v>1</v>
      </c>
      <c r="O1726" s="1">
        <v>1</v>
      </c>
      <c r="P1726" s="1">
        <v>0</v>
      </c>
      <c r="Q1726" s="1">
        <v>3</v>
      </c>
      <c r="R1726" s="1">
        <v>5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34</v>
      </c>
      <c r="AA1726" s="1" t="str" cm="1">
        <f t="array" ref="AA1726">_xlfn.IFS(AND(Z1726&lt;36, Z1726&gt;23), "24-35", AND(Z1726&lt;51, Z1726&gt;35),"36-50", AND(Z1726&lt;66, Z1726&gt;50), "51-66", Z1726&gt;65, "66+", TRUE, "?")</f>
        <v>24-35</v>
      </c>
      <c r="AB1726" s="1">
        <v>2524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0</v>
      </c>
      <c r="AJ1726" s="1">
        <v>0</v>
      </c>
      <c r="AK1726" s="1">
        <v>1</v>
      </c>
      <c r="AL1726" s="1">
        <v>34</v>
      </c>
      <c r="AM1726" s="2">
        <v>42325</v>
      </c>
      <c r="AN1726" t="str">
        <f t="shared" si="53"/>
        <v>38197,37,0.000968662460402649,1,0,86,23,0,11,2,1,3,1,1,0,3,5,0,0,0,0,0,0,0,34,24-35,2524,0,0,0,1,0,0,0,0,1,34,42325</v>
      </c>
    </row>
    <row r="1727" spans="1:40" ht="13" hidden="1" x14ac:dyDescent="0.15">
      <c r="A1727">
        <v>1201</v>
      </c>
      <c r="B1727" s="1">
        <v>37633</v>
      </c>
      <c r="C1727" s="1">
        <v>37</v>
      </c>
      <c r="D1727" s="4">
        <f t="shared" si="52"/>
        <v>9.8317965615284456E-4</v>
      </c>
      <c r="E1727" s="1">
        <v>1</v>
      </c>
      <c r="F1727" s="1">
        <v>1</v>
      </c>
      <c r="G1727" s="1">
        <v>49</v>
      </c>
      <c r="H1727" s="1">
        <v>13</v>
      </c>
      <c r="I1727" s="1">
        <v>4</v>
      </c>
      <c r="J1727" s="1">
        <v>20</v>
      </c>
      <c r="K1727" s="1">
        <v>0</v>
      </c>
      <c r="L1727" s="1">
        <v>0</v>
      </c>
      <c r="M1727" s="1">
        <v>1</v>
      </c>
      <c r="N1727" s="1">
        <v>2</v>
      </c>
      <c r="O1727" s="1">
        <v>1</v>
      </c>
      <c r="P1727" s="1">
        <v>0</v>
      </c>
      <c r="Q1727" s="1">
        <v>3</v>
      </c>
      <c r="R1727" s="1">
        <v>9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63</v>
      </c>
      <c r="AA1727" s="1" t="str" cm="1">
        <f t="array" ref="AA1727">_xlfn.IFS(AND(Z1727&lt;36, Z1727&gt;23), "24-35", AND(Z1727&lt;51, Z1727&gt;35),"36-50", AND(Z1727&lt;66, Z1727&gt;50), "51-66", Z1727&gt;65, "66+", TRUE, "?")</f>
        <v>51-66</v>
      </c>
      <c r="AB1727" s="1">
        <v>2806</v>
      </c>
      <c r="AC1727" s="1">
        <v>0</v>
      </c>
      <c r="AD1727" s="1">
        <v>1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1</v>
      </c>
      <c r="AL1727" s="1">
        <v>36</v>
      </c>
      <c r="AM1727" s="2">
        <v>42043</v>
      </c>
      <c r="AN1727" t="str">
        <f t="shared" si="53"/>
        <v>37633,37,0.000983179656152845,1,1,49,13,4,20,0,0,1,2,1,0,3,9,0,0,0,0,0,0,0,63,51-66,2806,0,1,0,0,0,0,0,0,1,36,42043</v>
      </c>
    </row>
    <row r="1728" spans="1:40" ht="13" hidden="1" x14ac:dyDescent="0.15">
      <c r="A1728">
        <v>1504</v>
      </c>
      <c r="B1728" s="1">
        <v>44078</v>
      </c>
      <c r="C1728" s="1">
        <v>37</v>
      </c>
      <c r="D1728" s="4">
        <f t="shared" si="52"/>
        <v>8.3942102636235764E-4</v>
      </c>
      <c r="E1728" s="1">
        <v>1</v>
      </c>
      <c r="F1728" s="1">
        <v>1</v>
      </c>
      <c r="G1728" s="1">
        <v>17</v>
      </c>
      <c r="H1728" s="1">
        <v>24</v>
      </c>
      <c r="I1728" s="1">
        <v>1</v>
      </c>
      <c r="J1728" s="1">
        <v>10</v>
      </c>
      <c r="K1728" s="1">
        <v>2</v>
      </c>
      <c r="L1728" s="1">
        <v>0</v>
      </c>
      <c r="M1728" s="1">
        <v>4</v>
      </c>
      <c r="N1728" s="1">
        <v>2</v>
      </c>
      <c r="O1728" s="1">
        <v>2</v>
      </c>
      <c r="P1728" s="1">
        <v>0</v>
      </c>
      <c r="Q1728" s="1">
        <v>3</v>
      </c>
      <c r="R1728" s="1">
        <v>5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51</v>
      </c>
      <c r="AA1728" s="1" t="str" cm="1">
        <f t="array" ref="AA1728">_xlfn.IFS(AND(Z1728&lt;36, Z1728&gt;23), "24-35", AND(Z1728&lt;51, Z1728&gt;35),"36-50", AND(Z1728&lt;66, Z1728&gt;50), "51-66", Z1728&gt;65, "66+", TRUE, "?")</f>
        <v>51-66</v>
      </c>
      <c r="AB1728" s="1">
        <v>2169</v>
      </c>
      <c r="AC1728" s="1">
        <v>0</v>
      </c>
      <c r="AD1728" s="1">
        <v>1</v>
      </c>
      <c r="AE1728" s="1">
        <v>0</v>
      </c>
      <c r="AF1728" s="1">
        <v>0</v>
      </c>
      <c r="AG1728" s="1">
        <v>0</v>
      </c>
      <c r="AH1728" s="1">
        <v>0</v>
      </c>
      <c r="AI1728" s="1">
        <v>1</v>
      </c>
      <c r="AJ1728" s="1">
        <v>0</v>
      </c>
      <c r="AK1728" s="1">
        <v>0</v>
      </c>
      <c r="AL1728" s="1">
        <v>33</v>
      </c>
      <c r="AM1728" s="2">
        <v>42680</v>
      </c>
      <c r="AN1728" t="str">
        <f t="shared" si="53"/>
        <v>44078,37,0.000839421026362358,1,1,17,24,1,10,2,0,4,2,2,0,3,5,0,0,0,0,0,0,0,51,51-66,2169,0,1,0,0,0,0,1,0,0,33,42680</v>
      </c>
    </row>
    <row r="1729" spans="1:40" ht="13" hidden="1" x14ac:dyDescent="0.15">
      <c r="A1729">
        <v>1515</v>
      </c>
      <c r="B1729" s="1">
        <v>22448</v>
      </c>
      <c r="C1729" s="1">
        <v>37</v>
      </c>
      <c r="D1729" s="4">
        <f t="shared" si="52"/>
        <v>1.6482537419814684E-3</v>
      </c>
      <c r="E1729" s="1">
        <v>1</v>
      </c>
      <c r="F1729" s="1">
        <v>0</v>
      </c>
      <c r="G1729" s="1">
        <v>86</v>
      </c>
      <c r="H1729" s="1">
        <v>3</v>
      </c>
      <c r="I1729" s="1">
        <v>1</v>
      </c>
      <c r="J1729" s="1">
        <v>8</v>
      </c>
      <c r="K1729" s="1">
        <v>23</v>
      </c>
      <c r="L1729" s="1">
        <v>2</v>
      </c>
      <c r="M1729" s="1">
        <v>18</v>
      </c>
      <c r="N1729" s="1">
        <v>3</v>
      </c>
      <c r="O1729" s="1">
        <v>2</v>
      </c>
      <c r="P1729" s="1">
        <v>1</v>
      </c>
      <c r="Q1729" s="1">
        <v>3</v>
      </c>
      <c r="R1729" s="1">
        <v>3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38</v>
      </c>
      <c r="AA1729" s="1" t="str" cm="1">
        <f t="array" ref="AA1729">_xlfn.IFS(AND(Z1729&lt;36, Z1729&gt;23), "24-35", AND(Z1729&lt;51, Z1729&gt;35),"36-50", AND(Z1729&lt;66, Z1729&gt;50), "51-66", Z1729&gt;65, "66+", TRUE, "?")</f>
        <v>36-50</v>
      </c>
      <c r="AB1729" s="1">
        <v>2282</v>
      </c>
      <c r="AC1729" s="1">
        <v>0</v>
      </c>
      <c r="AD1729" s="1">
        <v>1</v>
      </c>
      <c r="AE1729" s="1">
        <v>0</v>
      </c>
      <c r="AF1729" s="1">
        <v>0</v>
      </c>
      <c r="AG1729" s="1">
        <v>0</v>
      </c>
      <c r="AH1729" s="1">
        <v>0</v>
      </c>
      <c r="AI1729" s="1">
        <v>1</v>
      </c>
      <c r="AJ1729" s="1">
        <v>0</v>
      </c>
      <c r="AK1729" s="1">
        <v>0</v>
      </c>
      <c r="AL1729" s="1">
        <v>19</v>
      </c>
      <c r="AM1729" s="2">
        <v>42567</v>
      </c>
      <c r="AN1729" t="str">
        <f t="shared" si="53"/>
        <v>22448,37,0.00164825374198147,1,0,86,3,1,8,23,2,18,3,2,1,3,3,0,0,0,0,0,0,0,38,36-50,2282,0,1,0,0,0,0,1,0,0,19,42567</v>
      </c>
    </row>
    <row r="1730" spans="1:40" ht="13" hidden="1" x14ac:dyDescent="0.15">
      <c r="A1730">
        <v>1542</v>
      </c>
      <c r="B1730" s="1">
        <v>22554</v>
      </c>
      <c r="C1730" s="1">
        <v>37</v>
      </c>
      <c r="D1730" s="4">
        <f t="shared" ref="D1730:D1793" si="54">C1730/B1730</f>
        <v>1.6405072270994059E-3</v>
      </c>
      <c r="E1730" s="1">
        <v>1</v>
      </c>
      <c r="F1730" s="1">
        <v>1</v>
      </c>
      <c r="G1730" s="1">
        <v>38</v>
      </c>
      <c r="H1730" s="1">
        <v>27</v>
      </c>
      <c r="I1730" s="1">
        <v>0</v>
      </c>
      <c r="J1730" s="1">
        <v>10</v>
      </c>
      <c r="K1730" s="1">
        <v>0</v>
      </c>
      <c r="L1730" s="1">
        <v>0</v>
      </c>
      <c r="M1730" s="1">
        <v>4</v>
      </c>
      <c r="N1730" s="1">
        <v>4</v>
      </c>
      <c r="O1730" s="1">
        <v>2</v>
      </c>
      <c r="P1730" s="1">
        <v>0</v>
      </c>
      <c r="Q1730" s="1">
        <v>4</v>
      </c>
      <c r="R1730" s="1">
        <v>5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65</v>
      </c>
      <c r="AA1730" s="1" t="str" cm="1">
        <f t="array" ref="AA1730">_xlfn.IFS(AND(Z1730&lt;36, Z1730&gt;23), "24-35", AND(Z1730&lt;51, Z1730&gt;35),"36-50", AND(Z1730&lt;66, Z1730&gt;50), "51-66", Z1730&gt;65, "66+", TRUE, "?")</f>
        <v>51-66</v>
      </c>
      <c r="AB1730" s="1">
        <v>2762</v>
      </c>
      <c r="AC1730" s="1">
        <v>0</v>
      </c>
      <c r="AD1730" s="1">
        <v>1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1</v>
      </c>
      <c r="AL1730" s="1">
        <v>33</v>
      </c>
      <c r="AM1730" s="2">
        <v>42087</v>
      </c>
      <c r="AN1730" t="str">
        <f t="shared" ref="AN1730:AN1793" si="55">_xlfn.TEXTJOIN(",",TRUE,B1730:AM1730)</f>
        <v>22554,37,0.00164050722709941,1,1,38,27,0,10,0,0,4,4,2,0,4,5,0,0,0,0,0,0,0,65,51-66,2762,0,1,0,0,0,0,0,0,1,33,42087</v>
      </c>
    </row>
    <row r="1731" spans="1:40" ht="13" hidden="1" x14ac:dyDescent="0.15">
      <c r="A1731">
        <v>1604</v>
      </c>
      <c r="B1731" s="1">
        <v>31859</v>
      </c>
      <c r="C1731" s="1">
        <v>37</v>
      </c>
      <c r="D1731" s="4">
        <f t="shared" si="54"/>
        <v>1.1613672745535014E-3</v>
      </c>
      <c r="E1731" s="1">
        <v>1</v>
      </c>
      <c r="F1731" s="1">
        <v>0</v>
      </c>
      <c r="G1731" s="1">
        <v>3</v>
      </c>
      <c r="H1731" s="1">
        <v>3</v>
      </c>
      <c r="I1731" s="1">
        <v>4</v>
      </c>
      <c r="J1731" s="1">
        <v>7</v>
      </c>
      <c r="K1731" s="1">
        <v>15</v>
      </c>
      <c r="L1731" s="1">
        <v>8</v>
      </c>
      <c r="M1731" s="1">
        <v>11</v>
      </c>
      <c r="N1731" s="1">
        <v>1</v>
      </c>
      <c r="O1731" s="1">
        <v>1</v>
      </c>
      <c r="P1731" s="1">
        <v>0</v>
      </c>
      <c r="Q1731" s="1">
        <v>3</v>
      </c>
      <c r="R1731" s="1">
        <v>7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40</v>
      </c>
      <c r="AA1731" s="1" t="str" cm="1">
        <f t="array" ref="AA1731">_xlfn.IFS(AND(Z1731&lt;36, Z1731&gt;23), "24-35", AND(Z1731&lt;51, Z1731&gt;35),"36-50", AND(Z1731&lt;66, Z1731&gt;50), "51-66", Z1731&gt;65, "66+", TRUE, "?")</f>
        <v>36-50</v>
      </c>
      <c r="AB1731" s="1">
        <v>2281</v>
      </c>
      <c r="AC1731" s="1">
        <v>0</v>
      </c>
      <c r="AD1731" s="1">
        <v>0</v>
      </c>
      <c r="AE1731" s="1">
        <v>1</v>
      </c>
      <c r="AF1731" s="1">
        <v>0</v>
      </c>
      <c r="AG1731" s="1">
        <v>0</v>
      </c>
      <c r="AH1731" s="1">
        <v>1</v>
      </c>
      <c r="AI1731" s="1">
        <v>0</v>
      </c>
      <c r="AJ1731" s="1">
        <v>0</v>
      </c>
      <c r="AK1731" s="1">
        <v>0</v>
      </c>
      <c r="AL1731" s="1">
        <v>26</v>
      </c>
      <c r="AM1731" s="2">
        <v>42568</v>
      </c>
      <c r="AN1731" t="str">
        <f t="shared" si="55"/>
        <v>31859,37,0.0011613672745535,1,0,3,3,4,7,15,8,11,1,1,0,3,7,0,0,0,0,0,0,0,40,36-50,2281,0,0,1,0,0,1,0,0,0,26,42568</v>
      </c>
    </row>
    <row r="1732" spans="1:40" ht="13" hidden="1" x14ac:dyDescent="0.15">
      <c r="A1732">
        <v>1734</v>
      </c>
      <c r="B1732" s="1">
        <v>29819</v>
      </c>
      <c r="C1732" s="1">
        <v>37</v>
      </c>
      <c r="D1732" s="4">
        <f t="shared" si="54"/>
        <v>1.2408196116569972E-3</v>
      </c>
      <c r="E1732" s="1">
        <v>1</v>
      </c>
      <c r="F1732" s="1">
        <v>0</v>
      </c>
      <c r="G1732" s="1">
        <v>77</v>
      </c>
      <c r="H1732" s="1">
        <v>9</v>
      </c>
      <c r="I1732" s="1">
        <v>1</v>
      </c>
      <c r="J1732" s="1">
        <v>24</v>
      </c>
      <c r="K1732" s="1">
        <v>2</v>
      </c>
      <c r="L1732" s="1">
        <v>1</v>
      </c>
      <c r="M1732" s="1">
        <v>2</v>
      </c>
      <c r="N1732" s="1">
        <v>3</v>
      </c>
      <c r="O1732" s="1">
        <v>3</v>
      </c>
      <c r="P1732" s="1">
        <v>0</v>
      </c>
      <c r="Q1732" s="1">
        <v>3</v>
      </c>
      <c r="R1732" s="1">
        <v>6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49</v>
      </c>
      <c r="AA1732" s="1" t="str" cm="1">
        <f t="array" ref="AA1732">_xlfn.IFS(AND(Z1732&lt;36, Z1732&gt;23), "24-35", AND(Z1732&lt;51, Z1732&gt;35),"36-50", AND(Z1732&lt;66, Z1732&gt;50), "51-66", Z1732&gt;65, "66+", TRUE, "?")</f>
        <v>36-50</v>
      </c>
      <c r="AB1732" s="1">
        <v>2407</v>
      </c>
      <c r="AC1732" s="1">
        <v>1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1</v>
      </c>
      <c r="AJ1732" s="1">
        <v>0</v>
      </c>
      <c r="AK1732" s="1">
        <v>0</v>
      </c>
      <c r="AL1732" s="1">
        <v>35</v>
      </c>
      <c r="AM1732" s="2">
        <v>42442</v>
      </c>
      <c r="AN1732" t="str">
        <f t="shared" si="55"/>
        <v>29819,37,0.001240819611657,1,0,77,9,1,24,2,1,2,3,3,0,3,6,0,0,0,0,0,0,0,49,36-50,2407,1,0,0,0,0,0,1,0,0,35,42442</v>
      </c>
    </row>
    <row r="1733" spans="1:40" ht="13" hidden="1" x14ac:dyDescent="0.15">
      <c r="A1733">
        <v>1882</v>
      </c>
      <c r="B1733" s="1">
        <v>34350</v>
      </c>
      <c r="C1733" s="1">
        <v>37</v>
      </c>
      <c r="D1733" s="4">
        <f t="shared" si="54"/>
        <v>1.0771470160116448E-3</v>
      </c>
      <c r="E1733" s="1">
        <v>1</v>
      </c>
      <c r="F1733" s="1">
        <v>0</v>
      </c>
      <c r="G1733" s="1">
        <v>81</v>
      </c>
      <c r="H1733" s="1">
        <v>16</v>
      </c>
      <c r="I1733" s="1">
        <v>3</v>
      </c>
      <c r="J1733" s="1">
        <v>15</v>
      </c>
      <c r="K1733" s="1">
        <v>2</v>
      </c>
      <c r="L1733" s="1">
        <v>1</v>
      </c>
      <c r="M1733" s="1">
        <v>11</v>
      </c>
      <c r="N1733" s="1">
        <v>1</v>
      </c>
      <c r="O1733" s="1">
        <v>1</v>
      </c>
      <c r="P1733" s="1">
        <v>0</v>
      </c>
      <c r="Q1733" s="1">
        <v>3</v>
      </c>
      <c r="R1733" s="1">
        <v>7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41</v>
      </c>
      <c r="AA1733" s="1" t="str" cm="1">
        <f t="array" ref="AA1733">_xlfn.IFS(AND(Z1733&lt;36, Z1733&gt;23), "24-35", AND(Z1733&lt;51, Z1733&gt;35),"36-50", AND(Z1733&lt;66, Z1733&gt;50), "51-66", Z1733&gt;65, "66+", TRUE, "?")</f>
        <v>36-50</v>
      </c>
      <c r="AB1733" s="1">
        <v>2412</v>
      </c>
      <c r="AC1733" s="1">
        <v>0</v>
      </c>
      <c r="AD1733" s="1">
        <v>0</v>
      </c>
      <c r="AE1733" s="1">
        <v>0</v>
      </c>
      <c r="AF1733" s="1">
        <v>1</v>
      </c>
      <c r="AG1733" s="1">
        <v>0</v>
      </c>
      <c r="AH1733" s="1">
        <v>0</v>
      </c>
      <c r="AI1733" s="1">
        <v>1</v>
      </c>
      <c r="AJ1733" s="1">
        <v>0</v>
      </c>
      <c r="AK1733" s="1">
        <v>0</v>
      </c>
      <c r="AL1733" s="1">
        <v>26</v>
      </c>
      <c r="AM1733" s="2">
        <v>42437</v>
      </c>
      <c r="AN1733" t="str">
        <f t="shared" si="55"/>
        <v>34350,37,0.00107714701601164,1,0,81,16,3,15,2,1,11,1,1,0,3,7,0,0,0,0,0,0,0,41,36-50,2412,0,0,0,1,0,0,1,0,0,26,42437</v>
      </c>
    </row>
    <row r="1734" spans="1:40" ht="13" x14ac:dyDescent="0.15">
      <c r="A1734">
        <v>1906</v>
      </c>
      <c r="B1734" s="1">
        <v>21355</v>
      </c>
      <c r="C1734" s="1">
        <v>37</v>
      </c>
      <c r="D1734" s="4">
        <f t="shared" si="54"/>
        <v>1.7326153125731679E-3</v>
      </c>
      <c r="E1734" s="1">
        <v>1</v>
      </c>
      <c r="F1734" s="1">
        <v>0</v>
      </c>
      <c r="G1734" s="1">
        <v>5</v>
      </c>
      <c r="H1734" s="1">
        <v>5</v>
      </c>
      <c r="I1734" s="1">
        <v>13</v>
      </c>
      <c r="J1734" s="1">
        <v>14</v>
      </c>
      <c r="K1734" s="1">
        <v>0</v>
      </c>
      <c r="L1734" s="1">
        <v>5</v>
      </c>
      <c r="M1734" s="1">
        <v>31</v>
      </c>
      <c r="N1734" s="1">
        <v>2</v>
      </c>
      <c r="O1734" s="1">
        <v>2</v>
      </c>
      <c r="P1734" s="1">
        <v>1</v>
      </c>
      <c r="Q1734" s="1">
        <v>2</v>
      </c>
      <c r="R1734" s="1">
        <v>6</v>
      </c>
      <c r="S1734" s="1">
        <v>0</v>
      </c>
      <c r="T1734" s="1">
        <v>0</v>
      </c>
      <c r="U1734" s="1">
        <v>1</v>
      </c>
      <c r="V1734" s="1">
        <v>0</v>
      </c>
      <c r="W1734" s="1">
        <v>0</v>
      </c>
      <c r="X1734" s="1">
        <v>0</v>
      </c>
      <c r="Y1734" s="1">
        <v>1</v>
      </c>
      <c r="Z1734" s="1">
        <v>35</v>
      </c>
      <c r="AA1734" s="1" t="str" cm="1">
        <f t="array" ref="AA1734">_xlfn.IFS(AND(Z1734&lt;36, Z1734&gt;23), "24-35", AND(Z1734&lt;51, Z1734&gt;35),"36-50", AND(Z1734&lt;66, Z1734&gt;50), "51-66", Z1734&gt;65, "66+", TRUE, "?")</f>
        <v>24-35</v>
      </c>
      <c r="AB1734" s="1">
        <v>2472</v>
      </c>
      <c r="AC1734" s="1">
        <v>0</v>
      </c>
      <c r="AD1734" s="1">
        <v>1</v>
      </c>
      <c r="AE1734" s="1">
        <v>0</v>
      </c>
      <c r="AF1734" s="1">
        <v>0</v>
      </c>
      <c r="AG1734" s="1">
        <v>0</v>
      </c>
      <c r="AH1734" s="1">
        <v>0</v>
      </c>
      <c r="AI1734" s="1">
        <v>1</v>
      </c>
      <c r="AJ1734" s="1">
        <v>0</v>
      </c>
      <c r="AK1734" s="1">
        <v>0</v>
      </c>
      <c r="AL1734" s="1">
        <v>6</v>
      </c>
      <c r="AM1734" s="2">
        <v>42377</v>
      </c>
      <c r="AN1734" t="str">
        <f t="shared" si="55"/>
        <v>21355,37,0.00173261531257317,1,0,5,5,13,14,0,5,31,2,2,1,2,6,0,0,1,0,0,0,1,35,24-35,2472,0,1,0,0,0,0,1,0,0,6,42377</v>
      </c>
    </row>
    <row r="1735" spans="1:40" ht="13" hidden="1" x14ac:dyDescent="0.15">
      <c r="A1735">
        <v>10</v>
      </c>
      <c r="B1735" s="1">
        <v>5648</v>
      </c>
      <c r="C1735" s="1">
        <v>36</v>
      </c>
      <c r="D1735" s="4">
        <f t="shared" si="54"/>
        <v>6.3739376770538241E-3</v>
      </c>
      <c r="E1735" s="1">
        <v>1</v>
      </c>
      <c r="F1735" s="1">
        <v>1</v>
      </c>
      <c r="G1735" s="1">
        <v>68</v>
      </c>
      <c r="H1735" s="1">
        <v>28</v>
      </c>
      <c r="I1735" s="1">
        <v>0</v>
      </c>
      <c r="J1735" s="1">
        <v>6</v>
      </c>
      <c r="K1735" s="1">
        <v>1</v>
      </c>
      <c r="L1735" s="1">
        <v>1</v>
      </c>
      <c r="M1735" s="1">
        <v>13</v>
      </c>
      <c r="N1735" s="1">
        <v>1</v>
      </c>
      <c r="O1735" s="1">
        <v>1</v>
      </c>
      <c r="P1735" s="1">
        <v>0</v>
      </c>
      <c r="Q1735" s="1">
        <v>0</v>
      </c>
      <c r="R1735" s="1">
        <v>20</v>
      </c>
      <c r="S1735" s="1">
        <v>0</v>
      </c>
      <c r="T1735" s="1">
        <v>0</v>
      </c>
      <c r="U1735" s="1">
        <v>1</v>
      </c>
      <c r="V1735" s="1">
        <v>0</v>
      </c>
      <c r="W1735" s="1">
        <v>0</v>
      </c>
      <c r="X1735" s="1">
        <v>0</v>
      </c>
      <c r="Y1735" s="1">
        <v>0</v>
      </c>
      <c r="Z1735" s="1">
        <v>70</v>
      </c>
      <c r="AA1735" s="1" t="str" cm="1">
        <f t="array" ref="AA1735">_xlfn.IFS(AND(Z1735&lt;36, Z1735&gt;23), "24-35", AND(Z1735&lt;51, Z1735&gt;35),"36-50", AND(Z1735&lt;66, Z1735&gt;50), "51-66", Z1735&gt;65, "66+", TRUE, "?")</f>
        <v>66+</v>
      </c>
      <c r="AB1735" s="1">
        <v>2267</v>
      </c>
      <c r="AC1735" s="1">
        <v>0</v>
      </c>
      <c r="AD1735" s="1">
        <v>0</v>
      </c>
      <c r="AE1735" s="1">
        <v>0</v>
      </c>
      <c r="AF1735" s="1">
        <v>1</v>
      </c>
      <c r="AG1735" s="1">
        <v>0</v>
      </c>
      <c r="AH1735" s="1">
        <v>0</v>
      </c>
      <c r="AI1735" s="1">
        <v>0</v>
      </c>
      <c r="AJ1735" s="1">
        <v>0</v>
      </c>
      <c r="AK1735" s="1">
        <v>1</v>
      </c>
      <c r="AL1735" s="1">
        <v>23</v>
      </c>
      <c r="AM1735" s="2">
        <v>42582</v>
      </c>
      <c r="AN1735" t="str">
        <f t="shared" si="55"/>
        <v>5648,36,0.00637393767705382,1,1,68,28,0,6,1,1,13,1,1,0,0,20,0,0,1,0,0,0,0,70,66+,2267,0,0,0,1,0,0,0,0,1,23,42582</v>
      </c>
    </row>
    <row r="1736" spans="1:40" ht="13" hidden="1" x14ac:dyDescent="0.15">
      <c r="A1736">
        <v>84</v>
      </c>
      <c r="B1736" s="1">
        <v>30096</v>
      </c>
      <c r="C1736" s="1">
        <v>36</v>
      </c>
      <c r="D1736" s="4">
        <f t="shared" si="54"/>
        <v>1.1961722488038277E-3</v>
      </c>
      <c r="E1736" s="1">
        <v>1</v>
      </c>
      <c r="F1736" s="1">
        <v>0</v>
      </c>
      <c r="G1736" s="1">
        <v>30</v>
      </c>
      <c r="H1736" s="1">
        <v>5</v>
      </c>
      <c r="I1736" s="1">
        <v>3</v>
      </c>
      <c r="J1736" s="1">
        <v>11</v>
      </c>
      <c r="K1736" s="1">
        <v>12</v>
      </c>
      <c r="L1736" s="1">
        <v>5</v>
      </c>
      <c r="M1736" s="1">
        <v>9</v>
      </c>
      <c r="N1736" s="1">
        <v>1</v>
      </c>
      <c r="O1736" s="1">
        <v>2</v>
      </c>
      <c r="P1736" s="1">
        <v>0</v>
      </c>
      <c r="Q1736" s="1">
        <v>3</v>
      </c>
      <c r="R1736" s="1">
        <v>6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37</v>
      </c>
      <c r="AA1736" s="1" t="str" cm="1">
        <f t="array" ref="AA1736">_xlfn.IFS(AND(Z1736&lt;36, Z1736&gt;23), "24-35", AND(Z1736&lt;51, Z1736&gt;35),"36-50", AND(Z1736&lt;66, Z1736&gt;50), "51-66", Z1736&gt;65, "66+", TRUE, "?")</f>
        <v>36-50</v>
      </c>
      <c r="AB1736" s="1">
        <v>2197</v>
      </c>
      <c r="AC1736" s="1">
        <v>0</v>
      </c>
      <c r="AD1736" s="1">
        <v>1</v>
      </c>
      <c r="AE1736" s="1">
        <v>0</v>
      </c>
      <c r="AF1736" s="1">
        <v>0</v>
      </c>
      <c r="AG1736" s="1">
        <v>0</v>
      </c>
      <c r="AH1736" s="1">
        <v>0</v>
      </c>
      <c r="AI1736" s="1">
        <v>1</v>
      </c>
      <c r="AJ1736" s="1">
        <v>0</v>
      </c>
      <c r="AK1736" s="1">
        <v>0</v>
      </c>
      <c r="AL1736" s="1">
        <v>27</v>
      </c>
      <c r="AM1736" s="2">
        <v>42652</v>
      </c>
      <c r="AN1736" t="str">
        <f t="shared" si="55"/>
        <v>30096,36,0.00119617224880383,1,0,30,5,3,11,12,5,9,1,2,0,3,6,0,0,0,0,0,0,0,37,36-50,2197,0,1,0,0,0,0,1,0,0,27,42652</v>
      </c>
    </row>
    <row r="1737" spans="1:40" ht="13" hidden="1" x14ac:dyDescent="0.15">
      <c r="A1737">
        <v>288</v>
      </c>
      <c r="B1737" s="1">
        <v>12571</v>
      </c>
      <c r="C1737" s="1">
        <v>36</v>
      </c>
      <c r="D1737" s="4">
        <f t="shared" si="54"/>
        <v>2.863733990931509E-3</v>
      </c>
      <c r="E1737" s="1">
        <v>1</v>
      </c>
      <c r="F1737" s="1">
        <v>0</v>
      </c>
      <c r="G1737" s="1">
        <v>86</v>
      </c>
      <c r="H1737" s="1">
        <v>3</v>
      </c>
      <c r="I1737" s="1">
        <v>5</v>
      </c>
      <c r="J1737" s="1">
        <v>14</v>
      </c>
      <c r="K1737" s="1">
        <v>2</v>
      </c>
      <c r="L1737" s="1">
        <v>12</v>
      </c>
      <c r="M1737" s="1">
        <v>17</v>
      </c>
      <c r="N1737" s="1">
        <v>4</v>
      </c>
      <c r="O1737" s="1">
        <v>3</v>
      </c>
      <c r="P1737" s="1">
        <v>1</v>
      </c>
      <c r="Q1737" s="1">
        <v>3</v>
      </c>
      <c r="R1737" s="1">
        <v>6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44</v>
      </c>
      <c r="AA1737" s="1" t="str" cm="1">
        <f t="array" ref="AA1737">_xlfn.IFS(AND(Z1737&lt;36, Z1737&gt;23), "24-35", AND(Z1737&lt;51, Z1737&gt;35),"36-50", AND(Z1737&lt;66, Z1737&gt;50), "51-66", Z1737&gt;65, "66+", TRUE, "?")</f>
        <v>36-50</v>
      </c>
      <c r="AB1737" s="1">
        <v>2321</v>
      </c>
      <c r="AC1737" s="1">
        <v>1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1</v>
      </c>
      <c r="AJ1737" s="1">
        <v>0</v>
      </c>
      <c r="AK1737" s="1">
        <v>0</v>
      </c>
      <c r="AL1737" s="1">
        <v>19</v>
      </c>
      <c r="AM1737" s="2">
        <v>42528</v>
      </c>
      <c r="AN1737" t="str">
        <f t="shared" si="55"/>
        <v>12571,36,0.00286373399093151,1,0,86,3,5,14,2,12,17,4,3,1,3,6,0,0,0,0,0,0,0,44,36-50,2321,1,0,0,0,0,0,1,0,0,19,42528</v>
      </c>
    </row>
    <row r="1738" spans="1:40" ht="13" hidden="1" x14ac:dyDescent="0.15">
      <c r="A1738">
        <v>351</v>
      </c>
      <c r="B1738" s="1">
        <v>30279</v>
      </c>
      <c r="C1738" s="1">
        <v>36</v>
      </c>
      <c r="D1738" s="4">
        <f t="shared" si="54"/>
        <v>1.1889428316655107E-3</v>
      </c>
      <c r="E1738" s="1">
        <v>1</v>
      </c>
      <c r="F1738" s="1">
        <v>0</v>
      </c>
      <c r="G1738" s="1">
        <v>13</v>
      </c>
      <c r="H1738" s="1">
        <v>10</v>
      </c>
      <c r="I1738" s="1">
        <v>4</v>
      </c>
      <c r="J1738" s="1">
        <v>14</v>
      </c>
      <c r="K1738" s="1">
        <v>4</v>
      </c>
      <c r="L1738" s="1">
        <v>4</v>
      </c>
      <c r="M1738" s="1">
        <v>1</v>
      </c>
      <c r="N1738" s="1">
        <v>1</v>
      </c>
      <c r="O1738" s="1">
        <v>1</v>
      </c>
      <c r="P1738" s="1">
        <v>0</v>
      </c>
      <c r="Q1738" s="1">
        <v>3</v>
      </c>
      <c r="R1738" s="1">
        <v>8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31</v>
      </c>
      <c r="AA1738" s="1" t="str" cm="1">
        <f t="array" ref="AA1738">_xlfn.IFS(AND(Z1738&lt;36, Z1738&gt;23), "24-35", AND(Z1738&lt;51, Z1738&gt;35),"36-50", AND(Z1738&lt;66, Z1738&gt;50), "51-66", Z1738&gt;65, "66+", TRUE, "?")</f>
        <v>24-35</v>
      </c>
      <c r="AB1738" s="1">
        <v>2705</v>
      </c>
      <c r="AC1738" s="1">
        <v>0</v>
      </c>
      <c r="AD1738" s="1">
        <v>0</v>
      </c>
      <c r="AE1738" s="1">
        <v>1</v>
      </c>
      <c r="AF1738" s="1">
        <v>0</v>
      </c>
      <c r="AG1738" s="1">
        <v>0</v>
      </c>
      <c r="AH1738" s="1">
        <v>0</v>
      </c>
      <c r="AI1738" s="1">
        <v>1</v>
      </c>
      <c r="AJ1738" s="1">
        <v>0</v>
      </c>
      <c r="AK1738" s="1">
        <v>0</v>
      </c>
      <c r="AL1738" s="1">
        <v>35</v>
      </c>
      <c r="AM1738" s="2">
        <v>42144</v>
      </c>
      <c r="AN1738" t="str">
        <f t="shared" si="55"/>
        <v>30279,36,0.00118894283166551,1,0,13,10,4,14,4,4,1,1,1,0,3,8,0,0,0,0,0,0,0,31,24-35,2705,0,0,1,0,0,0,1,0,0,35,42144</v>
      </c>
    </row>
    <row r="1739" spans="1:40" ht="13" hidden="1" x14ac:dyDescent="0.15">
      <c r="A1739">
        <v>518</v>
      </c>
      <c r="B1739" s="1">
        <v>39548</v>
      </c>
      <c r="C1739" s="1">
        <v>36</v>
      </c>
      <c r="D1739" s="4">
        <f t="shared" si="54"/>
        <v>9.1028623444927678E-4</v>
      </c>
      <c r="E1739" s="1">
        <v>1</v>
      </c>
      <c r="F1739" s="1">
        <v>1</v>
      </c>
      <c r="G1739" s="1">
        <v>87</v>
      </c>
      <c r="H1739" s="1">
        <v>15</v>
      </c>
      <c r="I1739" s="1">
        <v>4</v>
      </c>
      <c r="J1739" s="1">
        <v>10</v>
      </c>
      <c r="K1739" s="1">
        <v>3</v>
      </c>
      <c r="L1739" s="1">
        <v>4</v>
      </c>
      <c r="M1739" s="1">
        <v>18</v>
      </c>
      <c r="N1739" s="1">
        <v>2</v>
      </c>
      <c r="O1739" s="1">
        <v>1</v>
      </c>
      <c r="P1739" s="1">
        <v>1</v>
      </c>
      <c r="Q1739" s="1">
        <v>3</v>
      </c>
      <c r="R1739" s="1">
        <v>3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57</v>
      </c>
      <c r="AA1739" s="1" t="str" cm="1">
        <f t="array" ref="AA1739">_xlfn.IFS(AND(Z1739&lt;36, Z1739&gt;23), "24-35", AND(Z1739&lt;51, Z1739&gt;35),"36-50", AND(Z1739&lt;66, Z1739&gt;50), "51-66", Z1739&gt;65, "66+", TRUE, "?")</f>
        <v>51-66</v>
      </c>
      <c r="AB1739" s="1">
        <v>2249</v>
      </c>
      <c r="AC1739" s="1">
        <v>0</v>
      </c>
      <c r="AD1739" s="1">
        <v>0</v>
      </c>
      <c r="AE1739" s="1">
        <v>1</v>
      </c>
      <c r="AF1739" s="1">
        <v>0</v>
      </c>
      <c r="AG1739" s="1">
        <v>0</v>
      </c>
      <c r="AH1739" s="1">
        <v>1</v>
      </c>
      <c r="AI1739" s="1">
        <v>0</v>
      </c>
      <c r="AJ1739" s="1">
        <v>0</v>
      </c>
      <c r="AK1739" s="1">
        <v>0</v>
      </c>
      <c r="AL1739" s="1">
        <v>18</v>
      </c>
      <c r="AM1739" s="2">
        <v>42600</v>
      </c>
      <c r="AN1739" t="str">
        <f t="shared" si="55"/>
        <v>39548,36,0.000910286234449277,1,1,87,15,4,10,3,4,18,2,1,1,3,3,0,0,0,0,0,0,0,57,51-66,2249,0,0,1,0,0,1,0,0,0,18,42600</v>
      </c>
    </row>
    <row r="1740" spans="1:40" ht="13" hidden="1" x14ac:dyDescent="0.15">
      <c r="A1740">
        <v>891</v>
      </c>
      <c r="B1740" s="1">
        <v>39771</v>
      </c>
      <c r="C1740" s="1">
        <v>36</v>
      </c>
      <c r="D1740" s="4">
        <f t="shared" si="54"/>
        <v>9.0518216791129211E-4</v>
      </c>
      <c r="E1740" s="1">
        <v>1</v>
      </c>
      <c r="F1740" s="1">
        <v>0</v>
      </c>
      <c r="G1740" s="1">
        <v>92</v>
      </c>
      <c r="H1740" s="1">
        <v>6</v>
      </c>
      <c r="I1740" s="1">
        <v>2</v>
      </c>
      <c r="J1740" s="1">
        <v>18</v>
      </c>
      <c r="K1740" s="1">
        <v>2</v>
      </c>
      <c r="L1740" s="1">
        <v>8</v>
      </c>
      <c r="M1740" s="1">
        <v>14</v>
      </c>
      <c r="N1740" s="1">
        <v>1</v>
      </c>
      <c r="O1740" s="1">
        <v>2</v>
      </c>
      <c r="P1740" s="1">
        <v>0</v>
      </c>
      <c r="Q1740" s="1">
        <v>3</v>
      </c>
      <c r="R1740" s="1">
        <v>4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43</v>
      </c>
      <c r="AA1740" s="1" t="str" cm="1">
        <f t="array" ref="AA1740">_xlfn.IFS(AND(Z1740&lt;36, Z1740&gt;23), "24-35", AND(Z1740&lt;51, Z1740&gt;35),"36-50", AND(Z1740&lt;66, Z1740&gt;50), "51-66", Z1740&gt;65, "66+", TRUE, "?")</f>
        <v>36-50</v>
      </c>
      <c r="AB1740" s="1">
        <v>2364</v>
      </c>
      <c r="AC1740" s="1">
        <v>0</v>
      </c>
      <c r="AD1740" s="1">
        <v>0</v>
      </c>
      <c r="AE1740" s="1">
        <v>0</v>
      </c>
      <c r="AF1740" s="1">
        <v>1</v>
      </c>
      <c r="AG1740" s="1">
        <v>0</v>
      </c>
      <c r="AH1740" s="1">
        <v>0</v>
      </c>
      <c r="AI1740" s="1">
        <v>1</v>
      </c>
      <c r="AJ1740" s="1">
        <v>0</v>
      </c>
      <c r="AK1740" s="1">
        <v>0</v>
      </c>
      <c r="AL1740" s="1">
        <v>22</v>
      </c>
      <c r="AM1740" s="2">
        <v>42485</v>
      </c>
      <c r="AN1740" t="str">
        <f t="shared" si="55"/>
        <v>39771,36,0.000905182167911292,1,0,92,6,2,18,2,8,14,1,2,0,3,4,0,0,0,0,0,0,0,43,36-50,2364,0,0,0,1,0,0,1,0,0,22,42485</v>
      </c>
    </row>
    <row r="1741" spans="1:40" ht="13" hidden="1" x14ac:dyDescent="0.15">
      <c r="A1741">
        <v>1132</v>
      </c>
      <c r="B1741" s="1">
        <v>18351</v>
      </c>
      <c r="C1741" s="1">
        <v>36</v>
      </c>
      <c r="D1741" s="4">
        <f t="shared" si="54"/>
        <v>1.9617459538989702E-3</v>
      </c>
      <c r="E1741" s="1">
        <v>0</v>
      </c>
      <c r="F1741" s="1">
        <v>0</v>
      </c>
      <c r="G1741" s="1">
        <v>1</v>
      </c>
      <c r="H1741" s="1">
        <v>1</v>
      </c>
      <c r="I1741" s="1">
        <v>12</v>
      </c>
      <c r="J1741" s="1">
        <v>9</v>
      </c>
      <c r="K1741" s="1">
        <v>0</v>
      </c>
      <c r="L1741" s="1">
        <v>14</v>
      </c>
      <c r="M1741" s="1">
        <v>7</v>
      </c>
      <c r="N1741" s="1">
        <v>1</v>
      </c>
      <c r="O1741" s="1">
        <v>2</v>
      </c>
      <c r="P1741" s="1">
        <v>0</v>
      </c>
      <c r="Q1741" s="1">
        <v>3</v>
      </c>
      <c r="R1741" s="1">
        <v>7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30</v>
      </c>
      <c r="AA1741" s="1" t="str" cm="1">
        <f t="array" ref="AA1741">_xlfn.IFS(AND(Z1741&lt;36, Z1741&gt;23), "24-35", AND(Z1741&lt;51, Z1741&gt;35),"36-50", AND(Z1741&lt;66, Z1741&gt;50), "51-66", Z1741&gt;65, "66+", TRUE, "?")</f>
        <v>24-35</v>
      </c>
      <c r="AB1741" s="1">
        <v>2402</v>
      </c>
      <c r="AC1741" s="1">
        <v>0</v>
      </c>
      <c r="AD1741" s="1">
        <v>1</v>
      </c>
      <c r="AE1741" s="1">
        <v>0</v>
      </c>
      <c r="AF1741" s="1">
        <v>0</v>
      </c>
      <c r="AG1741" s="1">
        <v>0</v>
      </c>
      <c r="AH1741" s="1">
        <v>0</v>
      </c>
      <c r="AI1741" s="1">
        <v>1</v>
      </c>
      <c r="AJ1741" s="1">
        <v>0</v>
      </c>
      <c r="AK1741" s="1">
        <v>0</v>
      </c>
      <c r="AL1741" s="1">
        <v>29</v>
      </c>
      <c r="AM1741" s="2">
        <v>42447</v>
      </c>
      <c r="AN1741" t="str">
        <f t="shared" si="55"/>
        <v>18351,36,0.00196174595389897,0,0,1,1,12,9,0,14,7,1,2,0,3,7,0,0,0,0,0,0,0,30,24-35,2402,0,1,0,0,0,0,1,0,0,29,42447</v>
      </c>
    </row>
    <row r="1742" spans="1:40" ht="13" hidden="1" x14ac:dyDescent="0.15">
      <c r="A1742">
        <v>1758</v>
      </c>
      <c r="B1742" s="1">
        <v>21059</v>
      </c>
      <c r="C1742" s="1">
        <v>36</v>
      </c>
      <c r="D1742" s="4">
        <f t="shared" si="54"/>
        <v>1.709482881428368E-3</v>
      </c>
      <c r="E1742" s="1">
        <v>1</v>
      </c>
      <c r="F1742" s="1">
        <v>0</v>
      </c>
      <c r="G1742" s="1">
        <v>40</v>
      </c>
      <c r="H1742" s="1">
        <v>8</v>
      </c>
      <c r="I1742" s="1">
        <v>3</v>
      </c>
      <c r="J1742" s="1">
        <v>19</v>
      </c>
      <c r="K1742" s="1">
        <v>3</v>
      </c>
      <c r="L1742" s="1">
        <v>3</v>
      </c>
      <c r="M1742" s="1">
        <v>8</v>
      </c>
      <c r="N1742" s="1">
        <v>3</v>
      </c>
      <c r="O1742" s="1">
        <v>3</v>
      </c>
      <c r="P1742" s="1">
        <v>0</v>
      </c>
      <c r="Q1742" s="1">
        <v>3</v>
      </c>
      <c r="R1742" s="1">
        <v>6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38</v>
      </c>
      <c r="AA1742" s="1" t="str" cm="1">
        <f t="array" ref="AA1742">_xlfn.IFS(AND(Z1742&lt;36, Z1742&gt;23), "24-35", AND(Z1742&lt;51, Z1742&gt;35),"36-50", AND(Z1742&lt;66, Z1742&gt;50), "51-66", Z1742&gt;65, "66+", TRUE, "?")</f>
        <v>36-50</v>
      </c>
      <c r="AB1742" s="1">
        <v>2332</v>
      </c>
      <c r="AC1742" s="1">
        <v>0</v>
      </c>
      <c r="AD1742" s="1">
        <v>1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1</v>
      </c>
      <c r="AK1742" s="1">
        <v>0</v>
      </c>
      <c r="AL1742" s="1">
        <v>28</v>
      </c>
      <c r="AM1742" s="2">
        <v>42517</v>
      </c>
      <c r="AN1742" t="str">
        <f t="shared" si="55"/>
        <v>21059,36,0.00170948288142837,1,0,40,8,3,19,3,3,8,3,3,0,3,6,0,0,0,0,0,0,0,38,36-50,2332,0,1,0,0,0,0,0,1,0,28,42517</v>
      </c>
    </row>
    <row r="1743" spans="1:40" ht="13" hidden="1" x14ac:dyDescent="0.15">
      <c r="A1743">
        <v>1768</v>
      </c>
      <c r="B1743" s="1">
        <v>23763</v>
      </c>
      <c r="C1743" s="1">
        <v>36</v>
      </c>
      <c r="D1743" s="4">
        <f t="shared" si="54"/>
        <v>1.5149602322939023E-3</v>
      </c>
      <c r="E1743" s="1">
        <v>1</v>
      </c>
      <c r="F1743" s="1">
        <v>0</v>
      </c>
      <c r="G1743" s="1">
        <v>64</v>
      </c>
      <c r="H1743" s="1">
        <v>22</v>
      </c>
      <c r="I1743" s="1">
        <v>0</v>
      </c>
      <c r="J1743" s="1">
        <v>6</v>
      </c>
      <c r="K1743" s="1">
        <v>6</v>
      </c>
      <c r="L1743" s="1">
        <v>2</v>
      </c>
      <c r="M1743" s="1">
        <v>6</v>
      </c>
      <c r="N1743" s="1">
        <v>1</v>
      </c>
      <c r="O1743" s="1">
        <v>1</v>
      </c>
      <c r="P1743" s="1">
        <v>0</v>
      </c>
      <c r="Q1743" s="1">
        <v>3</v>
      </c>
      <c r="R1743" s="1">
        <v>7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43</v>
      </c>
      <c r="AA1743" s="1" t="str" cm="1">
        <f t="array" ref="AA1743">_xlfn.IFS(AND(Z1743&lt;36, Z1743&gt;23), "24-35", AND(Z1743&lt;51, Z1743&gt;35),"36-50", AND(Z1743&lt;66, Z1743&gt;50), "51-66", Z1743&gt;65, "66+", TRUE, "?")</f>
        <v>36-50</v>
      </c>
      <c r="AB1743" s="1">
        <v>2850</v>
      </c>
      <c r="AC1743" s="1">
        <v>0</v>
      </c>
      <c r="AD1743" s="1">
        <v>0</v>
      </c>
      <c r="AE1743" s="1">
        <v>1</v>
      </c>
      <c r="AF1743" s="1">
        <v>0</v>
      </c>
      <c r="AG1743" s="1">
        <v>0</v>
      </c>
      <c r="AH1743" s="1">
        <v>0</v>
      </c>
      <c r="AI1743" s="1">
        <v>1</v>
      </c>
      <c r="AJ1743" s="1">
        <v>0</v>
      </c>
      <c r="AK1743" s="1">
        <v>0</v>
      </c>
      <c r="AL1743" s="1">
        <v>30</v>
      </c>
      <c r="AM1743" s="2">
        <v>41999</v>
      </c>
      <c r="AN1743" t="str">
        <f t="shared" si="55"/>
        <v>23763,36,0.0015149602322939,1,0,64,22,0,6,6,2,6,1,1,0,3,7,0,0,0,0,0,0,0,43,36-50,2850,0,0,1,0,0,0,1,0,0,30,41999</v>
      </c>
    </row>
    <row r="1744" spans="1:40" ht="13" hidden="1" x14ac:dyDescent="0.15">
      <c r="A1744">
        <v>187</v>
      </c>
      <c r="B1744" s="1">
        <v>40637</v>
      </c>
      <c r="C1744" s="1">
        <v>35</v>
      </c>
      <c r="D1744" s="4">
        <f t="shared" si="54"/>
        <v>8.6128405148017811E-4</v>
      </c>
      <c r="E1744" s="1">
        <v>1</v>
      </c>
      <c r="F1744" s="1">
        <v>1</v>
      </c>
      <c r="G1744" s="1">
        <v>72</v>
      </c>
      <c r="H1744" s="1">
        <v>22</v>
      </c>
      <c r="I1744" s="1">
        <v>0</v>
      </c>
      <c r="J1744" s="1">
        <v>13</v>
      </c>
      <c r="K1744" s="1">
        <v>0</v>
      </c>
      <c r="L1744" s="1">
        <v>0</v>
      </c>
      <c r="M1744" s="1">
        <v>3</v>
      </c>
      <c r="N1744" s="1">
        <v>2</v>
      </c>
      <c r="O1744" s="1">
        <v>1</v>
      </c>
      <c r="P1744" s="1">
        <v>0</v>
      </c>
      <c r="Q1744" s="1">
        <v>3</v>
      </c>
      <c r="R1744" s="1">
        <v>7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55</v>
      </c>
      <c r="AA1744" s="1" t="str" cm="1">
        <f t="array" ref="AA1744">_xlfn.IFS(AND(Z1744&lt;36, Z1744&gt;23), "24-35", AND(Z1744&lt;51, Z1744&gt;35),"36-50", AND(Z1744&lt;66, Z1744&gt;50), "51-66", Z1744&gt;65, "66+", TRUE, "?")</f>
        <v>51-66</v>
      </c>
      <c r="AB1744" s="1">
        <v>2506</v>
      </c>
      <c r="AC1744" s="1">
        <v>0</v>
      </c>
      <c r="AD1744" s="1">
        <v>0</v>
      </c>
      <c r="AE1744" s="1">
        <v>1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1</v>
      </c>
      <c r="AL1744" s="1">
        <v>32</v>
      </c>
      <c r="AM1744" s="2">
        <v>42343</v>
      </c>
      <c r="AN1744" t="str">
        <f t="shared" si="55"/>
        <v>40637,35,0.000861284051480178,1,1,72,22,0,13,0,0,3,2,1,0,3,7,0,0,0,0,0,0,0,55,51-66,2506,0,0,1,0,0,0,0,0,1,32,42343</v>
      </c>
    </row>
    <row r="1745" spans="1:40" ht="13" hidden="1" x14ac:dyDescent="0.15">
      <c r="A1745">
        <v>289</v>
      </c>
      <c r="B1745" s="1">
        <v>22574</v>
      </c>
      <c r="C1745" s="1">
        <v>35</v>
      </c>
      <c r="D1745" s="4">
        <f t="shared" si="54"/>
        <v>1.5504562771329849E-3</v>
      </c>
      <c r="E1745" s="1">
        <v>2</v>
      </c>
      <c r="F1745" s="1">
        <v>1</v>
      </c>
      <c r="G1745" s="1">
        <v>28</v>
      </c>
      <c r="H1745" s="1">
        <v>25</v>
      </c>
      <c r="I1745" s="1">
        <v>0</v>
      </c>
      <c r="J1745" s="1">
        <v>8</v>
      </c>
      <c r="K1745" s="1">
        <v>2</v>
      </c>
      <c r="L1745" s="1">
        <v>0</v>
      </c>
      <c r="M1745" s="1">
        <v>2</v>
      </c>
      <c r="N1745" s="1">
        <v>2</v>
      </c>
      <c r="O1745" s="1">
        <v>2</v>
      </c>
      <c r="P1745" s="1">
        <v>0</v>
      </c>
      <c r="Q1745" s="1">
        <v>3</v>
      </c>
      <c r="R1745" s="1">
        <v>7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53</v>
      </c>
      <c r="AA1745" s="1" t="str" cm="1">
        <f t="array" ref="AA1745">_xlfn.IFS(AND(Z1745&lt;36, Z1745&gt;23), "24-35", AND(Z1745&lt;51, Z1745&gt;35),"36-50", AND(Z1745&lt;66, Z1745&gt;50), "51-66", Z1745&gt;65, "66+", TRUE, "?")</f>
        <v>51-66</v>
      </c>
      <c r="AB1745" s="1">
        <v>2403</v>
      </c>
      <c r="AC1745" s="1">
        <v>0</v>
      </c>
      <c r="AD1745" s="1">
        <v>1</v>
      </c>
      <c r="AE1745" s="1">
        <v>0</v>
      </c>
      <c r="AF1745" s="1">
        <v>0</v>
      </c>
      <c r="AG1745" s="1">
        <v>0</v>
      </c>
      <c r="AH1745" s="1">
        <v>0</v>
      </c>
      <c r="AI1745" s="1">
        <v>1</v>
      </c>
      <c r="AJ1745" s="1">
        <v>0</v>
      </c>
      <c r="AK1745" s="1">
        <v>0</v>
      </c>
      <c r="AL1745" s="1">
        <v>33</v>
      </c>
      <c r="AM1745" s="2">
        <v>42446</v>
      </c>
      <c r="AN1745" t="str">
        <f t="shared" si="55"/>
        <v>22574,35,0.00155045627713298,2,1,28,25,0,8,2,0,2,2,2,0,3,7,0,0,0,0,0,0,0,53,51-66,2403,0,1,0,0,0,0,1,0,0,33,42446</v>
      </c>
    </row>
    <row r="1746" spans="1:40" ht="13" hidden="1" x14ac:dyDescent="0.15">
      <c r="A1746">
        <v>303</v>
      </c>
      <c r="B1746" s="1">
        <v>27255</v>
      </c>
      <c r="C1746" s="1">
        <v>35</v>
      </c>
      <c r="D1746" s="4">
        <f t="shared" si="54"/>
        <v>1.2841680425609979E-3</v>
      </c>
      <c r="E1746" s="1">
        <v>1</v>
      </c>
      <c r="F1746" s="1">
        <v>0</v>
      </c>
      <c r="G1746" s="1">
        <v>3</v>
      </c>
      <c r="H1746" s="1">
        <v>22</v>
      </c>
      <c r="I1746" s="1">
        <v>1</v>
      </c>
      <c r="J1746" s="1">
        <v>11</v>
      </c>
      <c r="K1746" s="1">
        <v>0</v>
      </c>
      <c r="L1746" s="1">
        <v>1</v>
      </c>
      <c r="M1746" s="1">
        <v>2</v>
      </c>
      <c r="N1746" s="1">
        <v>1</v>
      </c>
      <c r="O1746" s="1">
        <v>1</v>
      </c>
      <c r="P1746" s="1">
        <v>0</v>
      </c>
      <c r="Q1746" s="1">
        <v>3</v>
      </c>
      <c r="R1746" s="1">
        <v>7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36</v>
      </c>
      <c r="AA1746" s="1" t="str" cm="1">
        <f t="array" ref="AA1746">_xlfn.IFS(AND(Z1746&lt;36, Z1746&gt;23), "24-35", AND(Z1746&lt;51, Z1746&gt;35),"36-50", AND(Z1746&lt;66, Z1746&gt;50), "51-66", Z1746&gt;65, "66+", TRUE, "?")</f>
        <v>36-50</v>
      </c>
      <c r="AB1746" s="1">
        <v>2393</v>
      </c>
      <c r="AC1746" s="1">
        <v>0</v>
      </c>
      <c r="AD1746" s="1">
        <v>1</v>
      </c>
      <c r="AE1746" s="1">
        <v>0</v>
      </c>
      <c r="AF1746" s="1">
        <v>0</v>
      </c>
      <c r="AG1746" s="1">
        <v>0</v>
      </c>
      <c r="AH1746" s="1">
        <v>0</v>
      </c>
      <c r="AI1746" s="1">
        <v>1</v>
      </c>
      <c r="AJ1746" s="1">
        <v>0</v>
      </c>
      <c r="AK1746" s="1">
        <v>0</v>
      </c>
      <c r="AL1746" s="1">
        <v>33</v>
      </c>
      <c r="AM1746" s="2">
        <v>42456</v>
      </c>
      <c r="AN1746" t="str">
        <f t="shared" si="55"/>
        <v>27255,35,0.001284168042561,1,0,3,22,1,11,0,1,2,1,1,0,3,7,0,0,0,0,0,0,0,36,36-50,2393,0,1,0,0,0,0,1,0,0,33,42456</v>
      </c>
    </row>
    <row r="1747" spans="1:40" ht="13" hidden="1" x14ac:dyDescent="0.15">
      <c r="A1747">
        <v>514</v>
      </c>
      <c r="B1747" s="1">
        <v>24683</v>
      </c>
      <c r="C1747" s="1">
        <v>35</v>
      </c>
      <c r="D1747" s="4">
        <f t="shared" si="54"/>
        <v>1.4179799862253373E-3</v>
      </c>
      <c r="E1747" s="1">
        <v>1</v>
      </c>
      <c r="F1747" s="1">
        <v>0</v>
      </c>
      <c r="G1747" s="1">
        <v>98</v>
      </c>
      <c r="H1747" s="1">
        <v>8</v>
      </c>
      <c r="I1747" s="1">
        <v>4</v>
      </c>
      <c r="J1747" s="1">
        <v>10</v>
      </c>
      <c r="K1747" s="1">
        <v>6</v>
      </c>
      <c r="L1747" s="1">
        <v>7</v>
      </c>
      <c r="M1747" s="1">
        <v>6</v>
      </c>
      <c r="N1747" s="1">
        <v>2</v>
      </c>
      <c r="O1747" s="1">
        <v>2</v>
      </c>
      <c r="P1747" s="1">
        <v>0</v>
      </c>
      <c r="Q1747" s="1">
        <v>4</v>
      </c>
      <c r="R1747" s="1">
        <v>5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30</v>
      </c>
      <c r="AA1747" s="1" t="str" cm="1">
        <f t="array" ref="AA1747">_xlfn.IFS(AND(Z1747&lt;36, Z1747&gt;23), "24-35", AND(Z1747&lt;51, Z1747&gt;35),"36-50", AND(Z1747&lt;66, Z1747&gt;50), "51-66", Z1747&gt;65, "66+", TRUE, "?")</f>
        <v>24-35</v>
      </c>
      <c r="AB1747" s="1">
        <v>2272</v>
      </c>
      <c r="AC1747" s="1">
        <v>0</v>
      </c>
      <c r="AD1747" s="1">
        <v>1</v>
      </c>
      <c r="AE1747" s="1">
        <v>0</v>
      </c>
      <c r="AF1747" s="1">
        <v>0</v>
      </c>
      <c r="AG1747" s="1">
        <v>0</v>
      </c>
      <c r="AH1747" s="1">
        <v>1</v>
      </c>
      <c r="AI1747" s="1">
        <v>0</v>
      </c>
      <c r="AJ1747" s="1">
        <v>0</v>
      </c>
      <c r="AK1747" s="1">
        <v>0</v>
      </c>
      <c r="AL1747" s="1">
        <v>29</v>
      </c>
      <c r="AM1747" s="2">
        <v>42577</v>
      </c>
      <c r="AN1747" t="str">
        <f t="shared" si="55"/>
        <v>24683,35,0.00141797998622534,1,0,98,8,4,10,6,7,6,2,2,0,4,5,0,0,0,0,0,0,0,30,24-35,2272,0,1,0,0,0,1,0,0,0,29,42577</v>
      </c>
    </row>
    <row r="1748" spans="1:40" ht="13" hidden="1" x14ac:dyDescent="0.15">
      <c r="A1748">
        <v>735</v>
      </c>
      <c r="B1748" s="1">
        <v>31590</v>
      </c>
      <c r="C1748" s="1">
        <v>35</v>
      </c>
      <c r="D1748" s="4">
        <f t="shared" si="54"/>
        <v>1.1079455523899967E-3</v>
      </c>
      <c r="E1748" s="1">
        <v>1</v>
      </c>
      <c r="F1748" s="1">
        <v>0</v>
      </c>
      <c r="G1748" s="1">
        <v>40</v>
      </c>
      <c r="H1748" s="1">
        <v>6</v>
      </c>
      <c r="I1748" s="1">
        <v>2</v>
      </c>
      <c r="J1748" s="1">
        <v>15</v>
      </c>
      <c r="K1748" s="1">
        <v>6</v>
      </c>
      <c r="L1748" s="1">
        <v>6</v>
      </c>
      <c r="M1748" s="1">
        <v>3</v>
      </c>
      <c r="N1748" s="1">
        <v>1</v>
      </c>
      <c r="O1748" s="1">
        <v>1</v>
      </c>
      <c r="P1748" s="1">
        <v>0</v>
      </c>
      <c r="Q1748" s="1">
        <v>3</v>
      </c>
      <c r="R1748" s="1">
        <v>8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48</v>
      </c>
      <c r="AA1748" s="1" t="str" cm="1">
        <f t="array" ref="AA1748">_xlfn.IFS(AND(Z1748&lt;36, Z1748&gt;23), "24-35", AND(Z1748&lt;51, Z1748&gt;35),"36-50", AND(Z1748&lt;66, Z1748&gt;50), "51-66", Z1748&gt;65, "66+", TRUE, "?")</f>
        <v>36-50</v>
      </c>
      <c r="AB1748" s="1">
        <v>2535</v>
      </c>
      <c r="AC1748" s="1">
        <v>0</v>
      </c>
      <c r="AD1748" s="1">
        <v>0</v>
      </c>
      <c r="AE1748" s="1">
        <v>0</v>
      </c>
      <c r="AF1748" s="1">
        <v>1</v>
      </c>
      <c r="AG1748" s="1">
        <v>0</v>
      </c>
      <c r="AH1748" s="1">
        <v>0</v>
      </c>
      <c r="AI1748" s="1">
        <v>1</v>
      </c>
      <c r="AJ1748" s="1">
        <v>0</v>
      </c>
      <c r="AK1748" s="1">
        <v>0</v>
      </c>
      <c r="AL1748" s="1">
        <v>32</v>
      </c>
      <c r="AM1748" s="2">
        <v>42314</v>
      </c>
      <c r="AN1748" t="str">
        <f t="shared" si="55"/>
        <v>31590,35,0.00110794555239,1,0,40,6,2,15,6,6,3,1,1,0,3,8,0,0,0,0,0,0,0,48,36-50,2535,0,0,0,1,0,0,1,0,0,32,42314</v>
      </c>
    </row>
    <row r="1749" spans="1:40" ht="13" hidden="1" x14ac:dyDescent="0.15">
      <c r="A1749">
        <v>797</v>
      </c>
      <c r="B1749" s="1">
        <v>15072</v>
      </c>
      <c r="C1749" s="1">
        <v>35</v>
      </c>
      <c r="D1749" s="4">
        <f t="shared" si="54"/>
        <v>2.3221868365180466E-3</v>
      </c>
      <c r="E1749" s="1">
        <v>2</v>
      </c>
      <c r="F1749" s="1">
        <v>0</v>
      </c>
      <c r="G1749" s="1">
        <v>96</v>
      </c>
      <c r="H1749" s="1">
        <v>8</v>
      </c>
      <c r="I1749" s="1">
        <v>2</v>
      </c>
      <c r="J1749" s="1">
        <v>15</v>
      </c>
      <c r="K1749" s="1">
        <v>0</v>
      </c>
      <c r="L1749" s="1">
        <v>10</v>
      </c>
      <c r="M1749" s="1">
        <v>18</v>
      </c>
      <c r="N1749" s="1">
        <v>4</v>
      </c>
      <c r="O1749" s="1">
        <v>3</v>
      </c>
      <c r="P1749" s="1">
        <v>1</v>
      </c>
      <c r="Q1749" s="1">
        <v>3</v>
      </c>
      <c r="R1749" s="1">
        <v>5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40</v>
      </c>
      <c r="AA1749" s="1" t="str" cm="1">
        <f t="array" ref="AA1749">_xlfn.IFS(AND(Z1749&lt;36, Z1749&gt;23), "24-35", AND(Z1749&lt;51, Z1749&gt;35),"36-50", AND(Z1749&lt;66, Z1749&gt;50), "51-66", Z1749&gt;65, "66+", TRUE, "?")</f>
        <v>36-50</v>
      </c>
      <c r="AB1749" s="1">
        <v>2574</v>
      </c>
      <c r="AC1749" s="1">
        <v>0</v>
      </c>
      <c r="AD1749" s="1">
        <v>1</v>
      </c>
      <c r="AE1749" s="1">
        <v>0</v>
      </c>
      <c r="AF1749" s="1">
        <v>0</v>
      </c>
      <c r="AG1749" s="1">
        <v>0</v>
      </c>
      <c r="AH1749" s="1">
        <v>0</v>
      </c>
      <c r="AI1749" s="1">
        <v>1</v>
      </c>
      <c r="AJ1749" s="1">
        <v>0</v>
      </c>
      <c r="AK1749" s="1">
        <v>0</v>
      </c>
      <c r="AL1749" s="1">
        <v>17</v>
      </c>
      <c r="AM1749" s="2">
        <v>42275</v>
      </c>
      <c r="AN1749" t="str">
        <f t="shared" si="55"/>
        <v>15072,35,0.00232218683651805,2,0,96,8,2,15,0,10,18,4,3,1,3,5,0,0,0,0,0,0,0,40,36-50,2574,0,1,0,0,0,0,1,0,0,17,42275</v>
      </c>
    </row>
    <row r="1750" spans="1:40" ht="13" hidden="1" x14ac:dyDescent="0.15">
      <c r="A1750">
        <v>1365</v>
      </c>
      <c r="B1750" s="1">
        <v>34704</v>
      </c>
      <c r="C1750" s="1">
        <v>35</v>
      </c>
      <c r="D1750" s="4">
        <f t="shared" si="54"/>
        <v>1.008529276164131E-3</v>
      </c>
      <c r="E1750" s="1">
        <v>0</v>
      </c>
      <c r="F1750" s="1">
        <v>1</v>
      </c>
      <c r="G1750" s="1">
        <v>65</v>
      </c>
      <c r="H1750" s="1">
        <v>29</v>
      </c>
      <c r="I1750" s="1">
        <v>0</v>
      </c>
      <c r="J1750" s="1">
        <v>5</v>
      </c>
      <c r="K1750" s="1">
        <v>0</v>
      </c>
      <c r="L1750" s="1">
        <v>1</v>
      </c>
      <c r="M1750" s="1">
        <v>5</v>
      </c>
      <c r="N1750" s="1">
        <v>1</v>
      </c>
      <c r="O1750" s="1">
        <v>1</v>
      </c>
      <c r="P1750" s="1">
        <v>0</v>
      </c>
      <c r="Q1750" s="1">
        <v>3</v>
      </c>
      <c r="R1750" s="1">
        <v>5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54</v>
      </c>
      <c r="AA1750" s="1" t="str" cm="1">
        <f t="array" ref="AA1750">_xlfn.IFS(AND(Z1750&lt;36, Z1750&gt;23), "24-35", AND(Z1750&lt;51, Z1750&gt;35),"36-50", AND(Z1750&lt;66, Z1750&gt;50), "51-66", Z1750&gt;65, "66+", TRUE, "?")</f>
        <v>51-66</v>
      </c>
      <c r="AB1750" s="1">
        <v>2587</v>
      </c>
      <c r="AC1750" s="1">
        <v>0</v>
      </c>
      <c r="AD1750" s="1">
        <v>0</v>
      </c>
      <c r="AE1750" s="1">
        <v>1</v>
      </c>
      <c r="AF1750" s="1">
        <v>0</v>
      </c>
      <c r="AG1750" s="1">
        <v>0</v>
      </c>
      <c r="AH1750" s="1">
        <v>0</v>
      </c>
      <c r="AI1750" s="1">
        <v>1</v>
      </c>
      <c r="AJ1750" s="1">
        <v>0</v>
      </c>
      <c r="AK1750" s="1">
        <v>0</v>
      </c>
      <c r="AL1750" s="1">
        <v>30</v>
      </c>
      <c r="AM1750" s="2">
        <v>42262</v>
      </c>
      <c r="AN1750" t="str">
        <f t="shared" si="55"/>
        <v>34704,35,0.00100852927616413,0,1,65,29,0,5,0,1,5,1,1,0,3,5,0,0,0,0,0,0,0,54,51-66,2587,0,0,1,0,0,0,1,0,0,30,42262</v>
      </c>
    </row>
    <row r="1751" spans="1:40" ht="13" hidden="1" x14ac:dyDescent="0.15">
      <c r="A1751">
        <v>1414</v>
      </c>
      <c r="B1751" s="1">
        <v>19740</v>
      </c>
      <c r="C1751" s="1">
        <v>35</v>
      </c>
      <c r="D1751" s="4">
        <f t="shared" si="54"/>
        <v>1.7730496453900709E-3</v>
      </c>
      <c r="E1751" s="1">
        <v>0</v>
      </c>
      <c r="F1751" s="1">
        <v>1</v>
      </c>
      <c r="G1751" s="1">
        <v>65</v>
      </c>
      <c r="H1751" s="1">
        <v>7</v>
      </c>
      <c r="I1751" s="1">
        <v>11</v>
      </c>
      <c r="J1751" s="1">
        <v>3</v>
      </c>
      <c r="K1751" s="1">
        <v>10</v>
      </c>
      <c r="L1751" s="1">
        <v>4</v>
      </c>
      <c r="M1751" s="1">
        <v>20</v>
      </c>
      <c r="N1751" s="1">
        <v>2</v>
      </c>
      <c r="O1751" s="1">
        <v>1</v>
      </c>
      <c r="P1751" s="1">
        <v>1</v>
      </c>
      <c r="Q1751" s="1">
        <v>3</v>
      </c>
      <c r="R1751" s="1">
        <v>5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60</v>
      </c>
      <c r="AA1751" s="1" t="str" cm="1">
        <f t="array" ref="AA1751">_xlfn.IFS(AND(Z1751&lt;36, Z1751&gt;23), "24-35", AND(Z1751&lt;51, Z1751&gt;35),"36-50", AND(Z1751&lt;66, Z1751&gt;50), "51-66", Z1751&gt;65, "66+", TRUE, "?")</f>
        <v>51-66</v>
      </c>
      <c r="AB1751" s="1">
        <v>2621</v>
      </c>
      <c r="AC1751" s="1">
        <v>0</v>
      </c>
      <c r="AD1751" s="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1</v>
      </c>
      <c r="AJ1751" s="1">
        <v>0</v>
      </c>
      <c r="AK1751" s="1">
        <v>0</v>
      </c>
      <c r="AL1751" s="1">
        <v>15</v>
      </c>
      <c r="AM1751" s="2">
        <v>42228</v>
      </c>
      <c r="AN1751" t="str">
        <f t="shared" si="55"/>
        <v>19740,35,0.00177304964539007,0,1,65,7,11,3,10,4,20,2,1,1,3,5,0,0,0,0,0,0,0,60,51-66,2621,0,0,0,1,0,0,1,0,0,15,42228</v>
      </c>
    </row>
    <row r="1752" spans="1:40" ht="13" hidden="1" x14ac:dyDescent="0.15">
      <c r="A1752">
        <v>1761</v>
      </c>
      <c r="B1752" s="1">
        <v>34984</v>
      </c>
      <c r="C1752" s="1">
        <v>35</v>
      </c>
      <c r="D1752" s="4">
        <f t="shared" si="54"/>
        <v>1.000457351932312E-3</v>
      </c>
      <c r="E1752" s="1">
        <v>1</v>
      </c>
      <c r="F1752" s="1">
        <v>1</v>
      </c>
      <c r="G1752" s="1">
        <v>40</v>
      </c>
      <c r="H1752" s="1">
        <v>8</v>
      </c>
      <c r="I1752" s="1">
        <v>4</v>
      </c>
      <c r="J1752" s="1">
        <v>15</v>
      </c>
      <c r="K1752" s="1">
        <v>3</v>
      </c>
      <c r="L1752" s="1">
        <v>5</v>
      </c>
      <c r="M1752" s="1">
        <v>3</v>
      </c>
      <c r="N1752" s="1">
        <v>2</v>
      </c>
      <c r="O1752" s="1">
        <v>1</v>
      </c>
      <c r="P1752" s="1">
        <v>0</v>
      </c>
      <c r="Q1752" s="1">
        <v>3</v>
      </c>
      <c r="R1752" s="1">
        <v>7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45</v>
      </c>
      <c r="AA1752" s="1" t="str" cm="1">
        <f t="array" ref="AA1752">_xlfn.IFS(AND(Z1752&lt;36, Z1752&gt;23), "24-35", AND(Z1752&lt;51, Z1752&gt;35),"36-50", AND(Z1752&lt;66, Z1752&gt;50), "51-66", Z1752&gt;65, "66+", TRUE, "?")</f>
        <v>36-50</v>
      </c>
      <c r="AB1752" s="1">
        <v>2820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1</v>
      </c>
      <c r="AI1752" s="1">
        <v>0</v>
      </c>
      <c r="AJ1752" s="1">
        <v>0</v>
      </c>
      <c r="AK1752" s="1">
        <v>0</v>
      </c>
      <c r="AL1752" s="1">
        <v>32</v>
      </c>
      <c r="AM1752" s="2">
        <v>42029</v>
      </c>
      <c r="AN1752" t="str">
        <f t="shared" si="55"/>
        <v>34984,35,0.00100045735193231,1,1,40,8,4,15,3,5,3,2,1,0,3,7,0,0,0,0,0,0,0,45,36-50,2820,0,0,0,1,0,1,0,0,0,32,42029</v>
      </c>
    </row>
    <row r="1753" spans="1:40" ht="13" x14ac:dyDescent="0.15">
      <c r="A1753">
        <v>1909</v>
      </c>
      <c r="B1753" s="1">
        <v>14796</v>
      </c>
      <c r="C1753" s="1">
        <v>35</v>
      </c>
      <c r="D1753" s="4">
        <f t="shared" si="54"/>
        <v>2.3655041903217085E-3</v>
      </c>
      <c r="E1753" s="1">
        <v>1</v>
      </c>
      <c r="F1753" s="1">
        <v>0</v>
      </c>
      <c r="G1753" s="1">
        <v>1</v>
      </c>
      <c r="H1753" s="1">
        <v>13</v>
      </c>
      <c r="I1753" s="1">
        <v>3</v>
      </c>
      <c r="J1753" s="1">
        <v>8</v>
      </c>
      <c r="K1753" s="1">
        <v>7</v>
      </c>
      <c r="L1753" s="1">
        <v>4</v>
      </c>
      <c r="M1753" s="1">
        <v>16</v>
      </c>
      <c r="N1753" s="1">
        <v>2</v>
      </c>
      <c r="O1753" s="1">
        <v>1</v>
      </c>
      <c r="P1753" s="1">
        <v>0</v>
      </c>
      <c r="Q1753" s="1">
        <v>3</v>
      </c>
      <c r="R1753" s="1">
        <v>9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1</v>
      </c>
      <c r="Z1753" s="1">
        <v>36</v>
      </c>
      <c r="AA1753" s="1" t="str" cm="1">
        <f t="array" ref="AA1753">_xlfn.IFS(AND(Z1753&lt;36, Z1753&gt;23), "24-35", AND(Z1753&lt;51, Z1753&gt;35),"36-50", AND(Z1753&lt;66, Z1753&gt;50), "51-66", Z1753&gt;65, "66+", TRUE, "?")</f>
        <v>36-50</v>
      </c>
      <c r="AB1753" s="1">
        <v>2809</v>
      </c>
      <c r="AC1753" s="1">
        <v>0</v>
      </c>
      <c r="AD1753" s="1">
        <v>1</v>
      </c>
      <c r="AE1753" s="1">
        <v>0</v>
      </c>
      <c r="AF1753" s="1">
        <v>0</v>
      </c>
      <c r="AG1753" s="1">
        <v>0</v>
      </c>
      <c r="AH1753" s="1">
        <v>1</v>
      </c>
      <c r="AI1753" s="1">
        <v>0</v>
      </c>
      <c r="AJ1753" s="1">
        <v>0</v>
      </c>
      <c r="AK1753" s="1">
        <v>0</v>
      </c>
      <c r="AL1753" s="1">
        <v>19</v>
      </c>
      <c r="AM1753" s="2">
        <v>42040</v>
      </c>
      <c r="AN1753" t="str">
        <f t="shared" si="55"/>
        <v>14796,35,0.00236550419032171,1,0,1,13,3,8,7,4,16,2,1,0,3,9,0,0,0,0,0,0,1,36,36-50,2809,0,1,0,0,0,1,0,0,0,19,42040</v>
      </c>
    </row>
    <row r="1754" spans="1:40" ht="13" hidden="1" x14ac:dyDescent="0.15">
      <c r="A1754">
        <v>1983</v>
      </c>
      <c r="B1754" s="1">
        <v>40851</v>
      </c>
      <c r="C1754" s="1">
        <v>35</v>
      </c>
      <c r="D1754" s="4">
        <f t="shared" si="54"/>
        <v>8.5677217203985209E-4</v>
      </c>
      <c r="E1754" s="1">
        <v>1</v>
      </c>
      <c r="F1754" s="1">
        <v>1</v>
      </c>
      <c r="G1754" s="1">
        <v>63</v>
      </c>
      <c r="H1754" s="1">
        <v>23</v>
      </c>
      <c r="I1754" s="1">
        <v>1</v>
      </c>
      <c r="J1754" s="1">
        <v>7</v>
      </c>
      <c r="K1754" s="1">
        <v>0</v>
      </c>
      <c r="L1754" s="1">
        <v>4</v>
      </c>
      <c r="M1754" s="1">
        <v>24</v>
      </c>
      <c r="N1754" s="1">
        <v>1</v>
      </c>
      <c r="O1754" s="1">
        <v>1</v>
      </c>
      <c r="P1754" s="1">
        <v>1</v>
      </c>
      <c r="Q1754" s="1">
        <v>2</v>
      </c>
      <c r="R1754" s="1">
        <v>7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49</v>
      </c>
      <c r="AA1754" s="1" t="str" cm="1">
        <f t="array" ref="AA1754">_xlfn.IFS(AND(Z1754&lt;36, Z1754&gt;23), "24-35", AND(Z1754&lt;51, Z1754&gt;35),"36-50", AND(Z1754&lt;66, Z1754&gt;50), "51-66", Z1754&gt;65, "66+", TRUE, "?")</f>
        <v>36-50</v>
      </c>
      <c r="AB1754" s="1">
        <v>2652</v>
      </c>
      <c r="AC1754" s="1">
        <v>1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1</v>
      </c>
      <c r="AJ1754" s="1">
        <v>0</v>
      </c>
      <c r="AK1754" s="1">
        <v>0</v>
      </c>
      <c r="AL1754" s="1">
        <v>11</v>
      </c>
      <c r="AM1754" s="2">
        <v>42197</v>
      </c>
      <c r="AN1754" t="str">
        <f t="shared" si="55"/>
        <v>40851,35,0.000856772172039852,1,1,63,23,1,7,0,4,24,1,1,1,2,7,0,0,0,0,0,0,0,49,36-50,2652,1,0,0,0,0,0,1,0,0,11,42197</v>
      </c>
    </row>
    <row r="1755" spans="1:40" ht="13" hidden="1" x14ac:dyDescent="0.15">
      <c r="A1755">
        <v>126</v>
      </c>
      <c r="B1755" s="1">
        <v>36921</v>
      </c>
      <c r="C1755" s="1">
        <v>34</v>
      </c>
      <c r="D1755" s="4">
        <f t="shared" si="54"/>
        <v>9.208851331220715E-4</v>
      </c>
      <c r="E1755" s="1">
        <v>1</v>
      </c>
      <c r="F1755" s="1">
        <v>1</v>
      </c>
      <c r="G1755" s="1">
        <v>74</v>
      </c>
      <c r="H1755" s="1">
        <v>17</v>
      </c>
      <c r="I1755" s="1">
        <v>1</v>
      </c>
      <c r="J1755" s="1">
        <v>12</v>
      </c>
      <c r="K1755" s="1">
        <v>3</v>
      </c>
      <c r="L1755" s="1">
        <v>1</v>
      </c>
      <c r="M1755" s="1">
        <v>4</v>
      </c>
      <c r="N1755" s="1">
        <v>2</v>
      </c>
      <c r="O1755" s="1">
        <v>2</v>
      </c>
      <c r="P1755" s="1">
        <v>0</v>
      </c>
      <c r="Q1755" s="1">
        <v>3</v>
      </c>
      <c r="R1755" s="1">
        <v>7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55</v>
      </c>
      <c r="AA1755" s="1" t="str" cm="1">
        <f t="array" ref="AA1755">_xlfn.IFS(AND(Z1755&lt;36, Z1755&gt;23), "24-35", AND(Z1755&lt;51, Z1755&gt;35),"36-50", AND(Z1755&lt;66, Z1755&gt;50), "51-66", Z1755&gt;65, "66+", TRUE, "?")</f>
        <v>51-66</v>
      </c>
      <c r="AB1755" s="1">
        <v>2495</v>
      </c>
      <c r="AC1755" s="1">
        <v>1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1</v>
      </c>
      <c r="AL1755" s="1">
        <v>30</v>
      </c>
      <c r="AM1755" s="2">
        <v>42354</v>
      </c>
      <c r="AN1755" t="str">
        <f t="shared" si="55"/>
        <v>36921,34,0.000920885133122072,1,1,74,17,1,12,3,1,4,2,2,0,3,7,0,0,0,0,0,0,0,55,51-66,2495,1,0,0,0,0,0,0,0,1,30,42354</v>
      </c>
    </row>
    <row r="1756" spans="1:40" ht="13" hidden="1" x14ac:dyDescent="0.15">
      <c r="A1756">
        <v>239</v>
      </c>
      <c r="B1756" s="1">
        <v>18701</v>
      </c>
      <c r="C1756" s="1">
        <v>34</v>
      </c>
      <c r="D1756" s="4">
        <f t="shared" si="54"/>
        <v>1.8180845944067163E-3</v>
      </c>
      <c r="E1756" s="1">
        <v>1</v>
      </c>
      <c r="F1756" s="1">
        <v>1</v>
      </c>
      <c r="G1756" s="1">
        <v>95</v>
      </c>
      <c r="H1756" s="1">
        <v>12</v>
      </c>
      <c r="I1756" s="1">
        <v>4</v>
      </c>
      <c r="J1756" s="1">
        <v>2</v>
      </c>
      <c r="K1756" s="1">
        <v>10</v>
      </c>
      <c r="L1756" s="1">
        <v>6</v>
      </c>
      <c r="M1756" s="1">
        <v>10</v>
      </c>
      <c r="N1756" s="1">
        <v>4</v>
      </c>
      <c r="O1756" s="1">
        <v>2</v>
      </c>
      <c r="P1756" s="1">
        <v>0</v>
      </c>
      <c r="Q1756" s="1">
        <v>4</v>
      </c>
      <c r="R1756" s="1">
        <v>5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56</v>
      </c>
      <c r="AA1756" s="1" t="str" cm="1">
        <f t="array" ref="AA1756">_xlfn.IFS(AND(Z1756&lt;36, Z1756&gt;23), "24-35", AND(Z1756&lt;51, Z1756&gt;35),"36-50", AND(Z1756&lt;66, Z1756&gt;50), "51-66", Z1756&gt;65, "66+", TRUE, "?")</f>
        <v>51-66</v>
      </c>
      <c r="AB1756" s="1">
        <v>2549</v>
      </c>
      <c r="AC1756" s="1">
        <v>0</v>
      </c>
      <c r="AD1756" s="1">
        <v>0</v>
      </c>
      <c r="AE1756" s="1">
        <v>1</v>
      </c>
      <c r="AF1756" s="1">
        <v>0</v>
      </c>
      <c r="AG1756" s="1">
        <v>0</v>
      </c>
      <c r="AH1756" s="1">
        <v>0</v>
      </c>
      <c r="AI1756" s="1">
        <v>1</v>
      </c>
      <c r="AJ1756" s="1">
        <v>0</v>
      </c>
      <c r="AK1756" s="1">
        <v>0</v>
      </c>
      <c r="AL1756" s="1">
        <v>24</v>
      </c>
      <c r="AM1756" s="2">
        <v>42300</v>
      </c>
      <c r="AN1756" t="str">
        <f t="shared" si="55"/>
        <v>18701,34,0.00181808459440672,1,1,95,12,4,2,10,6,10,4,2,0,4,5,0,0,0,0,0,0,0,56,51-66,2549,0,0,1,0,0,0,1,0,0,24,42300</v>
      </c>
    </row>
    <row r="1757" spans="1:40" ht="13" hidden="1" x14ac:dyDescent="0.15">
      <c r="A1757">
        <v>262</v>
      </c>
      <c r="B1757" s="1">
        <v>44319</v>
      </c>
      <c r="C1757" s="1">
        <v>34</v>
      </c>
      <c r="D1757" s="4">
        <f t="shared" si="54"/>
        <v>7.6716532412734941E-4</v>
      </c>
      <c r="E1757" s="1">
        <v>1</v>
      </c>
      <c r="F1757" s="1">
        <v>1</v>
      </c>
      <c r="G1757" s="1">
        <v>18</v>
      </c>
      <c r="H1757" s="1">
        <v>26</v>
      </c>
      <c r="I1757" s="1">
        <v>0</v>
      </c>
      <c r="J1757" s="1">
        <v>8</v>
      </c>
      <c r="K1757" s="1">
        <v>0</v>
      </c>
      <c r="L1757" s="1">
        <v>0</v>
      </c>
      <c r="M1757" s="1">
        <v>3</v>
      </c>
      <c r="N1757" s="1">
        <v>2</v>
      </c>
      <c r="O1757" s="1">
        <v>2</v>
      </c>
      <c r="P1757" s="1">
        <v>0</v>
      </c>
      <c r="Q1757" s="1">
        <v>3</v>
      </c>
      <c r="R1757" s="1">
        <v>5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45</v>
      </c>
      <c r="AA1757" s="1" t="str" cm="1">
        <f t="array" ref="AA1757">_xlfn.IFS(AND(Z1757&lt;36, Z1757&gt;23), "24-35", AND(Z1757&lt;51, Z1757&gt;35),"36-50", AND(Z1757&lt;66, Z1757&gt;50), "51-66", Z1757&gt;65, "66+", TRUE, "?")</f>
        <v>36-50</v>
      </c>
      <c r="AB1757" s="1">
        <v>2232</v>
      </c>
      <c r="AC1757" s="1">
        <v>0</v>
      </c>
      <c r="AD1757" s="1">
        <v>1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1</v>
      </c>
      <c r="AK1757" s="1">
        <v>0</v>
      </c>
      <c r="AL1757" s="1">
        <v>31</v>
      </c>
      <c r="AM1757" s="2">
        <v>42617</v>
      </c>
      <c r="AN1757" t="str">
        <f t="shared" si="55"/>
        <v>44319,34,0.000767165324127349,1,1,18,26,0,8,0,0,3,2,2,0,3,5,0,0,0,0,0,0,0,45,36-50,2232,0,1,0,0,0,0,0,1,0,31,42617</v>
      </c>
    </row>
    <row r="1758" spans="1:40" ht="13" hidden="1" x14ac:dyDescent="0.15">
      <c r="A1758">
        <v>574</v>
      </c>
      <c r="B1758" s="1">
        <v>30801</v>
      </c>
      <c r="C1758" s="1">
        <v>34</v>
      </c>
      <c r="D1758" s="4">
        <f t="shared" si="54"/>
        <v>1.1038602642771339E-3</v>
      </c>
      <c r="E1758" s="1">
        <v>0</v>
      </c>
      <c r="F1758" s="1">
        <v>1</v>
      </c>
      <c r="G1758" s="1">
        <v>23</v>
      </c>
      <c r="H1758" s="1">
        <v>8</v>
      </c>
      <c r="I1758" s="1">
        <v>4</v>
      </c>
      <c r="J1758" s="1">
        <v>5</v>
      </c>
      <c r="K1758" s="1">
        <v>15</v>
      </c>
      <c r="L1758" s="1">
        <v>2</v>
      </c>
      <c r="M1758" s="1">
        <v>11</v>
      </c>
      <c r="N1758" s="1">
        <v>2</v>
      </c>
      <c r="O1758" s="1">
        <v>1</v>
      </c>
      <c r="P1758" s="1">
        <v>0</v>
      </c>
      <c r="Q1758" s="1">
        <v>3</v>
      </c>
      <c r="R1758" s="1">
        <v>7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45</v>
      </c>
      <c r="AA1758" s="1" t="str" cm="1">
        <f t="array" ref="AA1758">_xlfn.IFS(AND(Z1758&lt;36, Z1758&gt;23), "24-35", AND(Z1758&lt;51, Z1758&gt;35),"36-50", AND(Z1758&lt;66, Z1758&gt;50), "51-66", Z1758&gt;65, "66+", TRUE, "?")</f>
        <v>36-50</v>
      </c>
      <c r="AB1758" s="1">
        <v>2770</v>
      </c>
      <c r="AC1758" s="1">
        <v>0</v>
      </c>
      <c r="AD1758" s="1">
        <v>1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23</v>
      </c>
      <c r="AM1758" s="2">
        <v>42079</v>
      </c>
      <c r="AN1758" t="str">
        <f t="shared" si="55"/>
        <v>30801,34,0.00110386026427713,0,1,23,8,4,5,15,2,11,2,1,0,3,7,0,0,0,0,0,0,0,45,36-50,2770,0,1,0,0,0,0,0,0,0,23,42079</v>
      </c>
    </row>
    <row r="1759" spans="1:40" ht="13" hidden="1" x14ac:dyDescent="0.15">
      <c r="A1759">
        <v>776</v>
      </c>
      <c r="B1759" s="1">
        <v>37859</v>
      </c>
      <c r="C1759" s="1">
        <v>34</v>
      </c>
      <c r="D1759" s="4">
        <f t="shared" si="54"/>
        <v>8.9806915132465196E-4</v>
      </c>
      <c r="E1759" s="1">
        <v>1</v>
      </c>
      <c r="F1759" s="1">
        <v>2</v>
      </c>
      <c r="G1759" s="1">
        <v>75</v>
      </c>
      <c r="H1759" s="1">
        <v>22</v>
      </c>
      <c r="I1759" s="1">
        <v>1</v>
      </c>
      <c r="J1759" s="1">
        <v>8</v>
      </c>
      <c r="K1759" s="1">
        <v>2</v>
      </c>
      <c r="L1759" s="1">
        <v>1</v>
      </c>
      <c r="M1759" s="1">
        <v>2</v>
      </c>
      <c r="N1759" s="1">
        <v>2</v>
      </c>
      <c r="O1759" s="1">
        <v>1</v>
      </c>
      <c r="P1759" s="1">
        <v>0</v>
      </c>
      <c r="Q1759" s="1">
        <v>3</v>
      </c>
      <c r="R1759" s="1">
        <v>8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58</v>
      </c>
      <c r="AA1759" s="1" t="str" cm="1">
        <f t="array" ref="AA1759">_xlfn.IFS(AND(Z1759&lt;36, Z1759&gt;23), "24-35", AND(Z1759&lt;51, Z1759&gt;35),"36-50", AND(Z1759&lt;66, Z1759&gt;50), "51-66", Z1759&gt;65, "66+", TRUE, "?")</f>
        <v>51-66</v>
      </c>
      <c r="AB1759" s="1">
        <v>2692</v>
      </c>
      <c r="AC1759" s="1">
        <v>1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1</v>
      </c>
      <c r="AJ1759" s="1">
        <v>0</v>
      </c>
      <c r="AK1759" s="1">
        <v>0</v>
      </c>
      <c r="AL1759" s="1">
        <v>32</v>
      </c>
      <c r="AM1759" s="2">
        <v>42157</v>
      </c>
      <c r="AN1759" t="str">
        <f t="shared" si="55"/>
        <v>37859,34,0.000898069151324652,1,2,75,22,1,8,2,1,2,2,1,0,3,8,0,0,0,0,0,0,0,58,51-66,2692,1,0,0,0,0,0,1,0,0,32,42157</v>
      </c>
    </row>
    <row r="1760" spans="1:40" ht="13" hidden="1" x14ac:dyDescent="0.15">
      <c r="A1760">
        <v>1584</v>
      </c>
      <c r="B1760" s="1">
        <v>23529</v>
      </c>
      <c r="C1760" s="1">
        <v>34</v>
      </c>
      <c r="D1760" s="4">
        <f t="shared" si="54"/>
        <v>1.4450252879425389E-3</v>
      </c>
      <c r="E1760" s="1">
        <v>0</v>
      </c>
      <c r="F1760" s="1">
        <v>1</v>
      </c>
      <c r="G1760" s="1">
        <v>67</v>
      </c>
      <c r="H1760" s="1">
        <v>9</v>
      </c>
      <c r="I1760" s="1">
        <v>7</v>
      </c>
      <c r="J1760" s="1">
        <v>13</v>
      </c>
      <c r="K1760" s="1">
        <v>3</v>
      </c>
      <c r="L1760" s="1">
        <v>2</v>
      </c>
      <c r="M1760" s="1">
        <v>20</v>
      </c>
      <c r="N1760" s="1">
        <v>1</v>
      </c>
      <c r="O1760" s="1">
        <v>1</v>
      </c>
      <c r="P1760" s="1">
        <v>1</v>
      </c>
      <c r="Q1760" s="1">
        <v>2</v>
      </c>
      <c r="R1760" s="1">
        <v>6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55</v>
      </c>
      <c r="AA1760" s="1" t="str" cm="1">
        <f t="array" ref="AA1760">_xlfn.IFS(AND(Z1760&lt;36, Z1760&gt;23), "24-35", AND(Z1760&lt;51, Z1760&gt;35),"36-50", AND(Z1760&lt;66, Z1760&gt;50), "51-66", Z1760&gt;65, "66+", TRUE, "?")</f>
        <v>51-66</v>
      </c>
      <c r="AB1760" s="1">
        <v>2697</v>
      </c>
      <c r="AC1760" s="1">
        <v>0</v>
      </c>
      <c r="AD1760" s="1">
        <v>0</v>
      </c>
      <c r="AE1760" s="1">
        <v>1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14</v>
      </c>
      <c r="AM1760" s="2">
        <v>42152</v>
      </c>
      <c r="AN1760" t="str">
        <f t="shared" si="55"/>
        <v>23529,34,0.00144502528794254,0,1,67,9,7,13,3,2,20,1,1,1,2,6,0,0,0,0,0,0,0,55,51-66,2697,0,0,1,0,0,0,0,0,0,14,42152</v>
      </c>
    </row>
    <row r="1761" spans="1:40" ht="13" hidden="1" x14ac:dyDescent="0.15">
      <c r="A1761">
        <v>1706</v>
      </c>
      <c r="B1761" s="1">
        <v>26642</v>
      </c>
      <c r="C1761" s="1">
        <v>34</v>
      </c>
      <c r="D1761" s="4">
        <f t="shared" si="54"/>
        <v>1.276180466931912E-3</v>
      </c>
      <c r="E1761" s="1">
        <v>1</v>
      </c>
      <c r="F1761" s="1">
        <v>0</v>
      </c>
      <c r="G1761" s="1">
        <v>71</v>
      </c>
      <c r="H1761" s="1">
        <v>13</v>
      </c>
      <c r="I1761" s="1">
        <v>2</v>
      </c>
      <c r="J1761" s="1">
        <v>15</v>
      </c>
      <c r="K1761" s="1">
        <v>2</v>
      </c>
      <c r="L1761" s="1">
        <v>2</v>
      </c>
      <c r="M1761" s="1">
        <v>8</v>
      </c>
      <c r="N1761" s="1">
        <v>2</v>
      </c>
      <c r="O1761" s="1">
        <v>2</v>
      </c>
      <c r="P1761" s="1">
        <v>0</v>
      </c>
      <c r="Q1761" s="1">
        <v>3</v>
      </c>
      <c r="R1761" s="1">
        <v>6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53</v>
      </c>
      <c r="AA1761" s="1" t="str" cm="1">
        <f t="array" ref="AA1761">_xlfn.IFS(AND(Z1761&lt;36, Z1761&gt;23), "24-35", AND(Z1761&lt;51, Z1761&gt;35),"36-50", AND(Z1761&lt;66, Z1761&gt;50), "51-66", Z1761&gt;65, "66+", TRUE, "?")</f>
        <v>51-66</v>
      </c>
      <c r="AB1761" s="1">
        <v>2279</v>
      </c>
      <c r="AC1761" s="1">
        <v>1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1</v>
      </c>
      <c r="AL1761" s="1">
        <v>26</v>
      </c>
      <c r="AM1761" s="2">
        <v>42570</v>
      </c>
      <c r="AN1761" t="str">
        <f t="shared" si="55"/>
        <v>26642,34,0.00127618046693191,1,0,71,13,2,15,2,2,8,2,2,0,3,6,0,0,0,0,0,0,0,53,51-66,2279,1,0,0,0,0,0,0,0,1,26,42570</v>
      </c>
    </row>
    <row r="1762" spans="1:40" ht="13" hidden="1" x14ac:dyDescent="0.15">
      <c r="A1762">
        <v>1765</v>
      </c>
      <c r="B1762" s="1">
        <v>25410</v>
      </c>
      <c r="C1762" s="1">
        <v>34</v>
      </c>
      <c r="D1762" s="4">
        <f t="shared" si="54"/>
        <v>1.338055883510429E-3</v>
      </c>
      <c r="E1762" s="1">
        <v>1</v>
      </c>
      <c r="F1762" s="1">
        <v>0</v>
      </c>
      <c r="G1762" s="1">
        <v>48</v>
      </c>
      <c r="H1762" s="1">
        <v>2</v>
      </c>
      <c r="I1762" s="1">
        <v>2</v>
      </c>
      <c r="J1762" s="1">
        <v>4</v>
      </c>
      <c r="K1762" s="1">
        <v>13</v>
      </c>
      <c r="L1762" s="1">
        <v>13</v>
      </c>
      <c r="M1762" s="1">
        <v>4</v>
      </c>
      <c r="N1762" s="1">
        <v>1</v>
      </c>
      <c r="O1762" s="1">
        <v>1</v>
      </c>
      <c r="P1762" s="1">
        <v>0</v>
      </c>
      <c r="Q1762" s="1">
        <v>4</v>
      </c>
      <c r="R1762" s="1">
        <v>4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47</v>
      </c>
      <c r="AA1762" s="1" t="str" cm="1">
        <f t="array" ref="AA1762">_xlfn.IFS(AND(Z1762&lt;36, Z1762&gt;23), "24-35", AND(Z1762&lt;51, Z1762&gt;35),"36-50", AND(Z1762&lt;66, Z1762&gt;50), "51-66", Z1762&gt;65, "66+", TRUE, "?")</f>
        <v>36-50</v>
      </c>
      <c r="AB1762" s="1">
        <v>2461</v>
      </c>
      <c r="AC1762" s="1">
        <v>0</v>
      </c>
      <c r="AD1762" s="1">
        <v>1</v>
      </c>
      <c r="AE1762" s="1">
        <v>0</v>
      </c>
      <c r="AF1762" s="1">
        <v>0</v>
      </c>
      <c r="AG1762" s="1">
        <v>0</v>
      </c>
      <c r="AH1762" s="1">
        <v>0</v>
      </c>
      <c r="AI1762" s="1">
        <v>1</v>
      </c>
      <c r="AJ1762" s="1">
        <v>0</v>
      </c>
      <c r="AK1762" s="1">
        <v>0</v>
      </c>
      <c r="AL1762" s="1">
        <v>30</v>
      </c>
      <c r="AM1762" s="2">
        <v>42388</v>
      </c>
      <c r="AN1762" t="str">
        <f t="shared" si="55"/>
        <v>25410,34,0.00133805588351043,1,0,48,2,2,4,13,13,4,1,1,0,4,4,0,0,0,0,0,0,0,47,36-50,2461,0,1,0,0,0,0,1,0,0,30,42388</v>
      </c>
    </row>
    <row r="1763" spans="1:40" ht="13" hidden="1" x14ac:dyDescent="0.15">
      <c r="A1763">
        <v>1837</v>
      </c>
      <c r="B1763" s="1">
        <v>27943</v>
      </c>
      <c r="C1763" s="1">
        <v>34</v>
      </c>
      <c r="D1763" s="4">
        <f t="shared" si="54"/>
        <v>1.2167626954872419E-3</v>
      </c>
      <c r="E1763" s="1">
        <v>1</v>
      </c>
      <c r="F1763" s="1">
        <v>1</v>
      </c>
      <c r="G1763" s="1">
        <v>89</v>
      </c>
      <c r="H1763" s="1">
        <v>12</v>
      </c>
      <c r="I1763" s="1">
        <v>1</v>
      </c>
      <c r="J1763" s="1">
        <v>16</v>
      </c>
      <c r="K1763" s="1">
        <v>4</v>
      </c>
      <c r="L1763" s="1">
        <v>1</v>
      </c>
      <c r="M1763" s="1">
        <v>3</v>
      </c>
      <c r="N1763" s="1">
        <v>3</v>
      </c>
      <c r="O1763" s="1">
        <v>2</v>
      </c>
      <c r="P1763" s="1">
        <v>0</v>
      </c>
      <c r="Q1763" s="1">
        <v>3</v>
      </c>
      <c r="R1763" s="1">
        <v>8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53</v>
      </c>
      <c r="AA1763" s="1" t="str" cm="1">
        <f t="array" ref="AA1763">_xlfn.IFS(AND(Z1763&lt;36, Z1763&gt;23), "24-35", AND(Z1763&lt;51, Z1763&gt;35),"36-50", AND(Z1763&lt;66, Z1763&gt;50), "51-66", Z1763&gt;65, "66+", TRUE, "?")</f>
        <v>51-66</v>
      </c>
      <c r="AB1763" s="1">
        <v>2599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1</v>
      </c>
      <c r="AJ1763" s="1">
        <v>0</v>
      </c>
      <c r="AK1763" s="1">
        <v>0</v>
      </c>
      <c r="AL1763" s="1">
        <v>31</v>
      </c>
      <c r="AM1763" s="2">
        <v>42250</v>
      </c>
      <c r="AN1763" t="str">
        <f t="shared" si="55"/>
        <v>27943,34,0.00121676269548724,1,1,89,12,1,16,4,1,3,3,2,0,3,8,0,0,0,0,0,0,0,53,51-66,2599,0,0,0,1,0,0,1,0,0,31,42250</v>
      </c>
    </row>
    <row r="1764" spans="1:40" ht="13" hidden="1" x14ac:dyDescent="0.15">
      <c r="A1764">
        <v>1846</v>
      </c>
      <c r="B1764" s="1">
        <v>23272</v>
      </c>
      <c r="C1764" s="1">
        <v>34</v>
      </c>
      <c r="D1764" s="4">
        <f t="shared" si="54"/>
        <v>1.4609831557236164E-3</v>
      </c>
      <c r="E1764" s="1">
        <v>0</v>
      </c>
      <c r="F1764" s="1">
        <v>0</v>
      </c>
      <c r="G1764" s="1">
        <v>29</v>
      </c>
      <c r="H1764" s="1">
        <v>19</v>
      </c>
      <c r="I1764" s="1">
        <v>3</v>
      </c>
      <c r="J1764" s="1">
        <v>6</v>
      </c>
      <c r="K1764" s="1">
        <v>4</v>
      </c>
      <c r="L1764" s="1">
        <v>2</v>
      </c>
      <c r="M1764" s="1">
        <v>12</v>
      </c>
      <c r="N1764" s="1">
        <v>1</v>
      </c>
      <c r="O1764" s="1">
        <v>1</v>
      </c>
      <c r="P1764" s="1">
        <v>0</v>
      </c>
      <c r="Q1764" s="1">
        <v>3</v>
      </c>
      <c r="R1764" s="1">
        <v>4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67</v>
      </c>
      <c r="AA1764" s="1" t="str" cm="1">
        <f t="array" ref="AA1764">_xlfn.IFS(AND(Z1764&lt;36, Z1764&gt;23), "24-35", AND(Z1764&lt;51, Z1764&gt;35),"36-50", AND(Z1764&lt;66, Z1764&gt;50), "51-66", Z1764&gt;65, "66+", TRUE, "?")</f>
        <v>66+</v>
      </c>
      <c r="AB1764" s="1">
        <v>2414</v>
      </c>
      <c r="AC1764" s="1">
        <v>1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1</v>
      </c>
      <c r="AJ1764" s="1">
        <v>0</v>
      </c>
      <c r="AK1764" s="1">
        <v>0</v>
      </c>
      <c r="AL1764" s="1">
        <v>22</v>
      </c>
      <c r="AM1764" s="2">
        <v>42435</v>
      </c>
      <c r="AN1764" t="str">
        <f t="shared" si="55"/>
        <v>23272,34,0.00146098315572362,0,0,29,19,3,6,4,2,12,1,1,0,3,4,0,0,0,0,0,0,0,67,66+,2414,1,0,0,0,0,0,1,0,0,22,42435</v>
      </c>
    </row>
    <row r="1765" spans="1:40" ht="13" x14ac:dyDescent="0.15">
      <c r="A1765">
        <v>1911</v>
      </c>
      <c r="B1765" s="1">
        <v>22518</v>
      </c>
      <c r="C1765" s="1">
        <v>34</v>
      </c>
      <c r="D1765" s="4">
        <f t="shared" si="54"/>
        <v>1.5099031885602628E-3</v>
      </c>
      <c r="E1765" s="1">
        <v>1</v>
      </c>
      <c r="F1765" s="1">
        <v>0</v>
      </c>
      <c r="G1765" s="1">
        <v>36</v>
      </c>
      <c r="H1765" s="1">
        <v>11</v>
      </c>
      <c r="I1765" s="1">
        <v>7</v>
      </c>
      <c r="J1765" s="1">
        <v>12</v>
      </c>
      <c r="K1765" s="1">
        <v>2</v>
      </c>
      <c r="L1765" s="1">
        <v>2</v>
      </c>
      <c r="M1765" s="1">
        <v>27</v>
      </c>
      <c r="N1765" s="1">
        <v>2</v>
      </c>
      <c r="O1765" s="1">
        <v>2</v>
      </c>
      <c r="P1765" s="1">
        <v>1</v>
      </c>
      <c r="Q1765" s="1">
        <v>2</v>
      </c>
      <c r="R1765" s="1">
        <v>5</v>
      </c>
      <c r="S1765" s="1">
        <v>0</v>
      </c>
      <c r="T1765" s="1">
        <v>0</v>
      </c>
      <c r="U1765" s="1">
        <v>1</v>
      </c>
      <c r="V1765" s="1">
        <v>0</v>
      </c>
      <c r="W1765" s="1">
        <v>0</v>
      </c>
      <c r="X1765" s="1">
        <v>0</v>
      </c>
      <c r="Y1765" s="1">
        <v>1</v>
      </c>
      <c r="Z1765" s="1">
        <v>34</v>
      </c>
      <c r="AA1765" s="1" t="str" cm="1">
        <f t="array" ref="AA1765">_xlfn.IFS(AND(Z1765&lt;36, Z1765&gt;23), "24-35", AND(Z1765&lt;51, Z1765&gt;35),"36-50", AND(Z1765&lt;66, Z1765&gt;50), "51-66", Z1765&gt;65, "66+", TRUE, "?")</f>
        <v>24-35</v>
      </c>
      <c r="AB1765" s="1">
        <v>2774</v>
      </c>
      <c r="AC1765" s="1">
        <v>0</v>
      </c>
      <c r="AD1765" s="1">
        <v>1</v>
      </c>
      <c r="AE1765" s="1">
        <v>0</v>
      </c>
      <c r="AF1765" s="1">
        <v>0</v>
      </c>
      <c r="AG1765" s="1">
        <v>0</v>
      </c>
      <c r="AH1765" s="1">
        <v>0</v>
      </c>
      <c r="AI1765" s="1">
        <v>1</v>
      </c>
      <c r="AJ1765" s="1">
        <v>0</v>
      </c>
      <c r="AK1765" s="1">
        <v>0</v>
      </c>
      <c r="AL1765" s="1">
        <v>7</v>
      </c>
      <c r="AM1765" s="2">
        <v>42075</v>
      </c>
      <c r="AN1765" t="str">
        <f t="shared" si="55"/>
        <v>22518,34,0.00150990318856026,1,0,36,11,7,12,2,2,27,2,2,1,2,5,0,0,1,0,0,0,1,34,24-35,2774,0,1,0,0,0,0,1,0,0,7,42075</v>
      </c>
    </row>
    <row r="1766" spans="1:40" ht="13" hidden="1" x14ac:dyDescent="0.15">
      <c r="A1766">
        <v>1943</v>
      </c>
      <c r="B1766" s="1">
        <v>29732</v>
      </c>
      <c r="C1766" s="1">
        <v>34</v>
      </c>
      <c r="D1766" s="4">
        <f t="shared" si="54"/>
        <v>1.1435490380734563E-3</v>
      </c>
      <c r="E1766" s="1">
        <v>1</v>
      </c>
      <c r="F1766" s="1">
        <v>0</v>
      </c>
      <c r="G1766" s="1">
        <v>23</v>
      </c>
      <c r="H1766" s="1">
        <v>25</v>
      </c>
      <c r="I1766" s="1">
        <v>0</v>
      </c>
      <c r="J1766" s="1">
        <v>8</v>
      </c>
      <c r="K1766" s="1">
        <v>0</v>
      </c>
      <c r="L1766" s="1">
        <v>1</v>
      </c>
      <c r="M1766" s="1">
        <v>4</v>
      </c>
      <c r="N1766" s="1">
        <v>1</v>
      </c>
      <c r="O1766" s="1">
        <v>2</v>
      </c>
      <c r="P1766" s="1">
        <v>0</v>
      </c>
      <c r="Q1766" s="1">
        <v>2</v>
      </c>
      <c r="R1766" s="1">
        <v>9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49</v>
      </c>
      <c r="AA1766" s="1" t="str" cm="1">
        <f t="array" ref="AA1766">_xlfn.IFS(AND(Z1766&lt;36, Z1766&gt;23), "24-35", AND(Z1766&lt;51, Z1766&gt;35),"36-50", AND(Z1766&lt;66, Z1766&gt;50), "51-66", Z1766&gt;65, "66+", TRUE, "?")</f>
        <v>36-50</v>
      </c>
      <c r="AB1766" s="1">
        <v>2255</v>
      </c>
      <c r="AC1766" s="1">
        <v>0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0</v>
      </c>
      <c r="AJ1766" s="1">
        <v>0</v>
      </c>
      <c r="AK1766" s="1">
        <v>1</v>
      </c>
      <c r="AL1766" s="1">
        <v>30</v>
      </c>
      <c r="AM1766" s="2">
        <v>42594</v>
      </c>
      <c r="AN1766" t="str">
        <f t="shared" si="55"/>
        <v>29732,34,0.00114354903807346,1,0,23,25,0,8,0,1,4,1,2,0,2,9,0,0,0,0,0,0,0,49,36-50,2255,0,0,0,1,0,0,0,0,1,30,42594</v>
      </c>
    </row>
    <row r="1767" spans="1:40" ht="13" hidden="1" x14ac:dyDescent="0.15">
      <c r="A1767">
        <v>168</v>
      </c>
      <c r="B1767" s="1">
        <v>28249</v>
      </c>
      <c r="C1767" s="1">
        <v>33</v>
      </c>
      <c r="D1767" s="4">
        <f t="shared" si="54"/>
        <v>1.1681829445290099E-3</v>
      </c>
      <c r="E1767" s="1">
        <v>0</v>
      </c>
      <c r="F1767" s="1">
        <v>0</v>
      </c>
      <c r="G1767" s="1">
        <v>80</v>
      </c>
      <c r="H1767" s="1">
        <v>1</v>
      </c>
      <c r="I1767" s="1">
        <v>9</v>
      </c>
      <c r="J1767" s="1">
        <v>7</v>
      </c>
      <c r="K1767" s="1">
        <v>2</v>
      </c>
      <c r="L1767" s="1">
        <v>14</v>
      </c>
      <c r="M1767" s="1">
        <v>10</v>
      </c>
      <c r="N1767" s="1">
        <v>1</v>
      </c>
      <c r="O1767" s="1">
        <v>2</v>
      </c>
      <c r="P1767" s="1">
        <v>0</v>
      </c>
      <c r="Q1767" s="1">
        <v>3</v>
      </c>
      <c r="R1767" s="1">
        <v>6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59</v>
      </c>
      <c r="AA1767" s="1" t="str" cm="1">
        <f t="array" ref="AA1767">_xlfn.IFS(AND(Z1767&lt;36, Z1767&gt;23), "24-35", AND(Z1767&lt;51, Z1767&gt;35),"36-50", AND(Z1767&lt;66, Z1767&gt;50), "51-66", Z1767&gt;65, "66+", TRUE, "?")</f>
        <v>51-66</v>
      </c>
      <c r="AB1767" s="1">
        <v>2173</v>
      </c>
      <c r="AC1767" s="1">
        <v>0</v>
      </c>
      <c r="AD1767" s="1">
        <v>1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23</v>
      </c>
      <c r="AM1767" s="2">
        <v>42676</v>
      </c>
      <c r="AN1767" t="str">
        <f t="shared" si="55"/>
        <v>28249,33,0.00116818294452901,0,0,80,1,9,7,2,14,10,1,2,0,3,6,0,0,0,0,0,0,0,59,51-66,2173,0,1,0,0,0,0,0,0,0,23,42676</v>
      </c>
    </row>
    <row r="1768" spans="1:40" ht="13" hidden="1" x14ac:dyDescent="0.15">
      <c r="A1768">
        <v>556</v>
      </c>
      <c r="B1768" s="1">
        <v>24221</v>
      </c>
      <c r="C1768" s="1">
        <v>33</v>
      </c>
      <c r="D1768" s="4">
        <f t="shared" si="54"/>
        <v>1.3624540687832871E-3</v>
      </c>
      <c r="E1768" s="1">
        <v>0</v>
      </c>
      <c r="F1768" s="1">
        <v>0</v>
      </c>
      <c r="G1768" s="1">
        <v>94</v>
      </c>
      <c r="H1768" s="1">
        <v>8</v>
      </c>
      <c r="I1768" s="1">
        <v>9</v>
      </c>
      <c r="J1768" s="1">
        <v>9</v>
      </c>
      <c r="K1768" s="1">
        <v>2</v>
      </c>
      <c r="L1768" s="1">
        <v>5</v>
      </c>
      <c r="M1768" s="1">
        <v>22</v>
      </c>
      <c r="N1768" s="1">
        <v>1</v>
      </c>
      <c r="O1768" s="1">
        <v>1</v>
      </c>
      <c r="P1768" s="1">
        <v>1</v>
      </c>
      <c r="Q1768" s="1">
        <v>3</v>
      </c>
      <c r="R1768" s="1">
        <v>4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61</v>
      </c>
      <c r="AA1768" s="1" t="str" cm="1">
        <f t="array" ref="AA1768">_xlfn.IFS(AND(Z1768&lt;36, Z1768&gt;23), "24-35", AND(Z1768&lt;51, Z1768&gt;35),"36-50", AND(Z1768&lt;66, Z1768&gt;50), "51-66", Z1768&gt;65, "66+", TRUE, "?")</f>
        <v>51-66</v>
      </c>
      <c r="AB1768" s="1">
        <v>2472</v>
      </c>
      <c r="AC1768" s="1">
        <v>0</v>
      </c>
      <c r="AD1768" s="1">
        <v>0</v>
      </c>
      <c r="AE1768" s="1">
        <v>0</v>
      </c>
      <c r="AF1768" s="1">
        <v>1</v>
      </c>
      <c r="AG1768" s="1">
        <v>0</v>
      </c>
      <c r="AH1768" s="1">
        <v>0</v>
      </c>
      <c r="AI1768" s="1">
        <v>1</v>
      </c>
      <c r="AJ1768" s="1">
        <v>0</v>
      </c>
      <c r="AK1768" s="1">
        <v>0</v>
      </c>
      <c r="AL1768" s="1">
        <v>11</v>
      </c>
      <c r="AM1768" s="2">
        <v>42377</v>
      </c>
      <c r="AN1768" t="str">
        <f t="shared" si="55"/>
        <v>24221,33,0.00136245406878329,0,0,94,8,9,9,2,5,22,1,1,1,3,4,0,0,0,0,0,0,0,61,51-66,2472,0,0,0,1,0,0,1,0,0,11,42377</v>
      </c>
    </row>
    <row r="1769" spans="1:40" ht="13" hidden="1" x14ac:dyDescent="0.15">
      <c r="A1769">
        <v>560</v>
      </c>
      <c r="B1769" s="1">
        <v>33178</v>
      </c>
      <c r="C1769" s="1">
        <v>33</v>
      </c>
      <c r="D1769" s="4">
        <f t="shared" si="54"/>
        <v>9.9463499909578645E-4</v>
      </c>
      <c r="E1769" s="1">
        <v>1</v>
      </c>
      <c r="F1769" s="1">
        <v>0</v>
      </c>
      <c r="G1769" s="1">
        <v>9</v>
      </c>
      <c r="H1769" s="1">
        <v>12</v>
      </c>
      <c r="I1769" s="1">
        <v>6</v>
      </c>
      <c r="J1769" s="1">
        <v>2</v>
      </c>
      <c r="K1769" s="1">
        <v>11</v>
      </c>
      <c r="L1769" s="1">
        <v>2</v>
      </c>
      <c r="M1769" s="1">
        <v>16</v>
      </c>
      <c r="N1769" s="1">
        <v>1</v>
      </c>
      <c r="O1769" s="1">
        <v>1</v>
      </c>
      <c r="P1769" s="1">
        <v>0</v>
      </c>
      <c r="Q1769" s="1">
        <v>3</v>
      </c>
      <c r="R1769" s="1">
        <v>4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43</v>
      </c>
      <c r="AA1769" s="1" t="str" cm="1">
        <f t="array" ref="AA1769">_xlfn.IFS(AND(Z1769&lt;36, Z1769&gt;23), "24-35", AND(Z1769&lt;51, Z1769&gt;35),"36-50", AND(Z1769&lt;66, Z1769&gt;50), "51-66", Z1769&gt;65, "66+", TRUE, "?")</f>
        <v>36-50</v>
      </c>
      <c r="AB1769" s="1">
        <v>2309</v>
      </c>
      <c r="AC1769" s="1">
        <v>0</v>
      </c>
      <c r="AD1769" s="1">
        <v>0</v>
      </c>
      <c r="AE1769" s="1">
        <v>0</v>
      </c>
      <c r="AF1769" s="1">
        <v>1</v>
      </c>
      <c r="AG1769" s="1">
        <v>0</v>
      </c>
      <c r="AH1769" s="1">
        <v>0</v>
      </c>
      <c r="AI1769" s="1">
        <v>1</v>
      </c>
      <c r="AJ1769" s="1">
        <v>0</v>
      </c>
      <c r="AK1769" s="1">
        <v>0</v>
      </c>
      <c r="AL1769" s="1">
        <v>17</v>
      </c>
      <c r="AM1769" s="2">
        <v>42540</v>
      </c>
      <c r="AN1769" t="str">
        <f t="shared" si="55"/>
        <v>33178,33,0.000994634999095786,1,0,9,12,6,2,11,2,16,1,1,0,3,4,0,0,0,0,0,0,0,43,36-50,2309,0,0,0,1,0,0,1,0,0,17,42540</v>
      </c>
    </row>
    <row r="1770" spans="1:40" ht="13" hidden="1" x14ac:dyDescent="0.15">
      <c r="A1770">
        <v>752</v>
      </c>
      <c r="B1770" s="1">
        <v>46984</v>
      </c>
      <c r="C1770" s="1">
        <v>33</v>
      </c>
      <c r="D1770" s="4">
        <f t="shared" si="54"/>
        <v>7.0236676315341389E-4</v>
      </c>
      <c r="E1770" s="1">
        <v>1</v>
      </c>
      <c r="F1770" s="1">
        <v>1</v>
      </c>
      <c r="G1770" s="1">
        <v>71</v>
      </c>
      <c r="H1770" s="1">
        <v>19</v>
      </c>
      <c r="I1770" s="1">
        <v>1</v>
      </c>
      <c r="J1770" s="1">
        <v>10</v>
      </c>
      <c r="K1770" s="1">
        <v>2</v>
      </c>
      <c r="L1770" s="1">
        <v>1</v>
      </c>
      <c r="M1770" s="1">
        <v>8</v>
      </c>
      <c r="N1770" s="1">
        <v>1</v>
      </c>
      <c r="O1770" s="1">
        <v>1</v>
      </c>
      <c r="P1770" s="1">
        <v>0</v>
      </c>
      <c r="Q1770" s="1">
        <v>3</v>
      </c>
      <c r="R1770" s="1">
        <v>5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64</v>
      </c>
      <c r="AA1770" s="1" t="str" cm="1">
        <f t="array" ref="AA1770">_xlfn.IFS(AND(Z1770&lt;36, Z1770&gt;23), "24-35", AND(Z1770&lt;51, Z1770&gt;35),"36-50", AND(Z1770&lt;66, Z1770&gt;50), "51-66", Z1770&gt;65, "66+", TRUE, "?")</f>
        <v>51-66</v>
      </c>
      <c r="AB1770" s="1">
        <v>2619</v>
      </c>
      <c r="AC1770" s="1">
        <v>0</v>
      </c>
      <c r="AD1770" s="1">
        <v>0</v>
      </c>
      <c r="AE1770" s="1">
        <v>0</v>
      </c>
      <c r="AF1770" s="1">
        <v>0</v>
      </c>
      <c r="AG1770" s="1">
        <v>1</v>
      </c>
      <c r="AH1770" s="1">
        <v>0</v>
      </c>
      <c r="AI1770" s="1">
        <v>1</v>
      </c>
      <c r="AJ1770" s="1">
        <v>0</v>
      </c>
      <c r="AK1770" s="1">
        <v>0</v>
      </c>
      <c r="AL1770" s="1">
        <v>25</v>
      </c>
      <c r="AM1770" s="2">
        <v>42230</v>
      </c>
      <c r="AN1770" t="str">
        <f t="shared" si="55"/>
        <v>46984,33,0.000702366763153414,1,1,71,19,1,10,2,1,8,1,1,0,3,5,0,0,0,0,0,0,0,64,51-66,2619,0,0,0,0,1,0,1,0,0,25,42230</v>
      </c>
    </row>
    <row r="1771" spans="1:40" ht="13" hidden="1" x14ac:dyDescent="0.15">
      <c r="A1771">
        <v>956</v>
      </c>
      <c r="B1771" s="1">
        <v>32300</v>
      </c>
      <c r="C1771" s="1">
        <v>33</v>
      </c>
      <c r="D1771" s="4">
        <f t="shared" si="54"/>
        <v>1.0216718266253871E-3</v>
      </c>
      <c r="E1771" s="1">
        <v>1</v>
      </c>
      <c r="F1771" s="1">
        <v>0</v>
      </c>
      <c r="G1771" s="1">
        <v>1</v>
      </c>
      <c r="H1771" s="1">
        <v>13</v>
      </c>
      <c r="I1771" s="1">
        <v>3</v>
      </c>
      <c r="J1771" s="1">
        <v>6</v>
      </c>
      <c r="K1771" s="1">
        <v>6</v>
      </c>
      <c r="L1771" s="1">
        <v>5</v>
      </c>
      <c r="M1771" s="1">
        <v>6</v>
      </c>
      <c r="N1771" s="1">
        <v>1</v>
      </c>
      <c r="O1771" s="1">
        <v>1</v>
      </c>
      <c r="P1771" s="1">
        <v>0</v>
      </c>
      <c r="Q1771" s="1">
        <v>3</v>
      </c>
      <c r="R1771" s="1">
        <v>8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47</v>
      </c>
      <c r="AA1771" s="1" t="str" cm="1">
        <f t="array" ref="AA1771">_xlfn.IFS(AND(Z1771&lt;36, Z1771&gt;23), "24-35", AND(Z1771&lt;51, Z1771&gt;35),"36-50", AND(Z1771&lt;66, Z1771&gt;50), "51-66", Z1771&gt;65, "66+", TRUE, "?")</f>
        <v>36-50</v>
      </c>
      <c r="AB1771" s="1">
        <v>2701</v>
      </c>
      <c r="AC1771" s="1">
        <v>0</v>
      </c>
      <c r="AD1771" s="1">
        <v>1</v>
      </c>
      <c r="AE1771" s="1">
        <v>0</v>
      </c>
      <c r="AF1771" s="1">
        <v>0</v>
      </c>
      <c r="AG1771" s="1">
        <v>0</v>
      </c>
      <c r="AH1771" s="1">
        <v>0</v>
      </c>
      <c r="AI1771" s="1">
        <v>1</v>
      </c>
      <c r="AJ1771" s="1">
        <v>0</v>
      </c>
      <c r="AK1771" s="1">
        <v>0</v>
      </c>
      <c r="AL1771" s="1">
        <v>27</v>
      </c>
      <c r="AM1771" s="2">
        <v>42148</v>
      </c>
      <c r="AN1771" t="str">
        <f t="shared" si="55"/>
        <v>32300,33,0.00102167182662539,1,0,1,13,3,6,6,5,6,1,1,0,3,8,0,0,0,0,0,0,0,47,36-50,2701,0,1,0,0,0,0,1,0,0,27,42148</v>
      </c>
    </row>
    <row r="1772" spans="1:40" ht="13" hidden="1" x14ac:dyDescent="0.15">
      <c r="A1772">
        <v>1357</v>
      </c>
      <c r="B1772" s="1">
        <v>16531</v>
      </c>
      <c r="C1772" s="1">
        <v>33</v>
      </c>
      <c r="D1772" s="4">
        <f t="shared" si="54"/>
        <v>1.9962494706914284E-3</v>
      </c>
      <c r="E1772" s="1">
        <v>1</v>
      </c>
      <c r="F1772" s="1">
        <v>0</v>
      </c>
      <c r="G1772" s="1">
        <v>43</v>
      </c>
      <c r="H1772" s="1">
        <v>2</v>
      </c>
      <c r="I1772" s="1">
        <v>13</v>
      </c>
      <c r="J1772" s="1">
        <v>6</v>
      </c>
      <c r="K1772" s="1">
        <v>7</v>
      </c>
      <c r="L1772" s="1">
        <v>5</v>
      </c>
      <c r="M1772" s="1">
        <v>11</v>
      </c>
      <c r="N1772" s="1">
        <v>3</v>
      </c>
      <c r="O1772" s="1">
        <v>3</v>
      </c>
      <c r="P1772" s="1">
        <v>0</v>
      </c>
      <c r="Q1772" s="1">
        <v>3</v>
      </c>
      <c r="R1772" s="1">
        <v>7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42</v>
      </c>
      <c r="AA1772" s="1" t="str" cm="1">
        <f t="array" ref="AA1772">_xlfn.IFS(AND(Z1772&lt;36, Z1772&gt;23), "24-35", AND(Z1772&lt;51, Z1772&gt;35),"36-50", AND(Z1772&lt;66, Z1772&gt;50), "51-66", Z1772&gt;65, "66+", TRUE, "?")</f>
        <v>36-50</v>
      </c>
      <c r="AB1772" s="1">
        <v>2170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  <c r="AI1772" s="1">
        <v>1</v>
      </c>
      <c r="AJ1772" s="1">
        <v>0</v>
      </c>
      <c r="AK1772" s="1">
        <v>0</v>
      </c>
      <c r="AL1772" s="1">
        <v>22</v>
      </c>
      <c r="AM1772" s="2">
        <v>42679</v>
      </c>
      <c r="AN1772" t="str">
        <f t="shared" si="55"/>
        <v>16531,33,0.00199624947069143,1,0,43,2,13,6,7,5,11,3,3,0,3,7,0,0,0,0,0,0,0,42,36-50,2170,0,0,0,1,0,0,1,0,0,22,42679</v>
      </c>
    </row>
    <row r="1773" spans="1:40" ht="13" hidden="1" x14ac:dyDescent="0.15">
      <c r="A1773">
        <v>1545</v>
      </c>
      <c r="B1773" s="1">
        <v>42231</v>
      </c>
      <c r="C1773" s="1">
        <v>33</v>
      </c>
      <c r="D1773" s="4">
        <f t="shared" si="54"/>
        <v>7.8141649499183067E-4</v>
      </c>
      <c r="E1773" s="1">
        <v>1</v>
      </c>
      <c r="F1773" s="1">
        <v>1</v>
      </c>
      <c r="G1773" s="1">
        <v>99</v>
      </c>
      <c r="H1773" s="1">
        <v>24</v>
      </c>
      <c r="I1773" s="1">
        <v>0</v>
      </c>
      <c r="J1773" s="1">
        <v>8</v>
      </c>
      <c r="K1773" s="1">
        <v>0</v>
      </c>
      <c r="L1773" s="1">
        <v>1</v>
      </c>
      <c r="M1773" s="1">
        <v>4</v>
      </c>
      <c r="N1773" s="1">
        <v>1</v>
      </c>
      <c r="O1773" s="1">
        <v>1</v>
      </c>
      <c r="P1773" s="1">
        <v>0</v>
      </c>
      <c r="Q1773" s="1">
        <v>3</v>
      </c>
      <c r="R1773" s="1">
        <v>5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51</v>
      </c>
      <c r="AA1773" s="1" t="str" cm="1">
        <f t="array" ref="AA1773">_xlfn.IFS(AND(Z1773&lt;36, Z1773&gt;23), "24-35", AND(Z1773&lt;51, Z1773&gt;35),"36-50", AND(Z1773&lt;66, Z1773&gt;50), "51-66", Z1773&gt;65, "66+", TRUE, "?")</f>
        <v>51-66</v>
      </c>
      <c r="AB1773" s="1">
        <v>2255</v>
      </c>
      <c r="AC1773" s="1">
        <v>0</v>
      </c>
      <c r="AD1773" s="1">
        <v>1</v>
      </c>
      <c r="AE1773" s="1">
        <v>0</v>
      </c>
      <c r="AF1773" s="1">
        <v>0</v>
      </c>
      <c r="AG1773" s="1">
        <v>0</v>
      </c>
      <c r="AH1773" s="1">
        <v>0</v>
      </c>
      <c r="AI1773" s="1">
        <v>1</v>
      </c>
      <c r="AJ1773" s="1">
        <v>0</v>
      </c>
      <c r="AK1773" s="1">
        <v>0</v>
      </c>
      <c r="AL1773" s="1">
        <v>29</v>
      </c>
      <c r="AM1773" s="2">
        <v>42594</v>
      </c>
      <c r="AN1773" t="str">
        <f t="shared" si="55"/>
        <v>42231,33,0.000781416494991831,1,1,99,24,0,8,0,1,4,1,1,0,3,5,0,0,0,0,0,0,0,51,51-66,2255,0,1,0,0,0,0,1,0,0,29,42594</v>
      </c>
    </row>
    <row r="1774" spans="1:40" ht="13" hidden="1" x14ac:dyDescent="0.15">
      <c r="A1774">
        <v>2014</v>
      </c>
      <c r="B1774" s="1">
        <v>24434</v>
      </c>
      <c r="C1774" s="1">
        <v>33</v>
      </c>
      <c r="D1774" s="4">
        <f t="shared" si="54"/>
        <v>1.350577064745846E-3</v>
      </c>
      <c r="E1774" s="1">
        <v>2</v>
      </c>
      <c r="F1774" s="1">
        <v>0</v>
      </c>
      <c r="G1774" s="1">
        <v>9</v>
      </c>
      <c r="H1774" s="1">
        <v>3</v>
      </c>
      <c r="I1774" s="1">
        <v>2</v>
      </c>
      <c r="J1774" s="1">
        <v>8</v>
      </c>
      <c r="K1774" s="1">
        <v>20</v>
      </c>
      <c r="L1774" s="1">
        <v>0</v>
      </c>
      <c r="M1774" s="1">
        <v>17</v>
      </c>
      <c r="N1774" s="1">
        <v>2</v>
      </c>
      <c r="O1774" s="1">
        <v>2</v>
      </c>
      <c r="P1774" s="1">
        <v>1</v>
      </c>
      <c r="Q1774" s="1">
        <v>2</v>
      </c>
      <c r="R1774" s="1">
        <v>7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48</v>
      </c>
      <c r="AA1774" s="1" t="str" cm="1">
        <f t="array" ref="AA1774">_xlfn.IFS(AND(Z1774&lt;36, Z1774&gt;23), "24-35", AND(Z1774&lt;51, Z1774&gt;35),"36-50", AND(Z1774&lt;66, Z1774&gt;50), "51-66", Z1774&gt;65, "66+", TRUE, "?")</f>
        <v>36-50</v>
      </c>
      <c r="AB1774" s="1">
        <v>2201</v>
      </c>
      <c r="AC1774" s="1">
        <v>0</v>
      </c>
      <c r="AD1774" s="1">
        <v>1</v>
      </c>
      <c r="AE1774" s="1">
        <v>0</v>
      </c>
      <c r="AF1774" s="1">
        <v>0</v>
      </c>
      <c r="AG1774" s="1">
        <v>0</v>
      </c>
      <c r="AH1774" s="1">
        <v>0</v>
      </c>
      <c r="AI1774" s="1">
        <v>1</v>
      </c>
      <c r="AJ1774" s="1">
        <v>0</v>
      </c>
      <c r="AK1774" s="1">
        <v>0</v>
      </c>
      <c r="AL1774" s="1">
        <v>16</v>
      </c>
      <c r="AM1774" s="2">
        <v>42648</v>
      </c>
      <c r="AN1774" t="str">
        <f t="shared" si="55"/>
        <v>24434,33,0.00135057706474585,2,0,9,3,2,8,20,0,17,2,2,1,2,7,0,0,0,0,0,0,0,48,36-50,2201,0,1,0,0,0,0,1,0,0,16,42648</v>
      </c>
    </row>
    <row r="1775" spans="1:40" ht="13" hidden="1" x14ac:dyDescent="0.15">
      <c r="A1775">
        <v>236</v>
      </c>
      <c r="B1775" s="1">
        <v>30899</v>
      </c>
      <c r="C1775" s="1">
        <v>32</v>
      </c>
      <c r="D1775" s="4">
        <f t="shared" si="54"/>
        <v>1.0356322211074792E-3</v>
      </c>
      <c r="E1775" s="1">
        <v>1</v>
      </c>
      <c r="F1775" s="1">
        <v>0</v>
      </c>
      <c r="G1775" s="1">
        <v>35</v>
      </c>
      <c r="H1775" s="1">
        <v>24</v>
      </c>
      <c r="I1775" s="1">
        <v>0</v>
      </c>
      <c r="J1775" s="1">
        <v>8</v>
      </c>
      <c r="K1775" s="1">
        <v>0</v>
      </c>
      <c r="L1775" s="1">
        <v>0</v>
      </c>
      <c r="M1775" s="1">
        <v>1</v>
      </c>
      <c r="N1775" s="1">
        <v>2</v>
      </c>
      <c r="O1775" s="1">
        <v>1</v>
      </c>
      <c r="P1775" s="1">
        <v>0</v>
      </c>
      <c r="Q1775" s="1">
        <v>3</v>
      </c>
      <c r="R1775" s="1">
        <v>6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46</v>
      </c>
      <c r="AA1775" s="1" t="str" cm="1">
        <f t="array" ref="AA1775">_xlfn.IFS(AND(Z1775&lt;36, Z1775&gt;23), "24-35", AND(Z1775&lt;51, Z1775&gt;35),"36-50", AND(Z1775&lt;66, Z1775&gt;50), "51-66", Z1775&gt;65, "66+", TRUE, "?")</f>
        <v>36-50</v>
      </c>
      <c r="AB1775" s="1">
        <v>2783</v>
      </c>
      <c r="AC1775" s="1">
        <v>0</v>
      </c>
      <c r="AD1775" s="1">
        <v>0</v>
      </c>
      <c r="AE1775" s="1">
        <v>1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1</v>
      </c>
      <c r="AL1775" s="1">
        <v>31</v>
      </c>
      <c r="AM1775" s="2">
        <v>42066</v>
      </c>
      <c r="AN1775" t="str">
        <f t="shared" si="55"/>
        <v>30899,32,0.00103563222110748,1,0,35,24,0,8,0,0,1,2,1,0,3,6,0,0,0,0,0,0,0,46,36-50,2783,0,0,1,0,0,0,0,0,1,31,42066</v>
      </c>
    </row>
    <row r="1776" spans="1:40" ht="13" hidden="1" x14ac:dyDescent="0.15">
      <c r="A1776">
        <v>471</v>
      </c>
      <c r="B1776" s="1">
        <v>48330</v>
      </c>
      <c r="C1776" s="1">
        <v>32</v>
      </c>
      <c r="D1776" s="4">
        <f t="shared" si="54"/>
        <v>6.6211462859507551E-4</v>
      </c>
      <c r="E1776" s="1">
        <v>0</v>
      </c>
      <c r="F1776" s="1">
        <v>1</v>
      </c>
      <c r="G1776" s="1">
        <v>2</v>
      </c>
      <c r="H1776" s="1">
        <v>28</v>
      </c>
      <c r="I1776" s="1">
        <v>0</v>
      </c>
      <c r="J1776" s="1">
        <v>4</v>
      </c>
      <c r="K1776" s="1">
        <v>0</v>
      </c>
      <c r="L1776" s="1">
        <v>0</v>
      </c>
      <c r="M1776" s="1">
        <v>0</v>
      </c>
      <c r="N1776" s="1">
        <v>1</v>
      </c>
      <c r="O1776" s="1">
        <v>1</v>
      </c>
      <c r="P1776" s="1">
        <v>0</v>
      </c>
      <c r="Q1776" s="1">
        <v>3</v>
      </c>
      <c r="R1776" s="1">
        <v>5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59</v>
      </c>
      <c r="AA1776" s="1" t="str" cm="1">
        <f t="array" ref="AA1776">_xlfn.IFS(AND(Z1776&lt;36, Z1776&gt;23), "24-35", AND(Z1776&lt;51, Z1776&gt;35),"36-50", AND(Z1776&lt;66, Z1776&gt;50), "51-66", Z1776&gt;65, "66+", TRUE, "?")</f>
        <v>51-66</v>
      </c>
      <c r="AB1776" s="1">
        <v>2385</v>
      </c>
      <c r="AC1776" s="1">
        <v>0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0</v>
      </c>
      <c r="AJ1776" s="1">
        <v>1</v>
      </c>
      <c r="AK1776" s="1">
        <v>0</v>
      </c>
      <c r="AL1776" s="1">
        <v>32</v>
      </c>
      <c r="AM1776" s="2">
        <v>42464</v>
      </c>
      <c r="AN1776" t="str">
        <f t="shared" si="55"/>
        <v>48330,32,0.000662114628595076,0,1,2,28,0,4,0,0,0,1,1,0,3,5,0,0,0,0,0,0,0,59,51-66,2385,0,0,0,1,0,0,0,1,0,32,42464</v>
      </c>
    </row>
    <row r="1777" spans="1:40" ht="13" hidden="1" x14ac:dyDescent="0.15">
      <c r="A1777">
        <v>509</v>
      </c>
      <c r="B1777" s="1">
        <v>25315</v>
      </c>
      <c r="C1777" s="1">
        <v>32</v>
      </c>
      <c r="D1777" s="4">
        <f t="shared" si="54"/>
        <v>1.2640726841793403E-3</v>
      </c>
      <c r="E1777" s="1">
        <v>1</v>
      </c>
      <c r="F1777" s="1">
        <v>0</v>
      </c>
      <c r="G1777" s="1">
        <v>46</v>
      </c>
      <c r="H1777" s="1">
        <v>1</v>
      </c>
      <c r="I1777" s="1">
        <v>9</v>
      </c>
      <c r="J1777" s="1">
        <v>8</v>
      </c>
      <c r="K1777" s="1">
        <v>11</v>
      </c>
      <c r="L1777" s="1">
        <v>3</v>
      </c>
      <c r="M1777" s="1">
        <v>22</v>
      </c>
      <c r="N1777" s="1">
        <v>3</v>
      </c>
      <c r="O1777" s="1">
        <v>3</v>
      </c>
      <c r="P1777" s="1">
        <v>0</v>
      </c>
      <c r="Q1777" s="1">
        <v>3</v>
      </c>
      <c r="R1777" s="1">
        <v>8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43</v>
      </c>
      <c r="AA1777" s="1" t="str" cm="1">
        <f t="array" ref="AA1777">_xlfn.IFS(AND(Z1777&lt;36, Z1777&gt;23), "24-35", AND(Z1777&lt;51, Z1777&gt;35),"36-50", AND(Z1777&lt;66, Z1777&gt;50), "51-66", Z1777&gt;65, "66+", TRUE, "?")</f>
        <v>36-50</v>
      </c>
      <c r="AB1777" s="1">
        <v>2393</v>
      </c>
      <c r="AC1777" s="1">
        <v>0</v>
      </c>
      <c r="AD1777" s="1">
        <v>0</v>
      </c>
      <c r="AE1777" s="1">
        <v>0</v>
      </c>
      <c r="AF1777" s="1">
        <v>1</v>
      </c>
      <c r="AG1777" s="1">
        <v>0</v>
      </c>
      <c r="AH1777" s="1">
        <v>1</v>
      </c>
      <c r="AI1777" s="1">
        <v>0</v>
      </c>
      <c r="AJ1777" s="1">
        <v>0</v>
      </c>
      <c r="AK1777" s="1">
        <v>0</v>
      </c>
      <c r="AL1777" s="1">
        <v>10</v>
      </c>
      <c r="AM1777" s="2">
        <v>42456</v>
      </c>
      <c r="AN1777" t="str">
        <f t="shared" si="55"/>
        <v>25315,32,0.00126407268417934,1,0,46,1,9,8,11,3,22,3,3,0,3,8,0,0,0,0,0,0,0,43,36-50,2393,0,0,0,1,0,1,0,0,0,10,42456</v>
      </c>
    </row>
    <row r="1778" spans="1:40" ht="13" hidden="1" x14ac:dyDescent="0.15">
      <c r="A1778">
        <v>581</v>
      </c>
      <c r="B1778" s="1">
        <v>35791</v>
      </c>
      <c r="C1778" s="1">
        <v>32</v>
      </c>
      <c r="D1778" s="4">
        <f t="shared" si="54"/>
        <v>8.9407951719706067E-4</v>
      </c>
      <c r="E1778" s="1">
        <v>2</v>
      </c>
      <c r="F1778" s="1">
        <v>1</v>
      </c>
      <c r="G1778" s="1">
        <v>94</v>
      </c>
      <c r="H1778" s="1">
        <v>27</v>
      </c>
      <c r="I1778" s="1">
        <v>0</v>
      </c>
      <c r="J1778" s="1">
        <v>5</v>
      </c>
      <c r="K1778" s="1">
        <v>0</v>
      </c>
      <c r="L1778" s="1">
        <v>0</v>
      </c>
      <c r="M1778" s="1">
        <v>3</v>
      </c>
      <c r="N1778" s="1">
        <v>2</v>
      </c>
      <c r="O1778" s="1">
        <v>1</v>
      </c>
      <c r="P1778" s="1">
        <v>0</v>
      </c>
      <c r="Q1778" s="1">
        <v>3</v>
      </c>
      <c r="R1778" s="1">
        <v>8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55</v>
      </c>
      <c r="AA1778" s="1" t="str" cm="1">
        <f t="array" ref="AA1778">_xlfn.IFS(AND(Z1778&lt;36, Z1778&gt;23), "24-35", AND(Z1778&lt;51, Z1778&gt;35),"36-50", AND(Z1778&lt;66, Z1778&gt;50), "51-66", Z1778&gt;65, "66+", TRUE, "?")</f>
        <v>51-66</v>
      </c>
      <c r="AB1778" s="1">
        <v>2578</v>
      </c>
      <c r="AC1778" s="1">
        <v>0</v>
      </c>
      <c r="AD1778" s="1">
        <v>0</v>
      </c>
      <c r="AE1778" s="1">
        <v>1</v>
      </c>
      <c r="AF1778" s="1">
        <v>0</v>
      </c>
      <c r="AG1778" s="1">
        <v>0</v>
      </c>
      <c r="AH1778" s="1">
        <v>0</v>
      </c>
      <c r="AI1778" s="1">
        <v>0</v>
      </c>
      <c r="AJ1778" s="1">
        <v>1</v>
      </c>
      <c r="AK1778" s="1">
        <v>0</v>
      </c>
      <c r="AL1778" s="1">
        <v>29</v>
      </c>
      <c r="AM1778" s="2">
        <v>42271</v>
      </c>
      <c r="AN1778" t="str">
        <f t="shared" si="55"/>
        <v>35791,32,0.000894079517197061,2,1,94,27,0,5,0,0,3,2,1,0,3,8,0,0,0,0,0,0,0,55,51-66,2578,0,0,1,0,0,0,0,1,0,29,42271</v>
      </c>
    </row>
    <row r="1779" spans="1:40" ht="13" hidden="1" x14ac:dyDescent="0.15">
      <c r="A1779">
        <v>582</v>
      </c>
      <c r="B1779" s="1">
        <v>54162</v>
      </c>
      <c r="C1779" s="1">
        <v>32</v>
      </c>
      <c r="D1779" s="4">
        <f t="shared" si="54"/>
        <v>5.9082013219600462E-4</v>
      </c>
      <c r="E1779" s="1">
        <v>1</v>
      </c>
      <c r="F1779" s="1">
        <v>1</v>
      </c>
      <c r="G1779" s="1">
        <v>31</v>
      </c>
      <c r="H1779" s="1">
        <v>5</v>
      </c>
      <c r="I1779" s="1">
        <v>6</v>
      </c>
      <c r="J1779" s="1">
        <v>10</v>
      </c>
      <c r="K1779" s="1">
        <v>6</v>
      </c>
      <c r="L1779" s="1">
        <v>5</v>
      </c>
      <c r="M1779" s="1">
        <v>10</v>
      </c>
      <c r="N1779" s="1">
        <v>1</v>
      </c>
      <c r="O1779" s="1">
        <v>1</v>
      </c>
      <c r="P1779" s="1">
        <v>0</v>
      </c>
      <c r="Q1779" s="1">
        <v>3</v>
      </c>
      <c r="R1779" s="1">
        <v>4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42</v>
      </c>
      <c r="AA1779" s="1" t="str" cm="1">
        <f t="array" ref="AA1779">_xlfn.IFS(AND(Z1779&lt;36, Z1779&gt;23), "24-35", AND(Z1779&lt;51, Z1779&gt;35),"36-50", AND(Z1779&lt;66, Z1779&gt;50), "51-66", Z1779&gt;65, "66+", TRUE, "?")</f>
        <v>36-50</v>
      </c>
      <c r="AB1779" s="1">
        <v>2627</v>
      </c>
      <c r="AC1779" s="1">
        <v>0</v>
      </c>
      <c r="AD1779" s="1">
        <v>0</v>
      </c>
      <c r="AE1779" s="1">
        <v>0</v>
      </c>
      <c r="AF1779" s="1">
        <v>0</v>
      </c>
      <c r="AG1779" s="1">
        <v>1</v>
      </c>
      <c r="AH1779" s="1">
        <v>0</v>
      </c>
      <c r="AI1779" s="1">
        <v>1</v>
      </c>
      <c r="AJ1779" s="1">
        <v>0</v>
      </c>
      <c r="AK1779" s="1">
        <v>0</v>
      </c>
      <c r="AL1779" s="1">
        <v>22</v>
      </c>
      <c r="AM1779" s="2">
        <v>42222</v>
      </c>
      <c r="AN1779" t="str">
        <f t="shared" si="55"/>
        <v>54162,32,0.000590820132196005,1,1,31,5,6,10,6,5,10,1,1,0,3,4,0,0,0,0,0,0,0,42,36-50,2627,0,0,0,0,1,0,1,0,0,22,42222</v>
      </c>
    </row>
    <row r="1780" spans="1:40" ht="13" hidden="1" x14ac:dyDescent="0.15">
      <c r="A1780">
        <v>626</v>
      </c>
      <c r="B1780" s="1">
        <v>29187</v>
      </c>
      <c r="C1780" s="1">
        <v>32</v>
      </c>
      <c r="D1780" s="4">
        <f t="shared" si="54"/>
        <v>1.0963785246856476E-3</v>
      </c>
      <c r="E1780" s="1">
        <v>1</v>
      </c>
      <c r="F1780" s="1">
        <v>0</v>
      </c>
      <c r="G1780" s="1">
        <v>43</v>
      </c>
      <c r="H1780" s="1">
        <v>26</v>
      </c>
      <c r="I1780" s="1">
        <v>0</v>
      </c>
      <c r="J1780" s="1">
        <v>6</v>
      </c>
      <c r="K1780" s="1">
        <v>0</v>
      </c>
      <c r="L1780" s="1">
        <v>0</v>
      </c>
      <c r="M1780" s="1">
        <v>2</v>
      </c>
      <c r="N1780" s="1">
        <v>1</v>
      </c>
      <c r="O1780" s="1">
        <v>1</v>
      </c>
      <c r="P1780" s="1">
        <v>0</v>
      </c>
      <c r="Q1780" s="1">
        <v>3</v>
      </c>
      <c r="R1780" s="1">
        <v>8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52</v>
      </c>
      <c r="AA1780" s="1" t="str" cm="1">
        <f t="array" ref="AA1780">_xlfn.IFS(AND(Z1780&lt;36, Z1780&gt;23), "24-35", AND(Z1780&lt;51, Z1780&gt;35),"36-50", AND(Z1780&lt;66, Z1780&gt;50), "51-66", Z1780&gt;65, "66+", TRUE, "?")</f>
        <v>51-66</v>
      </c>
      <c r="AB1780" s="1">
        <v>2575</v>
      </c>
      <c r="AC1780" s="1">
        <v>0</v>
      </c>
      <c r="AD1780" s="1">
        <v>1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1</v>
      </c>
      <c r="AL1780" s="1">
        <v>30</v>
      </c>
      <c r="AM1780" s="2">
        <v>42274</v>
      </c>
      <c r="AN1780" t="str">
        <f t="shared" si="55"/>
        <v>29187,32,0.00109637852468565,1,0,43,26,0,6,0,0,2,1,1,0,3,8,0,0,0,0,0,0,0,52,51-66,2575,0,1,0,0,0,0,0,0,1,30,42274</v>
      </c>
    </row>
    <row r="1781" spans="1:40" ht="13" hidden="1" x14ac:dyDescent="0.15">
      <c r="A1781">
        <v>782</v>
      </c>
      <c r="B1781" s="1">
        <v>25130</v>
      </c>
      <c r="C1781" s="1">
        <v>32</v>
      </c>
      <c r="D1781" s="4">
        <f t="shared" si="54"/>
        <v>1.2733784321528054E-3</v>
      </c>
      <c r="E1781" s="1">
        <v>1</v>
      </c>
      <c r="F1781" s="1">
        <v>0</v>
      </c>
      <c r="G1781" s="1">
        <v>10</v>
      </c>
      <c r="H1781" s="1">
        <v>2</v>
      </c>
      <c r="I1781" s="1">
        <v>5</v>
      </c>
      <c r="J1781" s="1">
        <v>7</v>
      </c>
      <c r="K1781" s="1">
        <v>0</v>
      </c>
      <c r="L1781" s="1">
        <v>18</v>
      </c>
      <c r="M1781" s="1">
        <v>18</v>
      </c>
      <c r="N1781" s="1">
        <v>2</v>
      </c>
      <c r="O1781" s="1">
        <v>2</v>
      </c>
      <c r="P1781" s="1">
        <v>0</v>
      </c>
      <c r="Q1781" s="1">
        <v>3</v>
      </c>
      <c r="R1781" s="1">
        <v>7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40</v>
      </c>
      <c r="AA1781" s="1" t="str" cm="1">
        <f t="array" ref="AA1781">_xlfn.IFS(AND(Z1781&lt;36, Z1781&gt;23), "24-35", AND(Z1781&lt;51, Z1781&gt;35),"36-50", AND(Z1781&lt;66, Z1781&gt;50), "51-66", Z1781&gt;65, "66+", TRUE, "?")</f>
        <v>36-50</v>
      </c>
      <c r="AB1781" s="1">
        <v>2429</v>
      </c>
      <c r="AC1781" s="1">
        <v>0</v>
      </c>
      <c r="AD1781" s="1">
        <v>0</v>
      </c>
      <c r="AE1781" s="1">
        <v>0</v>
      </c>
      <c r="AF1781" s="1">
        <v>1</v>
      </c>
      <c r="AG1781" s="1">
        <v>0</v>
      </c>
      <c r="AH1781" s="1">
        <v>1</v>
      </c>
      <c r="AI1781" s="1">
        <v>0</v>
      </c>
      <c r="AJ1781" s="1">
        <v>0</v>
      </c>
      <c r="AK1781" s="1">
        <v>0</v>
      </c>
      <c r="AL1781" s="1">
        <v>14</v>
      </c>
      <c r="AM1781" s="2">
        <v>42420</v>
      </c>
      <c r="AN1781" t="str">
        <f t="shared" si="55"/>
        <v>25130,32,0.00127337843215281,1,0,10,2,5,7,0,18,18,2,2,0,3,7,0,0,0,0,0,0,0,40,36-50,2429,0,0,0,1,0,1,0,0,0,14,42420</v>
      </c>
    </row>
    <row r="1782" spans="1:40" ht="13" hidden="1" x14ac:dyDescent="0.15">
      <c r="A1782">
        <v>1217</v>
      </c>
      <c r="B1782" s="1">
        <v>7500</v>
      </c>
      <c r="C1782" s="1">
        <v>32</v>
      </c>
      <c r="D1782" s="4">
        <f t="shared" si="54"/>
        <v>4.2666666666666669E-3</v>
      </c>
      <c r="E1782" s="1">
        <v>1</v>
      </c>
      <c r="F1782" s="1">
        <v>1</v>
      </c>
      <c r="G1782" s="1">
        <v>5</v>
      </c>
      <c r="H1782" s="1">
        <v>6</v>
      </c>
      <c r="I1782" s="1">
        <v>5</v>
      </c>
      <c r="J1782" s="1">
        <v>4</v>
      </c>
      <c r="K1782" s="1">
        <v>13</v>
      </c>
      <c r="L1782" s="1">
        <v>4</v>
      </c>
      <c r="M1782" s="1">
        <v>25</v>
      </c>
      <c r="N1782" s="1">
        <v>4</v>
      </c>
      <c r="O1782" s="1">
        <v>2</v>
      </c>
      <c r="P1782" s="1">
        <v>1</v>
      </c>
      <c r="Q1782" s="1">
        <v>3</v>
      </c>
      <c r="R1782" s="1">
        <v>6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42</v>
      </c>
      <c r="AA1782" s="1" t="str" cm="1">
        <f t="array" ref="AA1782">_xlfn.IFS(AND(Z1782&lt;36, Z1782&gt;23), "24-35", AND(Z1782&lt;51, Z1782&gt;35),"36-50", AND(Z1782&lt;66, Z1782&gt;50), "51-66", Z1782&gt;65, "66+", TRUE, "?")</f>
        <v>36-50</v>
      </c>
      <c r="AB1782" s="1">
        <v>2708</v>
      </c>
      <c r="AC1782" s="1">
        <v>0</v>
      </c>
      <c r="AD1782" s="1">
        <v>0</v>
      </c>
      <c r="AE1782" s="1">
        <v>1</v>
      </c>
      <c r="AF1782" s="1">
        <v>0</v>
      </c>
      <c r="AG1782" s="1">
        <v>0</v>
      </c>
      <c r="AH1782" s="1">
        <v>0</v>
      </c>
      <c r="AI1782" s="1">
        <v>1</v>
      </c>
      <c r="AJ1782" s="1">
        <v>0</v>
      </c>
      <c r="AK1782" s="1">
        <v>0</v>
      </c>
      <c r="AL1782" s="1">
        <v>7</v>
      </c>
      <c r="AM1782" s="2">
        <v>42141</v>
      </c>
      <c r="AN1782" t="str">
        <f t="shared" si="55"/>
        <v>7500,32,0.00426666666666667,1,1,5,6,5,4,13,4,25,4,2,1,3,6,0,0,0,0,0,0,0,42,36-50,2708,0,0,1,0,0,0,1,0,0,7,42141</v>
      </c>
    </row>
    <row r="1783" spans="1:40" ht="13" hidden="1" x14ac:dyDescent="0.15">
      <c r="A1783">
        <v>1331</v>
      </c>
      <c r="B1783" s="1">
        <v>34853</v>
      </c>
      <c r="C1783" s="1">
        <v>32</v>
      </c>
      <c r="D1783" s="4">
        <f t="shared" si="54"/>
        <v>9.1814191030901212E-4</v>
      </c>
      <c r="E1783" s="1">
        <v>1</v>
      </c>
      <c r="F1783" s="1">
        <v>1</v>
      </c>
      <c r="G1783" s="1">
        <v>75</v>
      </c>
      <c r="H1783" s="1">
        <v>9</v>
      </c>
      <c r="I1783" s="1">
        <v>3</v>
      </c>
      <c r="J1783" s="1">
        <v>15</v>
      </c>
      <c r="K1783" s="1">
        <v>2</v>
      </c>
      <c r="L1783" s="1">
        <v>3</v>
      </c>
      <c r="M1783" s="1">
        <v>2</v>
      </c>
      <c r="N1783" s="1">
        <v>2</v>
      </c>
      <c r="O1783" s="1">
        <v>2</v>
      </c>
      <c r="P1783" s="1">
        <v>0</v>
      </c>
      <c r="Q1783" s="1">
        <v>3</v>
      </c>
      <c r="R1783" s="1">
        <v>6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47</v>
      </c>
      <c r="AA1783" s="1" t="str" cm="1">
        <f t="array" ref="AA1783">_xlfn.IFS(AND(Z1783&lt;36, Z1783&gt;23), "24-35", AND(Z1783&lt;51, Z1783&gt;35),"36-50", AND(Z1783&lt;66, Z1783&gt;50), "51-66", Z1783&gt;65, "66+", TRUE, "?")</f>
        <v>36-50</v>
      </c>
      <c r="AB1783" s="1">
        <v>2347</v>
      </c>
      <c r="AC1783" s="1">
        <v>0</v>
      </c>
      <c r="AD1783" s="1">
        <v>0</v>
      </c>
      <c r="AE1783" s="1">
        <v>1</v>
      </c>
      <c r="AF1783" s="1">
        <v>0</v>
      </c>
      <c r="AG1783" s="1">
        <v>0</v>
      </c>
      <c r="AH1783" s="1">
        <v>0</v>
      </c>
      <c r="AI1783" s="1">
        <v>1</v>
      </c>
      <c r="AJ1783" s="1">
        <v>0</v>
      </c>
      <c r="AK1783" s="1">
        <v>0</v>
      </c>
      <c r="AL1783" s="1">
        <v>30</v>
      </c>
      <c r="AM1783" s="2">
        <v>42502</v>
      </c>
      <c r="AN1783" t="str">
        <f t="shared" si="55"/>
        <v>34853,32,0.000918141910309012,1,1,75,9,3,15,2,3,2,2,2,0,3,6,0,0,0,0,0,0,0,47,36-50,2347,0,0,1,0,0,0,1,0,0,30,42502</v>
      </c>
    </row>
    <row r="1784" spans="1:40" ht="13" hidden="1" x14ac:dyDescent="0.15">
      <c r="A1784">
        <v>1333</v>
      </c>
      <c r="B1784" s="1">
        <v>31086</v>
      </c>
      <c r="C1784" s="1">
        <v>32</v>
      </c>
      <c r="D1784" s="4">
        <f t="shared" si="54"/>
        <v>1.0294023032876537E-3</v>
      </c>
      <c r="E1784" s="1">
        <v>1</v>
      </c>
      <c r="F1784" s="1">
        <v>1</v>
      </c>
      <c r="G1784" s="1">
        <v>79</v>
      </c>
      <c r="H1784" s="1">
        <v>16</v>
      </c>
      <c r="I1784" s="1">
        <v>2</v>
      </c>
      <c r="J1784" s="1">
        <v>11</v>
      </c>
      <c r="K1784" s="1">
        <v>3</v>
      </c>
      <c r="L1784" s="1">
        <v>0</v>
      </c>
      <c r="M1784" s="1">
        <v>16</v>
      </c>
      <c r="N1784" s="1">
        <v>2</v>
      </c>
      <c r="O1784" s="1">
        <v>1</v>
      </c>
      <c r="P1784" s="1">
        <v>1</v>
      </c>
      <c r="Q1784" s="1">
        <v>2</v>
      </c>
      <c r="R1784" s="1">
        <v>8</v>
      </c>
      <c r="S1784" s="1">
        <v>0</v>
      </c>
      <c r="T1784" s="1">
        <v>0</v>
      </c>
      <c r="U1784" s="1">
        <v>1</v>
      </c>
      <c r="V1784" s="1">
        <v>0</v>
      </c>
      <c r="W1784" s="1">
        <v>0</v>
      </c>
      <c r="X1784" s="1">
        <v>0</v>
      </c>
      <c r="Y1784" s="1">
        <v>0</v>
      </c>
      <c r="Z1784" s="1">
        <v>41</v>
      </c>
      <c r="AA1784" s="1" t="str" cm="1">
        <f t="array" ref="AA1784">_xlfn.IFS(AND(Z1784&lt;36, Z1784&gt;23), "24-35", AND(Z1784&lt;51, Z1784&gt;35),"36-50", AND(Z1784&lt;66, Z1784&gt;50), "51-66", Z1784&gt;65, "66+", TRUE, "?")</f>
        <v>36-50</v>
      </c>
      <c r="AB1784" s="1">
        <v>2580</v>
      </c>
      <c r="AC1784" s="1">
        <v>0</v>
      </c>
      <c r="AD1784" s="1">
        <v>1</v>
      </c>
      <c r="AE1784" s="1">
        <v>0</v>
      </c>
      <c r="AF1784" s="1">
        <v>0</v>
      </c>
      <c r="AG1784" s="1">
        <v>0</v>
      </c>
      <c r="AH1784" s="1">
        <v>1</v>
      </c>
      <c r="AI1784" s="1">
        <v>0</v>
      </c>
      <c r="AJ1784" s="1">
        <v>0</v>
      </c>
      <c r="AK1784" s="1">
        <v>0</v>
      </c>
      <c r="AL1784" s="1">
        <v>16</v>
      </c>
      <c r="AM1784" s="2">
        <v>42269</v>
      </c>
      <c r="AN1784" t="str">
        <f t="shared" si="55"/>
        <v>31086,32,0.00102940230328765,1,1,79,16,2,11,3,0,16,2,1,1,2,8,0,0,1,0,0,0,0,41,36-50,2580,0,1,0,0,0,1,0,0,0,16,42269</v>
      </c>
    </row>
    <row r="1785" spans="1:40" ht="13" hidden="1" x14ac:dyDescent="0.15">
      <c r="A1785">
        <v>1626</v>
      </c>
      <c r="B1785" s="1">
        <v>20194</v>
      </c>
      <c r="C1785" s="1">
        <v>32</v>
      </c>
      <c r="D1785" s="4">
        <f t="shared" si="54"/>
        <v>1.5846290977518075E-3</v>
      </c>
      <c r="E1785" s="1">
        <v>1</v>
      </c>
      <c r="F1785" s="1">
        <v>0</v>
      </c>
      <c r="G1785" s="1">
        <v>64</v>
      </c>
      <c r="H1785" s="1">
        <v>0</v>
      </c>
      <c r="I1785" s="1">
        <v>4</v>
      </c>
      <c r="J1785" s="1">
        <v>7</v>
      </c>
      <c r="K1785" s="1">
        <v>11</v>
      </c>
      <c r="L1785" s="1">
        <v>10</v>
      </c>
      <c r="M1785" s="1">
        <v>15</v>
      </c>
      <c r="N1785" s="1">
        <v>2</v>
      </c>
      <c r="O1785" s="1">
        <v>2</v>
      </c>
      <c r="P1785" s="1">
        <v>0</v>
      </c>
      <c r="Q1785" s="1">
        <v>3</v>
      </c>
      <c r="R1785" s="1">
        <v>6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41</v>
      </c>
      <c r="AA1785" s="1" t="str" cm="1">
        <f t="array" ref="AA1785">_xlfn.IFS(AND(Z1785&lt;36, Z1785&gt;23), "24-35", AND(Z1785&lt;51, Z1785&gt;35),"36-50", AND(Z1785&lt;66, Z1785&gt;50), "51-66", Z1785&gt;65, "66+", TRUE, "?")</f>
        <v>36-50</v>
      </c>
      <c r="AB1785" s="1">
        <v>2718</v>
      </c>
      <c r="AC1785" s="1">
        <v>0</v>
      </c>
      <c r="AD1785" s="1">
        <v>0</v>
      </c>
      <c r="AE1785" s="1">
        <v>1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17</v>
      </c>
      <c r="AM1785" s="2">
        <v>42131</v>
      </c>
      <c r="AN1785" t="str">
        <f t="shared" si="55"/>
        <v>20194,32,0.00158462909775181,1,0,64,0,4,7,11,10,15,2,2,0,3,6,0,0,0,0,0,0,0,41,36-50,2718,0,0,1,0,0,0,0,0,0,17,42131</v>
      </c>
    </row>
    <row r="1786" spans="1:40" ht="13" hidden="1" x14ac:dyDescent="0.15">
      <c r="A1786">
        <v>1679</v>
      </c>
      <c r="B1786" s="1">
        <v>27071</v>
      </c>
      <c r="C1786" s="1">
        <v>32</v>
      </c>
      <c r="D1786" s="4">
        <f t="shared" si="54"/>
        <v>1.1820767611096746E-3</v>
      </c>
      <c r="E1786" s="1">
        <v>1</v>
      </c>
      <c r="F1786" s="1">
        <v>0</v>
      </c>
      <c r="G1786" s="1">
        <v>90</v>
      </c>
      <c r="H1786" s="1">
        <v>8</v>
      </c>
      <c r="I1786" s="1">
        <v>3</v>
      </c>
      <c r="J1786" s="1">
        <v>19</v>
      </c>
      <c r="K1786" s="1">
        <v>0</v>
      </c>
      <c r="L1786" s="1">
        <v>2</v>
      </c>
      <c r="M1786" s="1">
        <v>3</v>
      </c>
      <c r="N1786" s="1">
        <v>2</v>
      </c>
      <c r="O1786" s="1">
        <v>2</v>
      </c>
      <c r="P1786" s="1">
        <v>0</v>
      </c>
      <c r="Q1786" s="1">
        <v>3</v>
      </c>
      <c r="R1786" s="1">
        <v>6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52</v>
      </c>
      <c r="AA1786" s="1" t="str" cm="1">
        <f t="array" ref="AA1786">_xlfn.IFS(AND(Z1786&lt;36, Z1786&gt;23), "24-35", AND(Z1786&lt;51, Z1786&gt;35),"36-50", AND(Z1786&lt;66, Z1786&gt;50), "51-66", Z1786&gt;65, "66+", TRUE, "?")</f>
        <v>51-66</v>
      </c>
      <c r="AB1786" s="1">
        <v>2226</v>
      </c>
      <c r="AC1786" s="1">
        <v>1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1</v>
      </c>
      <c r="AK1786" s="1">
        <v>0</v>
      </c>
      <c r="AL1786" s="1">
        <v>29</v>
      </c>
      <c r="AM1786" s="2">
        <v>42623</v>
      </c>
      <c r="AN1786" t="str">
        <f t="shared" si="55"/>
        <v>27071,32,0.00118207676110967,1,0,90,8,3,19,0,2,3,2,2,0,3,6,0,0,0,0,0,0,0,52,51-66,2226,1,0,0,0,0,0,0,1,0,29,42623</v>
      </c>
    </row>
    <row r="1787" spans="1:40" ht="13" hidden="1" x14ac:dyDescent="0.15">
      <c r="A1787">
        <v>1721</v>
      </c>
      <c r="B1787" s="1">
        <v>44155</v>
      </c>
      <c r="C1787" s="1">
        <v>32</v>
      </c>
      <c r="D1787" s="4">
        <f t="shared" si="54"/>
        <v>7.247197372890952E-4</v>
      </c>
      <c r="E1787" s="1">
        <v>1</v>
      </c>
      <c r="F1787" s="1">
        <v>1</v>
      </c>
      <c r="G1787" s="1">
        <v>24</v>
      </c>
      <c r="H1787" s="1">
        <v>22</v>
      </c>
      <c r="I1787" s="1">
        <v>1</v>
      </c>
      <c r="J1787" s="1">
        <v>9</v>
      </c>
      <c r="K1787" s="1">
        <v>0</v>
      </c>
      <c r="L1787" s="1">
        <v>0</v>
      </c>
      <c r="M1787" s="1">
        <v>14</v>
      </c>
      <c r="N1787" s="1">
        <v>1</v>
      </c>
      <c r="O1787" s="1">
        <v>1</v>
      </c>
      <c r="P1787" s="1">
        <v>1</v>
      </c>
      <c r="Q1787" s="1">
        <v>2</v>
      </c>
      <c r="R1787" s="1">
        <v>4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63</v>
      </c>
      <c r="AA1787" s="1" t="str" cm="1">
        <f t="array" ref="AA1787">_xlfn.IFS(AND(Z1787&lt;36, Z1787&gt;23), "24-35", AND(Z1787&lt;51, Z1787&gt;35),"36-50", AND(Z1787&lt;66, Z1787&gt;50), "51-66", Z1787&gt;65, "66+", TRUE, "?")</f>
        <v>51-66</v>
      </c>
      <c r="AB1787" s="1">
        <v>2320</v>
      </c>
      <c r="AC1787" s="1">
        <v>0</v>
      </c>
      <c r="AD1787" s="1">
        <v>1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1</v>
      </c>
      <c r="AL1787" s="1">
        <v>18</v>
      </c>
      <c r="AM1787" s="2">
        <v>42529</v>
      </c>
      <c r="AN1787" t="str">
        <f t="shared" si="55"/>
        <v>44155,32,0.000724719737289095,1,1,24,22,1,9,0,0,14,1,1,1,2,4,0,0,0,0,0,0,0,63,51-66,2320,0,1,0,0,0,0,0,0,1,18,42529</v>
      </c>
    </row>
    <row r="1788" spans="1:40" ht="13" hidden="1" x14ac:dyDescent="0.15">
      <c r="A1788">
        <v>1739</v>
      </c>
      <c r="B1788" s="1">
        <v>31535</v>
      </c>
      <c r="C1788" s="1">
        <v>32</v>
      </c>
      <c r="D1788" s="4">
        <f t="shared" si="54"/>
        <v>1.0147455208498494E-3</v>
      </c>
      <c r="E1788" s="1">
        <v>1</v>
      </c>
      <c r="F1788" s="1">
        <v>0</v>
      </c>
      <c r="G1788" s="1">
        <v>95</v>
      </c>
      <c r="H1788" s="1">
        <v>15</v>
      </c>
      <c r="I1788" s="1">
        <v>4</v>
      </c>
      <c r="J1788" s="1">
        <v>13</v>
      </c>
      <c r="K1788" s="1">
        <v>0</v>
      </c>
      <c r="L1788" s="1">
        <v>0</v>
      </c>
      <c r="M1788" s="1">
        <v>19</v>
      </c>
      <c r="N1788" s="1">
        <v>1</v>
      </c>
      <c r="O1788" s="1">
        <v>1</v>
      </c>
      <c r="P1788" s="1">
        <v>1</v>
      </c>
      <c r="Q1788" s="1">
        <v>2</v>
      </c>
      <c r="R1788" s="1">
        <v>7</v>
      </c>
      <c r="S1788" s="1">
        <v>0</v>
      </c>
      <c r="T1788" s="1">
        <v>0</v>
      </c>
      <c r="U1788" s="1">
        <v>1</v>
      </c>
      <c r="V1788" s="1">
        <v>0</v>
      </c>
      <c r="W1788" s="1">
        <v>0</v>
      </c>
      <c r="X1788" s="1">
        <v>0</v>
      </c>
      <c r="Y1788" s="1">
        <v>0</v>
      </c>
      <c r="Z1788" s="1">
        <v>40</v>
      </c>
      <c r="AA1788" s="1" t="str" cm="1">
        <f t="array" ref="AA1788">_xlfn.IFS(AND(Z1788&lt;36, Z1788&gt;23), "24-35", AND(Z1788&lt;51, Z1788&gt;35),"36-50", AND(Z1788&lt;66, Z1788&gt;50), "51-66", Z1788&gt;65, "66+", TRUE, "?")</f>
        <v>36-50</v>
      </c>
      <c r="AB1788" s="1">
        <v>2435</v>
      </c>
      <c r="AC1788" s="1">
        <v>0</v>
      </c>
      <c r="AD1788" s="1">
        <v>1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1</v>
      </c>
      <c r="AK1788" s="1">
        <v>0</v>
      </c>
      <c r="AL1788" s="1">
        <v>13</v>
      </c>
      <c r="AM1788" s="2">
        <v>42414</v>
      </c>
      <c r="AN1788" t="str">
        <f t="shared" si="55"/>
        <v>31535,32,0.00101474552084985,1,0,95,15,4,13,0,0,19,1,1,1,2,7,0,0,1,0,0,0,0,40,36-50,2435,0,1,0,0,0,0,0,1,0,13,42414</v>
      </c>
    </row>
    <row r="1789" spans="1:40" ht="13" hidden="1" x14ac:dyDescent="0.15">
      <c r="A1789">
        <v>1795</v>
      </c>
      <c r="B1789" s="1">
        <v>39062</v>
      </c>
      <c r="C1789" s="1">
        <v>32</v>
      </c>
      <c r="D1789" s="4">
        <f t="shared" si="54"/>
        <v>8.192104858942194E-4</v>
      </c>
      <c r="E1789" s="1">
        <v>1</v>
      </c>
      <c r="F1789" s="1">
        <v>0</v>
      </c>
      <c r="G1789" s="1">
        <v>28</v>
      </c>
      <c r="H1789" s="1">
        <v>23</v>
      </c>
      <c r="I1789" s="1">
        <v>0</v>
      </c>
      <c r="J1789" s="1">
        <v>9</v>
      </c>
      <c r="K1789" s="1">
        <v>0</v>
      </c>
      <c r="L1789" s="1">
        <v>0</v>
      </c>
      <c r="M1789" s="1">
        <v>12</v>
      </c>
      <c r="N1789" s="1">
        <v>1</v>
      </c>
      <c r="O1789" s="1">
        <v>1</v>
      </c>
      <c r="P1789" s="1">
        <v>0</v>
      </c>
      <c r="Q1789" s="1">
        <v>3</v>
      </c>
      <c r="R1789" s="1">
        <v>4</v>
      </c>
      <c r="S1789" s="1">
        <v>0</v>
      </c>
      <c r="T1789" s="1">
        <v>0</v>
      </c>
      <c r="U1789" s="1">
        <v>1</v>
      </c>
      <c r="V1789" s="1">
        <v>0</v>
      </c>
      <c r="W1789" s="1">
        <v>0</v>
      </c>
      <c r="X1789" s="1">
        <v>0</v>
      </c>
      <c r="Y1789" s="1">
        <v>0</v>
      </c>
      <c r="Z1789" s="1">
        <v>37</v>
      </c>
      <c r="AA1789" s="1" t="str" cm="1">
        <f t="array" ref="AA1789">_xlfn.IFS(AND(Z1789&lt;36, Z1789&gt;23), "24-35", AND(Z1789&lt;51, Z1789&gt;35),"36-50", AND(Z1789&lt;66, Z1789&gt;50), "51-66", Z1789&gt;65, "66+", TRUE, "?")</f>
        <v>36-50</v>
      </c>
      <c r="AB1789" s="1">
        <v>2255</v>
      </c>
      <c r="AC1789" s="1">
        <v>0</v>
      </c>
      <c r="AD1789" s="1">
        <v>0</v>
      </c>
      <c r="AE1789" s="1">
        <v>1</v>
      </c>
      <c r="AF1789" s="1">
        <v>0</v>
      </c>
      <c r="AG1789" s="1">
        <v>0</v>
      </c>
      <c r="AH1789" s="1">
        <v>0</v>
      </c>
      <c r="AI1789" s="1">
        <v>1</v>
      </c>
      <c r="AJ1789" s="1">
        <v>0</v>
      </c>
      <c r="AK1789" s="1">
        <v>0</v>
      </c>
      <c r="AL1789" s="1">
        <v>20</v>
      </c>
      <c r="AM1789" s="2">
        <v>42594</v>
      </c>
      <c r="AN1789" t="str">
        <f t="shared" si="55"/>
        <v>39062,32,0.000819210485894219,1,0,28,23,0,9,0,0,12,1,1,0,3,4,0,0,1,0,0,0,0,37,36-50,2255,0,0,1,0,0,0,1,0,0,20,42594</v>
      </c>
    </row>
    <row r="1790" spans="1:40" ht="13" hidden="1" x14ac:dyDescent="0.15">
      <c r="A1790">
        <v>2009</v>
      </c>
      <c r="B1790" s="1">
        <v>7500</v>
      </c>
      <c r="C1790" s="1">
        <v>32</v>
      </c>
      <c r="D1790" s="4">
        <f t="shared" si="54"/>
        <v>4.2666666666666669E-3</v>
      </c>
      <c r="E1790" s="1">
        <v>1</v>
      </c>
      <c r="F1790" s="1">
        <v>0</v>
      </c>
      <c r="G1790" s="1">
        <v>7</v>
      </c>
      <c r="H1790" s="1">
        <v>2</v>
      </c>
      <c r="I1790" s="1">
        <v>8</v>
      </c>
      <c r="J1790" s="1">
        <v>11</v>
      </c>
      <c r="K1790" s="1">
        <v>3</v>
      </c>
      <c r="L1790" s="1">
        <v>8</v>
      </c>
      <c r="M1790" s="1">
        <v>21</v>
      </c>
      <c r="N1790" s="1">
        <v>4</v>
      </c>
      <c r="O1790" s="1">
        <v>3</v>
      </c>
      <c r="P1790" s="1">
        <v>2</v>
      </c>
      <c r="Q1790" s="1">
        <v>2</v>
      </c>
      <c r="R1790" s="1">
        <v>7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41</v>
      </c>
      <c r="AA1790" s="1" t="str" cm="1">
        <f t="array" ref="AA1790">_xlfn.IFS(AND(Z1790&lt;36, Z1790&gt;23), "24-35", AND(Z1790&lt;51, Z1790&gt;35),"36-50", AND(Z1790&lt;66, Z1790&gt;50), "51-66", Z1790&gt;65, "66+", TRUE, "?")</f>
        <v>36-50</v>
      </c>
      <c r="AB1790" s="1">
        <v>2577</v>
      </c>
      <c r="AC1790" s="1">
        <v>0</v>
      </c>
      <c r="AD1790" s="1">
        <v>0</v>
      </c>
      <c r="AE1790" s="1">
        <v>0</v>
      </c>
      <c r="AF1790" s="1">
        <v>1</v>
      </c>
      <c r="AG1790" s="1">
        <v>0</v>
      </c>
      <c r="AH1790" s="1">
        <v>1</v>
      </c>
      <c r="AI1790" s="1">
        <v>0</v>
      </c>
      <c r="AJ1790" s="1">
        <v>0</v>
      </c>
      <c r="AK1790" s="1">
        <v>0</v>
      </c>
      <c r="AL1790" s="1">
        <v>11</v>
      </c>
      <c r="AM1790" s="2">
        <v>42272</v>
      </c>
      <c r="AN1790" t="str">
        <f t="shared" si="55"/>
        <v>7500,32,0.00426666666666667,1,0,7,2,8,11,3,8,21,4,3,2,2,7,0,0,0,0,0,0,0,41,36-50,2577,0,0,0,1,0,1,0,0,0,11,42272</v>
      </c>
    </row>
    <row r="1791" spans="1:40" ht="13" hidden="1" x14ac:dyDescent="0.15">
      <c r="A1791">
        <v>292</v>
      </c>
      <c r="B1791" s="1">
        <v>28839</v>
      </c>
      <c r="C1791" s="1">
        <v>31</v>
      </c>
      <c r="D1791" s="4">
        <f t="shared" si="54"/>
        <v>1.0749332501126946E-3</v>
      </c>
      <c r="E1791" s="1">
        <v>1</v>
      </c>
      <c r="F1791" s="1">
        <v>1</v>
      </c>
      <c r="G1791" s="1">
        <v>86</v>
      </c>
      <c r="H1791" s="1">
        <v>24</v>
      </c>
      <c r="I1791" s="1">
        <v>0</v>
      </c>
      <c r="J1791" s="1">
        <v>7</v>
      </c>
      <c r="K1791" s="1">
        <v>0</v>
      </c>
      <c r="L1791" s="1">
        <v>0</v>
      </c>
      <c r="M1791" s="1">
        <v>1</v>
      </c>
      <c r="N1791" s="1">
        <v>2</v>
      </c>
      <c r="O1791" s="1">
        <v>2</v>
      </c>
      <c r="P1791" s="1">
        <v>0</v>
      </c>
      <c r="Q1791" s="1">
        <v>3</v>
      </c>
      <c r="R1791" s="1">
        <v>5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64</v>
      </c>
      <c r="AA1791" s="1" t="str" cm="1">
        <f t="array" ref="AA1791">_xlfn.IFS(AND(Z1791&lt;36, Z1791&gt;23), "24-35", AND(Z1791&lt;51, Z1791&gt;35),"36-50", AND(Z1791&lt;66, Z1791&gt;50), "51-66", Z1791&gt;65, "66+", TRUE, "?")</f>
        <v>51-66</v>
      </c>
      <c r="AB1791" s="1">
        <v>2269</v>
      </c>
      <c r="AC1791" s="1">
        <v>0</v>
      </c>
      <c r="AD1791" s="1">
        <v>0</v>
      </c>
      <c r="AE1791" s="1">
        <v>0</v>
      </c>
      <c r="AF1791" s="1">
        <v>1</v>
      </c>
      <c r="AG1791" s="1">
        <v>0</v>
      </c>
      <c r="AH1791" s="1">
        <v>0</v>
      </c>
      <c r="AI1791" s="1">
        <v>0</v>
      </c>
      <c r="AJ1791" s="1">
        <v>1</v>
      </c>
      <c r="AK1791" s="1">
        <v>0</v>
      </c>
      <c r="AL1791" s="1">
        <v>30</v>
      </c>
      <c r="AM1791" s="2">
        <v>42580</v>
      </c>
      <c r="AN1791" t="str">
        <f t="shared" si="55"/>
        <v>28839,31,0.00107493325011269,1,1,86,24,0,7,0,0,1,2,2,0,3,5,0,0,0,0,0,0,0,64,51-66,2269,0,0,0,1,0,0,0,1,0,30,42580</v>
      </c>
    </row>
    <row r="1792" spans="1:40" ht="13" hidden="1" x14ac:dyDescent="0.15">
      <c r="A1792">
        <v>400</v>
      </c>
      <c r="B1792" s="1">
        <v>10404</v>
      </c>
      <c r="C1792" s="1">
        <v>31</v>
      </c>
      <c r="D1792" s="4">
        <f t="shared" si="54"/>
        <v>2.9796232218377546E-3</v>
      </c>
      <c r="E1792" s="1">
        <v>1</v>
      </c>
      <c r="F1792" s="1">
        <v>0</v>
      </c>
      <c r="G1792" s="1">
        <v>52</v>
      </c>
      <c r="H1792" s="1">
        <v>2</v>
      </c>
      <c r="I1792" s="1">
        <v>2</v>
      </c>
      <c r="J1792" s="1">
        <v>11</v>
      </c>
      <c r="K1792" s="1">
        <v>10</v>
      </c>
      <c r="L1792" s="1">
        <v>6</v>
      </c>
      <c r="M1792" s="1">
        <v>12</v>
      </c>
      <c r="N1792" s="1">
        <v>2</v>
      </c>
      <c r="O1792" s="1">
        <v>1</v>
      </c>
      <c r="P1792" s="1">
        <v>0</v>
      </c>
      <c r="Q1792" s="1">
        <v>4</v>
      </c>
      <c r="R1792" s="1">
        <v>5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31</v>
      </c>
      <c r="AA1792" s="1" t="str" cm="1">
        <f t="array" ref="AA1792">_xlfn.IFS(AND(Z1792&lt;36, Z1792&gt;23), "24-35", AND(Z1792&lt;51, Z1792&gt;35),"36-50", AND(Z1792&lt;66, Z1792&gt;50), "51-66", Z1792&gt;65, "66+", TRUE, "?")</f>
        <v>24-35</v>
      </c>
      <c r="AB1792" s="1">
        <v>2215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1</v>
      </c>
      <c r="AI1792" s="1">
        <v>0</v>
      </c>
      <c r="AJ1792" s="1">
        <v>0</v>
      </c>
      <c r="AK1792" s="1">
        <v>0</v>
      </c>
      <c r="AL1792" s="1">
        <v>19</v>
      </c>
      <c r="AM1792" s="2">
        <v>42634</v>
      </c>
      <c r="AN1792" t="str">
        <f t="shared" si="55"/>
        <v>10404,31,0.00297962322183775,1,0,52,2,2,11,10,6,12,2,1,0,4,5,0,0,0,0,0,0,0,31,24-35,2215,0,0,0,1,0,1,0,0,0,19,42634</v>
      </c>
    </row>
    <row r="1793" spans="1:40" ht="13" hidden="1" x14ac:dyDescent="0.15">
      <c r="A1793">
        <v>486</v>
      </c>
      <c r="B1793" s="1">
        <v>26095</v>
      </c>
      <c r="C1793" s="1">
        <v>31</v>
      </c>
      <c r="D1793" s="4">
        <f t="shared" si="54"/>
        <v>1.1879670434949223E-3</v>
      </c>
      <c r="E1793" s="1">
        <v>1</v>
      </c>
      <c r="F1793" s="1">
        <v>0</v>
      </c>
      <c r="G1793" s="1">
        <v>77</v>
      </c>
      <c r="H1793" s="1">
        <v>11</v>
      </c>
      <c r="I1793" s="1">
        <v>7</v>
      </c>
      <c r="J1793" s="1">
        <v>9</v>
      </c>
      <c r="K1793" s="1">
        <v>3</v>
      </c>
      <c r="L1793" s="1">
        <v>1</v>
      </c>
      <c r="M1793" s="1">
        <v>11</v>
      </c>
      <c r="N1793" s="1">
        <v>1</v>
      </c>
      <c r="O1793" s="1">
        <v>1</v>
      </c>
      <c r="P1793" s="1">
        <v>0</v>
      </c>
      <c r="Q1793" s="1">
        <v>3</v>
      </c>
      <c r="R1793" s="1">
        <v>7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30</v>
      </c>
      <c r="AA1793" s="1" t="str" cm="1">
        <f t="array" ref="AA1793">_xlfn.IFS(AND(Z1793&lt;36, Z1793&gt;23), "24-35", AND(Z1793&lt;51, Z1793&gt;35),"36-50", AND(Z1793&lt;66, Z1793&gt;50), "51-66", Z1793&gt;65, "66+", TRUE, "?")</f>
        <v>24-35</v>
      </c>
      <c r="AB1793" s="1">
        <v>2523</v>
      </c>
      <c r="AC1793" s="1">
        <v>0</v>
      </c>
      <c r="AD1793" s="1">
        <v>0</v>
      </c>
      <c r="AE1793" s="1">
        <v>1</v>
      </c>
      <c r="AF1793" s="1">
        <v>0</v>
      </c>
      <c r="AG1793" s="1">
        <v>0</v>
      </c>
      <c r="AH1793" s="1">
        <v>0</v>
      </c>
      <c r="AI1793" s="1">
        <v>1</v>
      </c>
      <c r="AJ1793" s="1">
        <v>0</v>
      </c>
      <c r="AK1793" s="1">
        <v>0</v>
      </c>
      <c r="AL1793" s="1">
        <v>20</v>
      </c>
      <c r="AM1793" s="2">
        <v>42326</v>
      </c>
      <c r="AN1793" t="str">
        <f t="shared" si="55"/>
        <v>26095,31,0.00118796704349492,1,0,77,11,7,9,3,1,11,1,1,0,3,7,0,0,0,0,0,0,0,30,24-35,2523,0,0,1,0,0,0,1,0,0,20,42326</v>
      </c>
    </row>
    <row r="1794" spans="1:40" ht="13" hidden="1" x14ac:dyDescent="0.15">
      <c r="A1794">
        <v>587</v>
      </c>
      <c r="B1794" s="1">
        <v>36975</v>
      </c>
      <c r="C1794" s="1">
        <v>31</v>
      </c>
      <c r="D1794" s="4">
        <f t="shared" ref="D1794:D1857" si="56">C1794/B1794</f>
        <v>8.3840432724814065E-4</v>
      </c>
      <c r="E1794" s="1">
        <v>1</v>
      </c>
      <c r="F1794" s="1">
        <v>0</v>
      </c>
      <c r="G1794" s="1">
        <v>50</v>
      </c>
      <c r="H1794" s="1">
        <v>10</v>
      </c>
      <c r="I1794" s="1">
        <v>6</v>
      </c>
      <c r="J1794" s="1">
        <v>11</v>
      </c>
      <c r="K1794" s="1">
        <v>0</v>
      </c>
      <c r="L1794" s="1">
        <v>4</v>
      </c>
      <c r="M1794" s="1">
        <v>2</v>
      </c>
      <c r="N1794" s="1">
        <v>1</v>
      </c>
      <c r="O1794" s="1">
        <v>1</v>
      </c>
      <c r="P1794" s="1">
        <v>0</v>
      </c>
      <c r="Q1794" s="1">
        <v>3</v>
      </c>
      <c r="R1794" s="1">
        <v>7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42</v>
      </c>
      <c r="AA1794" s="1" t="str" cm="1">
        <f t="array" ref="AA1794">_xlfn.IFS(AND(Z1794&lt;36, Z1794&gt;23), "24-35", AND(Z1794&lt;51, Z1794&gt;35),"36-50", AND(Z1794&lt;66, Z1794&gt;50), "51-66", Z1794&gt;65, "66+", TRUE, "?")</f>
        <v>36-50</v>
      </c>
      <c r="AB1794" s="1">
        <v>2342</v>
      </c>
      <c r="AC1794" s="1">
        <v>0</v>
      </c>
      <c r="AD1794" s="1">
        <v>0</v>
      </c>
      <c r="AE1794" s="1">
        <v>1</v>
      </c>
      <c r="AF1794" s="1">
        <v>0</v>
      </c>
      <c r="AG1794" s="1">
        <v>0</v>
      </c>
      <c r="AH1794" s="1">
        <v>1</v>
      </c>
      <c r="AI1794" s="1">
        <v>0</v>
      </c>
      <c r="AJ1794" s="1">
        <v>0</v>
      </c>
      <c r="AK1794" s="1">
        <v>0</v>
      </c>
      <c r="AL1794" s="1">
        <v>29</v>
      </c>
      <c r="AM1794" s="2">
        <v>42507</v>
      </c>
      <c r="AN1794" t="str">
        <f t="shared" ref="AN1794:AN1857" si="57">_xlfn.TEXTJOIN(",",TRUE,B1794:AM1794)</f>
        <v>36975,31,0.000838404327248141,1,0,50,10,6,11,0,4,2,1,1,0,3,7,0,0,0,0,0,0,0,42,36-50,2342,0,0,1,0,0,1,0,0,0,29,42507</v>
      </c>
    </row>
    <row r="1795" spans="1:40" ht="13" hidden="1" x14ac:dyDescent="0.15">
      <c r="A1795">
        <v>698</v>
      </c>
      <c r="B1795" s="1">
        <v>17003</v>
      </c>
      <c r="C1795" s="1">
        <v>31</v>
      </c>
      <c r="D1795" s="4">
        <f t="shared" si="56"/>
        <v>1.8232076692348408E-3</v>
      </c>
      <c r="E1795" s="1">
        <v>1</v>
      </c>
      <c r="F1795" s="1">
        <v>0</v>
      </c>
      <c r="G1795" s="1">
        <v>37</v>
      </c>
      <c r="H1795" s="1">
        <v>2</v>
      </c>
      <c r="I1795" s="1">
        <v>5</v>
      </c>
      <c r="J1795" s="1">
        <v>12</v>
      </c>
      <c r="K1795" s="1">
        <v>4</v>
      </c>
      <c r="L1795" s="1">
        <v>8</v>
      </c>
      <c r="M1795" s="1">
        <v>7</v>
      </c>
      <c r="N1795" s="1">
        <v>3</v>
      </c>
      <c r="O1795" s="1">
        <v>2</v>
      </c>
      <c r="P1795" s="1">
        <v>0</v>
      </c>
      <c r="Q1795" s="1">
        <v>4</v>
      </c>
      <c r="R1795" s="1">
        <v>5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45</v>
      </c>
      <c r="AA1795" s="1" t="str" cm="1">
        <f t="array" ref="AA1795">_xlfn.IFS(AND(Z1795&lt;36, Z1795&gt;23), "24-35", AND(Z1795&lt;51, Z1795&gt;35),"36-50", AND(Z1795&lt;66, Z1795&gt;50), "51-66", Z1795&gt;65, "66+", TRUE, "?")</f>
        <v>36-50</v>
      </c>
      <c r="AB1795" s="1">
        <v>2361</v>
      </c>
      <c r="AC1795" s="1">
        <v>0</v>
      </c>
      <c r="AD1795" s="1">
        <v>1</v>
      </c>
      <c r="AE1795" s="1">
        <v>0</v>
      </c>
      <c r="AF1795" s="1">
        <v>0</v>
      </c>
      <c r="AG1795" s="1">
        <v>0</v>
      </c>
      <c r="AH1795" s="1">
        <v>1</v>
      </c>
      <c r="AI1795" s="1">
        <v>0</v>
      </c>
      <c r="AJ1795" s="1">
        <v>0</v>
      </c>
      <c r="AK1795" s="1">
        <v>0</v>
      </c>
      <c r="AL1795" s="1">
        <v>24</v>
      </c>
      <c r="AM1795" s="2">
        <v>42488</v>
      </c>
      <c r="AN1795" t="str">
        <f t="shared" si="57"/>
        <v>17003,31,0.00182320766923484,1,0,37,2,5,12,4,8,7,3,2,0,4,5,0,0,0,0,0,0,0,45,36-50,2361,0,1,0,0,0,1,0,0,0,24,42488</v>
      </c>
    </row>
    <row r="1796" spans="1:40" ht="13" hidden="1" x14ac:dyDescent="0.15">
      <c r="A1796">
        <v>1466</v>
      </c>
      <c r="B1796" s="1">
        <v>13724</v>
      </c>
      <c r="C1796" s="1">
        <v>31</v>
      </c>
      <c r="D1796" s="4">
        <f t="shared" si="56"/>
        <v>2.2588166715243369E-3</v>
      </c>
      <c r="E1796" s="1">
        <v>1</v>
      </c>
      <c r="F1796" s="1">
        <v>0</v>
      </c>
      <c r="G1796" s="1">
        <v>43</v>
      </c>
      <c r="H1796" s="1">
        <v>2</v>
      </c>
      <c r="I1796" s="1">
        <v>7</v>
      </c>
      <c r="J1796" s="1">
        <v>5</v>
      </c>
      <c r="K1796" s="1">
        <v>2</v>
      </c>
      <c r="L1796" s="1">
        <v>15</v>
      </c>
      <c r="M1796" s="1">
        <v>27</v>
      </c>
      <c r="N1796" s="1">
        <v>1</v>
      </c>
      <c r="O1796" s="1">
        <v>2</v>
      </c>
      <c r="P1796" s="1">
        <v>0</v>
      </c>
      <c r="Q1796" s="1">
        <v>2</v>
      </c>
      <c r="R1796" s="1">
        <v>9</v>
      </c>
      <c r="S1796" s="1">
        <v>0</v>
      </c>
      <c r="T1796" s="1">
        <v>0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32</v>
      </c>
      <c r="AA1796" s="1" t="str" cm="1">
        <f t="array" ref="AA1796">_xlfn.IFS(AND(Z1796&lt;36, Z1796&gt;23), "24-35", AND(Z1796&lt;51, Z1796&gt;35),"36-50", AND(Z1796&lt;66, Z1796&gt;50), "51-66", Z1796&gt;65, "66+", TRUE, "?")</f>
        <v>24-35</v>
      </c>
      <c r="AB1796" s="1">
        <v>2826</v>
      </c>
      <c r="AC1796" s="1">
        <v>0</v>
      </c>
      <c r="AD1796" s="1">
        <v>0</v>
      </c>
      <c r="AE1796" s="1">
        <v>0</v>
      </c>
      <c r="AF1796" s="1">
        <v>1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4</v>
      </c>
      <c r="AM1796" s="2">
        <v>42023</v>
      </c>
      <c r="AN1796" t="str">
        <f t="shared" si="57"/>
        <v>13724,31,0.00225881667152434,1,0,43,2,7,5,2,15,27,1,2,0,2,9,0,0,1,0,0,0,0,32,24-35,2826,0,0,0,1,0,0,0,0,0,4,42023</v>
      </c>
    </row>
    <row r="1797" spans="1:40" ht="13" hidden="1" x14ac:dyDescent="0.15">
      <c r="A1797">
        <v>1557</v>
      </c>
      <c r="B1797" s="1">
        <v>41437</v>
      </c>
      <c r="C1797" s="1">
        <v>31</v>
      </c>
      <c r="D1797" s="4">
        <f t="shared" si="56"/>
        <v>7.4812365760069499E-4</v>
      </c>
      <c r="E1797" s="1">
        <v>1</v>
      </c>
      <c r="F1797" s="1">
        <v>1</v>
      </c>
      <c r="G1797" s="1">
        <v>5</v>
      </c>
      <c r="H1797" s="1">
        <v>29</v>
      </c>
      <c r="I1797" s="1">
        <v>0</v>
      </c>
      <c r="J1797" s="1">
        <v>2</v>
      </c>
      <c r="K1797" s="1">
        <v>0</v>
      </c>
      <c r="L1797" s="1">
        <v>0</v>
      </c>
      <c r="M1797" s="1">
        <v>1</v>
      </c>
      <c r="N1797" s="1">
        <v>1</v>
      </c>
      <c r="O1797" s="1">
        <v>1</v>
      </c>
      <c r="P1797" s="1">
        <v>0</v>
      </c>
      <c r="Q1797" s="1">
        <v>3</v>
      </c>
      <c r="R1797" s="1">
        <v>7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63</v>
      </c>
      <c r="AA1797" s="1" t="str" cm="1">
        <f t="array" ref="AA1797">_xlfn.IFS(AND(Z1797&lt;36, Z1797&gt;23), "24-35", AND(Z1797&lt;51, Z1797&gt;35),"36-50", AND(Z1797&lt;66, Z1797&gt;50), "51-66", Z1797&gt;65, "66+", TRUE, "?")</f>
        <v>51-66</v>
      </c>
      <c r="AB1797" s="1">
        <v>2804</v>
      </c>
      <c r="AC1797" s="1">
        <v>1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1</v>
      </c>
      <c r="AL1797" s="1">
        <v>30</v>
      </c>
      <c r="AM1797" s="2">
        <v>42045</v>
      </c>
      <c r="AN1797" t="str">
        <f t="shared" si="57"/>
        <v>41437,31,0.000748123657600695,1,1,5,29,0,2,0,0,1,1,1,0,3,7,0,0,0,0,0,0,0,63,51-66,2804,1,0,0,0,0,0,0,0,1,30,42045</v>
      </c>
    </row>
    <row r="1798" spans="1:40" ht="13" hidden="1" x14ac:dyDescent="0.15">
      <c r="A1798">
        <v>1606</v>
      </c>
      <c r="B1798" s="1">
        <v>16014</v>
      </c>
      <c r="C1798" s="1">
        <v>31</v>
      </c>
      <c r="D1798" s="4">
        <f t="shared" si="56"/>
        <v>1.9358061696015986E-3</v>
      </c>
      <c r="E1798" s="1">
        <v>1</v>
      </c>
      <c r="F1798" s="1">
        <v>1</v>
      </c>
      <c r="G1798" s="1">
        <v>42</v>
      </c>
      <c r="H1798" s="1">
        <v>3</v>
      </c>
      <c r="I1798" s="1">
        <v>9</v>
      </c>
      <c r="J1798" s="1">
        <v>4</v>
      </c>
      <c r="K1798" s="1">
        <v>7</v>
      </c>
      <c r="L1798" s="1">
        <v>8</v>
      </c>
      <c r="M1798" s="1">
        <v>7</v>
      </c>
      <c r="N1798" s="1">
        <v>4</v>
      </c>
      <c r="O1798" s="1">
        <v>1</v>
      </c>
      <c r="P1798" s="1">
        <v>1</v>
      </c>
      <c r="Q1798" s="1">
        <v>4</v>
      </c>
      <c r="R1798" s="1">
        <v>3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41</v>
      </c>
      <c r="AA1798" s="1" t="str" cm="1">
        <f t="array" ref="AA1798">_xlfn.IFS(AND(Z1798&lt;36, Z1798&gt;23), "24-35", AND(Z1798&lt;51, Z1798&gt;35),"36-50", AND(Z1798&lt;66, Z1798&gt;50), "51-66", Z1798&gt;65, "66+", TRUE, "?")</f>
        <v>36-50</v>
      </c>
      <c r="AB1798" s="1">
        <v>2628</v>
      </c>
      <c r="AC1798" s="1">
        <v>0</v>
      </c>
      <c r="AD1798" s="1">
        <v>0</v>
      </c>
      <c r="AE1798" s="1">
        <v>1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24</v>
      </c>
      <c r="AM1798" s="2">
        <v>42221</v>
      </c>
      <c r="AN1798" t="str">
        <f t="shared" si="57"/>
        <v>16014,31,0.0019358061696016,1,1,42,3,9,4,7,8,7,4,1,1,4,3,0,0,0,0,0,0,0,41,36-50,2628,0,0,1,0,0,0,0,0,0,24,42221</v>
      </c>
    </row>
    <row r="1799" spans="1:40" ht="13" hidden="1" x14ac:dyDescent="0.15">
      <c r="A1799">
        <v>1612</v>
      </c>
      <c r="B1799" s="1">
        <v>13533</v>
      </c>
      <c r="C1799" s="1">
        <v>31</v>
      </c>
      <c r="D1799" s="4">
        <f t="shared" si="56"/>
        <v>2.2906968151924926E-3</v>
      </c>
      <c r="E1799" s="1">
        <v>1</v>
      </c>
      <c r="F1799" s="1">
        <v>0</v>
      </c>
      <c r="G1799" s="1">
        <v>45</v>
      </c>
      <c r="H1799" s="1">
        <v>12</v>
      </c>
      <c r="I1799" s="1">
        <v>3</v>
      </c>
      <c r="J1799" s="1">
        <v>8</v>
      </c>
      <c r="K1799" s="1">
        <v>8</v>
      </c>
      <c r="L1799" s="1">
        <v>0</v>
      </c>
      <c r="M1799" s="1">
        <v>17</v>
      </c>
      <c r="N1799" s="1">
        <v>2</v>
      </c>
      <c r="O1799" s="1">
        <v>2</v>
      </c>
      <c r="P1799" s="1">
        <v>0</v>
      </c>
      <c r="Q1799" s="1">
        <v>3</v>
      </c>
      <c r="R1799" s="1">
        <v>7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41</v>
      </c>
      <c r="AA1799" s="1" t="str" cm="1">
        <f t="array" ref="AA1799">_xlfn.IFS(AND(Z1799&lt;36, Z1799&gt;23), "24-35", AND(Z1799&lt;51, Z1799&gt;35),"36-50", AND(Z1799&lt;66, Z1799&gt;50), "51-66", Z1799&gt;65, "66+", TRUE, "?")</f>
        <v>36-50</v>
      </c>
      <c r="AB1799" s="1">
        <v>2635</v>
      </c>
      <c r="AC1799" s="1">
        <v>1</v>
      </c>
      <c r="AD1799" s="1">
        <v>0</v>
      </c>
      <c r="AE1799" s="1">
        <v>0</v>
      </c>
      <c r="AF1799" s="1">
        <v>0</v>
      </c>
      <c r="AG1799" s="1">
        <v>0</v>
      </c>
      <c r="AH1799" s="1">
        <v>1</v>
      </c>
      <c r="AI1799" s="1">
        <v>0</v>
      </c>
      <c r="AJ1799" s="1">
        <v>0</v>
      </c>
      <c r="AK1799" s="1">
        <v>0</v>
      </c>
      <c r="AL1799" s="1">
        <v>14</v>
      </c>
      <c r="AM1799" s="2">
        <v>42214</v>
      </c>
      <c r="AN1799" t="str">
        <f t="shared" si="57"/>
        <v>13533,31,0.00229069681519249,1,0,45,12,3,8,8,0,17,2,2,0,3,7,0,0,0,0,0,0,0,41,36-50,2635,1,0,0,0,0,1,0,0,0,14,42214</v>
      </c>
    </row>
    <row r="1800" spans="1:40" ht="13" hidden="1" x14ac:dyDescent="0.15">
      <c r="A1800">
        <v>1986</v>
      </c>
      <c r="B1800" s="1">
        <v>8820</v>
      </c>
      <c r="C1800" s="1">
        <v>31</v>
      </c>
      <c r="D1800" s="4">
        <f t="shared" si="56"/>
        <v>3.5147392290249433E-3</v>
      </c>
      <c r="E1800" s="1">
        <v>1</v>
      </c>
      <c r="F1800" s="1">
        <v>1</v>
      </c>
      <c r="G1800" s="1">
        <v>52</v>
      </c>
      <c r="H1800" s="1">
        <v>12</v>
      </c>
      <c r="I1800" s="1">
        <v>0</v>
      </c>
      <c r="J1800" s="1">
        <v>13</v>
      </c>
      <c r="K1800" s="1">
        <v>4</v>
      </c>
      <c r="L1800" s="1">
        <v>2</v>
      </c>
      <c r="M1800" s="1">
        <v>4</v>
      </c>
      <c r="N1800" s="1">
        <v>4</v>
      </c>
      <c r="O1800" s="1">
        <v>3</v>
      </c>
      <c r="P1800" s="1">
        <v>0</v>
      </c>
      <c r="Q1800" s="1">
        <v>3</v>
      </c>
      <c r="R1800" s="1">
        <v>8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68</v>
      </c>
      <c r="AA1800" s="1" t="str" cm="1">
        <f t="array" ref="AA1800">_xlfn.IFS(AND(Z1800&lt;36, Z1800&gt;23), "24-35", AND(Z1800&lt;51, Z1800&gt;35),"36-50", AND(Z1800&lt;66, Z1800&gt;50), "51-66", Z1800&gt;65, "66+", TRUE, "?")</f>
        <v>66+</v>
      </c>
      <c r="AB1800" s="1">
        <v>2623</v>
      </c>
      <c r="AC1800" s="1">
        <v>0</v>
      </c>
      <c r="AD1800" s="1">
        <v>0</v>
      </c>
      <c r="AE1800" s="1">
        <v>1</v>
      </c>
      <c r="AF1800" s="1">
        <v>0</v>
      </c>
      <c r="AG1800" s="1">
        <v>0</v>
      </c>
      <c r="AH1800" s="1">
        <v>0</v>
      </c>
      <c r="AI1800" s="1">
        <v>0</v>
      </c>
      <c r="AJ1800" s="1">
        <v>1</v>
      </c>
      <c r="AK1800" s="1">
        <v>0</v>
      </c>
      <c r="AL1800" s="1">
        <v>27</v>
      </c>
      <c r="AM1800" s="2">
        <v>42226</v>
      </c>
      <c r="AN1800" t="str">
        <f t="shared" si="57"/>
        <v>8820,31,0.00351473922902494,1,1,52,12,0,13,4,2,4,4,3,0,3,8,0,0,0,0,0,0,0,68,66+,2623,0,0,1,0,0,0,0,1,0,27,42226</v>
      </c>
    </row>
    <row r="1801" spans="1:40" ht="13" hidden="1" x14ac:dyDescent="0.15">
      <c r="A1801">
        <v>108</v>
      </c>
      <c r="B1801" s="1">
        <v>21918</v>
      </c>
      <c r="C1801" s="1">
        <v>30</v>
      </c>
      <c r="D1801" s="4">
        <f t="shared" si="56"/>
        <v>1.368738023542294E-3</v>
      </c>
      <c r="E1801" s="1">
        <v>1</v>
      </c>
      <c r="F1801" s="1">
        <v>0</v>
      </c>
      <c r="G1801" s="1">
        <v>37</v>
      </c>
      <c r="H1801" s="1">
        <v>1</v>
      </c>
      <c r="I1801" s="1">
        <v>6</v>
      </c>
      <c r="J1801" s="1">
        <v>7</v>
      </c>
      <c r="K1801" s="1">
        <v>11</v>
      </c>
      <c r="L1801" s="1">
        <v>5</v>
      </c>
      <c r="M1801" s="1">
        <v>3</v>
      </c>
      <c r="N1801" s="1">
        <v>2</v>
      </c>
      <c r="O1801" s="1">
        <v>2</v>
      </c>
      <c r="P1801" s="1">
        <v>0</v>
      </c>
      <c r="Q1801" s="1">
        <v>3</v>
      </c>
      <c r="R1801" s="1">
        <v>6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51</v>
      </c>
      <c r="AA1801" s="1" t="str" cm="1">
        <f t="array" ref="AA1801">_xlfn.IFS(AND(Z1801&lt;36, Z1801&gt;23), "24-35", AND(Z1801&lt;51, Z1801&gt;35),"36-50", AND(Z1801&lt;66, Z1801&gt;50), "51-66", Z1801&gt;65, "66+", TRUE, "?")</f>
        <v>51-66</v>
      </c>
      <c r="AB1801" s="1">
        <v>2386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1</v>
      </c>
      <c r="AJ1801" s="1">
        <v>0</v>
      </c>
      <c r="AK1801" s="1">
        <v>0</v>
      </c>
      <c r="AL1801" s="1">
        <v>27</v>
      </c>
      <c r="AM1801" s="2">
        <v>42463</v>
      </c>
      <c r="AN1801" t="str">
        <f t="shared" si="57"/>
        <v>21918,30,0.00136873802354229,1,0,37,1,6,7,11,5,3,2,2,0,3,6,0,0,0,0,0,0,0,51,51-66,2386,0,0,0,1,0,0,1,0,0,27,42463</v>
      </c>
    </row>
    <row r="1802" spans="1:40" ht="13" hidden="1" x14ac:dyDescent="0.15">
      <c r="A1802">
        <v>412</v>
      </c>
      <c r="B1802" s="1">
        <v>28691</v>
      </c>
      <c r="C1802" s="1">
        <v>30</v>
      </c>
      <c r="D1802" s="4">
        <f t="shared" si="56"/>
        <v>1.04562406329511E-3</v>
      </c>
      <c r="E1802" s="1">
        <v>1</v>
      </c>
      <c r="F1802" s="1">
        <v>0</v>
      </c>
      <c r="G1802" s="1">
        <v>56</v>
      </c>
      <c r="H1802" s="1">
        <v>5</v>
      </c>
      <c r="I1802" s="1">
        <v>4</v>
      </c>
      <c r="J1802" s="1">
        <v>13</v>
      </c>
      <c r="K1802" s="1">
        <v>8</v>
      </c>
      <c r="L1802" s="1">
        <v>0</v>
      </c>
      <c r="M1802" s="1">
        <v>4</v>
      </c>
      <c r="N1802" s="1">
        <v>1</v>
      </c>
      <c r="O1802" s="1">
        <v>1</v>
      </c>
      <c r="P1802" s="1">
        <v>0</v>
      </c>
      <c r="Q1802" s="1">
        <v>3</v>
      </c>
      <c r="R1802" s="1">
        <v>8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31</v>
      </c>
      <c r="AA1802" s="1" t="str" cm="1">
        <f t="array" ref="AA1802">_xlfn.IFS(AND(Z1802&lt;36, Z1802&gt;23), "24-35", AND(Z1802&lt;51, Z1802&gt;35),"36-50", AND(Z1802&lt;66, Z1802&gt;50), "51-66", Z1802&gt;65, "66+", TRUE, "?")</f>
        <v>24-35</v>
      </c>
      <c r="AB1802" s="1">
        <v>2519</v>
      </c>
      <c r="AC1802" s="1">
        <v>0</v>
      </c>
      <c r="AD1802" s="1">
        <v>1</v>
      </c>
      <c r="AE1802" s="1">
        <v>0</v>
      </c>
      <c r="AF1802" s="1">
        <v>0</v>
      </c>
      <c r="AG1802" s="1">
        <v>0</v>
      </c>
      <c r="AH1802" s="1">
        <v>0</v>
      </c>
      <c r="AI1802" s="1">
        <v>1</v>
      </c>
      <c r="AJ1802" s="1">
        <v>0</v>
      </c>
      <c r="AK1802" s="1">
        <v>0</v>
      </c>
      <c r="AL1802" s="1">
        <v>26</v>
      </c>
      <c r="AM1802" s="2">
        <v>42330</v>
      </c>
      <c r="AN1802" t="str">
        <f t="shared" si="57"/>
        <v>28691,30,0.00104562406329511,1,0,56,5,4,13,8,0,4,1,1,0,3,8,0,0,0,0,0,0,0,31,24-35,2519,0,1,0,0,0,0,1,0,0,26,42330</v>
      </c>
    </row>
    <row r="1803" spans="1:40" ht="13" hidden="1" x14ac:dyDescent="0.15">
      <c r="A1803">
        <v>589</v>
      </c>
      <c r="B1803" s="1">
        <v>13624</v>
      </c>
      <c r="C1803" s="1">
        <v>30</v>
      </c>
      <c r="D1803" s="4">
        <f t="shared" si="56"/>
        <v>2.201996476805637E-3</v>
      </c>
      <c r="E1803" s="1">
        <v>1</v>
      </c>
      <c r="F1803" s="1">
        <v>0</v>
      </c>
      <c r="G1803" s="1">
        <v>93</v>
      </c>
      <c r="H1803" s="1">
        <v>10</v>
      </c>
      <c r="I1803" s="1">
        <v>2</v>
      </c>
      <c r="J1803" s="1">
        <v>15</v>
      </c>
      <c r="K1803" s="1">
        <v>2</v>
      </c>
      <c r="L1803" s="1">
        <v>1</v>
      </c>
      <c r="M1803" s="1">
        <v>6</v>
      </c>
      <c r="N1803" s="1">
        <v>2</v>
      </c>
      <c r="O1803" s="1">
        <v>2</v>
      </c>
      <c r="P1803" s="1">
        <v>0</v>
      </c>
      <c r="Q1803" s="1">
        <v>3</v>
      </c>
      <c r="R1803" s="1">
        <v>6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44</v>
      </c>
      <c r="AA1803" s="1" t="str" cm="1">
        <f t="array" ref="AA1803">_xlfn.IFS(AND(Z1803&lt;36, Z1803&gt;23), "24-35", AND(Z1803&lt;51, Z1803&gt;35),"36-50", AND(Z1803&lt;66, Z1803&gt;50), "51-66", Z1803&gt;65, "66+", TRUE, "?")</f>
        <v>36-50</v>
      </c>
      <c r="AB1803" s="1">
        <v>2684</v>
      </c>
      <c r="AC1803" s="1">
        <v>0</v>
      </c>
      <c r="AD1803" s="1">
        <v>1</v>
      </c>
      <c r="AE1803" s="1">
        <v>0</v>
      </c>
      <c r="AF1803" s="1">
        <v>0</v>
      </c>
      <c r="AG1803" s="1">
        <v>0</v>
      </c>
      <c r="AH1803" s="1">
        <v>0</v>
      </c>
      <c r="AI1803" s="1">
        <v>1</v>
      </c>
      <c r="AJ1803" s="1">
        <v>0</v>
      </c>
      <c r="AK1803" s="1">
        <v>0</v>
      </c>
      <c r="AL1803" s="1">
        <v>24</v>
      </c>
      <c r="AM1803" s="2">
        <v>42165</v>
      </c>
      <c r="AN1803" t="str">
        <f t="shared" si="57"/>
        <v>13624,30,0.00220199647680564,1,0,93,10,2,15,2,1,6,2,2,0,3,6,0,0,0,0,0,0,0,44,36-50,2684,0,1,0,0,0,0,1,0,0,24,42165</v>
      </c>
    </row>
    <row r="1804" spans="1:40" ht="13" hidden="1" x14ac:dyDescent="0.15">
      <c r="A1804">
        <v>893</v>
      </c>
      <c r="B1804" s="1">
        <v>27922</v>
      </c>
      <c r="C1804" s="1">
        <v>30</v>
      </c>
      <c r="D1804" s="4">
        <f t="shared" si="56"/>
        <v>1.0744216030370317E-3</v>
      </c>
      <c r="E1804" s="1">
        <v>1</v>
      </c>
      <c r="F1804" s="1">
        <v>0</v>
      </c>
      <c r="G1804" s="1">
        <v>80</v>
      </c>
      <c r="H1804" s="1">
        <v>11</v>
      </c>
      <c r="I1804" s="1">
        <v>0</v>
      </c>
      <c r="J1804" s="1">
        <v>13</v>
      </c>
      <c r="K1804" s="1">
        <v>2</v>
      </c>
      <c r="L1804" s="1">
        <v>4</v>
      </c>
      <c r="M1804" s="1">
        <v>11</v>
      </c>
      <c r="N1804" s="1">
        <v>1</v>
      </c>
      <c r="O1804" s="1">
        <v>2</v>
      </c>
      <c r="P1804" s="1">
        <v>0</v>
      </c>
      <c r="Q1804" s="1">
        <v>3</v>
      </c>
      <c r="R1804" s="1">
        <v>4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41</v>
      </c>
      <c r="AA1804" s="1" t="str" cm="1">
        <f t="array" ref="AA1804">_xlfn.IFS(AND(Z1804&lt;36, Z1804&gt;23), "24-35", AND(Z1804&lt;51, Z1804&gt;35),"36-50", AND(Z1804&lt;66, Z1804&gt;50), "51-66", Z1804&gt;65, "66+", TRUE, "?")</f>
        <v>36-50</v>
      </c>
      <c r="AB1804" s="1">
        <v>2209</v>
      </c>
      <c r="AC1804" s="1">
        <v>0</v>
      </c>
      <c r="AD1804" s="1">
        <v>0</v>
      </c>
      <c r="AE1804" s="1">
        <v>0</v>
      </c>
      <c r="AF1804" s="1">
        <v>1</v>
      </c>
      <c r="AG1804" s="1">
        <v>0</v>
      </c>
      <c r="AH1804" s="1">
        <v>0</v>
      </c>
      <c r="AI1804" s="1">
        <v>0</v>
      </c>
      <c r="AJ1804" s="1">
        <v>0</v>
      </c>
      <c r="AK1804" s="1">
        <v>1</v>
      </c>
      <c r="AL1804" s="1">
        <v>19</v>
      </c>
      <c r="AM1804" s="2">
        <v>42640</v>
      </c>
      <c r="AN1804" t="str">
        <f t="shared" si="57"/>
        <v>27922,30,0.00107442160303703,1,0,80,11,0,13,2,4,11,1,2,0,3,4,0,0,0,0,0,0,0,41,36-50,2209,0,0,0,1,0,0,0,0,1,19,42640</v>
      </c>
    </row>
    <row r="1805" spans="1:40" ht="13" hidden="1" x14ac:dyDescent="0.15">
      <c r="A1805">
        <v>1373</v>
      </c>
      <c r="B1805" s="1">
        <v>19107</v>
      </c>
      <c r="C1805" s="1">
        <v>30</v>
      </c>
      <c r="D1805" s="4">
        <f t="shared" si="56"/>
        <v>1.5701051970482022E-3</v>
      </c>
      <c r="E1805" s="1">
        <v>1</v>
      </c>
      <c r="F1805" s="1">
        <v>0</v>
      </c>
      <c r="G1805" s="1">
        <v>49</v>
      </c>
      <c r="H1805" s="1">
        <v>2</v>
      </c>
      <c r="I1805" s="1">
        <v>4</v>
      </c>
      <c r="J1805" s="1">
        <v>9</v>
      </c>
      <c r="K1805" s="1">
        <v>10</v>
      </c>
      <c r="L1805" s="1">
        <v>5</v>
      </c>
      <c r="M1805" s="1">
        <v>16</v>
      </c>
      <c r="N1805" s="1">
        <v>2</v>
      </c>
      <c r="O1805" s="1">
        <v>1</v>
      </c>
      <c r="P1805" s="1">
        <v>0</v>
      </c>
      <c r="Q1805" s="1">
        <v>3</v>
      </c>
      <c r="R1805" s="1">
        <v>7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40</v>
      </c>
      <c r="AA1805" s="1" t="str" cm="1">
        <f t="array" ref="AA1805">_xlfn.IFS(AND(Z1805&lt;36, Z1805&gt;23), "24-35", AND(Z1805&lt;51, Z1805&gt;35),"36-50", AND(Z1805&lt;66, Z1805&gt;50), "51-66", Z1805&gt;65, "66+", TRUE, "?")</f>
        <v>36-50</v>
      </c>
      <c r="AB1805" s="1">
        <v>2470</v>
      </c>
      <c r="AC1805" s="1">
        <v>0</v>
      </c>
      <c r="AD1805" s="1">
        <v>1</v>
      </c>
      <c r="AE1805" s="1">
        <v>0</v>
      </c>
      <c r="AF1805" s="1">
        <v>0</v>
      </c>
      <c r="AG1805" s="1">
        <v>0</v>
      </c>
      <c r="AH1805" s="1">
        <v>0</v>
      </c>
      <c r="AI1805" s="1">
        <v>1</v>
      </c>
      <c r="AJ1805" s="1">
        <v>0</v>
      </c>
      <c r="AK1805" s="1">
        <v>0</v>
      </c>
      <c r="AL1805" s="1">
        <v>14</v>
      </c>
      <c r="AM1805" s="2">
        <v>42379</v>
      </c>
      <c r="AN1805" t="str">
        <f t="shared" si="57"/>
        <v>19107,30,0.0015701051970482,1,0,49,2,4,9,10,5,16,2,1,0,3,7,0,0,0,0,0,0,0,40,36-50,2470,0,1,0,0,0,0,1,0,0,14,42379</v>
      </c>
    </row>
    <row r="1806" spans="1:40" ht="13" hidden="1" x14ac:dyDescent="0.15">
      <c r="A1806">
        <v>1471</v>
      </c>
      <c r="B1806" s="1">
        <v>36663</v>
      </c>
      <c r="C1806" s="1">
        <v>30</v>
      </c>
      <c r="D1806" s="4">
        <f t="shared" si="56"/>
        <v>8.1826364454627286E-4</v>
      </c>
      <c r="E1806" s="1">
        <v>1</v>
      </c>
      <c r="F1806" s="1">
        <v>0</v>
      </c>
      <c r="G1806" s="1">
        <v>40</v>
      </c>
      <c r="H1806" s="1">
        <v>18</v>
      </c>
      <c r="I1806" s="1">
        <v>0</v>
      </c>
      <c r="J1806" s="1">
        <v>6</v>
      </c>
      <c r="K1806" s="1">
        <v>3</v>
      </c>
      <c r="L1806" s="1">
        <v>3</v>
      </c>
      <c r="M1806" s="1">
        <v>5</v>
      </c>
      <c r="N1806" s="1">
        <v>1</v>
      </c>
      <c r="O1806" s="1">
        <v>1</v>
      </c>
      <c r="P1806" s="1">
        <v>1</v>
      </c>
      <c r="Q1806" s="1">
        <v>3</v>
      </c>
      <c r="R1806" s="1">
        <v>2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45</v>
      </c>
      <c r="AA1806" s="1" t="str" cm="1">
        <f t="array" ref="AA1806">_xlfn.IFS(AND(Z1806&lt;36, Z1806&gt;23), "24-35", AND(Z1806&lt;51, Z1806&gt;35),"36-50", AND(Z1806&lt;66, Z1806&gt;50), "51-66", Z1806&gt;65, "66+", TRUE, "?")</f>
        <v>36-50</v>
      </c>
      <c r="AB1806" s="1">
        <v>2224</v>
      </c>
      <c r="AC1806" s="1">
        <v>0</v>
      </c>
      <c r="AD1806" s="1">
        <v>1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1</v>
      </c>
      <c r="AL1806" s="1">
        <v>25</v>
      </c>
      <c r="AM1806" s="2">
        <v>42625</v>
      </c>
      <c r="AN1806" t="str">
        <f t="shared" si="57"/>
        <v>36663,30,0.000818263644546273,1,0,40,18,0,6,3,3,5,1,1,1,3,2,0,0,0,0,0,0,0,45,36-50,2224,0,1,0,0,0,0,0,0,1,25,42625</v>
      </c>
    </row>
    <row r="1807" spans="1:40" ht="13" hidden="1" x14ac:dyDescent="0.15">
      <c r="A1807">
        <v>1475</v>
      </c>
      <c r="B1807" s="1">
        <v>44512</v>
      </c>
      <c r="C1807" s="1">
        <v>30</v>
      </c>
      <c r="D1807" s="4">
        <f t="shared" si="56"/>
        <v>6.7397555715312729E-4</v>
      </c>
      <c r="E1807" s="1">
        <v>1</v>
      </c>
      <c r="F1807" s="1">
        <v>1</v>
      </c>
      <c r="G1807" s="1">
        <v>57</v>
      </c>
      <c r="H1807" s="1">
        <v>23</v>
      </c>
      <c r="I1807" s="1">
        <v>1</v>
      </c>
      <c r="J1807" s="1">
        <v>6</v>
      </c>
      <c r="K1807" s="1">
        <v>0</v>
      </c>
      <c r="L1807" s="1">
        <v>0</v>
      </c>
      <c r="M1807" s="1">
        <v>2</v>
      </c>
      <c r="N1807" s="1">
        <v>2</v>
      </c>
      <c r="O1807" s="1">
        <v>1</v>
      </c>
      <c r="P1807" s="1">
        <v>0</v>
      </c>
      <c r="Q1807" s="1">
        <v>3</v>
      </c>
      <c r="R1807" s="1">
        <v>4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60</v>
      </c>
      <c r="AA1807" s="1" t="str" cm="1">
        <f t="array" ref="AA1807">_xlfn.IFS(AND(Z1807&lt;36, Z1807&gt;23), "24-35", AND(Z1807&lt;51, Z1807&gt;35),"36-50", AND(Z1807&lt;66, Z1807&gt;50), "51-66", Z1807&gt;65, "66+", TRUE, "?")</f>
        <v>51-66</v>
      </c>
      <c r="AB1807" s="1">
        <v>2462</v>
      </c>
      <c r="AC1807" s="1">
        <v>0</v>
      </c>
      <c r="AD1807" s="1">
        <v>0</v>
      </c>
      <c r="AE1807" s="1">
        <v>0</v>
      </c>
      <c r="AF1807" s="1">
        <v>1</v>
      </c>
      <c r="AG1807" s="1">
        <v>0</v>
      </c>
      <c r="AH1807" s="1">
        <v>0</v>
      </c>
      <c r="AI1807" s="1">
        <v>1</v>
      </c>
      <c r="AJ1807" s="1">
        <v>0</v>
      </c>
      <c r="AK1807" s="1">
        <v>0</v>
      </c>
      <c r="AL1807" s="1">
        <v>28</v>
      </c>
      <c r="AM1807" s="2">
        <v>42387</v>
      </c>
      <c r="AN1807" t="str">
        <f t="shared" si="57"/>
        <v>44512,30,0.000673975557153127,1,1,57,23,1,6,0,0,2,2,1,0,3,4,0,0,0,0,0,0,0,60,51-66,2462,0,0,0,1,0,0,1,0,0,28,42387</v>
      </c>
    </row>
    <row r="1808" spans="1:40" ht="13" hidden="1" x14ac:dyDescent="0.15">
      <c r="A1808">
        <v>1587</v>
      </c>
      <c r="B1808" s="1">
        <v>37244</v>
      </c>
      <c r="C1808" s="1">
        <v>30</v>
      </c>
      <c r="D1808" s="4">
        <f t="shared" si="56"/>
        <v>8.0549887230157882E-4</v>
      </c>
      <c r="E1808" s="1">
        <v>1</v>
      </c>
      <c r="F1808" s="1">
        <v>1</v>
      </c>
      <c r="G1808" s="1">
        <v>90</v>
      </c>
      <c r="H1808" s="1">
        <v>18</v>
      </c>
      <c r="I1808" s="1">
        <v>2</v>
      </c>
      <c r="J1808" s="1">
        <v>10</v>
      </c>
      <c r="K1808" s="1">
        <v>0</v>
      </c>
      <c r="L1808" s="1">
        <v>0</v>
      </c>
      <c r="M1808" s="1">
        <v>25</v>
      </c>
      <c r="N1808" s="1">
        <v>1</v>
      </c>
      <c r="O1808" s="1">
        <v>1</v>
      </c>
      <c r="P1808" s="1">
        <v>1</v>
      </c>
      <c r="Q1808" s="1">
        <v>2</v>
      </c>
      <c r="R1808" s="1">
        <v>7</v>
      </c>
      <c r="S1808" s="1">
        <v>0</v>
      </c>
      <c r="T1808" s="1">
        <v>0</v>
      </c>
      <c r="U1808" s="1">
        <v>1</v>
      </c>
      <c r="V1808" s="1">
        <v>0</v>
      </c>
      <c r="W1808" s="1">
        <v>0</v>
      </c>
      <c r="X1808" s="1">
        <v>0</v>
      </c>
      <c r="Y1808" s="1">
        <v>0</v>
      </c>
      <c r="Z1808" s="1">
        <v>65</v>
      </c>
      <c r="AA1808" s="1" t="str" cm="1">
        <f t="array" ref="AA1808">_xlfn.IFS(AND(Z1808&lt;36, Z1808&gt;23), "24-35", AND(Z1808&lt;51, Z1808&gt;35),"36-50", AND(Z1808&lt;66, Z1808&gt;50), "51-66", Z1808&gt;65, "66+", TRUE, "?")</f>
        <v>51-66</v>
      </c>
      <c r="AB1808" s="1">
        <v>2587</v>
      </c>
      <c r="AC1808" s="1">
        <v>1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1</v>
      </c>
      <c r="AJ1808" s="1">
        <v>0</v>
      </c>
      <c r="AK1808" s="1">
        <v>0</v>
      </c>
      <c r="AL1808" s="1">
        <v>5</v>
      </c>
      <c r="AM1808" s="2">
        <v>42262</v>
      </c>
      <c r="AN1808" t="str">
        <f t="shared" si="57"/>
        <v>37244,30,0.000805498872301579,1,1,90,18,2,10,0,0,25,1,1,1,2,7,0,0,1,0,0,0,0,65,51-66,2587,1,0,0,0,0,0,1,0,0,5,42262</v>
      </c>
    </row>
    <row r="1809" spans="1:40" ht="13" x14ac:dyDescent="0.15">
      <c r="A1809">
        <v>1927</v>
      </c>
      <c r="B1809" s="1">
        <v>34728</v>
      </c>
      <c r="C1809" s="1">
        <v>30</v>
      </c>
      <c r="D1809" s="4">
        <f t="shared" si="56"/>
        <v>8.6385625431928132E-4</v>
      </c>
      <c r="E1809" s="1">
        <v>1</v>
      </c>
      <c r="F1809" s="1">
        <v>0</v>
      </c>
      <c r="G1809" s="1">
        <v>2</v>
      </c>
      <c r="H1809" s="1">
        <v>14</v>
      </c>
      <c r="I1809" s="1">
        <v>0</v>
      </c>
      <c r="J1809" s="1">
        <v>16</v>
      </c>
      <c r="K1809" s="1">
        <v>0</v>
      </c>
      <c r="L1809" s="1">
        <v>0</v>
      </c>
      <c r="M1809" s="1">
        <v>6</v>
      </c>
      <c r="N1809" s="1">
        <v>1</v>
      </c>
      <c r="O1809" s="1">
        <v>1</v>
      </c>
      <c r="P1809" s="1">
        <v>1</v>
      </c>
      <c r="Q1809" s="1">
        <v>2</v>
      </c>
      <c r="R1809" s="1">
        <v>6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1</v>
      </c>
      <c r="Z1809" s="1">
        <v>34</v>
      </c>
      <c r="AA1809" s="1" t="str" cm="1">
        <f t="array" ref="AA1809">_xlfn.IFS(AND(Z1809&lt;36, Z1809&gt;23), "24-35", AND(Z1809&lt;51, Z1809&gt;35),"36-50", AND(Z1809&lt;66, Z1809&gt;50), "51-66", Z1809&gt;65, "66+", TRUE, "?")</f>
        <v>24-35</v>
      </c>
      <c r="AB1809" s="1">
        <v>2493</v>
      </c>
      <c r="AC1809" s="1">
        <v>0</v>
      </c>
      <c r="AD1809" s="1">
        <v>0</v>
      </c>
      <c r="AE1809" s="1">
        <v>0</v>
      </c>
      <c r="AF1809" s="1">
        <v>1</v>
      </c>
      <c r="AG1809" s="1">
        <v>0</v>
      </c>
      <c r="AH1809" s="1">
        <v>0</v>
      </c>
      <c r="AI1809" s="1">
        <v>1</v>
      </c>
      <c r="AJ1809" s="1">
        <v>0</v>
      </c>
      <c r="AK1809" s="1">
        <v>0</v>
      </c>
      <c r="AL1809" s="1">
        <v>24</v>
      </c>
      <c r="AM1809" s="2">
        <v>42356</v>
      </c>
      <c r="AN1809" t="str">
        <f t="shared" si="57"/>
        <v>34728,30,0.000863856254319281,1,0,2,14,0,16,0,0,6,1,1,1,2,6,0,0,0,0,0,0,1,34,24-35,2493,0,0,0,1,0,0,1,0,0,24,42356</v>
      </c>
    </row>
    <row r="1810" spans="1:40" ht="13" x14ac:dyDescent="0.15">
      <c r="A1810">
        <v>1928</v>
      </c>
      <c r="B1810" s="1">
        <v>25959</v>
      </c>
      <c r="C1810" s="1">
        <v>30</v>
      </c>
      <c r="D1810" s="4">
        <f t="shared" si="56"/>
        <v>1.1556685542586387E-3</v>
      </c>
      <c r="E1810" s="1">
        <v>1</v>
      </c>
      <c r="F1810" s="1">
        <v>1</v>
      </c>
      <c r="G1810" s="1">
        <v>1</v>
      </c>
      <c r="H1810" s="1">
        <v>4</v>
      </c>
      <c r="I1810" s="1">
        <v>2</v>
      </c>
      <c r="J1810" s="1">
        <v>12</v>
      </c>
      <c r="K1810" s="1">
        <v>7</v>
      </c>
      <c r="L1810" s="1">
        <v>5</v>
      </c>
      <c r="M1810" s="1">
        <v>26</v>
      </c>
      <c r="N1810" s="1">
        <v>2</v>
      </c>
      <c r="O1810" s="1">
        <v>1</v>
      </c>
      <c r="P1810" s="1">
        <v>2</v>
      </c>
      <c r="Q1810" s="1">
        <v>2</v>
      </c>
      <c r="R1810" s="1">
        <v>6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1</v>
      </c>
      <c r="Z1810" s="1">
        <v>50</v>
      </c>
      <c r="AA1810" s="1" t="str" cm="1">
        <f t="array" ref="AA1810">_xlfn.IFS(AND(Z1810&lt;36, Z1810&gt;23), "24-35", AND(Z1810&lt;51, Z1810&gt;35),"36-50", AND(Z1810&lt;66, Z1810&gt;50), "51-66", Z1810&gt;65, "66+", TRUE, "?")</f>
        <v>36-50</v>
      </c>
      <c r="AB1810" s="1">
        <v>2659</v>
      </c>
      <c r="AC1810" s="1">
        <v>1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0</v>
      </c>
      <c r="AJ1810" s="1">
        <v>0</v>
      </c>
      <c r="AK1810" s="1">
        <v>0</v>
      </c>
      <c r="AL1810" s="1">
        <v>4</v>
      </c>
      <c r="AM1810" s="2">
        <v>42190</v>
      </c>
      <c r="AN1810" t="str">
        <f t="shared" si="57"/>
        <v>25959,30,0.00115566855425864,1,1,1,4,2,12,7,5,26,2,1,2,2,6,0,0,0,0,0,0,1,50,36-50,2659,1,0,0,0,0,1,0,0,0,4,42190</v>
      </c>
    </row>
    <row r="1811" spans="1:40" ht="13" hidden="1" x14ac:dyDescent="0.15">
      <c r="A1811">
        <v>156</v>
      </c>
      <c r="B1811" s="1">
        <v>33456</v>
      </c>
      <c r="C1811" s="1">
        <v>29</v>
      </c>
      <c r="D1811" s="4">
        <f t="shared" si="56"/>
        <v>8.6681013868962215E-4</v>
      </c>
      <c r="E1811" s="1">
        <v>1</v>
      </c>
      <c r="F1811" s="1">
        <v>1</v>
      </c>
      <c r="G1811" s="1">
        <v>58</v>
      </c>
      <c r="H1811" s="1">
        <v>7</v>
      </c>
      <c r="I1811" s="1">
        <v>3</v>
      </c>
      <c r="J1811" s="1">
        <v>10</v>
      </c>
      <c r="K1811" s="1">
        <v>8</v>
      </c>
      <c r="L1811" s="1">
        <v>1</v>
      </c>
      <c r="M1811" s="1">
        <v>7</v>
      </c>
      <c r="N1811" s="1">
        <v>2</v>
      </c>
      <c r="O1811" s="1">
        <v>1</v>
      </c>
      <c r="P1811" s="1">
        <v>0</v>
      </c>
      <c r="Q1811" s="1">
        <v>3</v>
      </c>
      <c r="R1811" s="1">
        <v>7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55</v>
      </c>
      <c r="AA1811" s="1" t="str" cm="1">
        <f t="array" ref="AA1811">_xlfn.IFS(AND(Z1811&lt;36, Z1811&gt;23), "24-35", AND(Z1811&lt;51, Z1811&gt;35),"36-50", AND(Z1811&lt;66, Z1811&gt;50), "51-66", Z1811&gt;65, "66+", TRUE, "?")</f>
        <v>51-66</v>
      </c>
      <c r="AB1811" s="1">
        <v>2228</v>
      </c>
      <c r="AC1811" s="1">
        <v>0</v>
      </c>
      <c r="AD1811" s="1">
        <v>0</v>
      </c>
      <c r="AE1811" s="1">
        <v>0</v>
      </c>
      <c r="AF1811" s="1">
        <v>1</v>
      </c>
      <c r="AG1811" s="1">
        <v>0</v>
      </c>
      <c r="AH1811" s="1">
        <v>0</v>
      </c>
      <c r="AI1811" s="1">
        <v>1</v>
      </c>
      <c r="AJ1811" s="1">
        <v>0</v>
      </c>
      <c r="AK1811" s="1">
        <v>0</v>
      </c>
      <c r="AL1811" s="1">
        <v>22</v>
      </c>
      <c r="AM1811" s="2">
        <v>42621</v>
      </c>
      <c r="AN1811" t="str">
        <f t="shared" si="57"/>
        <v>33456,29,0.000866810138689622,1,1,58,7,3,10,8,1,7,2,1,0,3,7,0,0,0,0,0,0,0,55,51-66,2228,0,0,0,1,0,0,1,0,0,22,42621</v>
      </c>
    </row>
    <row r="1812" spans="1:40" ht="13" hidden="1" x14ac:dyDescent="0.15">
      <c r="A1812">
        <v>446</v>
      </c>
      <c r="B1812" s="1">
        <v>41644</v>
      </c>
      <c r="C1812" s="1">
        <v>29</v>
      </c>
      <c r="D1812" s="4">
        <f t="shared" si="56"/>
        <v>6.9637883008356546E-4</v>
      </c>
      <c r="E1812" s="1">
        <v>1</v>
      </c>
      <c r="F1812" s="1">
        <v>1</v>
      </c>
      <c r="G1812" s="1">
        <v>67</v>
      </c>
      <c r="H1812" s="1">
        <v>20</v>
      </c>
      <c r="I1812" s="1">
        <v>3</v>
      </c>
      <c r="J1812" s="1">
        <v>4</v>
      </c>
      <c r="K1812" s="1">
        <v>2</v>
      </c>
      <c r="L1812" s="1">
        <v>0</v>
      </c>
      <c r="M1812" s="1">
        <v>2</v>
      </c>
      <c r="N1812" s="1">
        <v>2</v>
      </c>
      <c r="O1812" s="1">
        <v>1</v>
      </c>
      <c r="P1812" s="1">
        <v>0</v>
      </c>
      <c r="Q1812" s="1">
        <v>3</v>
      </c>
      <c r="R1812" s="1">
        <v>3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48</v>
      </c>
      <c r="AA1812" s="1" t="str" cm="1">
        <f t="array" ref="AA1812">_xlfn.IFS(AND(Z1812&lt;36, Z1812&gt;23), "24-35", AND(Z1812&lt;51, Z1812&gt;35),"36-50", AND(Z1812&lt;66, Z1812&gt;50), "51-66", Z1812&gt;65, "66+", TRUE, "?")</f>
        <v>36-50</v>
      </c>
      <c r="AB1812" s="1">
        <v>2210</v>
      </c>
      <c r="AC1812" s="1">
        <v>0</v>
      </c>
      <c r="AD1812" s="1">
        <v>0</v>
      </c>
      <c r="AE1812" s="1">
        <v>1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1</v>
      </c>
      <c r="AL1812" s="1">
        <v>27</v>
      </c>
      <c r="AM1812" s="2">
        <v>42639</v>
      </c>
      <c r="AN1812" t="str">
        <f t="shared" si="57"/>
        <v>41644,29,0.000696378830083565,1,1,67,20,3,4,2,0,2,2,1,0,3,3,0,0,0,0,0,0,0,48,36-50,2210,0,0,1,0,0,0,0,0,1,27,42639</v>
      </c>
    </row>
    <row r="1813" spans="1:40" ht="13" hidden="1" x14ac:dyDescent="0.15">
      <c r="A1813">
        <v>999</v>
      </c>
      <c r="B1813" s="1">
        <v>35860</v>
      </c>
      <c r="C1813" s="1">
        <v>29</v>
      </c>
      <c r="D1813" s="4">
        <f t="shared" si="56"/>
        <v>8.0870050195203569E-4</v>
      </c>
      <c r="E1813" s="1">
        <v>1</v>
      </c>
      <c r="F1813" s="1">
        <v>1</v>
      </c>
      <c r="G1813" s="1">
        <v>37</v>
      </c>
      <c r="H1813" s="1">
        <v>15</v>
      </c>
      <c r="I1813" s="1">
        <v>0</v>
      </c>
      <c r="J1813" s="1">
        <v>8</v>
      </c>
      <c r="K1813" s="1">
        <v>4</v>
      </c>
      <c r="L1813" s="1">
        <v>2</v>
      </c>
      <c r="M1813" s="1">
        <v>20</v>
      </c>
      <c r="N1813" s="1">
        <v>2</v>
      </c>
      <c r="O1813" s="1">
        <v>1</v>
      </c>
      <c r="P1813" s="1">
        <v>1</v>
      </c>
      <c r="Q1813" s="1">
        <v>2</v>
      </c>
      <c r="R1813" s="1">
        <v>5</v>
      </c>
      <c r="S1813" s="1">
        <v>0</v>
      </c>
      <c r="T1813" s="1">
        <v>0</v>
      </c>
      <c r="U1813" s="1">
        <v>1</v>
      </c>
      <c r="V1813" s="1">
        <v>0</v>
      </c>
      <c r="W1813" s="1">
        <v>0</v>
      </c>
      <c r="X1813" s="1">
        <v>0</v>
      </c>
      <c r="Y1813" s="1">
        <v>0</v>
      </c>
      <c r="Z1813" s="1">
        <v>47</v>
      </c>
      <c r="AA1813" s="1" t="str" cm="1">
        <f t="array" ref="AA1813">_xlfn.IFS(AND(Z1813&lt;36, Z1813&gt;23), "24-35", AND(Z1813&lt;51, Z1813&gt;35),"36-50", AND(Z1813&lt;66, Z1813&gt;50), "51-66", Z1813&gt;65, "66+", TRUE, "?")</f>
        <v>36-50</v>
      </c>
      <c r="AB1813" s="1">
        <v>2200</v>
      </c>
      <c r="AC1813" s="1">
        <v>1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1</v>
      </c>
      <c r="AL1813" s="1">
        <v>9</v>
      </c>
      <c r="AM1813" s="2">
        <v>42649</v>
      </c>
      <c r="AN1813" t="str">
        <f t="shared" si="57"/>
        <v>35860,29,0.000808700501952036,1,1,37,15,0,8,4,2,20,2,1,1,2,5,0,0,1,0,0,0,0,47,36-50,2200,1,0,0,0,0,0,0,0,1,9,42649</v>
      </c>
    </row>
    <row r="1814" spans="1:40" ht="13" hidden="1" x14ac:dyDescent="0.15">
      <c r="A1814">
        <v>1254</v>
      </c>
      <c r="B1814" s="1">
        <v>40049</v>
      </c>
      <c r="C1814" s="1">
        <v>29</v>
      </c>
      <c r="D1814" s="4">
        <f t="shared" si="56"/>
        <v>7.2411296162201298E-4</v>
      </c>
      <c r="E1814" s="1">
        <v>0</v>
      </c>
      <c r="F1814" s="1">
        <v>1</v>
      </c>
      <c r="G1814" s="1">
        <v>23</v>
      </c>
      <c r="H1814" s="1">
        <v>13</v>
      </c>
      <c r="I1814" s="1">
        <v>6</v>
      </c>
      <c r="J1814" s="1">
        <v>7</v>
      </c>
      <c r="K1814" s="1">
        <v>0</v>
      </c>
      <c r="L1814" s="1">
        <v>3</v>
      </c>
      <c r="M1814" s="1">
        <v>3</v>
      </c>
      <c r="N1814" s="1">
        <v>1</v>
      </c>
      <c r="O1814" s="1">
        <v>1</v>
      </c>
      <c r="P1814" s="1">
        <v>0</v>
      </c>
      <c r="Q1814" s="1">
        <v>3</v>
      </c>
      <c r="R1814" s="1">
        <v>6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68</v>
      </c>
      <c r="AA1814" s="1" t="str" cm="1">
        <f t="array" ref="AA1814">_xlfn.IFS(AND(Z1814&lt;36, Z1814&gt;23), "24-35", AND(Z1814&lt;51, Z1814&gt;35),"36-50", AND(Z1814&lt;66, Z1814&gt;50), "51-66", Z1814&gt;65, "66+", TRUE, "?")</f>
        <v>66+</v>
      </c>
      <c r="AB1814" s="1">
        <v>2415</v>
      </c>
      <c r="AC1814" s="1">
        <v>0</v>
      </c>
      <c r="AD1814" s="1">
        <v>0</v>
      </c>
      <c r="AE1814" s="1">
        <v>0</v>
      </c>
      <c r="AF1814" s="1">
        <v>0</v>
      </c>
      <c r="AG1814" s="1">
        <v>1</v>
      </c>
      <c r="AH1814" s="1">
        <v>0</v>
      </c>
      <c r="AI1814" s="1">
        <v>1</v>
      </c>
      <c r="AJ1814" s="1">
        <v>0</v>
      </c>
      <c r="AK1814" s="1">
        <v>0</v>
      </c>
      <c r="AL1814" s="1">
        <v>26</v>
      </c>
      <c r="AM1814" s="2">
        <v>42434</v>
      </c>
      <c r="AN1814" t="str">
        <f t="shared" si="57"/>
        <v>40049,29,0.000724112961622013,0,1,23,13,6,7,0,3,3,1,1,0,3,6,0,0,0,0,0,0,0,68,66+,2415,0,0,0,0,1,0,1,0,0,26,42434</v>
      </c>
    </row>
    <row r="1815" spans="1:40" ht="13" x14ac:dyDescent="0.15">
      <c r="A1815">
        <v>1930</v>
      </c>
      <c r="B1815" s="1">
        <v>35860</v>
      </c>
      <c r="C1815" s="1">
        <v>29</v>
      </c>
      <c r="D1815" s="4">
        <f t="shared" si="56"/>
        <v>8.0870050195203569E-4</v>
      </c>
      <c r="E1815" s="1">
        <v>1</v>
      </c>
      <c r="F1815" s="1">
        <v>1</v>
      </c>
      <c r="G1815" s="1">
        <v>37</v>
      </c>
      <c r="H1815" s="1">
        <v>15</v>
      </c>
      <c r="I1815" s="1">
        <v>0</v>
      </c>
      <c r="J1815" s="1">
        <v>8</v>
      </c>
      <c r="K1815" s="1">
        <v>4</v>
      </c>
      <c r="L1815" s="1">
        <v>2</v>
      </c>
      <c r="M1815" s="1">
        <v>20</v>
      </c>
      <c r="N1815" s="1">
        <v>2</v>
      </c>
      <c r="O1815" s="1">
        <v>1</v>
      </c>
      <c r="P1815" s="1">
        <v>1</v>
      </c>
      <c r="Q1815" s="1">
        <v>2</v>
      </c>
      <c r="R1815" s="1">
        <v>5</v>
      </c>
      <c r="S1815" s="1">
        <v>0</v>
      </c>
      <c r="T1815" s="1">
        <v>0</v>
      </c>
      <c r="U1815" s="1">
        <v>1</v>
      </c>
      <c r="V1815" s="1">
        <v>0</v>
      </c>
      <c r="W1815" s="1">
        <v>0</v>
      </c>
      <c r="X1815" s="1">
        <v>0</v>
      </c>
      <c r="Y1815" s="1">
        <v>1</v>
      </c>
      <c r="Z1815" s="1">
        <v>47</v>
      </c>
      <c r="AA1815" s="1" t="str" cm="1">
        <f t="array" ref="AA1815">_xlfn.IFS(AND(Z1815&lt;36, Z1815&gt;23), "24-35", AND(Z1815&lt;51, Z1815&gt;35),"36-50", AND(Z1815&lt;66, Z1815&gt;50), "51-66", Z1815&gt;65, "66+", TRUE, "?")</f>
        <v>36-50</v>
      </c>
      <c r="AB1815" s="1">
        <v>2200</v>
      </c>
      <c r="AC1815" s="1">
        <v>0</v>
      </c>
      <c r="AD1815" s="1">
        <v>0</v>
      </c>
      <c r="AE1815" s="1">
        <v>1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1</v>
      </c>
      <c r="AL1815" s="1">
        <v>9</v>
      </c>
      <c r="AM1815" s="2">
        <v>42649</v>
      </c>
      <c r="AN1815" t="str">
        <f t="shared" si="57"/>
        <v>35860,29,0.000808700501952036,1,1,37,15,0,8,4,2,20,2,1,1,2,5,0,0,1,0,0,0,1,47,36-50,2200,0,0,1,0,0,0,0,0,1,9,42649</v>
      </c>
    </row>
    <row r="1816" spans="1:40" ht="13" x14ac:dyDescent="0.15">
      <c r="A1816">
        <v>1936</v>
      </c>
      <c r="B1816" s="1">
        <v>35860</v>
      </c>
      <c r="C1816" s="1">
        <v>29</v>
      </c>
      <c r="D1816" s="4">
        <f t="shared" si="56"/>
        <v>8.0870050195203569E-4</v>
      </c>
      <c r="E1816" s="1">
        <v>1</v>
      </c>
      <c r="F1816" s="1">
        <v>1</v>
      </c>
      <c r="G1816" s="1">
        <v>37</v>
      </c>
      <c r="H1816" s="1">
        <v>15</v>
      </c>
      <c r="I1816" s="1">
        <v>0</v>
      </c>
      <c r="J1816" s="1">
        <v>8</v>
      </c>
      <c r="K1816" s="1">
        <v>4</v>
      </c>
      <c r="L1816" s="1">
        <v>2</v>
      </c>
      <c r="M1816" s="1">
        <v>20</v>
      </c>
      <c r="N1816" s="1">
        <v>2</v>
      </c>
      <c r="O1816" s="1">
        <v>1</v>
      </c>
      <c r="P1816" s="1">
        <v>1</v>
      </c>
      <c r="Q1816" s="1">
        <v>2</v>
      </c>
      <c r="R1816" s="1">
        <v>5</v>
      </c>
      <c r="S1816" s="1">
        <v>0</v>
      </c>
      <c r="T1816" s="1">
        <v>0</v>
      </c>
      <c r="U1816" s="1">
        <v>1</v>
      </c>
      <c r="V1816" s="1">
        <v>0</v>
      </c>
      <c r="W1816" s="1">
        <v>0</v>
      </c>
      <c r="X1816" s="1">
        <v>0</v>
      </c>
      <c r="Y1816" s="1">
        <v>1</v>
      </c>
      <c r="Z1816" s="1">
        <v>47</v>
      </c>
      <c r="AA1816" s="1" t="str" cm="1">
        <f t="array" ref="AA1816">_xlfn.IFS(AND(Z1816&lt;36, Z1816&gt;23), "24-35", AND(Z1816&lt;51, Z1816&gt;35),"36-50", AND(Z1816&lt;66, Z1816&gt;50), "51-66", Z1816&gt;65, "66+", TRUE, "?")</f>
        <v>36-50</v>
      </c>
      <c r="AB1816" s="1">
        <v>2200</v>
      </c>
      <c r="AC1816" s="1">
        <v>1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1</v>
      </c>
      <c r="AL1816" s="1">
        <v>9</v>
      </c>
      <c r="AM1816" s="2">
        <v>42649</v>
      </c>
      <c r="AN1816" t="str">
        <f t="shared" si="57"/>
        <v>35860,29,0.000808700501952036,1,1,37,15,0,8,4,2,20,2,1,1,2,5,0,0,1,0,0,0,1,47,36-50,2200,1,0,0,0,0,0,0,0,1,9,42649</v>
      </c>
    </row>
    <row r="1817" spans="1:40" ht="13" hidden="1" x14ac:dyDescent="0.15">
      <c r="A1817">
        <v>82</v>
      </c>
      <c r="B1817" s="1">
        <v>42394</v>
      </c>
      <c r="C1817" s="1">
        <v>28</v>
      </c>
      <c r="D1817" s="4">
        <f t="shared" si="56"/>
        <v>6.6047082134264279E-4</v>
      </c>
      <c r="E1817" s="1">
        <v>1</v>
      </c>
      <c r="F1817" s="1">
        <v>0</v>
      </c>
      <c r="G1817" s="1">
        <v>69</v>
      </c>
      <c r="H1817" s="1">
        <v>15</v>
      </c>
      <c r="I1817" s="1">
        <v>2</v>
      </c>
      <c r="J1817" s="1">
        <v>10</v>
      </c>
      <c r="K1817" s="1">
        <v>0</v>
      </c>
      <c r="L1817" s="1">
        <v>1</v>
      </c>
      <c r="M1817" s="1">
        <v>4</v>
      </c>
      <c r="N1817" s="1">
        <v>1</v>
      </c>
      <c r="O1817" s="1">
        <v>1</v>
      </c>
      <c r="P1817" s="1">
        <v>0</v>
      </c>
      <c r="Q1817" s="1">
        <v>3</v>
      </c>
      <c r="R1817" s="1">
        <v>7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48</v>
      </c>
      <c r="AA1817" s="1" t="str" cm="1">
        <f t="array" ref="AA1817">_xlfn.IFS(AND(Z1817&lt;36, Z1817&gt;23), "24-35", AND(Z1817&lt;51, Z1817&gt;35),"36-50", AND(Z1817&lt;66, Z1817&gt;50), "51-66", Z1817&gt;65, "66+", TRUE, "?")</f>
        <v>36-50</v>
      </c>
      <c r="AB1817" s="1">
        <v>2257</v>
      </c>
      <c r="AC1817" s="1">
        <v>0</v>
      </c>
      <c r="AD1817" s="1">
        <v>0</v>
      </c>
      <c r="AE1817" s="1">
        <v>1</v>
      </c>
      <c r="AF1817" s="1">
        <v>0</v>
      </c>
      <c r="AG1817" s="1">
        <v>0</v>
      </c>
      <c r="AH1817" s="1">
        <v>0</v>
      </c>
      <c r="AI1817" s="1">
        <v>0</v>
      </c>
      <c r="AJ1817" s="1">
        <v>1</v>
      </c>
      <c r="AK1817" s="1">
        <v>0</v>
      </c>
      <c r="AL1817" s="1">
        <v>24</v>
      </c>
      <c r="AM1817" s="2">
        <v>42592</v>
      </c>
      <c r="AN1817" t="str">
        <f t="shared" si="57"/>
        <v>42394,28,0.000660470821342643,1,0,69,15,2,10,0,1,4,1,1,0,3,7,0,0,0,0,0,0,0,48,36-50,2257,0,0,1,0,0,0,0,1,0,24,42592</v>
      </c>
    </row>
    <row r="1818" spans="1:40" ht="13" hidden="1" x14ac:dyDescent="0.15">
      <c r="A1818">
        <v>358</v>
      </c>
      <c r="B1818" s="1">
        <v>10245</v>
      </c>
      <c r="C1818" s="1">
        <v>28</v>
      </c>
      <c r="D1818" s="4">
        <f t="shared" si="56"/>
        <v>2.7330405075646656E-3</v>
      </c>
      <c r="E1818" s="1">
        <v>1</v>
      </c>
      <c r="F1818" s="1">
        <v>0</v>
      </c>
      <c r="G1818" s="1">
        <v>32</v>
      </c>
      <c r="H1818" s="1">
        <v>4</v>
      </c>
      <c r="I1818" s="1">
        <v>7</v>
      </c>
      <c r="J1818" s="1">
        <v>7</v>
      </c>
      <c r="K1818" s="1">
        <v>6</v>
      </c>
      <c r="L1818" s="1">
        <v>4</v>
      </c>
      <c r="M1818" s="1">
        <v>13</v>
      </c>
      <c r="N1818" s="1">
        <v>3</v>
      </c>
      <c r="O1818" s="1">
        <v>1</v>
      </c>
      <c r="P1818" s="1">
        <v>2</v>
      </c>
      <c r="Q1818" s="1">
        <v>2</v>
      </c>
      <c r="R1818" s="1">
        <v>5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49</v>
      </c>
      <c r="AA1818" s="1" t="str" cm="1">
        <f t="array" ref="AA1818">_xlfn.IFS(AND(Z1818&lt;36, Z1818&gt;23), "24-35", AND(Z1818&lt;51, Z1818&gt;35),"36-50", AND(Z1818&lt;66, Z1818&gt;50), "51-66", Z1818&gt;65, "66+", TRUE, "?")</f>
        <v>36-50</v>
      </c>
      <c r="AB1818" s="1">
        <v>2569</v>
      </c>
      <c r="AC1818" s="1">
        <v>0</v>
      </c>
      <c r="AD1818" s="1">
        <v>0</v>
      </c>
      <c r="AE1818" s="1">
        <v>1</v>
      </c>
      <c r="AF1818" s="1">
        <v>0</v>
      </c>
      <c r="AG1818" s="1">
        <v>0</v>
      </c>
      <c r="AH1818" s="1">
        <v>0</v>
      </c>
      <c r="AI1818" s="1">
        <v>1</v>
      </c>
      <c r="AJ1818" s="1">
        <v>0</v>
      </c>
      <c r="AK1818" s="1">
        <v>0</v>
      </c>
      <c r="AL1818" s="1">
        <v>15</v>
      </c>
      <c r="AM1818" s="2">
        <v>42280</v>
      </c>
      <c r="AN1818" t="str">
        <f t="shared" si="57"/>
        <v>10245,28,0.00273304050756467,1,0,32,4,7,7,6,4,13,3,1,2,2,5,0,0,0,0,0,0,0,49,36-50,2569,0,0,1,0,0,0,1,0,0,15,42280</v>
      </c>
    </row>
    <row r="1819" spans="1:40" ht="13" hidden="1" x14ac:dyDescent="0.15">
      <c r="A1819">
        <v>564</v>
      </c>
      <c r="B1819" s="1">
        <v>42169</v>
      </c>
      <c r="C1819" s="1">
        <v>28</v>
      </c>
      <c r="D1819" s="4">
        <f t="shared" si="56"/>
        <v>6.639948777538002E-4</v>
      </c>
      <c r="E1819" s="1">
        <v>1</v>
      </c>
      <c r="F1819" s="1">
        <v>1</v>
      </c>
      <c r="G1819" s="1">
        <v>20</v>
      </c>
      <c r="H1819" s="1">
        <v>19</v>
      </c>
      <c r="I1819" s="1">
        <v>0</v>
      </c>
      <c r="J1819" s="1">
        <v>9</v>
      </c>
      <c r="K1819" s="1">
        <v>0</v>
      </c>
      <c r="L1819" s="1">
        <v>0</v>
      </c>
      <c r="M1819" s="1">
        <v>2</v>
      </c>
      <c r="N1819" s="1">
        <v>2</v>
      </c>
      <c r="O1819" s="1">
        <v>1</v>
      </c>
      <c r="P1819" s="1">
        <v>0</v>
      </c>
      <c r="Q1819" s="1">
        <v>3</v>
      </c>
      <c r="R1819" s="1">
        <v>8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51</v>
      </c>
      <c r="AA1819" s="1" t="str" cm="1">
        <f t="array" ref="AA1819">_xlfn.IFS(AND(Z1819&lt;36, Z1819&gt;23), "24-35", AND(Z1819&lt;51, Z1819&gt;35),"36-50", AND(Z1819&lt;66, Z1819&gt;50), "51-66", Z1819&gt;65, "66+", TRUE, "?")</f>
        <v>51-66</v>
      </c>
      <c r="AB1819" s="1">
        <v>2412</v>
      </c>
      <c r="AC1819" s="1">
        <v>0</v>
      </c>
      <c r="AD1819" s="1">
        <v>1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1</v>
      </c>
      <c r="AK1819" s="1">
        <v>0</v>
      </c>
      <c r="AL1819" s="1">
        <v>26</v>
      </c>
      <c r="AM1819" s="2">
        <v>42437</v>
      </c>
      <c r="AN1819" t="str">
        <f t="shared" si="57"/>
        <v>42169,28,0.0006639948777538,1,1,20,19,0,9,0,0,2,2,1,0,3,8,0,0,0,0,0,0,0,51,51-66,2412,0,1,0,0,0,0,0,1,0,26,42437</v>
      </c>
    </row>
    <row r="1820" spans="1:40" ht="13" hidden="1" x14ac:dyDescent="0.15">
      <c r="A1820">
        <v>1158</v>
      </c>
      <c r="B1820" s="1">
        <v>37395</v>
      </c>
      <c r="C1820" s="1">
        <v>28</v>
      </c>
      <c r="D1820" s="4">
        <f t="shared" si="56"/>
        <v>7.4876320363684984E-4</v>
      </c>
      <c r="E1820" s="1">
        <v>1</v>
      </c>
      <c r="F1820" s="1">
        <v>0</v>
      </c>
      <c r="G1820" s="1">
        <v>47</v>
      </c>
      <c r="H1820" s="1">
        <v>18</v>
      </c>
      <c r="I1820" s="1">
        <v>0</v>
      </c>
      <c r="J1820" s="1">
        <v>9</v>
      </c>
      <c r="K1820" s="1">
        <v>0</v>
      </c>
      <c r="L1820" s="1">
        <v>1</v>
      </c>
      <c r="M1820" s="1">
        <v>11</v>
      </c>
      <c r="N1820" s="1">
        <v>1</v>
      </c>
      <c r="O1820" s="1">
        <v>1</v>
      </c>
      <c r="P1820" s="1">
        <v>0</v>
      </c>
      <c r="Q1820" s="1">
        <v>3</v>
      </c>
      <c r="R1820" s="1">
        <v>6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44</v>
      </c>
      <c r="AA1820" s="1" t="str" cm="1">
        <f t="array" ref="AA1820">_xlfn.IFS(AND(Z1820&lt;36, Z1820&gt;23), "24-35", AND(Z1820&lt;51, Z1820&gt;35),"36-50", AND(Z1820&lt;66, Z1820&gt;50), "51-66", Z1820&gt;65, "66+", TRUE, "?")</f>
        <v>36-50</v>
      </c>
      <c r="AB1820" s="1">
        <v>2217</v>
      </c>
      <c r="AC1820" s="1">
        <v>0</v>
      </c>
      <c r="AD1820" s="1">
        <v>0</v>
      </c>
      <c r="AE1820" s="1">
        <v>0</v>
      </c>
      <c r="AF1820" s="1">
        <v>1</v>
      </c>
      <c r="AG1820" s="1">
        <v>0</v>
      </c>
      <c r="AH1820" s="1">
        <v>0</v>
      </c>
      <c r="AI1820" s="1">
        <v>0</v>
      </c>
      <c r="AJ1820" s="1">
        <v>0</v>
      </c>
      <c r="AK1820" s="1">
        <v>1</v>
      </c>
      <c r="AL1820" s="1">
        <v>17</v>
      </c>
      <c r="AM1820" s="2">
        <v>42632</v>
      </c>
      <c r="AN1820" t="str">
        <f t="shared" si="57"/>
        <v>37395,28,0.00074876320363685,1,0,47,18,0,9,0,1,11,1,1,0,3,6,0,0,0,0,0,0,0,44,36-50,2217,0,0,0,1,0,0,0,0,1,17,42632</v>
      </c>
    </row>
    <row r="1821" spans="1:40" ht="13" hidden="1" x14ac:dyDescent="0.15">
      <c r="A1821">
        <v>1329</v>
      </c>
      <c r="B1821" s="1">
        <v>31163</v>
      </c>
      <c r="C1821" s="1">
        <v>28</v>
      </c>
      <c r="D1821" s="4">
        <f t="shared" si="56"/>
        <v>8.9850142797548373E-4</v>
      </c>
      <c r="E1821" s="1">
        <v>1</v>
      </c>
      <c r="F1821" s="1">
        <v>0</v>
      </c>
      <c r="G1821" s="1">
        <v>54</v>
      </c>
      <c r="H1821" s="1">
        <v>2</v>
      </c>
      <c r="I1821" s="1">
        <v>3</v>
      </c>
      <c r="J1821" s="1">
        <v>10</v>
      </c>
      <c r="K1821" s="1">
        <v>11</v>
      </c>
      <c r="L1821" s="1">
        <v>2</v>
      </c>
      <c r="M1821" s="1">
        <v>10</v>
      </c>
      <c r="N1821" s="1">
        <v>1</v>
      </c>
      <c r="O1821" s="1">
        <v>1</v>
      </c>
      <c r="P1821" s="1">
        <v>0</v>
      </c>
      <c r="Q1821" s="1">
        <v>3</v>
      </c>
      <c r="R1821" s="1">
        <v>6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47</v>
      </c>
      <c r="AA1821" s="1" t="str" cm="1">
        <f t="array" ref="AA1821">_xlfn.IFS(AND(Z1821&lt;36, Z1821&gt;23), "24-35", AND(Z1821&lt;51, Z1821&gt;35),"36-50", AND(Z1821&lt;66, Z1821&gt;50), "51-66", Z1821&gt;65, "66+", TRUE, "?")</f>
        <v>36-50</v>
      </c>
      <c r="AB1821" s="1">
        <v>2295</v>
      </c>
      <c r="AC1821" s="1">
        <v>1</v>
      </c>
      <c r="AD1821" s="1">
        <v>0</v>
      </c>
      <c r="AE1821" s="1">
        <v>0</v>
      </c>
      <c r="AF1821" s="1">
        <v>0</v>
      </c>
      <c r="AG1821" s="1">
        <v>0</v>
      </c>
      <c r="AH1821" s="1">
        <v>1</v>
      </c>
      <c r="AI1821" s="1">
        <v>0</v>
      </c>
      <c r="AJ1821" s="1">
        <v>0</v>
      </c>
      <c r="AK1821" s="1">
        <v>0</v>
      </c>
      <c r="AL1821" s="1">
        <v>18</v>
      </c>
      <c r="AM1821" s="2">
        <v>42554</v>
      </c>
      <c r="AN1821" t="str">
        <f t="shared" si="57"/>
        <v>31163,28,0.000898501427975484,1,0,54,2,3,10,11,2,10,1,1,0,3,6,0,0,0,0,0,0,0,47,36-50,2295,1,0,0,0,0,1,0,0,0,18,42554</v>
      </c>
    </row>
    <row r="1822" spans="1:40" ht="13" hidden="1" x14ac:dyDescent="0.15">
      <c r="A1822">
        <v>1662</v>
      </c>
      <c r="B1822" s="1">
        <v>25293</v>
      </c>
      <c r="C1822" s="1">
        <v>28</v>
      </c>
      <c r="D1822" s="4">
        <f t="shared" si="56"/>
        <v>1.1070256592733167E-3</v>
      </c>
      <c r="E1822" s="1">
        <v>1</v>
      </c>
      <c r="F1822" s="1">
        <v>0</v>
      </c>
      <c r="G1822" s="1">
        <v>51</v>
      </c>
      <c r="H1822" s="1">
        <v>15</v>
      </c>
      <c r="I1822" s="1">
        <v>0</v>
      </c>
      <c r="J1822" s="1">
        <v>11</v>
      </c>
      <c r="K1822" s="1">
        <v>0</v>
      </c>
      <c r="L1822" s="1">
        <v>2</v>
      </c>
      <c r="M1822" s="1">
        <v>9</v>
      </c>
      <c r="N1822" s="1">
        <v>1</v>
      </c>
      <c r="O1822" s="1">
        <v>1</v>
      </c>
      <c r="P1822" s="1">
        <v>1</v>
      </c>
      <c r="Q1822" s="1">
        <v>2</v>
      </c>
      <c r="R1822" s="1">
        <v>8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51</v>
      </c>
      <c r="AA1822" s="1" t="str" cm="1">
        <f t="array" ref="AA1822">_xlfn.IFS(AND(Z1822&lt;36, Z1822&gt;23), "24-35", AND(Z1822&lt;51, Z1822&gt;35),"36-50", AND(Z1822&lt;66, Z1822&gt;50), "51-66", Z1822&gt;65, "66+", TRUE, "?")</f>
        <v>51-66</v>
      </c>
      <c r="AB1822" s="1">
        <v>2446</v>
      </c>
      <c r="AC1822" s="1">
        <v>0</v>
      </c>
      <c r="AD1822" s="1">
        <v>1</v>
      </c>
      <c r="AE1822" s="1">
        <v>0</v>
      </c>
      <c r="AF1822" s="1">
        <v>0</v>
      </c>
      <c r="AG1822" s="1">
        <v>0</v>
      </c>
      <c r="AH1822" s="1">
        <v>0</v>
      </c>
      <c r="AI1822" s="1">
        <v>1</v>
      </c>
      <c r="AJ1822" s="1">
        <v>0</v>
      </c>
      <c r="AK1822" s="1">
        <v>0</v>
      </c>
      <c r="AL1822" s="1">
        <v>19</v>
      </c>
      <c r="AM1822" s="2">
        <v>42403</v>
      </c>
      <c r="AN1822" t="str">
        <f t="shared" si="57"/>
        <v>25293,28,0.00110702565927332,1,0,51,15,0,11,0,2,9,1,1,1,2,8,0,0,0,0,0,0,0,51,51-66,2446,0,1,0,0,0,0,1,0,0,19,42403</v>
      </c>
    </row>
    <row r="1823" spans="1:40" ht="13" hidden="1" x14ac:dyDescent="0.15">
      <c r="A1823">
        <v>1719</v>
      </c>
      <c r="B1823" s="1">
        <v>30298</v>
      </c>
      <c r="C1823" s="1">
        <v>28</v>
      </c>
      <c r="D1823" s="4">
        <f t="shared" si="56"/>
        <v>9.2415340946597137E-4</v>
      </c>
      <c r="E1823" s="1">
        <v>0</v>
      </c>
      <c r="F1823" s="1">
        <v>0</v>
      </c>
      <c r="G1823" s="1">
        <v>48</v>
      </c>
      <c r="H1823" s="1">
        <v>6</v>
      </c>
      <c r="I1823" s="1">
        <v>3</v>
      </c>
      <c r="J1823" s="1">
        <v>12</v>
      </c>
      <c r="K1823" s="1">
        <v>6</v>
      </c>
      <c r="L1823" s="1">
        <v>1</v>
      </c>
      <c r="M1823" s="1">
        <v>0</v>
      </c>
      <c r="N1823" s="1">
        <v>1</v>
      </c>
      <c r="O1823" s="1">
        <v>1</v>
      </c>
      <c r="P1823" s="1">
        <v>1</v>
      </c>
      <c r="Q1823" s="1">
        <v>3</v>
      </c>
      <c r="R1823" s="1">
        <v>3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35</v>
      </c>
      <c r="AA1823" s="1" t="str" cm="1">
        <f t="array" ref="AA1823">_xlfn.IFS(AND(Z1823&lt;36, Z1823&gt;23), "24-35", AND(Z1823&lt;51, Z1823&gt;35),"36-50", AND(Z1823&lt;66, Z1823&gt;50), "51-66", Z1823&gt;65, "66+", TRUE, "?")</f>
        <v>24-35</v>
      </c>
      <c r="AB1823" s="1">
        <v>2200</v>
      </c>
      <c r="AC1823" s="1">
        <v>0</v>
      </c>
      <c r="AD1823" s="1">
        <v>0</v>
      </c>
      <c r="AE1823" s="1">
        <v>1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1</v>
      </c>
      <c r="AL1823" s="1">
        <v>28</v>
      </c>
      <c r="AM1823" s="2">
        <v>42649</v>
      </c>
      <c r="AN1823" t="str">
        <f t="shared" si="57"/>
        <v>30298,28,0.000924153409465971,0,0,48,6,3,12,6,1,0,1,1,1,3,3,0,0,0,0,0,0,0,35,24-35,2200,0,0,1,0,0,0,0,0,1,28,42649</v>
      </c>
    </row>
    <row r="1824" spans="1:40" ht="13" x14ac:dyDescent="0.15">
      <c r="A1824">
        <v>1942</v>
      </c>
      <c r="B1824" s="1">
        <v>15345</v>
      </c>
      <c r="C1824" s="1">
        <v>28</v>
      </c>
      <c r="D1824" s="4">
        <f t="shared" si="56"/>
        <v>1.8246985988921473E-3</v>
      </c>
      <c r="E1824" s="1">
        <v>1</v>
      </c>
      <c r="F1824" s="1">
        <v>0</v>
      </c>
      <c r="G1824" s="1">
        <v>51</v>
      </c>
      <c r="H1824" s="1">
        <v>5</v>
      </c>
      <c r="I1824" s="1">
        <v>2</v>
      </c>
      <c r="J1824" s="1">
        <v>16</v>
      </c>
      <c r="K1824" s="1">
        <v>3</v>
      </c>
      <c r="L1824" s="1">
        <v>2</v>
      </c>
      <c r="M1824" s="1">
        <v>19</v>
      </c>
      <c r="N1824" s="1">
        <v>2</v>
      </c>
      <c r="O1824" s="1">
        <v>1</v>
      </c>
      <c r="P1824" s="1">
        <v>1</v>
      </c>
      <c r="Q1824" s="1">
        <v>2</v>
      </c>
      <c r="R1824" s="1">
        <v>8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1</v>
      </c>
      <c r="Z1824" s="1">
        <v>36</v>
      </c>
      <c r="AA1824" s="1" t="str" cm="1">
        <f t="array" ref="AA1824">_xlfn.IFS(AND(Z1824&lt;36, Z1824&gt;23), "24-35", AND(Z1824&lt;51, Z1824&gt;35),"36-50", AND(Z1824&lt;66, Z1824&gt;50), "51-66", Z1824&gt;65, "66+", TRUE, "?")</f>
        <v>36-50</v>
      </c>
      <c r="AB1824" s="1">
        <v>2826</v>
      </c>
      <c r="AC1824" s="1">
        <v>0</v>
      </c>
      <c r="AD1824" s="1">
        <v>0</v>
      </c>
      <c r="AE1824" s="1">
        <v>0</v>
      </c>
      <c r="AF1824" s="1">
        <v>1</v>
      </c>
      <c r="AG1824" s="1">
        <v>0</v>
      </c>
      <c r="AH1824" s="1">
        <v>0</v>
      </c>
      <c r="AI1824" s="1">
        <v>1</v>
      </c>
      <c r="AJ1824" s="1">
        <v>0</v>
      </c>
      <c r="AK1824" s="1">
        <v>0</v>
      </c>
      <c r="AL1824" s="1">
        <v>9</v>
      </c>
      <c r="AM1824" s="2">
        <v>42023</v>
      </c>
      <c r="AN1824" t="str">
        <f t="shared" si="57"/>
        <v>15345,28,0.00182469859889215,1,0,51,5,2,16,3,2,19,2,1,1,2,8,0,0,0,0,0,0,1,36,36-50,2826,0,0,0,1,0,0,1,0,0,9,42023</v>
      </c>
    </row>
    <row r="1825" spans="1:40" ht="13" hidden="1" x14ac:dyDescent="0.15">
      <c r="A1825">
        <v>1998</v>
      </c>
      <c r="B1825" s="1">
        <v>14918</v>
      </c>
      <c r="C1825" s="1">
        <v>28</v>
      </c>
      <c r="D1825" s="4">
        <f t="shared" si="56"/>
        <v>1.8769272020378066E-3</v>
      </c>
      <c r="E1825" s="1">
        <v>0</v>
      </c>
      <c r="F1825" s="1">
        <v>1</v>
      </c>
      <c r="G1825" s="1">
        <v>52</v>
      </c>
      <c r="H1825" s="1">
        <v>3</v>
      </c>
      <c r="I1825" s="1">
        <v>3</v>
      </c>
      <c r="J1825" s="1">
        <v>3</v>
      </c>
      <c r="K1825" s="1">
        <v>15</v>
      </c>
      <c r="L1825" s="1">
        <v>4</v>
      </c>
      <c r="M1825" s="1">
        <v>15</v>
      </c>
      <c r="N1825" s="1">
        <v>1</v>
      </c>
      <c r="O1825" s="1">
        <v>1</v>
      </c>
      <c r="P1825" s="1">
        <v>0</v>
      </c>
      <c r="Q1825" s="1">
        <v>3</v>
      </c>
      <c r="R1825" s="1">
        <v>6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57</v>
      </c>
      <c r="AA1825" s="1" t="str" cm="1">
        <f t="array" ref="AA1825">_xlfn.IFS(AND(Z1825&lt;36, Z1825&gt;23), "24-35", AND(Z1825&lt;51, Z1825&gt;35),"36-50", AND(Z1825&lt;66, Z1825&gt;50), "51-66", Z1825&gt;65, "66+", TRUE, "?")</f>
        <v>51-66</v>
      </c>
      <c r="AB1825" s="1">
        <v>2728</v>
      </c>
      <c r="AC1825" s="1">
        <v>0</v>
      </c>
      <c r="AD1825" s="1">
        <v>0</v>
      </c>
      <c r="AE1825" s="1">
        <v>0</v>
      </c>
      <c r="AF1825" s="1">
        <v>1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13</v>
      </c>
      <c r="AM1825" s="2">
        <v>42121</v>
      </c>
      <c r="AN1825" t="str">
        <f t="shared" si="57"/>
        <v>14918,28,0.00187692720203781,0,1,52,3,3,3,15,4,15,1,1,0,3,6,0,0,0,0,0,0,0,57,51-66,2728,0,0,0,1,0,0,0,0,0,13,42121</v>
      </c>
    </row>
    <row r="1826" spans="1:40" ht="13" hidden="1" x14ac:dyDescent="0.15">
      <c r="A1826">
        <v>344</v>
      </c>
      <c r="B1826" s="1">
        <v>35684</v>
      </c>
      <c r="C1826" s="1">
        <v>27</v>
      </c>
      <c r="D1826" s="4">
        <f t="shared" si="56"/>
        <v>7.5664163210402424E-4</v>
      </c>
      <c r="E1826" s="1">
        <v>1</v>
      </c>
      <c r="F1826" s="1">
        <v>0</v>
      </c>
      <c r="G1826" s="1">
        <v>66</v>
      </c>
      <c r="H1826" s="1">
        <v>10</v>
      </c>
      <c r="I1826" s="1">
        <v>4</v>
      </c>
      <c r="J1826" s="1">
        <v>7</v>
      </c>
      <c r="K1826" s="1">
        <v>0</v>
      </c>
      <c r="L1826" s="1">
        <v>6</v>
      </c>
      <c r="M1826" s="1">
        <v>3</v>
      </c>
      <c r="N1826" s="1">
        <v>1</v>
      </c>
      <c r="O1826" s="1">
        <v>1</v>
      </c>
      <c r="P1826" s="1">
        <v>0</v>
      </c>
      <c r="Q1826" s="1">
        <v>3</v>
      </c>
      <c r="R1826" s="1">
        <v>6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36</v>
      </c>
      <c r="AA1826" s="1" t="str" cm="1">
        <f t="array" ref="AA1826">_xlfn.IFS(AND(Z1826&lt;36, Z1826&gt;23), "24-35", AND(Z1826&lt;51, Z1826&gt;35),"36-50", AND(Z1826&lt;66, Z1826&gt;50), "51-66", Z1826&gt;65, "66+", TRUE, "?")</f>
        <v>36-50</v>
      </c>
      <c r="AB1826" s="1">
        <v>2227</v>
      </c>
      <c r="AC1826" s="1">
        <v>0</v>
      </c>
      <c r="AD1826" s="1">
        <v>1</v>
      </c>
      <c r="AE1826" s="1">
        <v>0</v>
      </c>
      <c r="AF1826" s="1">
        <v>0</v>
      </c>
      <c r="AG1826" s="1">
        <v>0</v>
      </c>
      <c r="AH1826" s="1">
        <v>1</v>
      </c>
      <c r="AI1826" s="1">
        <v>0</v>
      </c>
      <c r="AJ1826" s="1">
        <v>0</v>
      </c>
      <c r="AK1826" s="1">
        <v>0</v>
      </c>
      <c r="AL1826" s="1">
        <v>24</v>
      </c>
      <c r="AM1826" s="2">
        <v>42622</v>
      </c>
      <c r="AN1826" t="str">
        <f t="shared" si="57"/>
        <v>35684,27,0.000756641632104024,1,0,66,10,4,7,0,6,3,1,1,0,3,6,0,0,0,0,0,0,0,36,36-50,2227,0,1,0,0,0,1,0,0,0,24,42622</v>
      </c>
    </row>
    <row r="1827" spans="1:40" ht="13" hidden="1" x14ac:dyDescent="0.15">
      <c r="A1827">
        <v>411</v>
      </c>
      <c r="B1827" s="1">
        <v>7500</v>
      </c>
      <c r="C1827" s="1">
        <v>27</v>
      </c>
      <c r="D1827" s="4">
        <f t="shared" si="56"/>
        <v>3.5999999999999999E-3</v>
      </c>
      <c r="E1827" s="1">
        <v>1</v>
      </c>
      <c r="F1827" s="1">
        <v>0</v>
      </c>
      <c r="G1827" s="1">
        <v>96</v>
      </c>
      <c r="H1827" s="1">
        <v>1</v>
      </c>
      <c r="I1827" s="1">
        <v>11</v>
      </c>
      <c r="J1827" s="1">
        <v>5</v>
      </c>
      <c r="K1827" s="1">
        <v>4</v>
      </c>
      <c r="L1827" s="1">
        <v>6</v>
      </c>
      <c r="M1827" s="1">
        <v>9</v>
      </c>
      <c r="N1827" s="1">
        <v>2</v>
      </c>
      <c r="O1827" s="1">
        <v>2</v>
      </c>
      <c r="P1827" s="1">
        <v>0</v>
      </c>
      <c r="Q1827" s="1">
        <v>3</v>
      </c>
      <c r="R1827" s="1">
        <v>8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34</v>
      </c>
      <c r="AA1827" s="1" t="str" cm="1">
        <f t="array" ref="AA1827">_xlfn.IFS(AND(Z1827&lt;36, Z1827&gt;23), "24-35", AND(Z1827&lt;51, Z1827&gt;35),"36-50", AND(Z1827&lt;66, Z1827&gt;50), "51-66", Z1827&gt;65, "66+", TRUE, "?")</f>
        <v>24-35</v>
      </c>
      <c r="AB1827" s="1">
        <v>2666</v>
      </c>
      <c r="AC1827" s="1">
        <v>0</v>
      </c>
      <c r="AD1827" s="1">
        <v>1</v>
      </c>
      <c r="AE1827" s="1">
        <v>0</v>
      </c>
      <c r="AF1827" s="1">
        <v>0</v>
      </c>
      <c r="AG1827" s="1">
        <v>0</v>
      </c>
      <c r="AH1827" s="1">
        <v>1</v>
      </c>
      <c r="AI1827" s="1">
        <v>0</v>
      </c>
      <c r="AJ1827" s="1">
        <v>0</v>
      </c>
      <c r="AK1827" s="1">
        <v>0</v>
      </c>
      <c r="AL1827" s="1">
        <v>18</v>
      </c>
      <c r="AM1827" s="2">
        <v>42183</v>
      </c>
      <c r="AN1827" t="str">
        <f t="shared" si="57"/>
        <v>7500,27,0.0036,1,0,96,1,11,5,4,6,9,2,2,0,3,8,0,0,0,0,0,0,0,34,24-35,2666,0,1,0,0,0,1,0,0,0,18,42183</v>
      </c>
    </row>
    <row r="1828" spans="1:40" ht="13" hidden="1" x14ac:dyDescent="0.15">
      <c r="A1828">
        <v>573</v>
      </c>
      <c r="B1828" s="1">
        <v>26150</v>
      </c>
      <c r="C1828" s="1">
        <v>27</v>
      </c>
      <c r="D1828" s="4">
        <f t="shared" si="56"/>
        <v>1.0325047801147227E-3</v>
      </c>
      <c r="E1828" s="1">
        <v>2</v>
      </c>
      <c r="F1828" s="1">
        <v>1</v>
      </c>
      <c r="G1828" s="1">
        <v>61</v>
      </c>
      <c r="H1828" s="1">
        <v>5</v>
      </c>
      <c r="I1828" s="1">
        <v>1</v>
      </c>
      <c r="J1828" s="1">
        <v>13</v>
      </c>
      <c r="K1828" s="1">
        <v>3</v>
      </c>
      <c r="L1828" s="1">
        <v>5</v>
      </c>
      <c r="M1828" s="1">
        <v>1</v>
      </c>
      <c r="N1828" s="1">
        <v>1</v>
      </c>
      <c r="O1828" s="1">
        <v>1</v>
      </c>
      <c r="P1828" s="1">
        <v>0</v>
      </c>
      <c r="Q1828" s="1">
        <v>3</v>
      </c>
      <c r="R1828" s="1">
        <v>7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64</v>
      </c>
      <c r="AA1828" s="1" t="str" cm="1">
        <f t="array" ref="AA1828">_xlfn.IFS(AND(Z1828&lt;36, Z1828&gt;23), "24-35", AND(Z1828&lt;51, Z1828&gt;35),"36-50", AND(Z1828&lt;66, Z1828&gt;50), "51-66", Z1828&gt;65, "66+", TRUE, "?")</f>
        <v>51-66</v>
      </c>
      <c r="AB1828" s="1">
        <v>2634</v>
      </c>
      <c r="AC1828" s="1">
        <v>1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1</v>
      </c>
      <c r="AJ1828" s="1">
        <v>0</v>
      </c>
      <c r="AK1828" s="1">
        <v>0</v>
      </c>
      <c r="AL1828" s="1">
        <v>26</v>
      </c>
      <c r="AM1828" s="2">
        <v>42215</v>
      </c>
      <c r="AN1828" t="str">
        <f t="shared" si="57"/>
        <v>26150,27,0.00103250478011472,2,1,61,5,1,13,3,5,1,1,1,0,3,7,0,0,0,0,0,0,0,64,51-66,2634,1,0,0,0,0,0,1,0,0,26,42215</v>
      </c>
    </row>
    <row r="1829" spans="1:40" ht="13" hidden="1" x14ac:dyDescent="0.15">
      <c r="A1829">
        <v>990</v>
      </c>
      <c r="B1829" s="1">
        <v>27100</v>
      </c>
      <c r="C1829" s="1">
        <v>27</v>
      </c>
      <c r="D1829" s="4">
        <f t="shared" si="56"/>
        <v>9.9630996309963099E-4</v>
      </c>
      <c r="E1829" s="1">
        <v>1</v>
      </c>
      <c r="F1829" s="1">
        <v>0</v>
      </c>
      <c r="G1829" s="1">
        <v>64</v>
      </c>
      <c r="H1829" s="1">
        <v>12</v>
      </c>
      <c r="I1829" s="1">
        <v>0</v>
      </c>
      <c r="J1829" s="1">
        <v>13</v>
      </c>
      <c r="K1829" s="1">
        <v>2</v>
      </c>
      <c r="L1829" s="1">
        <v>0</v>
      </c>
      <c r="M1829" s="1">
        <v>10</v>
      </c>
      <c r="N1829" s="1">
        <v>1</v>
      </c>
      <c r="O1829" s="1">
        <v>1</v>
      </c>
      <c r="P1829" s="1">
        <v>0</v>
      </c>
      <c r="Q1829" s="1">
        <v>3</v>
      </c>
      <c r="R1829" s="1">
        <v>7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37</v>
      </c>
      <c r="AA1829" s="1" t="str" cm="1">
        <f t="array" ref="AA1829">_xlfn.IFS(AND(Z1829&lt;36, Z1829&gt;23), "24-35", AND(Z1829&lt;51, Z1829&gt;35),"36-50", AND(Z1829&lt;66, Z1829&gt;50), "51-66", Z1829&gt;65, "66+", TRUE, "?")</f>
        <v>36-50</v>
      </c>
      <c r="AB1829" s="1">
        <v>2609</v>
      </c>
      <c r="AC1829" s="1">
        <v>0</v>
      </c>
      <c r="AD1829" s="1">
        <v>1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1</v>
      </c>
      <c r="AK1829" s="1">
        <v>0</v>
      </c>
      <c r="AL1829" s="1">
        <v>17</v>
      </c>
      <c r="AM1829" s="2">
        <v>42240</v>
      </c>
      <c r="AN1829" t="str">
        <f t="shared" si="57"/>
        <v>27100,27,0.000996309963099631,1,0,64,12,0,13,2,0,10,1,1,0,3,7,0,0,0,0,0,0,0,37,36-50,2609,0,1,0,0,0,0,0,1,0,17,42240</v>
      </c>
    </row>
    <row r="1830" spans="1:40" ht="13" hidden="1" x14ac:dyDescent="0.15">
      <c r="A1830">
        <v>1219</v>
      </c>
      <c r="B1830" s="1">
        <v>23148</v>
      </c>
      <c r="C1830" s="1">
        <v>27</v>
      </c>
      <c r="D1830" s="4">
        <f t="shared" si="56"/>
        <v>1.1664074650077762E-3</v>
      </c>
      <c r="E1830" s="1">
        <v>0</v>
      </c>
      <c r="F1830" s="1">
        <v>0</v>
      </c>
      <c r="G1830" s="1">
        <v>83</v>
      </c>
      <c r="H1830" s="1">
        <v>4</v>
      </c>
      <c r="I1830" s="1">
        <v>6</v>
      </c>
      <c r="J1830" s="1">
        <v>8</v>
      </c>
      <c r="K1830" s="1">
        <v>6</v>
      </c>
      <c r="L1830" s="1">
        <v>3</v>
      </c>
      <c r="M1830" s="1">
        <v>10</v>
      </c>
      <c r="N1830" s="1">
        <v>1</v>
      </c>
      <c r="O1830" s="1">
        <v>2</v>
      </c>
      <c r="P1830" s="1">
        <v>0</v>
      </c>
      <c r="Q1830" s="1">
        <v>3</v>
      </c>
      <c r="R1830" s="1">
        <v>7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35</v>
      </c>
      <c r="AA1830" s="1" t="str" cm="1">
        <f t="array" ref="AA1830">_xlfn.IFS(AND(Z1830&lt;36, Z1830&gt;23), "24-35", AND(Z1830&lt;51, Z1830&gt;35),"36-50", AND(Z1830&lt;66, Z1830&gt;50), "51-66", Z1830&gt;65, "66+", TRUE, "?")</f>
        <v>24-35</v>
      </c>
      <c r="AB1830" s="1">
        <v>2290</v>
      </c>
      <c r="AC1830" s="1">
        <v>0</v>
      </c>
      <c r="AD1830" s="1">
        <v>1</v>
      </c>
      <c r="AE1830" s="1">
        <v>0</v>
      </c>
      <c r="AF1830" s="1">
        <v>0</v>
      </c>
      <c r="AG1830" s="1">
        <v>0</v>
      </c>
      <c r="AH1830" s="1">
        <v>1</v>
      </c>
      <c r="AI1830" s="1">
        <v>0</v>
      </c>
      <c r="AJ1830" s="1">
        <v>0</v>
      </c>
      <c r="AK1830" s="1">
        <v>0</v>
      </c>
      <c r="AL1830" s="1">
        <v>17</v>
      </c>
      <c r="AM1830" s="2">
        <v>42559</v>
      </c>
      <c r="AN1830" t="str">
        <f t="shared" si="57"/>
        <v>23148,27,0.00116640746500778,0,0,83,4,6,8,6,3,10,1,2,0,3,7,0,0,0,0,0,0,0,35,24-35,2290,0,1,0,0,0,1,0,0,0,17,42559</v>
      </c>
    </row>
    <row r="1831" spans="1:40" ht="13" hidden="1" x14ac:dyDescent="0.15">
      <c r="A1831">
        <v>1506</v>
      </c>
      <c r="B1831" s="1">
        <v>35924</v>
      </c>
      <c r="C1831" s="1">
        <v>27</v>
      </c>
      <c r="D1831" s="4">
        <f t="shared" si="56"/>
        <v>7.5158668299743904E-4</v>
      </c>
      <c r="E1831" s="1">
        <v>1</v>
      </c>
      <c r="F1831" s="1">
        <v>1</v>
      </c>
      <c r="G1831" s="1">
        <v>56</v>
      </c>
      <c r="H1831" s="1">
        <v>8</v>
      </c>
      <c r="I1831" s="1">
        <v>0</v>
      </c>
      <c r="J1831" s="1">
        <v>14</v>
      </c>
      <c r="K1831" s="1">
        <v>2</v>
      </c>
      <c r="L1831" s="1">
        <v>3</v>
      </c>
      <c r="M1831" s="1">
        <v>7</v>
      </c>
      <c r="N1831" s="1">
        <v>1</v>
      </c>
      <c r="O1831" s="1">
        <v>1</v>
      </c>
      <c r="P1831" s="1">
        <v>0</v>
      </c>
      <c r="Q1831" s="1">
        <v>3</v>
      </c>
      <c r="R1831" s="1">
        <v>5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51</v>
      </c>
      <c r="AA1831" s="1" t="str" cm="1">
        <f t="array" ref="AA1831">_xlfn.IFS(AND(Z1831&lt;36, Z1831&gt;23), "24-35", AND(Z1831&lt;51, Z1831&gt;35),"36-50", AND(Z1831&lt;66, Z1831&gt;50), "51-66", Z1831&gt;65, "66+", TRUE, "?")</f>
        <v>51-66</v>
      </c>
      <c r="AB1831" s="1">
        <v>2257</v>
      </c>
      <c r="AC1831" s="1">
        <v>0</v>
      </c>
      <c r="AD1831" s="1">
        <v>0</v>
      </c>
      <c r="AE1831" s="1">
        <v>0</v>
      </c>
      <c r="AF1831" s="1">
        <v>1</v>
      </c>
      <c r="AG1831" s="1">
        <v>0</v>
      </c>
      <c r="AH1831" s="1">
        <v>0</v>
      </c>
      <c r="AI1831" s="1">
        <v>0</v>
      </c>
      <c r="AJ1831" s="1">
        <v>1</v>
      </c>
      <c r="AK1831" s="1">
        <v>0</v>
      </c>
      <c r="AL1831" s="1">
        <v>20</v>
      </c>
      <c r="AM1831" s="2">
        <v>42592</v>
      </c>
      <c r="AN1831" t="str">
        <f t="shared" si="57"/>
        <v>35924,27,0.000751586682997439,1,1,56,8,0,14,2,3,7,1,1,0,3,5,0,0,0,0,0,0,0,51,51-66,2257,0,0,0,1,0,0,0,1,0,20,42592</v>
      </c>
    </row>
    <row r="1832" spans="1:40" ht="13" hidden="1" x14ac:dyDescent="0.15">
      <c r="A1832">
        <v>1711</v>
      </c>
      <c r="B1832" s="1">
        <v>23830</v>
      </c>
      <c r="C1832" s="1">
        <v>27</v>
      </c>
      <c r="D1832" s="4">
        <f t="shared" si="56"/>
        <v>1.1330255979857323E-3</v>
      </c>
      <c r="E1832" s="1">
        <v>0</v>
      </c>
      <c r="F1832" s="1">
        <v>0</v>
      </c>
      <c r="G1832" s="1">
        <v>3</v>
      </c>
      <c r="H1832" s="1">
        <v>1</v>
      </c>
      <c r="I1832" s="1">
        <v>8</v>
      </c>
      <c r="J1832" s="1">
        <v>6</v>
      </c>
      <c r="K1832" s="1">
        <v>4</v>
      </c>
      <c r="L1832" s="1">
        <v>8</v>
      </c>
      <c r="M1832" s="1">
        <v>16</v>
      </c>
      <c r="N1832" s="1">
        <v>1</v>
      </c>
      <c r="O1832" s="1">
        <v>1</v>
      </c>
      <c r="P1832" s="1">
        <v>0</v>
      </c>
      <c r="Q1832" s="1">
        <v>3</v>
      </c>
      <c r="R1832" s="1">
        <v>7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33</v>
      </c>
      <c r="AA1832" s="1" t="str" cm="1">
        <f t="array" ref="AA1832">_xlfn.IFS(AND(Z1832&lt;36, Z1832&gt;23), "24-35", AND(Z1832&lt;51, Z1832&gt;35),"36-50", AND(Z1832&lt;66, Z1832&gt;50), "51-66", Z1832&gt;65, "66+", TRUE, "?")</f>
        <v>24-35</v>
      </c>
      <c r="AB1832" s="1">
        <v>2301</v>
      </c>
      <c r="AC1832" s="1">
        <v>0</v>
      </c>
      <c r="AD1832" s="1">
        <v>0</v>
      </c>
      <c r="AE1832" s="1">
        <v>1</v>
      </c>
      <c r="AF1832" s="1">
        <v>0</v>
      </c>
      <c r="AG1832" s="1">
        <v>0</v>
      </c>
      <c r="AH1832" s="1">
        <v>1</v>
      </c>
      <c r="AI1832" s="1">
        <v>0</v>
      </c>
      <c r="AJ1832" s="1">
        <v>0</v>
      </c>
      <c r="AK1832" s="1">
        <v>0</v>
      </c>
      <c r="AL1832" s="1">
        <v>11</v>
      </c>
      <c r="AM1832" s="2">
        <v>42548</v>
      </c>
      <c r="AN1832" t="str">
        <f t="shared" si="57"/>
        <v>23830,27,0.00113302559798573,0,0,3,1,8,6,4,8,16,1,1,0,3,7,0,0,0,0,0,0,0,33,24-35,2301,0,0,1,0,0,1,0,0,0,11,42548</v>
      </c>
    </row>
    <row r="1833" spans="1:40" ht="13" hidden="1" x14ac:dyDescent="0.15">
      <c r="A1833">
        <v>2004</v>
      </c>
      <c r="B1833" s="1">
        <v>5305</v>
      </c>
      <c r="C1833" s="1">
        <v>27</v>
      </c>
      <c r="D1833" s="4">
        <f t="shared" si="56"/>
        <v>5.0895381715362863E-3</v>
      </c>
      <c r="E1833" s="1">
        <v>0</v>
      </c>
      <c r="F1833" s="1">
        <v>1</v>
      </c>
      <c r="G1833" s="1">
        <v>12</v>
      </c>
      <c r="H1833" s="1">
        <v>12</v>
      </c>
      <c r="I1833" s="1">
        <v>4</v>
      </c>
      <c r="J1833" s="1">
        <v>7</v>
      </c>
      <c r="K1833" s="1">
        <v>1</v>
      </c>
      <c r="L1833" s="1">
        <v>3</v>
      </c>
      <c r="M1833" s="1">
        <v>5</v>
      </c>
      <c r="N1833" s="1">
        <v>0</v>
      </c>
      <c r="O1833" s="1">
        <v>1</v>
      </c>
      <c r="P1833" s="1">
        <v>0</v>
      </c>
      <c r="Q1833" s="1">
        <v>0</v>
      </c>
      <c r="R1833" s="1">
        <v>13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44</v>
      </c>
      <c r="AA1833" s="1" t="str" cm="1">
        <f t="array" ref="AA1833">_xlfn.IFS(AND(Z1833&lt;36, Z1833&gt;23), "24-35", AND(Z1833&lt;51, Z1833&gt;35),"36-50", AND(Z1833&lt;66, Z1833&gt;50), "51-66", Z1833&gt;65, "66+", TRUE, "?")</f>
        <v>36-50</v>
      </c>
      <c r="AB1833" s="1">
        <v>2493</v>
      </c>
      <c r="AC1833" s="1">
        <v>0</v>
      </c>
      <c r="AD1833" s="1">
        <v>1</v>
      </c>
      <c r="AE1833" s="1">
        <v>0</v>
      </c>
      <c r="AF1833" s="1">
        <v>0</v>
      </c>
      <c r="AG1833" s="1">
        <v>0</v>
      </c>
      <c r="AH1833" s="1">
        <v>0</v>
      </c>
      <c r="AI1833" s="1">
        <v>1</v>
      </c>
      <c r="AJ1833" s="1">
        <v>0</v>
      </c>
      <c r="AK1833" s="1">
        <v>0</v>
      </c>
      <c r="AL1833" s="1">
        <v>22</v>
      </c>
      <c r="AM1833" s="2">
        <v>42356</v>
      </c>
      <c r="AN1833" t="str">
        <f t="shared" si="57"/>
        <v>5305,27,0.00508953817153629,0,1,12,12,4,7,1,3,5,0,1,0,0,13,0,0,0,0,0,0,0,44,36-50,2493,0,1,0,0,0,0,1,0,0,22,42356</v>
      </c>
    </row>
    <row r="1834" spans="1:40" ht="13" hidden="1" x14ac:dyDescent="0.15">
      <c r="A1834">
        <v>29</v>
      </c>
      <c r="B1834" s="1">
        <v>10979</v>
      </c>
      <c r="C1834" s="1">
        <v>26</v>
      </c>
      <c r="D1834" s="4">
        <f t="shared" si="56"/>
        <v>2.3681573913835502E-3</v>
      </c>
      <c r="E1834" s="1">
        <v>0</v>
      </c>
      <c r="F1834" s="1">
        <v>0</v>
      </c>
      <c r="G1834" s="1">
        <v>34</v>
      </c>
      <c r="H1834" s="1">
        <v>8</v>
      </c>
      <c r="I1834" s="1">
        <v>4</v>
      </c>
      <c r="J1834" s="1">
        <v>10</v>
      </c>
      <c r="K1834" s="1">
        <v>2</v>
      </c>
      <c r="L1834" s="1">
        <v>2</v>
      </c>
      <c r="M1834" s="1">
        <v>4</v>
      </c>
      <c r="N1834" s="1">
        <v>2</v>
      </c>
      <c r="O1834" s="1">
        <v>3</v>
      </c>
      <c r="P1834" s="1">
        <v>0</v>
      </c>
      <c r="Q1834" s="1">
        <v>3</v>
      </c>
      <c r="R1834" s="1">
        <v>5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31</v>
      </c>
      <c r="AA1834" s="1" t="str" cm="1">
        <f t="array" ref="AA1834">_xlfn.IFS(AND(Z1834&lt;36, Z1834&gt;23), "24-35", AND(Z1834&lt;51, Z1834&gt;35),"36-50", AND(Z1834&lt;66, Z1834&gt;50), "51-66", Z1834&gt;65, "66+", TRUE, "?")</f>
        <v>24-35</v>
      </c>
      <c r="AB1834" s="1">
        <v>2197</v>
      </c>
      <c r="AC1834" s="1">
        <v>1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1</v>
      </c>
      <c r="AK1834" s="1">
        <v>0</v>
      </c>
      <c r="AL1834" s="1">
        <v>22</v>
      </c>
      <c r="AM1834" s="2">
        <v>42652</v>
      </c>
      <c r="AN1834" t="str">
        <f t="shared" si="57"/>
        <v>10979,26,0.00236815739138355,0,0,34,8,4,10,2,2,4,2,3,0,3,5,0,0,0,0,0,0,0,31,24-35,2197,1,0,0,0,0,0,0,1,0,22,42652</v>
      </c>
    </row>
    <row r="1835" spans="1:40" ht="13" hidden="1" x14ac:dyDescent="0.15">
      <c r="A1835">
        <v>800</v>
      </c>
      <c r="B1835" s="1">
        <v>30843</v>
      </c>
      <c r="C1835" s="1">
        <v>26</v>
      </c>
      <c r="D1835" s="4">
        <f t="shared" si="56"/>
        <v>8.4297895794831895E-4</v>
      </c>
      <c r="E1835" s="1">
        <v>1</v>
      </c>
      <c r="F1835" s="1">
        <v>1</v>
      </c>
      <c r="G1835" s="1">
        <v>43</v>
      </c>
      <c r="H1835" s="1">
        <v>24</v>
      </c>
      <c r="I1835" s="1">
        <v>0</v>
      </c>
      <c r="J1835" s="1">
        <v>2</v>
      </c>
      <c r="K1835" s="1">
        <v>0</v>
      </c>
      <c r="L1835" s="1">
        <v>0</v>
      </c>
      <c r="M1835" s="1">
        <v>9</v>
      </c>
      <c r="N1835" s="1">
        <v>2</v>
      </c>
      <c r="O1835" s="1">
        <v>1</v>
      </c>
      <c r="P1835" s="1">
        <v>1</v>
      </c>
      <c r="Q1835" s="1">
        <v>2</v>
      </c>
      <c r="R1835" s="1">
        <v>5</v>
      </c>
      <c r="S1835" s="1">
        <v>0</v>
      </c>
      <c r="T1835" s="1">
        <v>0</v>
      </c>
      <c r="U1835" s="1">
        <v>1</v>
      </c>
      <c r="V1835" s="1">
        <v>0</v>
      </c>
      <c r="W1835" s="1">
        <v>0</v>
      </c>
      <c r="X1835" s="1">
        <v>0</v>
      </c>
      <c r="Y1835" s="1">
        <v>0</v>
      </c>
      <c r="Z1835" s="1">
        <v>54</v>
      </c>
      <c r="AA1835" s="1" t="str" cm="1">
        <f t="array" ref="AA1835">_xlfn.IFS(AND(Z1835&lt;36, Z1835&gt;23), "24-35", AND(Z1835&lt;51, Z1835&gt;35),"36-50", AND(Z1835&lt;66, Z1835&gt;50), "51-66", Z1835&gt;65, "66+", TRUE, "?")</f>
        <v>51-66</v>
      </c>
      <c r="AB1835" s="1">
        <v>2193</v>
      </c>
      <c r="AC1835" s="1">
        <v>0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0</v>
      </c>
      <c r="AJ1835" s="1">
        <v>0</v>
      </c>
      <c r="AK1835" s="1">
        <v>1</v>
      </c>
      <c r="AL1835" s="1">
        <v>17</v>
      </c>
      <c r="AM1835" s="2">
        <v>42656</v>
      </c>
      <c r="AN1835" t="str">
        <f t="shared" si="57"/>
        <v>30843,26,0.000842978957948319,1,1,43,24,0,2,0,0,9,2,1,1,2,5,0,0,1,0,0,0,0,54,51-66,2193,0,0,0,1,0,0,0,0,1,17,42656</v>
      </c>
    </row>
    <row r="1836" spans="1:40" ht="13" hidden="1" x14ac:dyDescent="0.15">
      <c r="A1836">
        <v>1072</v>
      </c>
      <c r="B1836" s="1">
        <v>21282</v>
      </c>
      <c r="C1836" s="1">
        <v>26</v>
      </c>
      <c r="D1836" s="4">
        <f t="shared" si="56"/>
        <v>1.2216896908185321E-3</v>
      </c>
      <c r="E1836" s="1">
        <v>1</v>
      </c>
      <c r="F1836" s="1">
        <v>0</v>
      </c>
      <c r="G1836" s="1">
        <v>76</v>
      </c>
      <c r="H1836" s="1">
        <v>1</v>
      </c>
      <c r="I1836" s="1">
        <v>5</v>
      </c>
      <c r="J1836" s="1">
        <v>8</v>
      </c>
      <c r="K1836" s="1">
        <v>4</v>
      </c>
      <c r="L1836" s="1">
        <v>8</v>
      </c>
      <c r="M1836" s="1">
        <v>20</v>
      </c>
      <c r="N1836" s="1">
        <v>2</v>
      </c>
      <c r="O1836" s="1">
        <v>2</v>
      </c>
      <c r="P1836" s="1">
        <v>1</v>
      </c>
      <c r="Q1836" s="1">
        <v>2</v>
      </c>
      <c r="R1836" s="1">
        <v>6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42</v>
      </c>
      <c r="AA1836" s="1" t="str" cm="1">
        <f t="array" ref="AA1836">_xlfn.IFS(AND(Z1836&lt;36, Z1836&gt;23), "24-35", AND(Z1836&lt;51, Z1836&gt;35),"36-50", AND(Z1836&lt;66, Z1836&gt;50), "51-66", Z1836&gt;65, "66+", TRUE, "?")</f>
        <v>36-50</v>
      </c>
      <c r="AB1836" s="1">
        <v>2208</v>
      </c>
      <c r="AC1836" s="1">
        <v>1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>
        <v>0</v>
      </c>
      <c r="AJ1836" s="1">
        <v>0</v>
      </c>
      <c r="AK1836" s="1">
        <v>0</v>
      </c>
      <c r="AL1836" s="1">
        <v>6</v>
      </c>
      <c r="AM1836" s="2">
        <v>42641</v>
      </c>
      <c r="AN1836" t="str">
        <f t="shared" si="57"/>
        <v>21282,26,0.00122168969081853,1,0,76,1,5,8,4,8,20,2,2,1,2,6,0,0,0,0,0,0,0,42,36-50,2208,1,0,0,0,0,1,0,0,0,6,42641</v>
      </c>
    </row>
    <row r="1837" spans="1:40" ht="13" hidden="1" x14ac:dyDescent="0.15">
      <c r="A1837">
        <v>1537</v>
      </c>
      <c r="B1837" s="1">
        <v>15862</v>
      </c>
      <c r="C1837" s="1">
        <v>26</v>
      </c>
      <c r="D1837" s="4">
        <f t="shared" si="56"/>
        <v>1.6391375614676585E-3</v>
      </c>
      <c r="E1837" s="1">
        <v>1</v>
      </c>
      <c r="F1837" s="1">
        <v>0</v>
      </c>
      <c r="G1837" s="1">
        <v>26</v>
      </c>
      <c r="H1837" s="1">
        <v>1</v>
      </c>
      <c r="I1837" s="1">
        <v>1</v>
      </c>
      <c r="J1837" s="1">
        <v>4</v>
      </c>
      <c r="K1837" s="1">
        <v>11</v>
      </c>
      <c r="L1837" s="1">
        <v>9</v>
      </c>
      <c r="M1837" s="1">
        <v>10</v>
      </c>
      <c r="N1837" s="1">
        <v>1</v>
      </c>
      <c r="O1837" s="1">
        <v>1</v>
      </c>
      <c r="P1837" s="1">
        <v>0</v>
      </c>
      <c r="Q1837" s="1">
        <v>3</v>
      </c>
      <c r="R1837" s="1">
        <v>8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41</v>
      </c>
      <c r="AA1837" s="1" t="str" cm="1">
        <f t="array" ref="AA1837">_xlfn.IFS(AND(Z1837&lt;36, Z1837&gt;23), "24-35", AND(Z1837&lt;51, Z1837&gt;35),"36-50", AND(Z1837&lt;66, Z1837&gt;50), "51-66", Z1837&gt;65, "66+", TRUE, "?")</f>
        <v>36-50</v>
      </c>
      <c r="AB1837" s="1">
        <v>2526</v>
      </c>
      <c r="AC1837" s="1">
        <v>0</v>
      </c>
      <c r="AD1837" s="1">
        <v>0</v>
      </c>
      <c r="AE1837" s="1">
        <v>1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16</v>
      </c>
      <c r="AM1837" s="2">
        <v>42323</v>
      </c>
      <c r="AN1837" t="str">
        <f t="shared" si="57"/>
        <v>15862,26,0.00163913756146766,1,0,26,1,1,4,11,9,10,1,1,0,3,8,0,0,0,0,0,0,0,41,36-50,2526,0,0,1,0,0,0,0,0,0,16,42323</v>
      </c>
    </row>
    <row r="1838" spans="1:40" ht="13" hidden="1" x14ac:dyDescent="0.15">
      <c r="A1838">
        <v>1653</v>
      </c>
      <c r="B1838" s="1">
        <v>21840</v>
      </c>
      <c r="C1838" s="1">
        <v>26</v>
      </c>
      <c r="D1838" s="4">
        <f t="shared" si="56"/>
        <v>1.1904761904761906E-3</v>
      </c>
      <c r="E1838" s="1">
        <v>1</v>
      </c>
      <c r="F1838" s="1">
        <v>0</v>
      </c>
      <c r="G1838" s="1">
        <v>80</v>
      </c>
      <c r="H1838" s="1">
        <v>17</v>
      </c>
      <c r="I1838" s="1">
        <v>0</v>
      </c>
      <c r="J1838" s="1">
        <v>9</v>
      </c>
      <c r="K1838" s="1">
        <v>0</v>
      </c>
      <c r="L1838" s="1">
        <v>0</v>
      </c>
      <c r="M1838" s="1">
        <v>1</v>
      </c>
      <c r="N1838" s="1">
        <v>1</v>
      </c>
      <c r="O1838" s="1">
        <v>1</v>
      </c>
      <c r="P1838" s="1">
        <v>0</v>
      </c>
      <c r="Q1838" s="1">
        <v>3</v>
      </c>
      <c r="R1838" s="1">
        <v>9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37</v>
      </c>
      <c r="AA1838" s="1" t="str" cm="1">
        <f t="array" ref="AA1838">_xlfn.IFS(AND(Z1838&lt;36, Z1838&gt;23), "24-35", AND(Z1838&lt;51, Z1838&gt;35),"36-50", AND(Z1838&lt;66, Z1838&gt;50), "51-66", Z1838&gt;65, "66+", TRUE, "?")</f>
        <v>36-50</v>
      </c>
      <c r="AB1838" s="1">
        <v>2502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0</v>
      </c>
      <c r="AJ1838" s="1">
        <v>0</v>
      </c>
      <c r="AK1838" s="1">
        <v>1</v>
      </c>
      <c r="AL1838" s="1">
        <v>25</v>
      </c>
      <c r="AM1838" s="2">
        <v>42347</v>
      </c>
      <c r="AN1838" t="str">
        <f t="shared" si="57"/>
        <v>21840,26,0.00119047619047619,1,0,80,17,0,9,0,0,1,1,1,0,3,9,0,0,0,0,0,0,0,37,36-50,2502,0,0,0,1,0,0,0,0,1,25,42347</v>
      </c>
    </row>
    <row r="1839" spans="1:40" ht="13" hidden="1" x14ac:dyDescent="0.15">
      <c r="A1839">
        <v>1952</v>
      </c>
      <c r="B1839" s="1">
        <v>34176</v>
      </c>
      <c r="C1839" s="1">
        <v>26</v>
      </c>
      <c r="D1839" s="4">
        <f t="shared" si="56"/>
        <v>7.607677902621723E-4</v>
      </c>
      <c r="E1839" s="1">
        <v>0</v>
      </c>
      <c r="F1839" s="1">
        <v>1</v>
      </c>
      <c r="G1839" s="1">
        <v>9</v>
      </c>
      <c r="H1839" s="1">
        <v>11</v>
      </c>
      <c r="I1839" s="1">
        <v>2</v>
      </c>
      <c r="J1839" s="1">
        <v>7</v>
      </c>
      <c r="K1839" s="1">
        <v>4</v>
      </c>
      <c r="L1839" s="1">
        <v>2</v>
      </c>
      <c r="M1839" s="1">
        <v>2</v>
      </c>
      <c r="N1839" s="1">
        <v>1</v>
      </c>
      <c r="O1839" s="1">
        <v>1</v>
      </c>
      <c r="P1839" s="1">
        <v>0</v>
      </c>
      <c r="Q1839" s="1">
        <v>3</v>
      </c>
      <c r="R1839" s="1">
        <v>3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45</v>
      </c>
      <c r="AA1839" s="1" t="str" cm="1">
        <f t="array" ref="AA1839">_xlfn.IFS(AND(Z1839&lt;36, Z1839&gt;23), "24-35", AND(Z1839&lt;51, Z1839&gt;35),"36-50", AND(Z1839&lt;66, Z1839&gt;50), "51-66", Z1839&gt;65, "66+", TRUE, "?")</f>
        <v>36-50</v>
      </c>
      <c r="AB1839" s="1">
        <v>2317</v>
      </c>
      <c r="AC1839" s="1">
        <v>0</v>
      </c>
      <c r="AD1839" s="1">
        <v>0</v>
      </c>
      <c r="AE1839" s="1">
        <v>0</v>
      </c>
      <c r="AF1839" s="1">
        <v>1</v>
      </c>
      <c r="AG1839" s="1">
        <v>0</v>
      </c>
      <c r="AH1839" s="1">
        <v>0</v>
      </c>
      <c r="AI1839" s="1">
        <v>0</v>
      </c>
      <c r="AJ1839" s="1">
        <v>1</v>
      </c>
      <c r="AK1839" s="1">
        <v>0</v>
      </c>
      <c r="AL1839" s="1">
        <v>24</v>
      </c>
      <c r="AM1839" s="2">
        <v>42532</v>
      </c>
      <c r="AN1839" t="str">
        <f t="shared" si="57"/>
        <v>34176,26,0.000760767790262172,0,1,9,11,2,7,4,2,2,1,1,0,3,3,0,0,0,0,0,0,0,45,36-50,2317,0,0,0,1,0,0,0,1,0,24,42532</v>
      </c>
    </row>
    <row r="1840" spans="1:40" ht="13" hidden="1" x14ac:dyDescent="0.15">
      <c r="A1840">
        <v>223</v>
      </c>
      <c r="B1840" s="1">
        <v>22804</v>
      </c>
      <c r="C1840" s="1">
        <v>25</v>
      </c>
      <c r="D1840" s="4">
        <f t="shared" si="56"/>
        <v>1.0962988949307138E-3</v>
      </c>
      <c r="E1840" s="1">
        <v>1</v>
      </c>
      <c r="F1840" s="1">
        <v>0</v>
      </c>
      <c r="G1840" s="1">
        <v>75</v>
      </c>
      <c r="H1840" s="1">
        <v>14</v>
      </c>
      <c r="I1840" s="1">
        <v>1</v>
      </c>
      <c r="J1840" s="1">
        <v>7</v>
      </c>
      <c r="K1840" s="1">
        <v>2</v>
      </c>
      <c r="L1840" s="1">
        <v>1</v>
      </c>
      <c r="M1840" s="1">
        <v>1</v>
      </c>
      <c r="N1840" s="1">
        <v>1</v>
      </c>
      <c r="O1840" s="1">
        <v>2</v>
      </c>
      <c r="P1840" s="1">
        <v>0</v>
      </c>
      <c r="Q1840" s="1">
        <v>2</v>
      </c>
      <c r="R1840" s="1">
        <v>9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49</v>
      </c>
      <c r="AA1840" s="1" t="str" cm="1">
        <f t="array" ref="AA1840">_xlfn.IFS(AND(Z1840&lt;36, Z1840&gt;23), "24-35", AND(Z1840&lt;51, Z1840&gt;35),"36-50", AND(Z1840&lt;66, Z1840&gt;50), "51-66", Z1840&gt;65, "66+", TRUE, "?")</f>
        <v>36-50</v>
      </c>
      <c r="AB1840" s="1">
        <v>2492</v>
      </c>
      <c r="AC1840" s="1">
        <v>0</v>
      </c>
      <c r="AD1840" s="1">
        <v>0</v>
      </c>
      <c r="AE1840" s="1">
        <v>1</v>
      </c>
      <c r="AF1840" s="1">
        <v>0</v>
      </c>
      <c r="AG1840" s="1">
        <v>0</v>
      </c>
      <c r="AH1840" s="1">
        <v>0</v>
      </c>
      <c r="AI1840" s="1">
        <v>1</v>
      </c>
      <c r="AJ1840" s="1">
        <v>0</v>
      </c>
      <c r="AK1840" s="1">
        <v>0</v>
      </c>
      <c r="AL1840" s="1">
        <v>24</v>
      </c>
      <c r="AM1840" s="2">
        <v>42357</v>
      </c>
      <c r="AN1840" t="str">
        <f t="shared" si="57"/>
        <v>22804,25,0.00109629889493071,1,0,75,14,1,7,2,1,1,1,2,0,2,9,0,0,0,0,0,0,0,49,36-50,2492,0,0,1,0,0,0,1,0,0,24,42357</v>
      </c>
    </row>
    <row r="1841" spans="1:40" ht="13" hidden="1" x14ac:dyDescent="0.15">
      <c r="A1841">
        <v>310</v>
      </c>
      <c r="B1841" s="1">
        <v>22010</v>
      </c>
      <c r="C1841" s="1">
        <v>25</v>
      </c>
      <c r="D1841" s="4">
        <f t="shared" si="56"/>
        <v>1.1358473421172195E-3</v>
      </c>
      <c r="E1841" s="1">
        <v>1</v>
      </c>
      <c r="F1841" s="1">
        <v>0</v>
      </c>
      <c r="G1841" s="1">
        <v>51</v>
      </c>
      <c r="H1841" s="1">
        <v>11</v>
      </c>
      <c r="I1841" s="1">
        <v>2</v>
      </c>
      <c r="J1841" s="1">
        <v>9</v>
      </c>
      <c r="K1841" s="1">
        <v>3</v>
      </c>
      <c r="L1841" s="1">
        <v>0</v>
      </c>
      <c r="M1841" s="1">
        <v>8</v>
      </c>
      <c r="N1841" s="1">
        <v>2</v>
      </c>
      <c r="O1841" s="1">
        <v>2</v>
      </c>
      <c r="P1841" s="1">
        <v>0</v>
      </c>
      <c r="Q1841" s="1">
        <v>3</v>
      </c>
      <c r="R1841" s="1">
        <v>8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37</v>
      </c>
      <c r="AA1841" s="1" t="str" cm="1">
        <f t="array" ref="AA1841">_xlfn.IFS(AND(Z1841&lt;36, Z1841&gt;23), "24-35", AND(Z1841&lt;51, Z1841&gt;35),"36-50", AND(Z1841&lt;66, Z1841&gt;50), "51-66", Z1841&gt;65, "66+", TRUE, "?")</f>
        <v>36-50</v>
      </c>
      <c r="AB1841" s="1">
        <v>2523</v>
      </c>
      <c r="AC1841" s="1">
        <v>0</v>
      </c>
      <c r="AD1841" s="1">
        <v>0</v>
      </c>
      <c r="AE1841" s="1">
        <v>0</v>
      </c>
      <c r="AF1841" s="1">
        <v>1</v>
      </c>
      <c r="AG1841" s="1">
        <v>0</v>
      </c>
      <c r="AH1841" s="1">
        <v>0</v>
      </c>
      <c r="AI1841" s="1">
        <v>1</v>
      </c>
      <c r="AJ1841" s="1">
        <v>0</v>
      </c>
      <c r="AK1841" s="1">
        <v>0</v>
      </c>
      <c r="AL1841" s="1">
        <v>17</v>
      </c>
      <c r="AM1841" s="2">
        <v>42326</v>
      </c>
      <c r="AN1841" t="str">
        <f t="shared" si="57"/>
        <v>22010,25,0.00113584734211722,1,0,51,11,2,9,3,0,8,2,2,0,3,8,0,0,0,0,0,0,0,37,36-50,2523,0,0,0,1,0,0,1,0,0,17,42326</v>
      </c>
    </row>
    <row r="1842" spans="1:40" ht="13" hidden="1" x14ac:dyDescent="0.15">
      <c r="A1842">
        <v>877</v>
      </c>
      <c r="B1842" s="1">
        <v>25443</v>
      </c>
      <c r="C1842" s="1">
        <v>25</v>
      </c>
      <c r="D1842" s="4">
        <f t="shared" si="56"/>
        <v>9.8258853122666352E-4</v>
      </c>
      <c r="E1842" s="1">
        <v>1</v>
      </c>
      <c r="F1842" s="1">
        <v>0</v>
      </c>
      <c r="G1842" s="1">
        <v>82</v>
      </c>
      <c r="H1842" s="1">
        <v>1</v>
      </c>
      <c r="I1842" s="1">
        <v>4</v>
      </c>
      <c r="J1842" s="1">
        <v>3</v>
      </c>
      <c r="K1842" s="1">
        <v>8</v>
      </c>
      <c r="L1842" s="1">
        <v>9</v>
      </c>
      <c r="M1842" s="1">
        <v>7</v>
      </c>
      <c r="N1842" s="1">
        <v>1</v>
      </c>
      <c r="O1842" s="1">
        <v>1</v>
      </c>
      <c r="P1842" s="1">
        <v>0</v>
      </c>
      <c r="Q1842" s="1">
        <v>3</v>
      </c>
      <c r="R1842" s="1">
        <v>8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31</v>
      </c>
      <c r="AA1842" s="1" t="str" cm="1">
        <f t="array" ref="AA1842">_xlfn.IFS(AND(Z1842&lt;36, Z1842&gt;23), "24-35", AND(Z1842&lt;51, Z1842&gt;35),"36-50", AND(Z1842&lt;66, Z1842&gt;50), "51-66", Z1842&gt;65, "66+", TRUE, "?")</f>
        <v>24-35</v>
      </c>
      <c r="AB1842" s="1">
        <v>2713</v>
      </c>
      <c r="AC1842" s="1">
        <v>0</v>
      </c>
      <c r="AD1842" s="1">
        <v>1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18</v>
      </c>
      <c r="AM1842" s="2">
        <v>42136</v>
      </c>
      <c r="AN1842" t="str">
        <f t="shared" si="57"/>
        <v>25443,25,0.000982588531226664,1,0,82,1,4,3,8,9,7,1,1,0,3,8,0,0,0,0,0,0,0,31,24-35,2713,0,1,0,0,0,0,0,0,0,18,42136</v>
      </c>
    </row>
    <row r="1843" spans="1:40" ht="13" hidden="1" x14ac:dyDescent="0.15">
      <c r="A1843">
        <v>1372</v>
      </c>
      <c r="B1843" s="1">
        <v>19414</v>
      </c>
      <c r="C1843" s="1">
        <v>25</v>
      </c>
      <c r="D1843" s="4">
        <f t="shared" si="56"/>
        <v>1.2877305037601731E-3</v>
      </c>
      <c r="E1843" s="1">
        <v>1</v>
      </c>
      <c r="F1843" s="1">
        <v>0</v>
      </c>
      <c r="G1843" s="1">
        <v>32</v>
      </c>
      <c r="H1843" s="1">
        <v>2</v>
      </c>
      <c r="I1843" s="1">
        <v>3</v>
      </c>
      <c r="J1843" s="1">
        <v>12</v>
      </c>
      <c r="K1843" s="1">
        <v>3</v>
      </c>
      <c r="L1843" s="1">
        <v>5</v>
      </c>
      <c r="M1843" s="1">
        <v>7</v>
      </c>
      <c r="N1843" s="1">
        <v>1</v>
      </c>
      <c r="O1843" s="1">
        <v>1</v>
      </c>
      <c r="P1843" s="1">
        <v>0</v>
      </c>
      <c r="Q1843" s="1">
        <v>3</v>
      </c>
      <c r="R1843" s="1">
        <v>8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39</v>
      </c>
      <c r="AA1843" s="1" t="str" cm="1">
        <f t="array" ref="AA1843">_xlfn.IFS(AND(Z1843&lt;36, Z1843&gt;23), "24-35", AND(Z1843&lt;51, Z1843&gt;35),"36-50", AND(Z1843&lt;66, Z1843&gt;50), "51-66", Z1843&gt;65, "66+", TRUE, "?")</f>
        <v>36-50</v>
      </c>
      <c r="AB1843" s="1">
        <v>2415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1</v>
      </c>
      <c r="AI1843" s="1">
        <v>0</v>
      </c>
      <c r="AJ1843" s="1">
        <v>0</v>
      </c>
      <c r="AK1843" s="1">
        <v>0</v>
      </c>
      <c r="AL1843" s="1">
        <v>18</v>
      </c>
      <c r="AM1843" s="2">
        <v>42434</v>
      </c>
      <c r="AN1843" t="str">
        <f t="shared" si="57"/>
        <v>19414,25,0.00128773050376017,1,0,32,2,3,12,3,5,7,1,1,0,3,8,0,0,0,0,0,0,0,39,36-50,2415,0,0,0,1,0,1,0,0,0,18,42434</v>
      </c>
    </row>
    <row r="1844" spans="1:40" ht="13" hidden="1" x14ac:dyDescent="0.15">
      <c r="A1844">
        <v>1574</v>
      </c>
      <c r="B1844" s="1">
        <v>22108</v>
      </c>
      <c r="C1844" s="1">
        <v>25</v>
      </c>
      <c r="D1844" s="4">
        <f t="shared" si="56"/>
        <v>1.1308123756106386E-3</v>
      </c>
      <c r="E1844" s="1">
        <v>1</v>
      </c>
      <c r="F1844" s="1">
        <v>1</v>
      </c>
      <c r="G1844" s="1">
        <v>46</v>
      </c>
      <c r="H1844" s="1">
        <v>5</v>
      </c>
      <c r="I1844" s="1">
        <v>3</v>
      </c>
      <c r="J1844" s="1">
        <v>9</v>
      </c>
      <c r="K1844" s="1">
        <v>6</v>
      </c>
      <c r="L1844" s="1">
        <v>2</v>
      </c>
      <c r="M1844" s="1">
        <v>6</v>
      </c>
      <c r="N1844" s="1">
        <v>2</v>
      </c>
      <c r="O1844" s="1">
        <v>2</v>
      </c>
      <c r="P1844" s="1">
        <v>0</v>
      </c>
      <c r="Q1844" s="1">
        <v>3</v>
      </c>
      <c r="R1844" s="1">
        <v>7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43</v>
      </c>
      <c r="AA1844" s="1" t="str" cm="1">
        <f t="array" ref="AA1844">_xlfn.IFS(AND(Z1844&lt;36, Z1844&gt;23), "24-35", AND(Z1844&lt;51, Z1844&gt;35),"36-50", AND(Z1844&lt;66, Z1844&gt;50), "51-66", Z1844&gt;65, "66+", TRUE, "?")</f>
        <v>36-50</v>
      </c>
      <c r="AB1844" s="1">
        <v>2211</v>
      </c>
      <c r="AC1844" s="1">
        <v>0</v>
      </c>
      <c r="AD1844" s="1">
        <v>1</v>
      </c>
      <c r="AE1844" s="1">
        <v>0</v>
      </c>
      <c r="AF1844" s="1">
        <v>0</v>
      </c>
      <c r="AG1844" s="1">
        <v>0</v>
      </c>
      <c r="AH1844" s="1">
        <v>0</v>
      </c>
      <c r="AI1844" s="1">
        <v>1</v>
      </c>
      <c r="AJ1844" s="1">
        <v>0</v>
      </c>
      <c r="AK1844" s="1">
        <v>0</v>
      </c>
      <c r="AL1844" s="1">
        <v>19</v>
      </c>
      <c r="AM1844" s="2">
        <v>42638</v>
      </c>
      <c r="AN1844" t="str">
        <f t="shared" si="57"/>
        <v>22108,25,0.00113081237561064,1,1,46,5,3,9,6,2,6,2,2,0,3,7,0,0,0,0,0,0,0,43,36-50,2211,0,1,0,0,0,0,1,0,0,19,42638</v>
      </c>
    </row>
    <row r="1845" spans="1:40" ht="13" hidden="1" x14ac:dyDescent="0.15">
      <c r="A1845">
        <v>1686</v>
      </c>
      <c r="B1845" s="1">
        <v>25008</v>
      </c>
      <c r="C1845" s="1">
        <v>25</v>
      </c>
      <c r="D1845" s="4">
        <f t="shared" si="56"/>
        <v>9.9968010236724247E-4</v>
      </c>
      <c r="E1845" s="1">
        <v>1</v>
      </c>
      <c r="F1845" s="1">
        <v>0</v>
      </c>
      <c r="G1845" s="1">
        <v>72</v>
      </c>
      <c r="H1845" s="1">
        <v>2</v>
      </c>
      <c r="I1845" s="1">
        <v>8</v>
      </c>
      <c r="J1845" s="1">
        <v>8</v>
      </c>
      <c r="K1845" s="1">
        <v>6</v>
      </c>
      <c r="L1845" s="1">
        <v>1</v>
      </c>
      <c r="M1845" s="1">
        <v>9</v>
      </c>
      <c r="N1845" s="1">
        <v>2</v>
      </c>
      <c r="O1845" s="1">
        <v>1</v>
      </c>
      <c r="P1845" s="1">
        <v>0</v>
      </c>
      <c r="Q1845" s="1">
        <v>3</v>
      </c>
      <c r="R1845" s="1">
        <v>8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32</v>
      </c>
      <c r="AA1845" s="1" t="str" cm="1">
        <f t="array" ref="AA1845">_xlfn.IFS(AND(Z1845&lt;36, Z1845&gt;23), "24-35", AND(Z1845&lt;51, Z1845&gt;35),"36-50", AND(Z1845&lt;66, Z1845&gt;50), "51-66", Z1845&gt;65, "66+", TRUE, "?")</f>
        <v>24-35</v>
      </c>
      <c r="AB1845" s="1">
        <v>2306</v>
      </c>
      <c r="AC1845" s="1">
        <v>0</v>
      </c>
      <c r="AD1845" s="1">
        <v>0</v>
      </c>
      <c r="AE1845" s="1">
        <v>1</v>
      </c>
      <c r="AF1845" s="1">
        <v>0</v>
      </c>
      <c r="AG1845" s="1">
        <v>0</v>
      </c>
      <c r="AH1845" s="1">
        <v>0</v>
      </c>
      <c r="AI1845" s="1">
        <v>1</v>
      </c>
      <c r="AJ1845" s="1">
        <v>0</v>
      </c>
      <c r="AK1845" s="1">
        <v>0</v>
      </c>
      <c r="AL1845" s="1">
        <v>16</v>
      </c>
      <c r="AM1845" s="2">
        <v>42543</v>
      </c>
      <c r="AN1845" t="str">
        <f t="shared" si="57"/>
        <v>25008,25,0.000999680102367242,1,0,72,2,8,8,6,1,9,2,1,0,3,8,0,0,0,0,0,0,0,32,24-35,2306,0,0,1,0,0,0,1,0,0,16,42543</v>
      </c>
    </row>
    <row r="1846" spans="1:40" ht="13" hidden="1" x14ac:dyDescent="0.15">
      <c r="A1846">
        <v>53</v>
      </c>
      <c r="B1846" s="1">
        <v>27938</v>
      </c>
      <c r="C1846" s="1">
        <v>24</v>
      </c>
      <c r="D1846" s="4">
        <f t="shared" si="56"/>
        <v>8.5904502827689885E-4</v>
      </c>
      <c r="E1846" s="1">
        <v>1</v>
      </c>
      <c r="F1846" s="1">
        <v>0</v>
      </c>
      <c r="G1846" s="1">
        <v>31</v>
      </c>
      <c r="H1846" s="1">
        <v>13</v>
      </c>
      <c r="I1846" s="1">
        <v>0</v>
      </c>
      <c r="J1846" s="1">
        <v>8</v>
      </c>
      <c r="K1846" s="1">
        <v>2</v>
      </c>
      <c r="L1846" s="1">
        <v>1</v>
      </c>
      <c r="M1846" s="1">
        <v>5</v>
      </c>
      <c r="N1846" s="1">
        <v>1</v>
      </c>
      <c r="O1846" s="1">
        <v>1</v>
      </c>
      <c r="P1846" s="1">
        <v>0</v>
      </c>
      <c r="Q1846" s="1">
        <v>4</v>
      </c>
      <c r="R1846" s="1">
        <v>3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32</v>
      </c>
      <c r="AA1846" s="1" t="str" cm="1">
        <f t="array" ref="AA1846">_xlfn.IFS(AND(Z1846&lt;36, Z1846&gt;23), "24-35", AND(Z1846&lt;51, Z1846&gt;35),"36-50", AND(Z1846&lt;66, Z1846&gt;50), "51-66", Z1846&gt;65, "66+", TRUE, "?")</f>
        <v>24-35</v>
      </c>
      <c r="AB1846" s="1">
        <v>2221</v>
      </c>
      <c r="AC1846" s="1">
        <v>0</v>
      </c>
      <c r="AD1846" s="1">
        <v>0</v>
      </c>
      <c r="AE1846" s="1">
        <v>1</v>
      </c>
      <c r="AF1846" s="1">
        <v>0</v>
      </c>
      <c r="AG1846" s="1">
        <v>0</v>
      </c>
      <c r="AH1846" s="1">
        <v>0</v>
      </c>
      <c r="AI1846" s="1">
        <v>1</v>
      </c>
      <c r="AJ1846" s="1">
        <v>0</v>
      </c>
      <c r="AK1846" s="1">
        <v>0</v>
      </c>
      <c r="AL1846" s="1">
        <v>19</v>
      </c>
      <c r="AM1846" s="2">
        <v>42628</v>
      </c>
      <c r="AN1846" t="str">
        <f t="shared" si="57"/>
        <v>27938,24,0.000859045028276899,1,0,31,13,0,8,2,1,5,1,1,0,4,3,0,0,0,0,0,0,0,32,24-35,2221,0,0,1,0,0,0,1,0,0,19,42628</v>
      </c>
    </row>
    <row r="1847" spans="1:40" ht="13" hidden="1" x14ac:dyDescent="0.15">
      <c r="A1847">
        <v>178</v>
      </c>
      <c r="B1847" s="1">
        <v>31353</v>
      </c>
      <c r="C1847" s="1">
        <v>24</v>
      </c>
      <c r="D1847" s="4">
        <f t="shared" si="56"/>
        <v>7.6547698784805278E-4</v>
      </c>
      <c r="E1847" s="1">
        <v>1</v>
      </c>
      <c r="F1847" s="1">
        <v>1</v>
      </c>
      <c r="G1847" s="1">
        <v>24</v>
      </c>
      <c r="H1847" s="1">
        <v>10</v>
      </c>
      <c r="I1847" s="1">
        <v>0</v>
      </c>
      <c r="J1847" s="1">
        <v>10</v>
      </c>
      <c r="K1847" s="1">
        <v>3</v>
      </c>
      <c r="L1847" s="1">
        <v>1</v>
      </c>
      <c r="M1847" s="1">
        <v>7</v>
      </c>
      <c r="N1847" s="1">
        <v>2</v>
      </c>
      <c r="O1847" s="1">
        <v>1</v>
      </c>
      <c r="P1847" s="1">
        <v>1</v>
      </c>
      <c r="Q1847" s="1">
        <v>2</v>
      </c>
      <c r="R1847" s="1">
        <v>8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43</v>
      </c>
      <c r="AA1847" s="1" t="str" cm="1">
        <f t="array" ref="AA1847">_xlfn.IFS(AND(Z1847&lt;36, Z1847&gt;23), "24-35", AND(Z1847&lt;51, Z1847&gt;35),"36-50", AND(Z1847&lt;66, Z1847&gt;50), "51-66", Z1847&gt;65, "66+", TRUE, "?")</f>
        <v>36-50</v>
      </c>
      <c r="AB1847" s="1">
        <v>2341</v>
      </c>
      <c r="AC1847" s="1">
        <v>0</v>
      </c>
      <c r="AD1847" s="1">
        <v>1</v>
      </c>
      <c r="AE1847" s="1">
        <v>0</v>
      </c>
      <c r="AF1847" s="1">
        <v>0</v>
      </c>
      <c r="AG1847" s="1">
        <v>0</v>
      </c>
      <c r="AH1847" s="1">
        <v>0</v>
      </c>
      <c r="AI1847" s="1">
        <v>1</v>
      </c>
      <c r="AJ1847" s="1">
        <v>0</v>
      </c>
      <c r="AK1847" s="1">
        <v>0</v>
      </c>
      <c r="AL1847" s="1">
        <v>17</v>
      </c>
      <c r="AM1847" s="2">
        <v>42508</v>
      </c>
      <c r="AN1847" t="str">
        <f t="shared" si="57"/>
        <v>31353,24,0.000765476987848053,1,1,24,10,0,10,3,1,7,2,1,1,2,8,0,0,0,0,0,0,0,43,36-50,2341,0,1,0,0,0,0,1,0,0,17,42508</v>
      </c>
    </row>
    <row r="1848" spans="1:40" ht="13" hidden="1" x14ac:dyDescent="0.15">
      <c r="A1848">
        <v>274</v>
      </c>
      <c r="B1848" s="1">
        <v>35388</v>
      </c>
      <c r="C1848" s="1">
        <v>24</v>
      </c>
      <c r="D1848" s="4">
        <f t="shared" si="56"/>
        <v>6.7819599864360806E-4</v>
      </c>
      <c r="E1848" s="1">
        <v>1</v>
      </c>
      <c r="F1848" s="1">
        <v>0</v>
      </c>
      <c r="G1848" s="1">
        <v>20</v>
      </c>
      <c r="H1848" s="1">
        <v>6</v>
      </c>
      <c r="I1848" s="1">
        <v>4</v>
      </c>
      <c r="J1848" s="1">
        <v>7</v>
      </c>
      <c r="K1848" s="1">
        <v>4</v>
      </c>
      <c r="L1848" s="1">
        <v>3</v>
      </c>
      <c r="M1848" s="1">
        <v>8</v>
      </c>
      <c r="N1848" s="1">
        <v>1</v>
      </c>
      <c r="O1848" s="1">
        <v>1</v>
      </c>
      <c r="P1848" s="1">
        <v>0</v>
      </c>
      <c r="Q1848" s="1">
        <v>3</v>
      </c>
      <c r="R1848" s="1">
        <v>7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32</v>
      </c>
      <c r="AA1848" s="1" t="str" cm="1">
        <f t="array" ref="AA1848">_xlfn.IFS(AND(Z1848&lt;36, Z1848&gt;23), "24-35", AND(Z1848&lt;51, Z1848&gt;35),"36-50", AND(Z1848&lt;66, Z1848&gt;50), "51-66", Z1848&gt;65, "66+", TRUE, "?")</f>
        <v>24-35</v>
      </c>
      <c r="AB1848" s="1">
        <v>2638</v>
      </c>
      <c r="AC1848" s="1">
        <v>1</v>
      </c>
      <c r="AD1848" s="1">
        <v>0</v>
      </c>
      <c r="AE1848" s="1">
        <v>0</v>
      </c>
      <c r="AF1848" s="1">
        <v>0</v>
      </c>
      <c r="AG1848" s="1">
        <v>0</v>
      </c>
      <c r="AH1848" s="1">
        <v>1</v>
      </c>
      <c r="AI1848" s="1">
        <v>0</v>
      </c>
      <c r="AJ1848" s="1">
        <v>0</v>
      </c>
      <c r="AK1848" s="1">
        <v>0</v>
      </c>
      <c r="AL1848" s="1">
        <v>16</v>
      </c>
      <c r="AM1848" s="2">
        <v>42211</v>
      </c>
      <c r="AN1848" t="str">
        <f t="shared" si="57"/>
        <v>35388,24,0.000678195998643608,1,0,20,6,4,7,4,3,8,1,1,0,3,7,0,0,0,0,0,0,0,32,24-35,2638,1,0,0,0,0,1,0,0,0,16,42211</v>
      </c>
    </row>
    <row r="1849" spans="1:40" ht="13" hidden="1" x14ac:dyDescent="0.15">
      <c r="A1849">
        <v>622</v>
      </c>
      <c r="B1849" s="1">
        <v>14661</v>
      </c>
      <c r="C1849" s="1">
        <v>24</v>
      </c>
      <c r="D1849" s="4">
        <f t="shared" si="56"/>
        <v>1.6369961121342337E-3</v>
      </c>
      <c r="E1849" s="1">
        <v>0</v>
      </c>
      <c r="F1849" s="1">
        <v>0</v>
      </c>
      <c r="G1849" s="1">
        <v>88</v>
      </c>
      <c r="H1849" s="1">
        <v>4</v>
      </c>
      <c r="I1849" s="1">
        <v>1</v>
      </c>
      <c r="J1849" s="1">
        <v>11</v>
      </c>
      <c r="K1849" s="1">
        <v>6</v>
      </c>
      <c r="L1849" s="1">
        <v>2</v>
      </c>
      <c r="M1849" s="1">
        <v>2</v>
      </c>
      <c r="N1849" s="1">
        <v>1</v>
      </c>
      <c r="O1849" s="1">
        <v>1</v>
      </c>
      <c r="P1849" s="1">
        <v>0</v>
      </c>
      <c r="Q1849" s="1">
        <v>3</v>
      </c>
      <c r="R1849" s="1">
        <v>6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64</v>
      </c>
      <c r="AA1849" s="1" t="str" cm="1">
        <f t="array" ref="AA1849">_xlfn.IFS(AND(Z1849&lt;36, Z1849&gt;23), "24-35", AND(Z1849&lt;51, Z1849&gt;35),"36-50", AND(Z1849&lt;66, Z1849&gt;50), "51-66", Z1849&gt;65, "66+", TRUE, "?")</f>
        <v>51-66</v>
      </c>
      <c r="AB1849" s="1">
        <v>2703</v>
      </c>
      <c r="AC1849" s="1">
        <v>0</v>
      </c>
      <c r="AD1849" s="1">
        <v>0</v>
      </c>
      <c r="AE1849" s="1">
        <v>0</v>
      </c>
      <c r="AF1849" s="1">
        <v>1</v>
      </c>
      <c r="AG1849" s="1">
        <v>0</v>
      </c>
      <c r="AH1849" s="1">
        <v>0</v>
      </c>
      <c r="AI1849" s="1">
        <v>0</v>
      </c>
      <c r="AJ1849" s="1">
        <v>1</v>
      </c>
      <c r="AK1849" s="1">
        <v>0</v>
      </c>
      <c r="AL1849" s="1">
        <v>22</v>
      </c>
      <c r="AM1849" s="2">
        <v>42146</v>
      </c>
      <c r="AN1849" t="str">
        <f t="shared" si="57"/>
        <v>14661,24,0.00163699611213423,0,0,88,4,1,11,6,2,2,1,1,0,3,6,0,0,0,0,0,0,0,64,51-66,2703,0,0,0,1,0,0,0,1,0,22,42146</v>
      </c>
    </row>
    <row r="1850" spans="1:40" ht="13" hidden="1" x14ac:dyDescent="0.15">
      <c r="A1850">
        <v>732</v>
      </c>
      <c r="B1850" s="1">
        <v>36283</v>
      </c>
      <c r="C1850" s="1">
        <v>24</v>
      </c>
      <c r="D1850" s="4">
        <f t="shared" si="56"/>
        <v>6.614668026348428E-4</v>
      </c>
      <c r="E1850" s="1">
        <v>1</v>
      </c>
      <c r="F1850" s="1">
        <v>1</v>
      </c>
      <c r="G1850" s="1">
        <v>42</v>
      </c>
      <c r="H1850" s="1">
        <v>6</v>
      </c>
      <c r="I1850" s="1">
        <v>5</v>
      </c>
      <c r="J1850" s="1">
        <v>5</v>
      </c>
      <c r="K1850" s="1">
        <v>8</v>
      </c>
      <c r="L1850" s="1">
        <v>0</v>
      </c>
      <c r="M1850" s="1">
        <v>5</v>
      </c>
      <c r="N1850" s="1">
        <v>2</v>
      </c>
      <c r="O1850" s="1">
        <v>1</v>
      </c>
      <c r="P1850" s="1">
        <v>0</v>
      </c>
      <c r="Q1850" s="1">
        <v>3</v>
      </c>
      <c r="R1850" s="1">
        <v>4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44</v>
      </c>
      <c r="AA1850" s="1" t="str" cm="1">
        <f t="array" ref="AA1850">_xlfn.IFS(AND(Z1850&lt;36, Z1850&gt;23), "24-35", AND(Z1850&lt;51, Z1850&gt;35),"36-50", AND(Z1850&lt;66, Z1850&gt;50), "51-66", Z1850&gt;65, "66+", TRUE, "?")</f>
        <v>36-50</v>
      </c>
      <c r="AB1850" s="1">
        <v>2235</v>
      </c>
      <c r="AC1850" s="1">
        <v>0</v>
      </c>
      <c r="AD1850" s="1">
        <v>0</v>
      </c>
      <c r="AE1850" s="1">
        <v>0</v>
      </c>
      <c r="AF1850" s="1">
        <v>1</v>
      </c>
      <c r="AG1850" s="1">
        <v>0</v>
      </c>
      <c r="AH1850" s="1">
        <v>0</v>
      </c>
      <c r="AI1850" s="1">
        <v>1</v>
      </c>
      <c r="AJ1850" s="1">
        <v>0</v>
      </c>
      <c r="AK1850" s="1">
        <v>0</v>
      </c>
      <c r="AL1850" s="1">
        <v>19</v>
      </c>
      <c r="AM1850" s="2">
        <v>42614</v>
      </c>
      <c r="AN1850" t="str">
        <f t="shared" si="57"/>
        <v>36283,24,0.000661466802634843,1,1,42,6,5,5,8,0,5,2,1,0,3,4,0,0,0,0,0,0,0,44,36-50,2235,0,0,0,1,0,0,1,0,0,19,42614</v>
      </c>
    </row>
    <row r="1851" spans="1:40" ht="13" hidden="1" x14ac:dyDescent="0.15">
      <c r="A1851">
        <v>1001</v>
      </c>
      <c r="B1851" s="1">
        <v>16860</v>
      </c>
      <c r="C1851" s="1">
        <v>24</v>
      </c>
      <c r="D1851" s="4">
        <f t="shared" si="56"/>
        <v>1.4234875444839859E-3</v>
      </c>
      <c r="E1851" s="1">
        <v>1</v>
      </c>
      <c r="F1851" s="1">
        <v>1</v>
      </c>
      <c r="G1851" s="1">
        <v>19</v>
      </c>
      <c r="H1851" s="1">
        <v>10</v>
      </c>
      <c r="I1851" s="1">
        <v>4</v>
      </c>
      <c r="J1851" s="1">
        <v>4</v>
      </c>
      <c r="K1851" s="1">
        <v>3</v>
      </c>
      <c r="L1851" s="1">
        <v>3</v>
      </c>
      <c r="M1851" s="1">
        <v>14</v>
      </c>
      <c r="N1851" s="1">
        <v>3</v>
      </c>
      <c r="O1851" s="1">
        <v>1</v>
      </c>
      <c r="P1851" s="1">
        <v>1</v>
      </c>
      <c r="Q1851" s="1">
        <v>3</v>
      </c>
      <c r="R1851" s="1">
        <v>7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59</v>
      </c>
      <c r="AA1851" s="1" t="str" cm="1">
        <f t="array" ref="AA1851">_xlfn.IFS(AND(Z1851&lt;36, Z1851&gt;23), "24-35", AND(Z1851&lt;51, Z1851&gt;35),"36-50", AND(Z1851&lt;66, Z1851&gt;50), "51-66", Z1851&gt;65, "66+", TRUE, "?")</f>
        <v>51-66</v>
      </c>
      <c r="AB1851" s="1">
        <v>2814</v>
      </c>
      <c r="AC1851" s="1">
        <v>0</v>
      </c>
      <c r="AD1851" s="1">
        <v>1</v>
      </c>
      <c r="AE1851" s="1">
        <v>0</v>
      </c>
      <c r="AF1851" s="1">
        <v>0</v>
      </c>
      <c r="AG1851" s="1">
        <v>0</v>
      </c>
      <c r="AH1851" s="1">
        <v>0</v>
      </c>
      <c r="AI1851" s="1">
        <v>1</v>
      </c>
      <c r="AJ1851" s="1">
        <v>0</v>
      </c>
      <c r="AK1851" s="1">
        <v>0</v>
      </c>
      <c r="AL1851" s="1">
        <v>10</v>
      </c>
      <c r="AM1851" s="2">
        <v>42035</v>
      </c>
      <c r="AN1851" t="str">
        <f t="shared" si="57"/>
        <v>16860,24,0.00142348754448399,1,1,19,10,4,4,3,3,14,3,1,1,3,7,0,0,0,0,0,0,0,59,51-66,2814,0,1,0,0,0,0,1,0,0,10,42035</v>
      </c>
    </row>
    <row r="1852" spans="1:40" ht="13" hidden="1" x14ac:dyDescent="0.15">
      <c r="A1852">
        <v>1261</v>
      </c>
      <c r="B1852" s="1">
        <v>26887</v>
      </c>
      <c r="C1852" s="1">
        <v>24</v>
      </c>
      <c r="D1852" s="4">
        <f t="shared" si="56"/>
        <v>8.9262468851117641E-4</v>
      </c>
      <c r="E1852" s="1">
        <v>0</v>
      </c>
      <c r="F1852" s="1">
        <v>1</v>
      </c>
      <c r="G1852" s="1">
        <v>27</v>
      </c>
      <c r="H1852" s="1">
        <v>6</v>
      </c>
      <c r="I1852" s="1">
        <v>7</v>
      </c>
      <c r="J1852" s="1">
        <v>4</v>
      </c>
      <c r="K1852" s="1">
        <v>3</v>
      </c>
      <c r="L1852" s="1">
        <v>4</v>
      </c>
      <c r="M1852" s="1">
        <v>6</v>
      </c>
      <c r="N1852" s="1">
        <v>1</v>
      </c>
      <c r="O1852" s="1">
        <v>1</v>
      </c>
      <c r="P1852" s="1">
        <v>0</v>
      </c>
      <c r="Q1852" s="1">
        <v>3</v>
      </c>
      <c r="R1852" s="1">
        <v>6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61</v>
      </c>
      <c r="AA1852" s="1" t="str" cm="1">
        <f t="array" ref="AA1852">_xlfn.IFS(AND(Z1852&lt;36, Z1852&gt;23), "24-35", AND(Z1852&lt;51, Z1852&gt;35),"36-50", AND(Z1852&lt;66, Z1852&gt;50), "51-66", Z1852&gt;65, "66+", TRUE, "?")</f>
        <v>51-66</v>
      </c>
      <c r="AB1852" s="1">
        <v>2663</v>
      </c>
      <c r="AC1852" s="1">
        <v>0</v>
      </c>
      <c r="AD1852" s="1">
        <v>1</v>
      </c>
      <c r="AE1852" s="1">
        <v>0</v>
      </c>
      <c r="AF1852" s="1">
        <v>0</v>
      </c>
      <c r="AG1852" s="1">
        <v>0</v>
      </c>
      <c r="AH1852" s="1">
        <v>1</v>
      </c>
      <c r="AI1852" s="1">
        <v>0</v>
      </c>
      <c r="AJ1852" s="1">
        <v>0</v>
      </c>
      <c r="AK1852" s="1">
        <v>0</v>
      </c>
      <c r="AL1852" s="1">
        <v>18</v>
      </c>
      <c r="AM1852" s="2">
        <v>42186</v>
      </c>
      <c r="AN1852" t="str">
        <f t="shared" si="57"/>
        <v>26887,24,0.000892624688511176,0,1,27,6,7,4,3,4,6,1,1,0,3,6,0,0,0,0,0,0,0,61,51-66,2663,0,1,0,0,0,1,0,0,0,18,42186</v>
      </c>
    </row>
    <row r="1853" spans="1:40" ht="13" hidden="1" x14ac:dyDescent="0.15">
      <c r="A1853">
        <v>1505</v>
      </c>
      <c r="B1853" s="1">
        <v>30560</v>
      </c>
      <c r="C1853" s="1">
        <v>24</v>
      </c>
      <c r="D1853" s="4">
        <f t="shared" si="56"/>
        <v>7.8534031413612568E-4</v>
      </c>
      <c r="E1853" s="1">
        <v>1</v>
      </c>
      <c r="F1853" s="1">
        <v>0</v>
      </c>
      <c r="G1853" s="1">
        <v>6</v>
      </c>
      <c r="H1853" s="1">
        <v>9</v>
      </c>
      <c r="I1853" s="1">
        <v>1</v>
      </c>
      <c r="J1853" s="1">
        <v>5</v>
      </c>
      <c r="K1853" s="1">
        <v>4</v>
      </c>
      <c r="L1853" s="1">
        <v>5</v>
      </c>
      <c r="M1853" s="1">
        <v>7</v>
      </c>
      <c r="N1853" s="1">
        <v>1</v>
      </c>
      <c r="O1853" s="1">
        <v>1</v>
      </c>
      <c r="P1853" s="1">
        <v>0</v>
      </c>
      <c r="Q1853" s="1">
        <v>3</v>
      </c>
      <c r="R1853" s="1">
        <v>7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44</v>
      </c>
      <c r="AA1853" s="1" t="str" cm="1">
        <f t="array" ref="AA1853">_xlfn.IFS(AND(Z1853&lt;36, Z1853&gt;23), "24-35", AND(Z1853&lt;51, Z1853&gt;35),"36-50", AND(Z1853&lt;66, Z1853&gt;50), "51-66", Z1853&gt;65, "66+", TRUE, "?")</f>
        <v>36-50</v>
      </c>
      <c r="AB1853" s="1">
        <v>2526</v>
      </c>
      <c r="AC1853" s="1">
        <v>0</v>
      </c>
      <c r="AD1853" s="1">
        <v>0</v>
      </c>
      <c r="AE1853" s="1">
        <v>0</v>
      </c>
      <c r="AF1853" s="1">
        <v>1</v>
      </c>
      <c r="AG1853" s="1">
        <v>0</v>
      </c>
      <c r="AH1853" s="1">
        <v>0</v>
      </c>
      <c r="AI1853" s="1">
        <v>0</v>
      </c>
      <c r="AJ1853" s="1">
        <v>1</v>
      </c>
      <c r="AK1853" s="1">
        <v>0</v>
      </c>
      <c r="AL1853" s="1">
        <v>17</v>
      </c>
      <c r="AM1853" s="2">
        <v>42323</v>
      </c>
      <c r="AN1853" t="str">
        <f t="shared" si="57"/>
        <v>30560,24,0.000785340314136126,1,0,6,9,1,5,4,5,7,1,1,0,3,7,0,0,0,0,0,0,0,44,36-50,2526,0,0,0,1,0,0,0,1,0,17,42323</v>
      </c>
    </row>
    <row r="1854" spans="1:40" ht="13" hidden="1" x14ac:dyDescent="0.15">
      <c r="A1854">
        <v>1517</v>
      </c>
      <c r="B1854" s="1">
        <v>25358</v>
      </c>
      <c r="C1854" s="1">
        <v>24</v>
      </c>
      <c r="D1854" s="4">
        <f t="shared" si="56"/>
        <v>9.4644688066882247E-4</v>
      </c>
      <c r="E1854" s="1">
        <v>0</v>
      </c>
      <c r="F1854" s="1">
        <v>1</v>
      </c>
      <c r="G1854" s="1">
        <v>57</v>
      </c>
      <c r="H1854" s="1">
        <v>19</v>
      </c>
      <c r="I1854" s="1">
        <v>0</v>
      </c>
      <c r="J1854" s="1">
        <v>5</v>
      </c>
      <c r="K1854" s="1">
        <v>0</v>
      </c>
      <c r="L1854" s="1">
        <v>0</v>
      </c>
      <c r="M1854" s="1">
        <v>8</v>
      </c>
      <c r="N1854" s="1">
        <v>2</v>
      </c>
      <c r="O1854" s="1">
        <v>1</v>
      </c>
      <c r="P1854" s="1">
        <v>0</v>
      </c>
      <c r="Q1854" s="1">
        <v>3</v>
      </c>
      <c r="R1854" s="1">
        <v>6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73</v>
      </c>
      <c r="AA1854" s="1" t="str" cm="1">
        <f t="array" ref="AA1854">_xlfn.IFS(AND(Z1854&lt;36, Z1854&gt;23), "24-35", AND(Z1854&lt;51, Z1854&gt;35),"36-50", AND(Z1854&lt;66, Z1854&gt;50), "51-66", Z1854&gt;65, "66+", TRUE, "?")</f>
        <v>66+</v>
      </c>
      <c r="AB1854" s="1">
        <v>2501</v>
      </c>
      <c r="AC1854" s="1">
        <v>0</v>
      </c>
      <c r="AD1854" s="1">
        <v>0</v>
      </c>
      <c r="AE1854" s="1">
        <v>0</v>
      </c>
      <c r="AF1854" s="1">
        <v>0</v>
      </c>
      <c r="AG1854" s="1">
        <v>1</v>
      </c>
      <c r="AH1854" s="1">
        <v>0</v>
      </c>
      <c r="AI1854" s="1">
        <v>0</v>
      </c>
      <c r="AJ1854" s="1">
        <v>0</v>
      </c>
      <c r="AK1854" s="1">
        <v>1</v>
      </c>
      <c r="AL1854" s="1">
        <v>16</v>
      </c>
      <c r="AM1854" s="2">
        <v>42348</v>
      </c>
      <c r="AN1854" t="str">
        <f t="shared" si="57"/>
        <v>25358,24,0.000946446880668822,0,1,57,19,0,5,0,0,8,2,1,0,3,6,0,0,0,0,0,0,0,73,66+,2501,0,0,0,0,1,0,0,0,1,16,42348</v>
      </c>
    </row>
    <row r="1855" spans="1:40" ht="13" hidden="1" x14ac:dyDescent="0.15">
      <c r="A1855">
        <v>1621</v>
      </c>
      <c r="B1855" s="1">
        <v>42664</v>
      </c>
      <c r="C1855" s="1">
        <v>24</v>
      </c>
      <c r="D1855" s="4">
        <f t="shared" si="56"/>
        <v>5.6253515844740295E-4</v>
      </c>
      <c r="E1855" s="1">
        <v>0</v>
      </c>
      <c r="F1855" s="1">
        <v>1</v>
      </c>
      <c r="G1855" s="1">
        <v>44</v>
      </c>
      <c r="H1855" s="1">
        <v>21</v>
      </c>
      <c r="I1855" s="1">
        <v>0</v>
      </c>
      <c r="J1855" s="1">
        <v>3</v>
      </c>
      <c r="K1855" s="1">
        <v>0</v>
      </c>
      <c r="L1855" s="1">
        <v>0</v>
      </c>
      <c r="M1855" s="1">
        <v>0</v>
      </c>
      <c r="N1855" s="1">
        <v>1</v>
      </c>
      <c r="O1855" s="1">
        <v>1</v>
      </c>
      <c r="P1855" s="1">
        <v>0</v>
      </c>
      <c r="Q1855" s="1">
        <v>3</v>
      </c>
      <c r="R1855" s="1">
        <v>6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53</v>
      </c>
      <c r="AA1855" s="1" t="str" cm="1">
        <f t="array" ref="AA1855">_xlfn.IFS(AND(Z1855&lt;36, Z1855&gt;23), "24-35", AND(Z1855&lt;51, Z1855&gt;35),"36-50", AND(Z1855&lt;66, Z1855&gt;50), "51-66", Z1855&gt;65, "66+", TRUE, "?")</f>
        <v>51-66</v>
      </c>
      <c r="AB1855" s="1">
        <v>2262</v>
      </c>
      <c r="AC1855" s="1">
        <v>0</v>
      </c>
      <c r="AD1855" s="1">
        <v>1</v>
      </c>
      <c r="AE1855" s="1">
        <v>0</v>
      </c>
      <c r="AF1855" s="1">
        <v>0</v>
      </c>
      <c r="AG1855" s="1">
        <v>0</v>
      </c>
      <c r="AH1855" s="1">
        <v>0</v>
      </c>
      <c r="AI1855" s="1">
        <v>1</v>
      </c>
      <c r="AJ1855" s="1">
        <v>0</v>
      </c>
      <c r="AK1855" s="1">
        <v>0</v>
      </c>
      <c r="AL1855" s="1">
        <v>24</v>
      </c>
      <c r="AM1855" s="2">
        <v>42587</v>
      </c>
      <c r="AN1855" t="str">
        <f t="shared" si="57"/>
        <v>42664,24,0.000562535158447403,0,1,44,21,0,3,0,0,0,1,1,0,3,6,0,0,0,0,0,0,0,53,51-66,2262,0,1,0,0,0,0,1,0,0,24,42587</v>
      </c>
    </row>
    <row r="1856" spans="1:40" ht="13" x14ac:dyDescent="0.15">
      <c r="A1856">
        <v>1955</v>
      </c>
      <c r="B1856" s="1">
        <v>31353</v>
      </c>
      <c r="C1856" s="1">
        <v>24</v>
      </c>
      <c r="D1856" s="4">
        <f t="shared" si="56"/>
        <v>7.6547698784805278E-4</v>
      </c>
      <c r="E1856" s="1">
        <v>1</v>
      </c>
      <c r="F1856" s="1">
        <v>1</v>
      </c>
      <c r="G1856" s="1">
        <v>24</v>
      </c>
      <c r="H1856" s="1">
        <v>10</v>
      </c>
      <c r="I1856" s="1">
        <v>0</v>
      </c>
      <c r="J1856" s="1">
        <v>10</v>
      </c>
      <c r="K1856" s="1">
        <v>3</v>
      </c>
      <c r="L1856" s="1">
        <v>1</v>
      </c>
      <c r="M1856" s="1">
        <v>7</v>
      </c>
      <c r="N1856" s="1">
        <v>2</v>
      </c>
      <c r="O1856" s="1">
        <v>1</v>
      </c>
      <c r="P1856" s="1">
        <v>1</v>
      </c>
      <c r="Q1856" s="1">
        <v>2</v>
      </c>
      <c r="R1856" s="1">
        <v>8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1</v>
      </c>
      <c r="Z1856" s="1">
        <v>43</v>
      </c>
      <c r="AA1856" s="1" t="str" cm="1">
        <f t="array" ref="AA1856">_xlfn.IFS(AND(Z1856&lt;36, Z1856&gt;23), "24-35", AND(Z1856&lt;51, Z1856&gt;35),"36-50", AND(Z1856&lt;66, Z1856&gt;50), "51-66", Z1856&gt;65, "66+", TRUE, "?")</f>
        <v>36-50</v>
      </c>
      <c r="AB1856" s="1">
        <v>2341</v>
      </c>
      <c r="AC1856" s="1">
        <v>0</v>
      </c>
      <c r="AD1856" s="1">
        <v>1</v>
      </c>
      <c r="AE1856" s="1">
        <v>0</v>
      </c>
      <c r="AF1856" s="1">
        <v>0</v>
      </c>
      <c r="AG1856" s="1">
        <v>0</v>
      </c>
      <c r="AH1856" s="1">
        <v>0</v>
      </c>
      <c r="AI1856" s="1">
        <v>1</v>
      </c>
      <c r="AJ1856" s="1">
        <v>0</v>
      </c>
      <c r="AK1856" s="1">
        <v>0</v>
      </c>
      <c r="AL1856" s="1">
        <v>17</v>
      </c>
      <c r="AM1856" s="2">
        <v>42508</v>
      </c>
      <c r="AN1856" t="str">
        <f t="shared" si="57"/>
        <v>31353,24,0.000765476987848053,1,1,24,10,0,10,3,1,7,2,1,1,2,8,0,0,0,0,0,0,1,43,36-50,2341,0,1,0,0,0,0,1,0,0,17,42508</v>
      </c>
    </row>
    <row r="1857" spans="1:40" ht="13" hidden="1" x14ac:dyDescent="0.15">
      <c r="A1857">
        <v>111</v>
      </c>
      <c r="B1857" s="1">
        <v>19510</v>
      </c>
      <c r="C1857" s="1">
        <v>23</v>
      </c>
      <c r="D1857" s="4">
        <f t="shared" si="56"/>
        <v>1.1788826242952332E-3</v>
      </c>
      <c r="E1857" s="1">
        <v>2</v>
      </c>
      <c r="F1857" s="1">
        <v>0</v>
      </c>
      <c r="G1857" s="1">
        <v>63</v>
      </c>
      <c r="H1857" s="1">
        <v>9</v>
      </c>
      <c r="I1857" s="1">
        <v>0</v>
      </c>
      <c r="J1857" s="1">
        <v>7</v>
      </c>
      <c r="K1857" s="1">
        <v>3</v>
      </c>
      <c r="L1857" s="1">
        <v>4</v>
      </c>
      <c r="M1857" s="1">
        <v>7</v>
      </c>
      <c r="N1857" s="1">
        <v>2</v>
      </c>
      <c r="O1857" s="1">
        <v>1</v>
      </c>
      <c r="P1857" s="1">
        <v>0</v>
      </c>
      <c r="Q1857" s="1">
        <v>3</v>
      </c>
      <c r="R1857" s="1">
        <v>7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35</v>
      </c>
      <c r="AA1857" s="1" t="str" cm="1">
        <f t="array" ref="AA1857">_xlfn.IFS(AND(Z1857&lt;36, Z1857&gt;23), "24-35", AND(Z1857&lt;51, Z1857&gt;35),"36-50", AND(Z1857&lt;66, Z1857&gt;50), "51-66", Z1857&gt;65, "66+", TRUE, "?")</f>
        <v>24-35</v>
      </c>
      <c r="AB1857" s="1">
        <v>2457</v>
      </c>
      <c r="AC1857" s="1">
        <v>0</v>
      </c>
      <c r="AD1857" s="1">
        <v>1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1</v>
      </c>
      <c r="AK1857" s="1">
        <v>0</v>
      </c>
      <c r="AL1857" s="1">
        <v>16</v>
      </c>
      <c r="AM1857" s="2">
        <v>42392</v>
      </c>
      <c r="AN1857" t="str">
        <f t="shared" si="57"/>
        <v>19510,23,0.00117888262429523,2,0,63,9,0,7,3,4,7,2,1,0,3,7,0,0,0,0,0,0,0,35,24-35,2457,0,1,0,0,0,0,0,1,0,16,42392</v>
      </c>
    </row>
    <row r="1858" spans="1:40" ht="13" hidden="1" x14ac:dyDescent="0.15">
      <c r="A1858">
        <v>1280</v>
      </c>
      <c r="B1858" s="1">
        <v>37971</v>
      </c>
      <c r="C1858" s="1">
        <v>23</v>
      </c>
      <c r="D1858" s="4">
        <f t="shared" ref="D1858:D1921" si="58">C1858/B1858</f>
        <v>6.0572542203260384E-4</v>
      </c>
      <c r="E1858" s="1">
        <v>1</v>
      </c>
      <c r="F1858" s="1">
        <v>0</v>
      </c>
      <c r="G1858" s="1">
        <v>97</v>
      </c>
      <c r="H1858" s="1">
        <v>5</v>
      </c>
      <c r="I1858" s="1">
        <v>4</v>
      </c>
      <c r="J1858" s="1">
        <v>10</v>
      </c>
      <c r="K1858" s="1">
        <v>2</v>
      </c>
      <c r="L1858" s="1">
        <v>2</v>
      </c>
      <c r="M1858" s="1">
        <v>7</v>
      </c>
      <c r="N1858" s="1">
        <v>1</v>
      </c>
      <c r="O1858" s="1">
        <v>1</v>
      </c>
      <c r="P1858" s="1">
        <v>0</v>
      </c>
      <c r="Q1858" s="1">
        <v>3</v>
      </c>
      <c r="R1858" s="1">
        <v>8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47</v>
      </c>
      <c r="AA1858" s="1" t="str" cm="1">
        <f t="array" ref="AA1858">_xlfn.IFS(AND(Z1858&lt;36, Z1858&gt;23), "24-35", AND(Z1858&lt;51, Z1858&gt;35),"36-50", AND(Z1858&lt;66, Z1858&gt;50), "51-66", Z1858&gt;65, "66+", TRUE, "?")</f>
        <v>36-50</v>
      </c>
      <c r="AB1858" s="1">
        <v>2375</v>
      </c>
      <c r="AC1858" s="1">
        <v>0</v>
      </c>
      <c r="AD1858" s="1">
        <v>1</v>
      </c>
      <c r="AE1858" s="1">
        <v>0</v>
      </c>
      <c r="AF1858" s="1">
        <v>0</v>
      </c>
      <c r="AG1858" s="1">
        <v>0</v>
      </c>
      <c r="AH1858" s="1">
        <v>0</v>
      </c>
      <c r="AI1858" s="1">
        <v>1</v>
      </c>
      <c r="AJ1858" s="1">
        <v>0</v>
      </c>
      <c r="AK1858" s="1">
        <v>0</v>
      </c>
      <c r="AL1858" s="1">
        <v>16</v>
      </c>
      <c r="AM1858" s="2">
        <v>42474</v>
      </c>
      <c r="AN1858" t="str">
        <f t="shared" ref="AN1858:AN1921" si="59">_xlfn.TEXTJOIN(",",TRUE,B1858:AM1858)</f>
        <v>37971,23,0.000605725422032604,1,0,97,5,4,10,2,2,7,1,1,0,3,8,0,0,0,0,0,0,0,47,36-50,2375,0,1,0,0,0,0,1,0,0,16,42474</v>
      </c>
    </row>
    <row r="1859" spans="1:40" ht="13" hidden="1" x14ac:dyDescent="0.15">
      <c r="A1859">
        <v>1637</v>
      </c>
      <c r="B1859" s="1">
        <v>28520</v>
      </c>
      <c r="C1859" s="1">
        <v>23</v>
      </c>
      <c r="D1859" s="4">
        <f t="shared" si="58"/>
        <v>8.0645161290322581E-4</v>
      </c>
      <c r="E1859" s="1">
        <v>1</v>
      </c>
      <c r="F1859" s="1">
        <v>1</v>
      </c>
      <c r="G1859" s="1">
        <v>55</v>
      </c>
      <c r="H1859" s="1">
        <v>11</v>
      </c>
      <c r="I1859" s="1">
        <v>0</v>
      </c>
      <c r="J1859" s="1">
        <v>10</v>
      </c>
      <c r="K1859" s="1">
        <v>0</v>
      </c>
      <c r="L1859" s="1">
        <v>2</v>
      </c>
      <c r="M1859" s="1">
        <v>20</v>
      </c>
      <c r="N1859" s="1">
        <v>1</v>
      </c>
      <c r="O1859" s="1">
        <v>1</v>
      </c>
      <c r="P1859" s="1">
        <v>1</v>
      </c>
      <c r="Q1859" s="1">
        <v>2</v>
      </c>
      <c r="R1859" s="1">
        <v>6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60</v>
      </c>
      <c r="AA1859" s="1" t="str" cm="1">
        <f t="array" ref="AA1859">_xlfn.IFS(AND(Z1859&lt;36, Z1859&gt;23), "24-35", AND(Z1859&lt;51, Z1859&gt;35),"36-50", AND(Z1859&lt;66, Z1859&gt;50), "51-66", Z1859&gt;65, "66+", TRUE, "?")</f>
        <v>51-66</v>
      </c>
      <c r="AB1859" s="1">
        <v>2539</v>
      </c>
      <c r="AC1859" s="1">
        <v>0</v>
      </c>
      <c r="AD1859" s="1">
        <v>1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1</v>
      </c>
      <c r="AK1859" s="1">
        <v>0</v>
      </c>
      <c r="AL1859" s="1">
        <v>3</v>
      </c>
      <c r="AM1859" s="2">
        <v>42310</v>
      </c>
      <c r="AN1859" t="str">
        <f t="shared" si="59"/>
        <v>28520,23,0.000806451612903226,1,1,55,11,0,10,0,2,20,1,1,1,2,6,0,0,0,0,0,0,0,60,51-66,2539,0,1,0,0,0,0,0,1,0,3,42310</v>
      </c>
    </row>
    <row r="1860" spans="1:40" ht="13" hidden="1" x14ac:dyDescent="0.15">
      <c r="A1860">
        <v>1645</v>
      </c>
      <c r="B1860" s="1">
        <v>44689</v>
      </c>
      <c r="C1860" s="1">
        <v>23</v>
      </c>
      <c r="D1860" s="4">
        <f t="shared" si="58"/>
        <v>5.1466803911477102E-4</v>
      </c>
      <c r="E1860" s="1">
        <v>1</v>
      </c>
      <c r="F1860" s="1">
        <v>1</v>
      </c>
      <c r="G1860" s="1">
        <v>82</v>
      </c>
      <c r="H1860" s="1">
        <v>18</v>
      </c>
      <c r="I1860" s="1">
        <v>0</v>
      </c>
      <c r="J1860" s="1">
        <v>5</v>
      </c>
      <c r="K1860" s="1">
        <v>0</v>
      </c>
      <c r="L1860" s="1">
        <v>0</v>
      </c>
      <c r="M1860" s="1">
        <v>11</v>
      </c>
      <c r="N1860" s="1">
        <v>2</v>
      </c>
      <c r="O1860" s="1">
        <v>1</v>
      </c>
      <c r="P1860" s="1">
        <v>1</v>
      </c>
      <c r="Q1860" s="1">
        <v>2</v>
      </c>
      <c r="R1860" s="1">
        <v>7</v>
      </c>
      <c r="S1860" s="1">
        <v>0</v>
      </c>
      <c r="T1860" s="1">
        <v>0</v>
      </c>
      <c r="U1860" s="1">
        <v>1</v>
      </c>
      <c r="V1860" s="1">
        <v>0</v>
      </c>
      <c r="W1860" s="1">
        <v>0</v>
      </c>
      <c r="X1860" s="1">
        <v>0</v>
      </c>
      <c r="Y1860" s="1">
        <v>0</v>
      </c>
      <c r="Z1860" s="1">
        <v>69</v>
      </c>
      <c r="AA1860" s="1" t="str" cm="1">
        <f t="array" ref="AA1860">_xlfn.IFS(AND(Z1860&lt;36, Z1860&gt;23), "24-35", AND(Z1860&lt;51, Z1860&gt;35),"36-50", AND(Z1860&lt;66, Z1860&gt;50), "51-66", Z1860&gt;65, "66+", TRUE, "?")</f>
        <v>66+</v>
      </c>
      <c r="AB1860" s="1">
        <v>2329</v>
      </c>
      <c r="AC1860" s="1">
        <v>0</v>
      </c>
      <c r="AD1860" s="1">
        <v>1</v>
      </c>
      <c r="AE1860" s="1">
        <v>0</v>
      </c>
      <c r="AF1860" s="1">
        <v>0</v>
      </c>
      <c r="AG1860" s="1">
        <v>0</v>
      </c>
      <c r="AH1860" s="1">
        <v>0</v>
      </c>
      <c r="AI1860" s="1">
        <v>1</v>
      </c>
      <c r="AJ1860" s="1">
        <v>0</v>
      </c>
      <c r="AK1860" s="1">
        <v>0</v>
      </c>
      <c r="AL1860" s="1">
        <v>12</v>
      </c>
      <c r="AM1860" s="2">
        <v>42520</v>
      </c>
      <c r="AN1860" t="str">
        <f t="shared" si="59"/>
        <v>44689,23,0.000514668039114771,1,1,82,18,0,5,0,0,11,2,1,1,2,7,0,0,1,0,0,0,0,69,66+,2329,0,1,0,0,0,0,1,0,0,12,42520</v>
      </c>
    </row>
    <row r="1861" spans="1:40" ht="13" hidden="1" x14ac:dyDescent="0.15">
      <c r="A1861">
        <v>218</v>
      </c>
      <c r="B1861" s="1">
        <v>23661</v>
      </c>
      <c r="C1861" s="1">
        <v>22</v>
      </c>
      <c r="D1861" s="4">
        <f t="shared" si="58"/>
        <v>9.2980009298000927E-4</v>
      </c>
      <c r="E1861" s="1">
        <v>1</v>
      </c>
      <c r="F1861" s="1">
        <v>0</v>
      </c>
      <c r="G1861" s="1">
        <v>46</v>
      </c>
      <c r="H1861" s="1">
        <v>18</v>
      </c>
      <c r="I1861" s="1">
        <v>0</v>
      </c>
      <c r="J1861" s="1">
        <v>4</v>
      </c>
      <c r="K1861" s="1">
        <v>0</v>
      </c>
      <c r="L1861" s="1">
        <v>0</v>
      </c>
      <c r="M1861" s="1">
        <v>1</v>
      </c>
      <c r="N1861" s="1">
        <v>1</v>
      </c>
      <c r="O1861" s="1">
        <v>1</v>
      </c>
      <c r="P1861" s="1">
        <v>0</v>
      </c>
      <c r="Q1861" s="1">
        <v>3</v>
      </c>
      <c r="R1861" s="1">
        <v>7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38</v>
      </c>
      <c r="AA1861" s="1" t="str" cm="1">
        <f t="array" ref="AA1861">_xlfn.IFS(AND(Z1861&lt;36, Z1861&gt;23), "24-35", AND(Z1861&lt;51, Z1861&gt;35),"36-50", AND(Z1861&lt;66, Z1861&gt;50), "51-66", Z1861&gt;65, "66+", TRUE, "?")</f>
        <v>36-50</v>
      </c>
      <c r="AB1861" s="1">
        <v>2366</v>
      </c>
      <c r="AC1861" s="1">
        <v>0</v>
      </c>
      <c r="AD1861" s="1">
        <v>0</v>
      </c>
      <c r="AE1861" s="1">
        <v>0</v>
      </c>
      <c r="AF1861" s="1">
        <v>1</v>
      </c>
      <c r="AG1861" s="1">
        <v>0</v>
      </c>
      <c r="AH1861" s="1">
        <v>0</v>
      </c>
      <c r="AI1861" s="1">
        <v>0</v>
      </c>
      <c r="AJ1861" s="1">
        <v>1</v>
      </c>
      <c r="AK1861" s="1">
        <v>0</v>
      </c>
      <c r="AL1861" s="1">
        <v>21</v>
      </c>
      <c r="AM1861" s="2">
        <v>42483</v>
      </c>
      <c r="AN1861" t="str">
        <f t="shared" si="59"/>
        <v>23661,22,0.000929800092980009,1,0,46,18,0,4,0,0,1,1,1,0,3,7,0,0,0,0,0,0,0,38,36-50,2366,0,0,0,1,0,0,0,1,0,21,42483</v>
      </c>
    </row>
    <row r="1862" spans="1:40" ht="13" hidden="1" x14ac:dyDescent="0.15">
      <c r="A1862">
        <v>295</v>
      </c>
      <c r="B1862" s="1">
        <v>30833</v>
      </c>
      <c r="C1862" s="1">
        <v>22</v>
      </c>
      <c r="D1862" s="4">
        <f t="shared" si="58"/>
        <v>7.1352122725651087E-4</v>
      </c>
      <c r="E1862" s="1">
        <v>1</v>
      </c>
      <c r="F1862" s="1">
        <v>1</v>
      </c>
      <c r="G1862" s="1">
        <v>33</v>
      </c>
      <c r="H1862" s="1">
        <v>11</v>
      </c>
      <c r="I1862" s="1">
        <v>0</v>
      </c>
      <c r="J1862" s="1">
        <v>7</v>
      </c>
      <c r="K1862" s="1">
        <v>3</v>
      </c>
      <c r="L1862" s="1">
        <v>1</v>
      </c>
      <c r="M1862" s="1">
        <v>6</v>
      </c>
      <c r="N1862" s="1">
        <v>2</v>
      </c>
      <c r="O1862" s="1">
        <v>1</v>
      </c>
      <c r="P1862" s="1">
        <v>0</v>
      </c>
      <c r="Q1862" s="1">
        <v>3</v>
      </c>
      <c r="R1862" s="1">
        <v>5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69</v>
      </c>
      <c r="AA1862" s="1" t="str" cm="1">
        <f t="array" ref="AA1862">_xlfn.IFS(AND(Z1862&lt;36, Z1862&gt;23), "24-35", AND(Z1862&lt;51, Z1862&gt;35),"36-50", AND(Z1862&lt;66, Z1862&gt;50), "51-66", Z1862&gt;65, "66+", TRUE, "?")</f>
        <v>66+</v>
      </c>
      <c r="AB1862" s="1">
        <v>2507</v>
      </c>
      <c r="AC1862" s="1">
        <v>0</v>
      </c>
      <c r="AD1862" s="1">
        <v>1</v>
      </c>
      <c r="AE1862" s="1">
        <v>0</v>
      </c>
      <c r="AF1862" s="1">
        <v>0</v>
      </c>
      <c r="AG1862" s="1">
        <v>0</v>
      </c>
      <c r="AH1862" s="1">
        <v>0</v>
      </c>
      <c r="AI1862" s="1">
        <v>1</v>
      </c>
      <c r="AJ1862" s="1">
        <v>0</v>
      </c>
      <c r="AK1862" s="1">
        <v>0</v>
      </c>
      <c r="AL1862" s="1">
        <v>16</v>
      </c>
      <c r="AM1862" s="2">
        <v>42342</v>
      </c>
      <c r="AN1862" t="str">
        <f t="shared" si="59"/>
        <v>30833,22,0.000713521227256511,1,1,33,11,0,7,3,1,6,2,1,0,3,5,0,0,0,0,0,0,0,69,66+,2507,0,1,0,0,0,0,1,0,0,16,42342</v>
      </c>
    </row>
    <row r="1863" spans="1:40" ht="13" hidden="1" x14ac:dyDescent="0.15">
      <c r="A1863">
        <v>371</v>
      </c>
      <c r="B1863" s="1">
        <v>23442</v>
      </c>
      <c r="C1863" s="1">
        <v>22</v>
      </c>
      <c r="D1863" s="4">
        <f t="shared" si="58"/>
        <v>9.3848647726303214E-4</v>
      </c>
      <c r="E1863" s="1">
        <v>1</v>
      </c>
      <c r="F1863" s="1">
        <v>0</v>
      </c>
      <c r="G1863" s="1">
        <v>71</v>
      </c>
      <c r="H1863" s="1">
        <v>2</v>
      </c>
      <c r="I1863" s="1">
        <v>0</v>
      </c>
      <c r="J1863" s="1">
        <v>6</v>
      </c>
      <c r="K1863" s="1">
        <v>8</v>
      </c>
      <c r="L1863" s="1">
        <v>6</v>
      </c>
      <c r="M1863" s="1">
        <v>5</v>
      </c>
      <c r="N1863" s="1">
        <v>1</v>
      </c>
      <c r="O1863" s="1">
        <v>1</v>
      </c>
      <c r="P1863" s="1">
        <v>0</v>
      </c>
      <c r="Q1863" s="1">
        <v>3</v>
      </c>
      <c r="R1863" s="1">
        <v>7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33</v>
      </c>
      <c r="AA1863" s="1" t="str" cm="1">
        <f t="array" ref="AA1863">_xlfn.IFS(AND(Z1863&lt;36, Z1863&gt;23), "24-35", AND(Z1863&lt;51, Z1863&gt;35),"36-50", AND(Z1863&lt;66, Z1863&gt;50), "51-66", Z1863&gt;65, "66+", TRUE, "?")</f>
        <v>24-35</v>
      </c>
      <c r="AB1863" s="1">
        <v>2711</v>
      </c>
      <c r="AC1863" s="1">
        <v>0</v>
      </c>
      <c r="AD1863" s="1">
        <v>0</v>
      </c>
      <c r="AE1863" s="1">
        <v>1</v>
      </c>
      <c r="AF1863" s="1">
        <v>0</v>
      </c>
      <c r="AG1863" s="1">
        <v>0</v>
      </c>
      <c r="AH1863" s="1">
        <v>0</v>
      </c>
      <c r="AI1863" s="1">
        <v>1</v>
      </c>
      <c r="AJ1863" s="1">
        <v>0</v>
      </c>
      <c r="AK1863" s="1">
        <v>0</v>
      </c>
      <c r="AL1863" s="1">
        <v>17</v>
      </c>
      <c r="AM1863" s="2">
        <v>42138</v>
      </c>
      <c r="AN1863" t="str">
        <f t="shared" si="59"/>
        <v>23442,22,0.000938486477263032,1,0,71,2,0,6,8,6,5,1,1,0,3,7,0,0,0,0,0,0,0,33,24-35,2711,0,0,1,0,0,0,1,0,0,17,42138</v>
      </c>
    </row>
    <row r="1864" spans="1:40" ht="13" hidden="1" x14ac:dyDescent="0.15">
      <c r="A1864">
        <v>415</v>
      </c>
      <c r="B1864" s="1">
        <v>20130</v>
      </c>
      <c r="C1864" s="1">
        <v>22</v>
      </c>
      <c r="D1864" s="4">
        <f t="shared" si="58"/>
        <v>1.092896174863388E-3</v>
      </c>
      <c r="E1864" s="1">
        <v>0</v>
      </c>
      <c r="F1864" s="1">
        <v>0</v>
      </c>
      <c r="G1864" s="1">
        <v>99</v>
      </c>
      <c r="H1864" s="1">
        <v>0</v>
      </c>
      <c r="I1864" s="1">
        <v>6</v>
      </c>
      <c r="J1864" s="1">
        <v>3</v>
      </c>
      <c r="K1864" s="1">
        <v>7</v>
      </c>
      <c r="L1864" s="1">
        <v>6</v>
      </c>
      <c r="M1864" s="1">
        <v>12</v>
      </c>
      <c r="N1864" s="1">
        <v>1</v>
      </c>
      <c r="O1864" s="1">
        <v>1</v>
      </c>
      <c r="P1864" s="1">
        <v>0</v>
      </c>
      <c r="Q1864" s="1">
        <v>3</v>
      </c>
      <c r="R1864" s="1">
        <v>8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46</v>
      </c>
      <c r="AA1864" s="1" t="str" cm="1">
        <f t="array" ref="AA1864">_xlfn.IFS(AND(Z1864&lt;36, Z1864&gt;23), "24-35", AND(Z1864&lt;51, Z1864&gt;35),"36-50", AND(Z1864&lt;66, Z1864&gt;50), "51-66", Z1864&gt;65, "66+", TRUE, "?")</f>
        <v>36-50</v>
      </c>
      <c r="AB1864" s="1">
        <v>2263</v>
      </c>
      <c r="AC1864" s="1">
        <v>0</v>
      </c>
      <c r="AD1864" s="1">
        <v>1</v>
      </c>
      <c r="AE1864" s="1">
        <v>0</v>
      </c>
      <c r="AF1864" s="1">
        <v>0</v>
      </c>
      <c r="AG1864" s="1">
        <v>0</v>
      </c>
      <c r="AH1864" s="1">
        <v>1</v>
      </c>
      <c r="AI1864" s="1">
        <v>0</v>
      </c>
      <c r="AJ1864" s="1">
        <v>0</v>
      </c>
      <c r="AK1864" s="1">
        <v>0</v>
      </c>
      <c r="AL1864" s="1">
        <v>10</v>
      </c>
      <c r="AM1864" s="2">
        <v>42586</v>
      </c>
      <c r="AN1864" t="str">
        <f t="shared" si="59"/>
        <v>20130,22,0.00109289617486339,0,0,99,0,6,3,7,6,12,1,1,0,3,8,0,0,0,0,0,0,0,46,36-50,2263,0,1,0,0,0,1,0,0,0,10,42586</v>
      </c>
    </row>
    <row r="1865" spans="1:40" ht="13" hidden="1" x14ac:dyDescent="0.15">
      <c r="A1865">
        <v>578</v>
      </c>
      <c r="B1865" s="1">
        <v>18978</v>
      </c>
      <c r="C1865" s="1">
        <v>22</v>
      </c>
      <c r="D1865" s="4">
        <f t="shared" si="58"/>
        <v>1.1592370112762146E-3</v>
      </c>
      <c r="E1865" s="1">
        <v>1</v>
      </c>
      <c r="F1865" s="1">
        <v>0</v>
      </c>
      <c r="G1865" s="1">
        <v>41</v>
      </c>
      <c r="H1865" s="1">
        <v>2</v>
      </c>
      <c r="I1865" s="1">
        <v>8</v>
      </c>
      <c r="J1865" s="1">
        <v>1</v>
      </c>
      <c r="K1865" s="1">
        <v>4</v>
      </c>
      <c r="L1865" s="1">
        <v>7</v>
      </c>
      <c r="M1865" s="1">
        <v>15</v>
      </c>
      <c r="N1865" s="1">
        <v>1</v>
      </c>
      <c r="O1865" s="1">
        <v>1</v>
      </c>
      <c r="P1865" s="1">
        <v>0</v>
      </c>
      <c r="Q1865" s="1">
        <v>3</v>
      </c>
      <c r="R1865" s="1">
        <v>8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47</v>
      </c>
      <c r="AA1865" s="1" t="str" cm="1">
        <f t="array" ref="AA1865">_xlfn.IFS(AND(Z1865&lt;36, Z1865&gt;23), "24-35", AND(Z1865&lt;51, Z1865&gt;35),"36-50", AND(Z1865&lt;66, Z1865&gt;50), "51-66", Z1865&gt;65, "66+", TRUE, "?")</f>
        <v>36-50</v>
      </c>
      <c r="AB1865" s="1">
        <v>2724</v>
      </c>
      <c r="AC1865" s="1">
        <v>0</v>
      </c>
      <c r="AD1865" s="1">
        <v>1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7</v>
      </c>
      <c r="AM1865" s="2">
        <v>42125</v>
      </c>
      <c r="AN1865" t="str">
        <f t="shared" si="59"/>
        <v>18978,22,0.00115923701127621,1,0,41,2,8,1,4,7,15,1,1,0,3,8,0,0,0,0,0,0,0,47,36-50,2724,0,1,0,0,0,0,0,0,0,7,42125</v>
      </c>
    </row>
    <row r="1866" spans="1:40" ht="13" hidden="1" x14ac:dyDescent="0.15">
      <c r="A1866">
        <v>1822</v>
      </c>
      <c r="B1866" s="1">
        <v>24206</v>
      </c>
      <c r="C1866" s="1">
        <v>22</v>
      </c>
      <c r="D1866" s="4">
        <f t="shared" si="58"/>
        <v>9.0886557051970583E-4</v>
      </c>
      <c r="E1866" s="1">
        <v>1</v>
      </c>
      <c r="F1866" s="1">
        <v>0</v>
      </c>
      <c r="G1866" s="1">
        <v>66</v>
      </c>
      <c r="H1866" s="1">
        <v>7</v>
      </c>
      <c r="I1866" s="1">
        <v>2</v>
      </c>
      <c r="J1866" s="1">
        <v>8</v>
      </c>
      <c r="K1866" s="1">
        <v>3</v>
      </c>
      <c r="L1866" s="1">
        <v>2</v>
      </c>
      <c r="M1866" s="1">
        <v>3</v>
      </c>
      <c r="N1866" s="1">
        <v>1</v>
      </c>
      <c r="O1866" s="1">
        <v>1</v>
      </c>
      <c r="P1866" s="1">
        <v>0</v>
      </c>
      <c r="Q1866" s="1">
        <v>3</v>
      </c>
      <c r="R1866" s="1">
        <v>6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50</v>
      </c>
      <c r="AA1866" s="1" t="str" cm="1">
        <f t="array" ref="AA1866">_xlfn.IFS(AND(Z1866&lt;36, Z1866&gt;23), "24-35", AND(Z1866&lt;51, Z1866&gt;35),"36-50", AND(Z1866&lt;66, Z1866&gt;50), "51-66", Z1866&gt;65, "66+", TRUE, "?")</f>
        <v>36-50</v>
      </c>
      <c r="AB1866" s="1">
        <v>2637</v>
      </c>
      <c r="AC1866" s="1">
        <v>0</v>
      </c>
      <c r="AD1866" s="1">
        <v>0</v>
      </c>
      <c r="AE1866" s="1">
        <v>1</v>
      </c>
      <c r="AF1866" s="1">
        <v>0</v>
      </c>
      <c r="AG1866" s="1">
        <v>0</v>
      </c>
      <c r="AH1866" s="1">
        <v>0</v>
      </c>
      <c r="AI1866" s="1">
        <v>1</v>
      </c>
      <c r="AJ1866" s="1">
        <v>0</v>
      </c>
      <c r="AK1866" s="1">
        <v>0</v>
      </c>
      <c r="AL1866" s="1">
        <v>19</v>
      </c>
      <c r="AM1866" s="2">
        <v>42212</v>
      </c>
      <c r="AN1866" t="str">
        <f t="shared" si="59"/>
        <v>24206,22,0.000908865570519706,1,0,66,7,2,8,3,2,3,1,1,0,3,6,0,0,0,0,0,0,0,50,36-50,2637,0,0,1,0,0,0,1,0,0,19,42212</v>
      </c>
    </row>
    <row r="1867" spans="1:40" ht="13" x14ac:dyDescent="0.15">
      <c r="A1867">
        <v>1961</v>
      </c>
      <c r="B1867" s="1">
        <v>30396</v>
      </c>
      <c r="C1867" s="1">
        <v>22</v>
      </c>
      <c r="D1867" s="4">
        <f t="shared" si="58"/>
        <v>7.2377944466377154E-4</v>
      </c>
      <c r="E1867" s="1">
        <v>1</v>
      </c>
      <c r="F1867" s="1">
        <v>0</v>
      </c>
      <c r="G1867" s="1">
        <v>22</v>
      </c>
      <c r="H1867" s="1">
        <v>15</v>
      </c>
      <c r="I1867" s="1">
        <v>0</v>
      </c>
      <c r="J1867" s="1">
        <v>6</v>
      </c>
      <c r="K1867" s="1">
        <v>0</v>
      </c>
      <c r="L1867" s="1">
        <v>1</v>
      </c>
      <c r="M1867" s="1">
        <v>12</v>
      </c>
      <c r="N1867" s="1">
        <v>2</v>
      </c>
      <c r="O1867" s="1">
        <v>1</v>
      </c>
      <c r="P1867" s="1">
        <v>1</v>
      </c>
      <c r="Q1867" s="1">
        <v>2</v>
      </c>
      <c r="R1867" s="1">
        <v>7</v>
      </c>
      <c r="S1867" s="1">
        <v>0</v>
      </c>
      <c r="T1867" s="1">
        <v>0</v>
      </c>
      <c r="U1867" s="1">
        <v>1</v>
      </c>
      <c r="V1867" s="1">
        <v>0</v>
      </c>
      <c r="W1867" s="1">
        <v>0</v>
      </c>
      <c r="X1867" s="1">
        <v>0</v>
      </c>
      <c r="Y1867" s="1">
        <v>1</v>
      </c>
      <c r="Z1867" s="1">
        <v>51</v>
      </c>
      <c r="AA1867" s="1" t="str" cm="1">
        <f t="array" ref="AA1867">_xlfn.IFS(AND(Z1867&lt;36, Z1867&gt;23), "24-35", AND(Z1867&lt;51, Z1867&gt;35),"36-50", AND(Z1867&lt;66, Z1867&gt;50), "51-66", Z1867&gt;65, "66+", TRUE, "?")</f>
        <v>51-66</v>
      </c>
      <c r="AB1867" s="1">
        <v>2219</v>
      </c>
      <c r="AC1867" s="1">
        <v>0</v>
      </c>
      <c r="AD1867" s="1">
        <v>1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1</v>
      </c>
      <c r="AL1867" s="1">
        <v>10</v>
      </c>
      <c r="AM1867" s="2">
        <v>42630</v>
      </c>
      <c r="AN1867" t="str">
        <f t="shared" si="59"/>
        <v>30396,22,0.000723779444663772,1,0,22,15,0,6,0,1,12,2,1,1,2,7,0,0,1,0,0,0,1,51,51-66,2219,0,1,0,0,0,0,0,0,1,10,42630</v>
      </c>
    </row>
    <row r="1868" spans="1:40" ht="13" hidden="1" x14ac:dyDescent="0.15">
      <c r="A1868">
        <v>2</v>
      </c>
      <c r="B1868" s="1">
        <v>46344</v>
      </c>
      <c r="C1868" s="1">
        <v>21</v>
      </c>
      <c r="D1868" s="4">
        <f t="shared" si="58"/>
        <v>4.5313309166235109E-4</v>
      </c>
      <c r="E1868" s="1">
        <v>1</v>
      </c>
      <c r="F1868" s="1">
        <v>1</v>
      </c>
      <c r="G1868" s="1">
        <v>38</v>
      </c>
      <c r="H1868" s="1">
        <v>11</v>
      </c>
      <c r="I1868" s="1">
        <v>1</v>
      </c>
      <c r="J1868" s="1">
        <v>6</v>
      </c>
      <c r="K1868" s="1">
        <v>2</v>
      </c>
      <c r="L1868" s="1">
        <v>1</v>
      </c>
      <c r="M1868" s="1">
        <v>6</v>
      </c>
      <c r="N1868" s="1">
        <v>2</v>
      </c>
      <c r="O1868" s="1">
        <v>1</v>
      </c>
      <c r="P1868" s="1">
        <v>1</v>
      </c>
      <c r="Q1868" s="1">
        <v>2</v>
      </c>
      <c r="R1868" s="1">
        <v>5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66</v>
      </c>
      <c r="AA1868" s="1" t="str" cm="1">
        <f t="array" ref="AA1868">_xlfn.IFS(AND(Z1868&lt;36, Z1868&gt;23), "24-35", AND(Z1868&lt;51, Z1868&gt;35),"36-50", AND(Z1868&lt;66, Z1868&gt;50), "51-66", Z1868&gt;65, "66+", TRUE, "?")</f>
        <v>66+</v>
      </c>
      <c r="AB1868" s="1">
        <v>2272</v>
      </c>
      <c r="AC1868" s="1">
        <v>0</v>
      </c>
      <c r="AD1868" s="1">
        <v>0</v>
      </c>
      <c r="AE1868" s="1">
        <v>1</v>
      </c>
      <c r="AF1868" s="1">
        <v>0</v>
      </c>
      <c r="AG1868" s="1">
        <v>0</v>
      </c>
      <c r="AH1868" s="1">
        <v>0</v>
      </c>
      <c r="AI1868" s="1">
        <v>1</v>
      </c>
      <c r="AJ1868" s="1">
        <v>0</v>
      </c>
      <c r="AK1868" s="1">
        <v>0</v>
      </c>
      <c r="AL1868" s="1">
        <v>15</v>
      </c>
      <c r="AM1868" s="2">
        <v>42577</v>
      </c>
      <c r="AN1868" t="str">
        <f t="shared" si="59"/>
        <v>46344,21,0.000453133091662351,1,1,38,11,1,6,2,1,6,2,1,1,2,5,0,0,0,0,0,0,0,66,66+,2272,0,0,1,0,0,0,1,0,0,15,42577</v>
      </c>
    </row>
    <row r="1869" spans="1:40" ht="13" hidden="1" x14ac:dyDescent="0.15">
      <c r="A1869">
        <v>297</v>
      </c>
      <c r="B1869" s="1">
        <v>34421</v>
      </c>
      <c r="C1869" s="1">
        <v>21</v>
      </c>
      <c r="D1869" s="4">
        <f t="shared" si="58"/>
        <v>6.1009267598268499E-4</v>
      </c>
      <c r="E1869" s="1">
        <v>1</v>
      </c>
      <c r="F1869" s="1">
        <v>0</v>
      </c>
      <c r="G1869" s="1">
        <v>81</v>
      </c>
      <c r="H1869" s="1">
        <v>3</v>
      </c>
      <c r="I1869" s="1">
        <v>3</v>
      </c>
      <c r="J1869" s="1">
        <v>7</v>
      </c>
      <c r="K1869" s="1">
        <v>6</v>
      </c>
      <c r="L1869" s="1">
        <v>2</v>
      </c>
      <c r="M1869" s="1">
        <v>9</v>
      </c>
      <c r="N1869" s="1">
        <v>1</v>
      </c>
      <c r="O1869" s="1">
        <v>1</v>
      </c>
      <c r="P1869" s="1">
        <v>0</v>
      </c>
      <c r="Q1869" s="1">
        <v>2</v>
      </c>
      <c r="R1869" s="1">
        <v>7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46</v>
      </c>
      <c r="AA1869" s="1" t="str" cm="1">
        <f t="array" ref="AA1869">_xlfn.IFS(AND(Z1869&lt;36, Z1869&gt;23), "24-35", AND(Z1869&lt;51, Z1869&gt;35),"36-50", AND(Z1869&lt;66, Z1869&gt;50), "51-66", Z1869&gt;65, "66+", TRUE, "?")</f>
        <v>36-50</v>
      </c>
      <c r="AB1869" s="1">
        <v>2522</v>
      </c>
      <c r="AC1869" s="1">
        <v>0</v>
      </c>
      <c r="AD1869" s="1">
        <v>1</v>
      </c>
      <c r="AE1869" s="1">
        <v>0</v>
      </c>
      <c r="AF1869" s="1">
        <v>0</v>
      </c>
      <c r="AG1869" s="1">
        <v>0</v>
      </c>
      <c r="AH1869" s="1">
        <v>0</v>
      </c>
      <c r="AI1869" s="1">
        <v>1</v>
      </c>
      <c r="AJ1869" s="1">
        <v>0</v>
      </c>
      <c r="AK1869" s="1">
        <v>0</v>
      </c>
      <c r="AL1869" s="1">
        <v>12</v>
      </c>
      <c r="AM1869" s="2">
        <v>42327</v>
      </c>
      <c r="AN1869" t="str">
        <f t="shared" si="59"/>
        <v>34421,21,0.000610092675982685,1,0,81,3,3,7,6,2,9,1,1,0,2,7,0,0,0,0,0,0,0,46,36-50,2522,0,1,0,0,0,0,1,0,0,12,42327</v>
      </c>
    </row>
    <row r="1870" spans="1:40" ht="13" hidden="1" x14ac:dyDescent="0.15">
      <c r="A1870">
        <v>778</v>
      </c>
      <c r="B1870" s="1">
        <v>16529</v>
      </c>
      <c r="C1870" s="1">
        <v>21</v>
      </c>
      <c r="D1870" s="4">
        <f t="shared" si="58"/>
        <v>1.2704942827757276E-3</v>
      </c>
      <c r="E1870" s="1">
        <v>1</v>
      </c>
      <c r="F1870" s="1">
        <v>0</v>
      </c>
      <c r="G1870" s="1">
        <v>23</v>
      </c>
      <c r="H1870" s="1">
        <v>3</v>
      </c>
      <c r="I1870" s="1">
        <v>0</v>
      </c>
      <c r="J1870" s="1">
        <v>5</v>
      </c>
      <c r="K1870" s="1">
        <v>13</v>
      </c>
      <c r="L1870" s="1">
        <v>0</v>
      </c>
      <c r="M1870" s="1">
        <v>1</v>
      </c>
      <c r="N1870" s="1">
        <v>1</v>
      </c>
      <c r="O1870" s="1">
        <v>1</v>
      </c>
      <c r="P1870" s="1">
        <v>0</v>
      </c>
      <c r="Q1870" s="1">
        <v>3</v>
      </c>
      <c r="R1870" s="1">
        <v>6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36</v>
      </c>
      <c r="AA1870" s="1" t="str" cm="1">
        <f t="array" ref="AA1870">_xlfn.IFS(AND(Z1870&lt;36, Z1870&gt;23), "24-35", AND(Z1870&lt;51, Z1870&gt;35),"36-50", AND(Z1870&lt;66, Z1870&gt;50), "51-66", Z1870&gt;65, "66+", TRUE, "?")</f>
        <v>36-50</v>
      </c>
      <c r="AB1870" s="1">
        <v>2279</v>
      </c>
      <c r="AC1870" s="1">
        <v>0</v>
      </c>
      <c r="AD1870" s="1">
        <v>0</v>
      </c>
      <c r="AE1870" s="1">
        <v>0</v>
      </c>
      <c r="AF1870" s="1">
        <v>1</v>
      </c>
      <c r="AG1870" s="1">
        <v>0</v>
      </c>
      <c r="AH1870" s="1">
        <v>0</v>
      </c>
      <c r="AI1870" s="1">
        <v>1</v>
      </c>
      <c r="AJ1870" s="1">
        <v>0</v>
      </c>
      <c r="AK1870" s="1">
        <v>0</v>
      </c>
      <c r="AL1870" s="1">
        <v>20</v>
      </c>
      <c r="AM1870" s="2">
        <v>42570</v>
      </c>
      <c r="AN1870" t="str">
        <f t="shared" si="59"/>
        <v>16529,21,0.00127049428277573,1,0,23,3,0,5,13,0,1,1,1,0,3,6,0,0,0,0,0,0,0,36,36-50,2279,0,0,0,1,0,0,1,0,0,20,42570</v>
      </c>
    </row>
    <row r="1871" spans="1:40" ht="13" hidden="1" x14ac:dyDescent="0.15">
      <c r="A1871">
        <v>853</v>
      </c>
      <c r="B1871" s="1">
        <v>45684</v>
      </c>
      <c r="C1871" s="1">
        <v>21</v>
      </c>
      <c r="D1871" s="4">
        <f t="shared" si="58"/>
        <v>4.5967953769372207E-4</v>
      </c>
      <c r="E1871" s="1">
        <v>1</v>
      </c>
      <c r="F1871" s="1">
        <v>0</v>
      </c>
      <c r="G1871" s="1">
        <v>37</v>
      </c>
      <c r="H1871" s="1">
        <v>5</v>
      </c>
      <c r="I1871" s="1">
        <v>1</v>
      </c>
      <c r="J1871" s="1">
        <v>5</v>
      </c>
      <c r="K1871" s="1">
        <v>10</v>
      </c>
      <c r="L1871" s="1">
        <v>0</v>
      </c>
      <c r="M1871" s="1">
        <v>7</v>
      </c>
      <c r="N1871" s="1">
        <v>1</v>
      </c>
      <c r="O1871" s="1">
        <v>1</v>
      </c>
      <c r="P1871" s="1">
        <v>0</v>
      </c>
      <c r="Q1871" s="1">
        <v>2</v>
      </c>
      <c r="R1871" s="1">
        <v>7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49</v>
      </c>
      <c r="AA1871" s="1" t="str" cm="1">
        <f t="array" ref="AA1871">_xlfn.IFS(AND(Z1871&lt;36, Z1871&gt;23), "24-35", AND(Z1871&lt;51, Z1871&gt;35),"36-50", AND(Z1871&lt;66, Z1871&gt;50), "51-66", Z1871&gt;65, "66+", TRUE, "?")</f>
        <v>36-50</v>
      </c>
      <c r="AB1871" s="1">
        <v>2368</v>
      </c>
      <c r="AC1871" s="1">
        <v>0</v>
      </c>
      <c r="AD1871" s="1">
        <v>0</v>
      </c>
      <c r="AE1871" s="1">
        <v>0</v>
      </c>
      <c r="AF1871" s="1">
        <v>0</v>
      </c>
      <c r="AG1871" s="1">
        <v>1</v>
      </c>
      <c r="AH1871" s="1">
        <v>0</v>
      </c>
      <c r="AI1871" s="1">
        <v>1</v>
      </c>
      <c r="AJ1871" s="1">
        <v>0</v>
      </c>
      <c r="AK1871" s="1">
        <v>0</v>
      </c>
      <c r="AL1871" s="1">
        <v>14</v>
      </c>
      <c r="AM1871" s="2">
        <v>42481</v>
      </c>
      <c r="AN1871" t="str">
        <f t="shared" si="59"/>
        <v>45684,21,0.000459679537693722,1,0,37,5,1,5,10,0,7,1,1,0,2,7,0,0,0,0,0,0,0,49,36-50,2368,0,0,0,0,1,0,1,0,0,14,42481</v>
      </c>
    </row>
    <row r="1872" spans="1:40" ht="13" hidden="1" x14ac:dyDescent="0.15">
      <c r="A1872">
        <v>1896</v>
      </c>
      <c r="B1872" s="1">
        <v>22390</v>
      </c>
      <c r="C1872" s="1">
        <v>21</v>
      </c>
      <c r="D1872" s="4">
        <f t="shared" si="58"/>
        <v>9.3791871371147831E-4</v>
      </c>
      <c r="E1872" s="1">
        <v>0</v>
      </c>
      <c r="F1872" s="1">
        <v>0</v>
      </c>
      <c r="G1872" s="1">
        <v>49</v>
      </c>
      <c r="H1872" s="1">
        <v>0</v>
      </c>
      <c r="I1872" s="1">
        <v>1</v>
      </c>
      <c r="J1872" s="1">
        <v>4</v>
      </c>
      <c r="K1872" s="1">
        <v>15</v>
      </c>
      <c r="L1872" s="1">
        <v>1</v>
      </c>
      <c r="M1872" s="1">
        <v>5</v>
      </c>
      <c r="N1872" s="1">
        <v>1</v>
      </c>
      <c r="O1872" s="1">
        <v>1</v>
      </c>
      <c r="P1872" s="1">
        <v>0</v>
      </c>
      <c r="Q1872" s="1">
        <v>2</v>
      </c>
      <c r="R1872" s="1">
        <v>7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51</v>
      </c>
      <c r="AA1872" s="1" t="str" cm="1">
        <f t="array" ref="AA1872">_xlfn.IFS(AND(Z1872&lt;36, Z1872&gt;23), "24-35", AND(Z1872&lt;51, Z1872&gt;35),"36-50", AND(Z1872&lt;66, Z1872&gt;50), "51-66", Z1872&gt;65, "66+", TRUE, "?")</f>
        <v>51-66</v>
      </c>
      <c r="AB1872" s="1">
        <v>2410</v>
      </c>
      <c r="AC1872" s="1">
        <v>0</v>
      </c>
      <c r="AD1872" s="1">
        <v>0</v>
      </c>
      <c r="AE1872" s="1">
        <v>0</v>
      </c>
      <c r="AF1872" s="1">
        <v>1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16</v>
      </c>
      <c r="AM1872" s="2">
        <v>42439</v>
      </c>
      <c r="AN1872" t="str">
        <f t="shared" si="59"/>
        <v>22390,21,0.000937918713711478,0,0,49,0,1,4,15,1,5,1,1,0,2,7,0,0,0,0,0,0,0,51,51-66,2410,0,0,0,1,0,0,0,0,0,16,42439</v>
      </c>
    </row>
    <row r="1873" spans="1:40" ht="13" hidden="1" x14ac:dyDescent="0.15">
      <c r="A1873">
        <v>94</v>
      </c>
      <c r="B1873" s="1">
        <v>24594</v>
      </c>
      <c r="C1873" s="1">
        <v>20</v>
      </c>
      <c r="D1873" s="4">
        <f t="shared" si="58"/>
        <v>8.1320647312352605E-4</v>
      </c>
      <c r="E1873" s="1">
        <v>1</v>
      </c>
      <c r="F1873" s="1">
        <v>0</v>
      </c>
      <c r="G1873" s="1">
        <v>94</v>
      </c>
      <c r="H1873" s="1">
        <v>1</v>
      </c>
      <c r="I1873" s="1">
        <v>3</v>
      </c>
      <c r="J1873" s="1">
        <v>6</v>
      </c>
      <c r="K1873" s="1">
        <v>10</v>
      </c>
      <c r="L1873" s="1">
        <v>0</v>
      </c>
      <c r="M1873" s="1">
        <v>9</v>
      </c>
      <c r="N1873" s="1">
        <v>1</v>
      </c>
      <c r="O1873" s="1">
        <v>1</v>
      </c>
      <c r="P1873" s="1">
        <v>0</v>
      </c>
      <c r="Q1873" s="1">
        <v>3</v>
      </c>
      <c r="R1873" s="1">
        <v>5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41</v>
      </c>
      <c r="AA1873" s="1" t="str" cm="1">
        <f t="array" ref="AA1873">_xlfn.IFS(AND(Z1873&lt;36, Z1873&gt;23), "24-35", AND(Z1873&lt;51, Z1873&gt;35),"36-50", AND(Z1873&lt;66, Z1873&gt;50), "51-66", Z1873&gt;65, "66+", TRUE, "?")</f>
        <v>36-50</v>
      </c>
      <c r="AB1873" s="1">
        <v>2360</v>
      </c>
      <c r="AC1873" s="1">
        <v>0</v>
      </c>
      <c r="AD1873" s="1">
        <v>0</v>
      </c>
      <c r="AE1873" s="1">
        <v>0</v>
      </c>
      <c r="AF1873" s="1">
        <v>1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11</v>
      </c>
      <c r="AM1873" s="2">
        <v>42489</v>
      </c>
      <c r="AN1873" t="str">
        <f t="shared" si="59"/>
        <v>24594,20,0.000813206473123526,1,0,94,1,3,6,10,0,9,1,1,0,3,5,0,0,0,0,0,0,0,41,36-50,2360,0,0,0,1,0,0,0,0,0,11,42489</v>
      </c>
    </row>
    <row r="1874" spans="1:40" ht="13" hidden="1" x14ac:dyDescent="0.15">
      <c r="A1874">
        <v>123</v>
      </c>
      <c r="B1874" s="1">
        <v>9548</v>
      </c>
      <c r="C1874" s="1">
        <v>20</v>
      </c>
      <c r="D1874" s="4">
        <f t="shared" si="58"/>
        <v>2.0946795140343527E-3</v>
      </c>
      <c r="E1874" s="1">
        <v>1</v>
      </c>
      <c r="F1874" s="1">
        <v>0</v>
      </c>
      <c r="G1874" s="1">
        <v>31</v>
      </c>
      <c r="H1874" s="1">
        <v>0</v>
      </c>
      <c r="I1874" s="1">
        <v>1</v>
      </c>
      <c r="J1874" s="1">
        <v>3</v>
      </c>
      <c r="K1874" s="1">
        <v>10</v>
      </c>
      <c r="L1874" s="1">
        <v>6</v>
      </c>
      <c r="M1874" s="1">
        <v>9</v>
      </c>
      <c r="N1874" s="1">
        <v>2</v>
      </c>
      <c r="O1874" s="1">
        <v>1</v>
      </c>
      <c r="P1874" s="1">
        <v>0</v>
      </c>
      <c r="Q1874" s="1">
        <v>3</v>
      </c>
      <c r="R1874" s="1">
        <v>8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44</v>
      </c>
      <c r="AA1874" s="1" t="str" cm="1">
        <f t="array" ref="AA1874">_xlfn.IFS(AND(Z1874&lt;36, Z1874&gt;23), "24-35", AND(Z1874&lt;51, Z1874&gt;35),"36-50", AND(Z1874&lt;66, Z1874&gt;50), "51-66", Z1874&gt;65, "66+", TRUE, "?")</f>
        <v>36-50</v>
      </c>
      <c r="AB1874" s="1">
        <v>2849</v>
      </c>
      <c r="AC1874" s="1">
        <v>1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11</v>
      </c>
      <c r="AM1874" s="2">
        <v>42000</v>
      </c>
      <c r="AN1874" t="str">
        <f t="shared" si="59"/>
        <v>9548,20,0.00209467951403435,1,0,31,0,1,3,10,6,9,2,1,0,3,8,0,0,0,0,0,0,0,44,36-50,2849,1,0,0,0,0,0,0,0,0,11,42000</v>
      </c>
    </row>
    <row r="1875" spans="1:40" ht="13" hidden="1" x14ac:dyDescent="0.15">
      <c r="A1875">
        <v>244</v>
      </c>
      <c r="B1875" s="1">
        <v>37717</v>
      </c>
      <c r="C1875" s="1">
        <v>20</v>
      </c>
      <c r="D1875" s="4">
        <f t="shared" si="58"/>
        <v>5.3026486730121697E-4</v>
      </c>
      <c r="E1875" s="1">
        <v>1</v>
      </c>
      <c r="F1875" s="1">
        <v>0</v>
      </c>
      <c r="G1875" s="1">
        <v>31</v>
      </c>
      <c r="H1875" s="1">
        <v>9</v>
      </c>
      <c r="I1875" s="1">
        <v>0</v>
      </c>
      <c r="J1875" s="1">
        <v>6</v>
      </c>
      <c r="K1875" s="1">
        <v>4</v>
      </c>
      <c r="L1875" s="1">
        <v>1</v>
      </c>
      <c r="M1875" s="1">
        <v>5</v>
      </c>
      <c r="N1875" s="1">
        <v>1</v>
      </c>
      <c r="O1875" s="1">
        <v>1</v>
      </c>
      <c r="P1875" s="1">
        <v>0</v>
      </c>
      <c r="Q1875" s="1">
        <v>2</v>
      </c>
      <c r="R1875" s="1">
        <v>9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42</v>
      </c>
      <c r="AA1875" s="1" t="str" cm="1">
        <f t="array" ref="AA1875">_xlfn.IFS(AND(Z1875&lt;36, Z1875&gt;23), "24-35", AND(Z1875&lt;51, Z1875&gt;35),"36-50", AND(Z1875&lt;66, Z1875&gt;50), "51-66", Z1875&gt;65, "66+", TRUE, "?")</f>
        <v>36-50</v>
      </c>
      <c r="AB1875" s="1">
        <v>2742</v>
      </c>
      <c r="AC1875" s="1">
        <v>0</v>
      </c>
      <c r="AD1875" s="1">
        <v>1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1</v>
      </c>
      <c r="AL1875" s="1">
        <v>15</v>
      </c>
      <c r="AM1875" s="2">
        <v>42107</v>
      </c>
      <c r="AN1875" t="str">
        <f t="shared" si="59"/>
        <v>37717,20,0.000530264867301217,1,0,31,9,0,6,4,1,5,1,1,0,2,9,0,0,0,0,0,0,0,42,36-50,2742,0,1,0,0,0,0,0,0,1,15,42107</v>
      </c>
    </row>
    <row r="1876" spans="1:40" ht="13" hidden="1" x14ac:dyDescent="0.15">
      <c r="A1876">
        <v>517</v>
      </c>
      <c r="B1876" s="1">
        <v>27159</v>
      </c>
      <c r="C1876" s="1">
        <v>20</v>
      </c>
      <c r="D1876" s="4">
        <f t="shared" si="58"/>
        <v>7.3640413859125888E-4</v>
      </c>
      <c r="E1876" s="1">
        <v>1</v>
      </c>
      <c r="F1876" s="1">
        <v>1</v>
      </c>
      <c r="G1876" s="1">
        <v>33</v>
      </c>
      <c r="H1876" s="1">
        <v>17</v>
      </c>
      <c r="I1876" s="1">
        <v>0</v>
      </c>
      <c r="J1876" s="1">
        <v>3</v>
      </c>
      <c r="K1876" s="1">
        <v>0</v>
      </c>
      <c r="L1876" s="1">
        <v>0</v>
      </c>
      <c r="M1876" s="1">
        <v>1</v>
      </c>
      <c r="N1876" s="1">
        <v>2</v>
      </c>
      <c r="O1876" s="1">
        <v>1</v>
      </c>
      <c r="P1876" s="1">
        <v>0</v>
      </c>
      <c r="Q1876" s="1">
        <v>3</v>
      </c>
      <c r="R1876" s="1">
        <v>6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47</v>
      </c>
      <c r="AA1876" s="1" t="str" cm="1">
        <f t="array" ref="AA1876">_xlfn.IFS(AND(Z1876&lt;36, Z1876&gt;23), "24-35", AND(Z1876&lt;51, Z1876&gt;35),"36-50", AND(Z1876&lt;66, Z1876&gt;50), "51-66", Z1876&gt;65, "66+", TRUE, "?")</f>
        <v>36-50</v>
      </c>
      <c r="AB1876" s="1">
        <v>2251</v>
      </c>
      <c r="AC1876" s="1">
        <v>0</v>
      </c>
      <c r="AD1876" s="1">
        <v>1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1</v>
      </c>
      <c r="AK1876" s="1">
        <v>0</v>
      </c>
      <c r="AL1876" s="1">
        <v>19</v>
      </c>
      <c r="AM1876" s="2">
        <v>42598</v>
      </c>
      <c r="AN1876" t="str">
        <f t="shared" si="59"/>
        <v>27159,20,0.000736404138591259,1,1,33,17,0,3,0,0,1,2,1,0,3,6,0,0,0,0,0,0,0,47,36-50,2251,0,1,0,0,0,0,0,1,0,19,42598</v>
      </c>
    </row>
    <row r="1877" spans="1:40" ht="13" hidden="1" x14ac:dyDescent="0.15">
      <c r="A1877">
        <v>966</v>
      </c>
      <c r="B1877" s="1">
        <v>32173</v>
      </c>
      <c r="C1877" s="1">
        <v>20</v>
      </c>
      <c r="D1877" s="4">
        <f t="shared" si="58"/>
        <v>6.2163926273583439E-4</v>
      </c>
      <c r="E1877" s="1">
        <v>0</v>
      </c>
      <c r="F1877" s="1">
        <v>1</v>
      </c>
      <c r="G1877" s="1">
        <v>0</v>
      </c>
      <c r="H1877" s="1">
        <v>18</v>
      </c>
      <c r="I1877" s="1">
        <v>0</v>
      </c>
      <c r="J1877" s="1">
        <v>2</v>
      </c>
      <c r="K1877" s="1">
        <v>0</v>
      </c>
      <c r="L1877" s="1">
        <v>0</v>
      </c>
      <c r="M1877" s="1">
        <v>2</v>
      </c>
      <c r="N1877" s="1">
        <v>1</v>
      </c>
      <c r="O1877" s="1">
        <v>1</v>
      </c>
      <c r="P1877" s="1">
        <v>0</v>
      </c>
      <c r="Q1877" s="1">
        <v>3</v>
      </c>
      <c r="R1877" s="1">
        <v>4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62</v>
      </c>
      <c r="AA1877" s="1" t="str" cm="1">
        <f t="array" ref="AA1877">_xlfn.IFS(AND(Z1877&lt;36, Z1877&gt;23), "24-35", AND(Z1877&lt;51, Z1877&gt;35),"36-50", AND(Z1877&lt;66, Z1877&gt;50), "51-66", Z1877&gt;65, "66+", TRUE, "?")</f>
        <v>51-66</v>
      </c>
      <c r="AB1877" s="1">
        <v>2491</v>
      </c>
      <c r="AC1877" s="1">
        <v>1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1</v>
      </c>
      <c r="AL1877" s="1">
        <v>18</v>
      </c>
      <c r="AM1877" s="2">
        <v>42358</v>
      </c>
      <c r="AN1877" t="str">
        <f t="shared" si="59"/>
        <v>32173,20,0.000621639262735834,0,1,0,18,0,2,0,0,2,1,1,0,3,4,0,0,0,0,0,0,0,62,51-66,2491,1,0,0,0,0,0,0,0,1,18,42358</v>
      </c>
    </row>
    <row r="1878" spans="1:40" ht="13" hidden="1" x14ac:dyDescent="0.15">
      <c r="A1878">
        <v>1012</v>
      </c>
      <c r="B1878" s="1">
        <v>26907</v>
      </c>
      <c r="C1878" s="1">
        <v>20</v>
      </c>
      <c r="D1878" s="4">
        <f t="shared" si="58"/>
        <v>7.4330099973984464E-4</v>
      </c>
      <c r="E1878" s="1">
        <v>1</v>
      </c>
      <c r="F1878" s="1">
        <v>1</v>
      </c>
      <c r="G1878" s="1">
        <v>10</v>
      </c>
      <c r="H1878" s="1">
        <v>9</v>
      </c>
      <c r="I1878" s="1">
        <v>1</v>
      </c>
      <c r="J1878" s="1">
        <v>7</v>
      </c>
      <c r="K1878" s="1">
        <v>0</v>
      </c>
      <c r="L1878" s="1">
        <v>3</v>
      </c>
      <c r="M1878" s="1">
        <v>2</v>
      </c>
      <c r="N1878" s="1">
        <v>2</v>
      </c>
      <c r="O1878" s="1">
        <v>1</v>
      </c>
      <c r="P1878" s="1">
        <v>0</v>
      </c>
      <c r="Q1878" s="1">
        <v>3</v>
      </c>
      <c r="R1878" s="1">
        <v>7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44</v>
      </c>
      <c r="AA1878" s="1" t="str" cm="1">
        <f t="array" ref="AA1878">_xlfn.IFS(AND(Z1878&lt;36, Z1878&gt;23), "24-35", AND(Z1878&lt;51, Z1878&gt;35),"36-50", AND(Z1878&lt;66, Z1878&gt;50), "51-66", Z1878&gt;65, "66+", TRUE, "?")</f>
        <v>36-50</v>
      </c>
      <c r="AB1878" s="1">
        <v>2472</v>
      </c>
      <c r="AC1878" s="1">
        <v>0</v>
      </c>
      <c r="AD1878" s="1">
        <v>0</v>
      </c>
      <c r="AE1878" s="1">
        <v>0</v>
      </c>
      <c r="AF1878" s="1">
        <v>1</v>
      </c>
      <c r="AG1878" s="1">
        <v>0</v>
      </c>
      <c r="AH1878" s="1">
        <v>1</v>
      </c>
      <c r="AI1878" s="1">
        <v>0</v>
      </c>
      <c r="AJ1878" s="1">
        <v>0</v>
      </c>
      <c r="AK1878" s="1">
        <v>0</v>
      </c>
      <c r="AL1878" s="1">
        <v>18</v>
      </c>
      <c r="AM1878" s="2">
        <v>42377</v>
      </c>
      <c r="AN1878" t="str">
        <f t="shared" si="59"/>
        <v>26907,20,0.000743300999739845,1,1,10,9,1,7,0,3,2,2,1,0,3,7,0,0,0,0,0,0,0,44,36-50,2472,0,0,0,1,0,1,0,0,0,18,42377</v>
      </c>
    </row>
    <row r="1879" spans="1:40" ht="13" hidden="1" x14ac:dyDescent="0.15">
      <c r="A1879">
        <v>1023</v>
      </c>
      <c r="B1879" s="1">
        <v>43776</v>
      </c>
      <c r="C1879" s="1">
        <v>20</v>
      </c>
      <c r="D1879" s="4">
        <f t="shared" si="58"/>
        <v>4.5687134502923974E-4</v>
      </c>
      <c r="E1879" s="1">
        <v>1</v>
      </c>
      <c r="F1879" s="1">
        <v>0</v>
      </c>
      <c r="G1879" s="1">
        <v>77</v>
      </c>
      <c r="H1879" s="1">
        <v>8</v>
      </c>
      <c r="I1879" s="1">
        <v>0</v>
      </c>
      <c r="J1879" s="1">
        <v>9</v>
      </c>
      <c r="K1879" s="1">
        <v>2</v>
      </c>
      <c r="L1879" s="1">
        <v>1</v>
      </c>
      <c r="M1879" s="1">
        <v>3</v>
      </c>
      <c r="N1879" s="1">
        <v>1</v>
      </c>
      <c r="O1879" s="1">
        <v>1</v>
      </c>
      <c r="P1879" s="1">
        <v>0</v>
      </c>
      <c r="Q1879" s="1">
        <v>2</v>
      </c>
      <c r="R1879" s="1">
        <v>6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37</v>
      </c>
      <c r="AA1879" s="1" t="str" cm="1">
        <f t="array" ref="AA1879">_xlfn.IFS(AND(Z1879&lt;36, Z1879&gt;23), "24-35", AND(Z1879&lt;51, Z1879&gt;35),"36-50", AND(Z1879&lt;66, Z1879&gt;50), "51-66", Z1879&gt;65, "66+", TRUE, "?")</f>
        <v>36-50</v>
      </c>
      <c r="AB1879" s="1">
        <v>2216</v>
      </c>
      <c r="AC1879" s="1">
        <v>0</v>
      </c>
      <c r="AD1879" s="1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1</v>
      </c>
      <c r="AJ1879" s="1">
        <v>0</v>
      </c>
      <c r="AK1879" s="1">
        <v>0</v>
      </c>
      <c r="AL1879" s="1">
        <v>17</v>
      </c>
      <c r="AM1879" s="2">
        <v>42633</v>
      </c>
      <c r="AN1879" t="str">
        <f t="shared" si="59"/>
        <v>43776,20,0.00045687134502924,1,0,77,8,0,9,2,1,3,1,1,0,2,6,0,0,0,0,0,0,0,37,36-50,2216,0,0,0,1,0,0,1,0,0,17,42633</v>
      </c>
    </row>
    <row r="1880" spans="1:40" ht="13" hidden="1" x14ac:dyDescent="0.15">
      <c r="A1880">
        <v>1195</v>
      </c>
      <c r="B1880" s="1">
        <v>37368</v>
      </c>
      <c r="C1880" s="1">
        <v>20</v>
      </c>
      <c r="D1880" s="4">
        <f t="shared" si="58"/>
        <v>5.3521729822307855E-4</v>
      </c>
      <c r="E1880" s="1">
        <v>1</v>
      </c>
      <c r="F1880" s="1">
        <v>0</v>
      </c>
      <c r="G1880" s="1">
        <v>4</v>
      </c>
      <c r="H1880" s="1">
        <v>3</v>
      </c>
      <c r="I1880" s="1">
        <v>2</v>
      </c>
      <c r="J1880" s="1">
        <v>11</v>
      </c>
      <c r="K1880" s="1">
        <v>2</v>
      </c>
      <c r="L1880" s="1">
        <v>2</v>
      </c>
      <c r="M1880" s="1">
        <v>10</v>
      </c>
      <c r="N1880" s="1">
        <v>1</v>
      </c>
      <c r="O1880" s="1">
        <v>1</v>
      </c>
      <c r="P1880" s="1">
        <v>0</v>
      </c>
      <c r="Q1880" s="1">
        <v>2</v>
      </c>
      <c r="R1880" s="1">
        <v>6</v>
      </c>
      <c r="S1880" s="1">
        <v>0</v>
      </c>
      <c r="T1880" s="1">
        <v>0</v>
      </c>
      <c r="U1880" s="1">
        <v>1</v>
      </c>
      <c r="V1880" s="1">
        <v>0</v>
      </c>
      <c r="W1880" s="1">
        <v>0</v>
      </c>
      <c r="X1880" s="1">
        <v>0</v>
      </c>
      <c r="Y1880" s="1">
        <v>0</v>
      </c>
      <c r="Z1880" s="1">
        <v>45</v>
      </c>
      <c r="AA1880" s="1" t="str" cm="1">
        <f t="array" ref="AA1880">_xlfn.IFS(AND(Z1880&lt;36, Z1880&gt;23), "24-35", AND(Z1880&lt;51, Z1880&gt;35),"36-50", AND(Z1880&lt;66, Z1880&gt;50), "51-66", Z1880&gt;65, "66+", TRUE, "?")</f>
        <v>36-50</v>
      </c>
      <c r="AB1880" s="1">
        <v>2354</v>
      </c>
      <c r="AC1880" s="1">
        <v>0</v>
      </c>
      <c r="AD1880" s="1">
        <v>1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1</v>
      </c>
      <c r="AK1880" s="1">
        <v>0</v>
      </c>
      <c r="AL1880" s="1">
        <v>10</v>
      </c>
      <c r="AM1880" s="2">
        <v>42495</v>
      </c>
      <c r="AN1880" t="str">
        <f t="shared" si="59"/>
        <v>37368,20,0.000535217298223079,1,0,4,3,2,11,2,2,10,1,1,0,2,6,0,0,1,0,0,0,0,45,36-50,2354,0,1,0,0,0,0,0,1,0,10,42495</v>
      </c>
    </row>
    <row r="1881" spans="1:40" ht="13" hidden="1" x14ac:dyDescent="0.15">
      <c r="A1881">
        <v>1299</v>
      </c>
      <c r="B1881" s="1">
        <v>29791</v>
      </c>
      <c r="C1881" s="1">
        <v>20</v>
      </c>
      <c r="D1881" s="4">
        <f t="shared" si="58"/>
        <v>6.7134369440435035E-4</v>
      </c>
      <c r="E1881" s="1">
        <v>1</v>
      </c>
      <c r="F1881" s="1">
        <v>0</v>
      </c>
      <c r="G1881" s="1">
        <v>21</v>
      </c>
      <c r="H1881" s="1">
        <v>14</v>
      </c>
      <c r="I1881" s="1">
        <v>0</v>
      </c>
      <c r="J1881" s="1">
        <v>6</v>
      </c>
      <c r="K1881" s="1">
        <v>0</v>
      </c>
      <c r="L1881" s="1">
        <v>0</v>
      </c>
      <c r="M1881" s="1">
        <v>0</v>
      </c>
      <c r="N1881" s="1">
        <v>2</v>
      </c>
      <c r="O1881" s="1">
        <v>2</v>
      </c>
      <c r="P1881" s="1">
        <v>0</v>
      </c>
      <c r="Q1881" s="1">
        <v>3</v>
      </c>
      <c r="R1881" s="1">
        <v>5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48</v>
      </c>
      <c r="AA1881" s="1" t="str" cm="1">
        <f t="array" ref="AA1881">_xlfn.IFS(AND(Z1881&lt;36, Z1881&gt;23), "24-35", AND(Z1881&lt;51, Z1881&gt;35),"36-50", AND(Z1881&lt;66, Z1881&gt;50), "51-66", Z1881&gt;65, "66+", TRUE, "?")</f>
        <v>36-50</v>
      </c>
      <c r="AB1881" s="1">
        <v>2204</v>
      </c>
      <c r="AC1881" s="1">
        <v>0</v>
      </c>
      <c r="AD1881" s="1">
        <v>1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1</v>
      </c>
      <c r="AL1881" s="1">
        <v>20</v>
      </c>
      <c r="AM1881" s="2">
        <v>42645</v>
      </c>
      <c r="AN1881" t="str">
        <f t="shared" si="59"/>
        <v>29791,20,0.00067134369440435,1,0,21,14,0,6,0,0,0,2,2,0,3,5,0,0,0,0,0,0,0,48,36-50,2204,0,1,0,0,0,0,0,0,1,20,42645</v>
      </c>
    </row>
    <row r="1882" spans="1:40" ht="13" hidden="1" x14ac:dyDescent="0.15">
      <c r="A1882">
        <v>1334</v>
      </c>
      <c r="B1882" s="1">
        <v>20491</v>
      </c>
      <c r="C1882" s="1">
        <v>20</v>
      </c>
      <c r="D1882" s="4">
        <f t="shared" si="58"/>
        <v>9.7603826069981941E-4</v>
      </c>
      <c r="E1882" s="1">
        <v>0</v>
      </c>
      <c r="F1882" s="1">
        <v>0</v>
      </c>
      <c r="G1882" s="1">
        <v>16</v>
      </c>
      <c r="H1882" s="1">
        <v>5</v>
      </c>
      <c r="I1882" s="1">
        <v>4</v>
      </c>
      <c r="J1882" s="1">
        <v>5</v>
      </c>
      <c r="K1882" s="1">
        <v>4</v>
      </c>
      <c r="L1882" s="1">
        <v>2</v>
      </c>
      <c r="M1882" s="1">
        <v>10</v>
      </c>
      <c r="N1882" s="1">
        <v>1</v>
      </c>
      <c r="O1882" s="1">
        <v>0</v>
      </c>
      <c r="P1882" s="1">
        <v>1</v>
      </c>
      <c r="Q1882" s="1">
        <v>2</v>
      </c>
      <c r="R1882" s="1">
        <v>7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34</v>
      </c>
      <c r="AA1882" s="1" t="str" cm="1">
        <f t="array" ref="AA1882">_xlfn.IFS(AND(Z1882&lt;36, Z1882&gt;23), "24-35", AND(Z1882&lt;51, Z1882&gt;35),"36-50", AND(Z1882&lt;66, Z1882&gt;50), "51-66", Z1882&gt;65, "66+", TRUE, "?")</f>
        <v>24-35</v>
      </c>
      <c r="AB1882" s="1">
        <v>2679</v>
      </c>
      <c r="AC1882" s="1">
        <v>0</v>
      </c>
      <c r="AD1882" s="1">
        <v>0</v>
      </c>
      <c r="AE1882" s="1">
        <v>0</v>
      </c>
      <c r="AF1882" s="1">
        <v>1</v>
      </c>
      <c r="AG1882" s="1">
        <v>0</v>
      </c>
      <c r="AH1882" s="1">
        <v>1</v>
      </c>
      <c r="AI1882" s="1">
        <v>0</v>
      </c>
      <c r="AJ1882" s="1">
        <v>0</v>
      </c>
      <c r="AK1882" s="1">
        <v>0</v>
      </c>
      <c r="AL1882" s="1">
        <v>10</v>
      </c>
      <c r="AM1882" s="2">
        <v>42170</v>
      </c>
      <c r="AN1882" t="str">
        <f t="shared" si="59"/>
        <v>20491,20,0.000976038260699819,0,0,16,5,4,5,4,2,10,1,0,1,2,7,0,0,0,0,0,0,0,34,24-35,2679,0,0,0,1,0,1,0,0,0,10,42170</v>
      </c>
    </row>
    <row r="1883" spans="1:40" ht="13" hidden="1" x14ac:dyDescent="0.15">
      <c r="A1883">
        <v>1436</v>
      </c>
      <c r="B1883" s="1">
        <v>37054</v>
      </c>
      <c r="C1883" s="1">
        <v>20</v>
      </c>
      <c r="D1883" s="4">
        <f t="shared" si="58"/>
        <v>5.3975279322070495E-4</v>
      </c>
      <c r="E1883" s="1">
        <v>1</v>
      </c>
      <c r="F1883" s="1">
        <v>1</v>
      </c>
      <c r="G1883" s="1">
        <v>89</v>
      </c>
      <c r="H1883" s="1">
        <v>12</v>
      </c>
      <c r="I1883" s="1">
        <v>1</v>
      </c>
      <c r="J1883" s="1">
        <v>6</v>
      </c>
      <c r="K1883" s="1">
        <v>0</v>
      </c>
      <c r="L1883" s="1">
        <v>1</v>
      </c>
      <c r="M1883" s="1">
        <v>5</v>
      </c>
      <c r="N1883" s="1">
        <v>2</v>
      </c>
      <c r="O1883" s="1">
        <v>1</v>
      </c>
      <c r="P1883" s="1">
        <v>0</v>
      </c>
      <c r="Q1883" s="1">
        <v>3</v>
      </c>
      <c r="R1883" s="1">
        <v>7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53</v>
      </c>
      <c r="AA1883" s="1" t="str" cm="1">
        <f t="array" ref="AA1883">_xlfn.IFS(AND(Z1883&lt;36, Z1883&gt;23), "24-35", AND(Z1883&lt;51, Z1883&gt;35),"36-50", AND(Z1883&lt;66, Z1883&gt;50), "51-66", Z1883&gt;65, "66+", TRUE, "?")</f>
        <v>51-66</v>
      </c>
      <c r="AB1883" s="1">
        <v>2446</v>
      </c>
      <c r="AC1883" s="1">
        <v>0</v>
      </c>
      <c r="AD1883" s="1">
        <v>1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1</v>
      </c>
      <c r="AK1883" s="1">
        <v>0</v>
      </c>
      <c r="AL1883" s="1">
        <v>15</v>
      </c>
      <c r="AM1883" s="2">
        <v>42403</v>
      </c>
      <c r="AN1883" t="str">
        <f t="shared" si="59"/>
        <v>37054,20,0.000539752793220705,1,1,89,12,1,6,0,1,5,2,1,0,3,7,0,0,0,0,0,0,0,53,51-66,2446,0,1,0,0,0,0,0,1,0,15,42403</v>
      </c>
    </row>
    <row r="1884" spans="1:40" ht="13" hidden="1" x14ac:dyDescent="0.15">
      <c r="A1884">
        <v>1600</v>
      </c>
      <c r="B1884" s="1">
        <v>28389</v>
      </c>
      <c r="C1884" s="1">
        <v>20</v>
      </c>
      <c r="D1884" s="4">
        <f t="shared" si="58"/>
        <v>7.0449822114199156E-4</v>
      </c>
      <c r="E1884" s="1">
        <v>0</v>
      </c>
      <c r="F1884" s="1">
        <v>0</v>
      </c>
      <c r="G1884" s="1">
        <v>49</v>
      </c>
      <c r="H1884" s="1">
        <v>1</v>
      </c>
      <c r="I1884" s="1">
        <v>5</v>
      </c>
      <c r="J1884" s="1">
        <v>3</v>
      </c>
      <c r="K1884" s="1">
        <v>7</v>
      </c>
      <c r="L1884" s="1">
        <v>4</v>
      </c>
      <c r="M1884" s="1">
        <v>8</v>
      </c>
      <c r="N1884" s="1">
        <v>1</v>
      </c>
      <c r="O1884" s="1">
        <v>1</v>
      </c>
      <c r="P1884" s="1">
        <v>0</v>
      </c>
      <c r="Q1884" s="1">
        <v>2</v>
      </c>
      <c r="R1884" s="1">
        <v>7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73</v>
      </c>
      <c r="AA1884" s="1" t="str" cm="1">
        <f t="array" ref="AA1884">_xlfn.IFS(AND(Z1884&lt;36, Z1884&gt;23), "24-35", AND(Z1884&lt;51, Z1884&gt;35),"36-50", AND(Z1884&lt;66, Z1884&gt;50), "51-66", Z1884&gt;65, "66+", TRUE, "?")</f>
        <v>66+</v>
      </c>
      <c r="AB1884" s="1">
        <v>2745</v>
      </c>
      <c r="AC1884" s="1">
        <v>0</v>
      </c>
      <c r="AD1884" s="1">
        <v>0</v>
      </c>
      <c r="AE1884" s="1">
        <v>0</v>
      </c>
      <c r="AF1884" s="1">
        <v>1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12</v>
      </c>
      <c r="AM1884" s="2">
        <v>42104</v>
      </c>
      <c r="AN1884" t="str">
        <f t="shared" si="59"/>
        <v>28389,20,0.000704498221141992,0,0,49,1,5,3,7,4,8,1,1,0,2,7,0,0,0,0,0,0,0,73,66+,2745,0,0,0,1,0,0,0,0,0,12,42104</v>
      </c>
    </row>
    <row r="1885" spans="1:40" ht="13" hidden="1" x14ac:dyDescent="0.15">
      <c r="A1885">
        <v>1816</v>
      </c>
      <c r="B1885" s="1">
        <v>13672</v>
      </c>
      <c r="C1885" s="1">
        <v>20</v>
      </c>
      <c r="D1885" s="4">
        <f t="shared" si="58"/>
        <v>1.4628437682855471E-3</v>
      </c>
      <c r="E1885" s="1">
        <v>1</v>
      </c>
      <c r="F1885" s="1">
        <v>1</v>
      </c>
      <c r="G1885" s="1">
        <v>86</v>
      </c>
      <c r="H1885" s="1">
        <v>6</v>
      </c>
      <c r="I1885" s="1">
        <v>2</v>
      </c>
      <c r="J1885" s="1">
        <v>9</v>
      </c>
      <c r="K1885" s="1">
        <v>2</v>
      </c>
      <c r="L1885" s="1">
        <v>1</v>
      </c>
      <c r="M1885" s="1">
        <v>5</v>
      </c>
      <c r="N1885" s="1">
        <v>2</v>
      </c>
      <c r="O1885" s="1">
        <v>1</v>
      </c>
      <c r="P1885" s="1">
        <v>0</v>
      </c>
      <c r="Q1885" s="1">
        <v>3</v>
      </c>
      <c r="R1885" s="1">
        <v>8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60</v>
      </c>
      <c r="AA1885" s="1" t="str" cm="1">
        <f t="array" ref="AA1885">_xlfn.IFS(AND(Z1885&lt;36, Z1885&gt;23), "24-35", AND(Z1885&lt;51, Z1885&gt;35),"36-50", AND(Z1885&lt;66, Z1885&gt;50), "51-66", Z1885&gt;65, "66+", TRUE, "?")</f>
        <v>51-66</v>
      </c>
      <c r="AB1885" s="1">
        <v>2597</v>
      </c>
      <c r="AC1885" s="1">
        <v>0</v>
      </c>
      <c r="AD1885" s="1">
        <v>0</v>
      </c>
      <c r="AE1885" s="1">
        <v>0</v>
      </c>
      <c r="AF1885" s="1">
        <v>1</v>
      </c>
      <c r="AG1885" s="1">
        <v>0</v>
      </c>
      <c r="AH1885" s="1">
        <v>0</v>
      </c>
      <c r="AI1885" s="1">
        <v>1</v>
      </c>
      <c r="AJ1885" s="1">
        <v>0</v>
      </c>
      <c r="AK1885" s="1">
        <v>0</v>
      </c>
      <c r="AL1885" s="1">
        <v>15</v>
      </c>
      <c r="AM1885" s="2">
        <v>42252</v>
      </c>
      <c r="AN1885" t="str">
        <f t="shared" si="59"/>
        <v>13672,20,0.00146284376828555,1,1,86,6,2,9,2,1,5,2,1,0,3,8,0,0,0,0,0,0,0,60,51-66,2597,0,0,0,1,0,0,1,0,0,15,42252</v>
      </c>
    </row>
    <row r="1886" spans="1:40" ht="13" hidden="1" x14ac:dyDescent="0.15">
      <c r="A1886">
        <v>1914</v>
      </c>
      <c r="B1886" s="1">
        <v>34587</v>
      </c>
      <c r="C1886" s="1">
        <v>20</v>
      </c>
      <c r="D1886" s="4">
        <f t="shared" si="58"/>
        <v>5.7825194437216294E-4</v>
      </c>
      <c r="E1886" s="1">
        <v>1</v>
      </c>
      <c r="F1886" s="1">
        <v>1</v>
      </c>
      <c r="G1886" s="1">
        <v>68</v>
      </c>
      <c r="H1886" s="1">
        <v>7</v>
      </c>
      <c r="I1886" s="1">
        <v>2</v>
      </c>
      <c r="J1886" s="1">
        <v>9</v>
      </c>
      <c r="K1886" s="1">
        <v>2</v>
      </c>
      <c r="L1886" s="1">
        <v>0</v>
      </c>
      <c r="M1886" s="1">
        <v>2</v>
      </c>
      <c r="N1886" s="1">
        <v>2</v>
      </c>
      <c r="O1886" s="1">
        <v>1</v>
      </c>
      <c r="P1886" s="1">
        <v>0</v>
      </c>
      <c r="Q1886" s="1">
        <v>3</v>
      </c>
      <c r="R1886" s="1">
        <v>4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67</v>
      </c>
      <c r="AA1886" s="1" t="str" cm="1">
        <f t="array" ref="AA1886">_xlfn.IFS(AND(Z1886&lt;36, Z1886&gt;23), "24-35", AND(Z1886&lt;51, Z1886&gt;35),"36-50", AND(Z1886&lt;66, Z1886&gt;50), "51-66", Z1886&gt;65, "66+", TRUE, "?")</f>
        <v>66+</v>
      </c>
      <c r="AB1886" s="1">
        <v>2203</v>
      </c>
      <c r="AC1886" s="1">
        <v>0</v>
      </c>
      <c r="AD1886" s="1">
        <v>0</v>
      </c>
      <c r="AE1886" s="1">
        <v>0</v>
      </c>
      <c r="AF1886" s="1">
        <v>1</v>
      </c>
      <c r="AG1886" s="1">
        <v>0</v>
      </c>
      <c r="AH1886" s="1">
        <v>0</v>
      </c>
      <c r="AI1886" s="1">
        <v>1</v>
      </c>
      <c r="AJ1886" s="1">
        <v>0</v>
      </c>
      <c r="AK1886" s="1">
        <v>0</v>
      </c>
      <c r="AL1886" s="1">
        <v>18</v>
      </c>
      <c r="AM1886" s="2">
        <v>42646</v>
      </c>
      <c r="AN1886" t="str">
        <f t="shared" si="59"/>
        <v>34587,20,0.000578251944372163,1,1,68,7,2,9,2,0,2,2,1,0,3,4,0,0,0,0,0,0,0,67,66+,2203,0,0,0,1,0,0,1,0,0,18,42646</v>
      </c>
    </row>
    <row r="1887" spans="1:40" ht="13" hidden="1" x14ac:dyDescent="0.15">
      <c r="A1887">
        <v>1937</v>
      </c>
      <c r="B1887" s="1">
        <v>19346</v>
      </c>
      <c r="C1887" s="1">
        <v>20</v>
      </c>
      <c r="D1887" s="4">
        <f t="shared" si="58"/>
        <v>1.0338054378166029E-3</v>
      </c>
      <c r="E1887" s="1">
        <v>1</v>
      </c>
      <c r="F1887" s="1">
        <v>0</v>
      </c>
      <c r="G1887" s="1">
        <v>26</v>
      </c>
      <c r="H1887" s="1">
        <v>2</v>
      </c>
      <c r="I1887" s="1">
        <v>0</v>
      </c>
      <c r="J1887" s="1">
        <v>9</v>
      </c>
      <c r="K1887" s="1">
        <v>3</v>
      </c>
      <c r="L1887" s="1">
        <v>6</v>
      </c>
      <c r="M1887" s="1">
        <v>2</v>
      </c>
      <c r="N1887" s="1">
        <v>1</v>
      </c>
      <c r="O1887" s="1">
        <v>1</v>
      </c>
      <c r="P1887" s="1">
        <v>0</v>
      </c>
      <c r="Q1887" s="1">
        <v>3</v>
      </c>
      <c r="R1887" s="1">
        <v>8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46</v>
      </c>
      <c r="AA1887" s="1" t="str" cm="1">
        <f t="array" ref="AA1887">_xlfn.IFS(AND(Z1887&lt;36, Z1887&gt;23), "24-35", AND(Z1887&lt;51, Z1887&gt;35),"36-50", AND(Z1887&lt;66, Z1887&gt;50), "51-66", Z1887&gt;65, "66+", TRUE, "?")</f>
        <v>36-50</v>
      </c>
      <c r="AB1887" s="1">
        <v>2309</v>
      </c>
      <c r="AC1887" s="1">
        <v>1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1</v>
      </c>
      <c r="AJ1887" s="1">
        <v>0</v>
      </c>
      <c r="AK1887" s="1">
        <v>0</v>
      </c>
      <c r="AL1887" s="1">
        <v>18</v>
      </c>
      <c r="AM1887" s="2">
        <v>42540</v>
      </c>
      <c r="AN1887" t="str">
        <f t="shared" si="59"/>
        <v>19346,20,0.0010338054378166,1,0,26,2,0,9,3,6,2,1,1,0,3,8,0,0,0,0,0,0,0,46,36-50,2309,1,0,0,0,0,0,1,0,0,18,42540</v>
      </c>
    </row>
    <row r="1888" spans="1:40" ht="13" x14ac:dyDescent="0.15">
      <c r="A1888">
        <v>1965</v>
      </c>
      <c r="B1888" s="1">
        <v>18890</v>
      </c>
      <c r="C1888" s="1">
        <v>20</v>
      </c>
      <c r="D1888" s="4">
        <f t="shared" si="58"/>
        <v>1.0587612493382743E-3</v>
      </c>
      <c r="E1888" s="1">
        <v>0</v>
      </c>
      <c r="F1888" s="1">
        <v>0</v>
      </c>
      <c r="G1888" s="1">
        <v>5</v>
      </c>
      <c r="H1888" s="1">
        <v>6</v>
      </c>
      <c r="I1888" s="1">
        <v>4</v>
      </c>
      <c r="J1888" s="1">
        <v>1</v>
      </c>
      <c r="K1888" s="1">
        <v>7</v>
      </c>
      <c r="L1888" s="1">
        <v>2</v>
      </c>
      <c r="M1888" s="1">
        <v>15</v>
      </c>
      <c r="N1888" s="1">
        <v>1</v>
      </c>
      <c r="O1888" s="1">
        <v>0</v>
      </c>
      <c r="P1888" s="1">
        <v>1</v>
      </c>
      <c r="Q1888" s="1">
        <v>2</v>
      </c>
      <c r="R1888" s="1">
        <v>6</v>
      </c>
      <c r="S1888" s="1">
        <v>0</v>
      </c>
      <c r="T1888" s="1">
        <v>0</v>
      </c>
      <c r="U1888" s="1">
        <v>1</v>
      </c>
      <c r="V1888" s="1">
        <v>0</v>
      </c>
      <c r="W1888" s="1">
        <v>0</v>
      </c>
      <c r="X1888" s="1">
        <v>0</v>
      </c>
      <c r="Y1888" s="1">
        <v>1</v>
      </c>
      <c r="Z1888" s="1">
        <v>36</v>
      </c>
      <c r="AA1888" s="1" t="str" cm="1">
        <f t="array" ref="AA1888">_xlfn.IFS(AND(Z1888&lt;36, Z1888&gt;23), "24-35", AND(Z1888&lt;51, Z1888&gt;35),"36-50", AND(Z1888&lt;66, Z1888&gt;50), "51-66", Z1888&gt;65, "66+", TRUE, "?")</f>
        <v>36-50</v>
      </c>
      <c r="AB1888" s="1">
        <v>2755</v>
      </c>
      <c r="AC1888" s="1">
        <v>0</v>
      </c>
      <c r="AD1888" s="1">
        <v>0</v>
      </c>
      <c r="AE1888" s="1">
        <v>1</v>
      </c>
      <c r="AF1888" s="1">
        <v>0</v>
      </c>
      <c r="AG1888" s="1">
        <v>0</v>
      </c>
      <c r="AH1888" s="1">
        <v>0</v>
      </c>
      <c r="AI1888" s="1">
        <v>0</v>
      </c>
      <c r="AJ1888" s="1">
        <v>1</v>
      </c>
      <c r="AK1888" s="1">
        <v>0</v>
      </c>
      <c r="AL1888" s="1">
        <v>5</v>
      </c>
      <c r="AM1888" s="2">
        <v>42094</v>
      </c>
      <c r="AN1888" t="str">
        <f t="shared" si="59"/>
        <v>18890,20,0.00105876124933827,0,0,5,6,4,1,7,2,15,1,0,1,2,6,0,0,1,0,0,0,1,36,36-50,2755,0,0,1,0,0,0,0,1,0,5,42094</v>
      </c>
    </row>
    <row r="1889" spans="1:40" ht="13" hidden="1" x14ac:dyDescent="0.15">
      <c r="A1889">
        <v>41</v>
      </c>
      <c r="B1889" s="1">
        <v>21994</v>
      </c>
      <c r="C1889" s="1">
        <v>19</v>
      </c>
      <c r="D1889" s="4">
        <f t="shared" si="58"/>
        <v>8.6387196508138579E-4</v>
      </c>
      <c r="E1889" s="1">
        <v>0</v>
      </c>
      <c r="F1889" s="1">
        <v>1</v>
      </c>
      <c r="G1889" s="1">
        <v>4</v>
      </c>
      <c r="H1889" s="1">
        <v>9</v>
      </c>
      <c r="I1889" s="1">
        <v>0</v>
      </c>
      <c r="J1889" s="1">
        <v>6</v>
      </c>
      <c r="K1889" s="1">
        <v>3</v>
      </c>
      <c r="L1889" s="1">
        <v>1</v>
      </c>
      <c r="M1889" s="1">
        <v>3</v>
      </c>
      <c r="N1889" s="1">
        <v>1</v>
      </c>
      <c r="O1889" s="1">
        <v>0</v>
      </c>
      <c r="P1889" s="1">
        <v>0</v>
      </c>
      <c r="Q1889" s="1">
        <v>3</v>
      </c>
      <c r="R1889" s="1">
        <v>5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63</v>
      </c>
      <c r="AA1889" s="1" t="str" cm="1">
        <f t="array" ref="AA1889">_xlfn.IFS(AND(Z1889&lt;36, Z1889&gt;23), "24-35", AND(Z1889&lt;51, Z1889&gt;35),"36-50", AND(Z1889&lt;66, Z1889&gt;50), "51-66", Z1889&gt;65, "66+", TRUE, "?")</f>
        <v>51-66</v>
      </c>
      <c r="AB1889" s="1">
        <v>2711</v>
      </c>
      <c r="AC1889" s="1">
        <v>0</v>
      </c>
      <c r="AD1889" s="1">
        <v>0</v>
      </c>
      <c r="AE1889" s="1">
        <v>0</v>
      </c>
      <c r="AF1889" s="1">
        <v>1</v>
      </c>
      <c r="AG1889" s="1">
        <v>0</v>
      </c>
      <c r="AH1889" s="1">
        <v>0</v>
      </c>
      <c r="AI1889" s="1">
        <v>1</v>
      </c>
      <c r="AJ1889" s="1">
        <v>0</v>
      </c>
      <c r="AK1889" s="1">
        <v>0</v>
      </c>
      <c r="AL1889" s="1">
        <v>16</v>
      </c>
      <c r="AM1889" s="2">
        <v>42138</v>
      </c>
      <c r="AN1889" t="str">
        <f t="shared" si="59"/>
        <v>21994,19,0.000863871965081386,0,1,4,9,0,6,3,1,3,1,0,0,3,5,0,0,0,0,0,0,0,63,51-66,2711,0,0,0,1,0,0,1,0,0,16,42138</v>
      </c>
    </row>
    <row r="1890" spans="1:40" ht="13" hidden="1" x14ac:dyDescent="0.15">
      <c r="A1890">
        <v>42</v>
      </c>
      <c r="B1890" s="1">
        <v>7500</v>
      </c>
      <c r="C1890" s="1">
        <v>19</v>
      </c>
      <c r="D1890" s="4">
        <f t="shared" si="58"/>
        <v>2.5333333333333332E-3</v>
      </c>
      <c r="E1890" s="1">
        <v>1</v>
      </c>
      <c r="F1890" s="1">
        <v>0</v>
      </c>
      <c r="G1890" s="1">
        <v>19</v>
      </c>
      <c r="H1890" s="1">
        <v>3</v>
      </c>
      <c r="I1890" s="1">
        <v>1</v>
      </c>
      <c r="J1890" s="1">
        <v>10</v>
      </c>
      <c r="K1890" s="1">
        <v>3</v>
      </c>
      <c r="L1890" s="1">
        <v>2</v>
      </c>
      <c r="M1890" s="1">
        <v>12</v>
      </c>
      <c r="N1890" s="1">
        <v>3</v>
      </c>
      <c r="O1890" s="1">
        <v>2</v>
      </c>
      <c r="P1890" s="1">
        <v>0</v>
      </c>
      <c r="Q1890" s="1">
        <v>3</v>
      </c>
      <c r="R1890" s="1">
        <v>5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45</v>
      </c>
      <c r="AA1890" s="1" t="str" cm="1">
        <f t="array" ref="AA1890">_xlfn.IFS(AND(Z1890&lt;36, Z1890&gt;23), "24-35", AND(Z1890&lt;51, Z1890&gt;35),"36-50", AND(Z1890&lt;66, Z1890&gt;50), "51-66", Z1890&gt;65, "66+", TRUE, "?")</f>
        <v>36-50</v>
      </c>
      <c r="AB1890" s="1">
        <v>2429</v>
      </c>
      <c r="AC1890" s="1">
        <v>0</v>
      </c>
      <c r="AD1890" s="1">
        <v>1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1</v>
      </c>
      <c r="AK1890" s="1">
        <v>0</v>
      </c>
      <c r="AL1890" s="1">
        <v>7</v>
      </c>
      <c r="AM1890" s="2">
        <v>42420</v>
      </c>
      <c r="AN1890" t="str">
        <f t="shared" si="59"/>
        <v>7500,19,0.00253333333333333,1,0,19,3,1,10,3,2,12,3,2,0,3,5,0,0,0,0,0,0,0,45,36-50,2429,0,1,0,0,0,0,0,1,0,7,42420</v>
      </c>
    </row>
    <row r="1891" spans="1:40" ht="13" hidden="1" x14ac:dyDescent="0.15">
      <c r="A1891">
        <v>214</v>
      </c>
      <c r="B1891" s="1">
        <v>38590</v>
      </c>
      <c r="C1891" s="1">
        <v>19</v>
      </c>
      <c r="D1891" s="4">
        <f t="shared" si="58"/>
        <v>4.9235553252137865E-4</v>
      </c>
      <c r="E1891" s="1">
        <v>1</v>
      </c>
      <c r="F1891" s="1">
        <v>0</v>
      </c>
      <c r="G1891" s="1">
        <v>65</v>
      </c>
      <c r="H1891" s="1">
        <v>3</v>
      </c>
      <c r="I1891" s="1">
        <v>1</v>
      </c>
      <c r="J1891" s="1">
        <v>8</v>
      </c>
      <c r="K1891" s="1">
        <v>4</v>
      </c>
      <c r="L1891" s="1">
        <v>3</v>
      </c>
      <c r="M1891" s="1">
        <v>3</v>
      </c>
      <c r="N1891" s="1">
        <v>1</v>
      </c>
      <c r="O1891" s="1">
        <v>1</v>
      </c>
      <c r="P1891" s="1">
        <v>0</v>
      </c>
      <c r="Q1891" s="1">
        <v>2</v>
      </c>
      <c r="R1891" s="1">
        <v>8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49</v>
      </c>
      <c r="AA1891" s="1" t="str" cm="1">
        <f t="array" ref="AA1891">_xlfn.IFS(AND(Z1891&lt;36, Z1891&gt;23), "24-35", AND(Z1891&lt;51, Z1891&gt;35),"36-50", AND(Z1891&lt;66, Z1891&gt;50), "51-66", Z1891&gt;65, "66+", TRUE, "?")</f>
        <v>36-50</v>
      </c>
      <c r="AB1891" s="1">
        <v>2569</v>
      </c>
      <c r="AC1891" s="1">
        <v>0</v>
      </c>
      <c r="AD1891" s="1">
        <v>0</v>
      </c>
      <c r="AE1891" s="1">
        <v>0</v>
      </c>
      <c r="AF1891" s="1">
        <v>1</v>
      </c>
      <c r="AG1891" s="1">
        <v>0</v>
      </c>
      <c r="AH1891" s="1">
        <v>0</v>
      </c>
      <c r="AI1891" s="1">
        <v>1</v>
      </c>
      <c r="AJ1891" s="1">
        <v>0</v>
      </c>
      <c r="AK1891" s="1">
        <v>0</v>
      </c>
      <c r="AL1891" s="1">
        <v>16</v>
      </c>
      <c r="AM1891" s="2">
        <v>42280</v>
      </c>
      <c r="AN1891" t="str">
        <f t="shared" si="59"/>
        <v>38590,19,0.000492355532521379,1,0,65,3,1,8,4,3,3,1,1,0,2,8,0,0,0,0,0,0,0,49,36-50,2569,0,0,0,1,0,0,1,0,0,16,42280</v>
      </c>
    </row>
    <row r="1892" spans="1:40" ht="13" hidden="1" x14ac:dyDescent="0.15">
      <c r="A1892">
        <v>298</v>
      </c>
      <c r="B1892" s="1">
        <v>47025</v>
      </c>
      <c r="C1892" s="1">
        <v>19</v>
      </c>
      <c r="D1892" s="4">
        <f t="shared" si="58"/>
        <v>4.0404040404040404E-4</v>
      </c>
      <c r="E1892" s="1">
        <v>1</v>
      </c>
      <c r="F1892" s="1">
        <v>1</v>
      </c>
      <c r="G1892" s="1">
        <v>6</v>
      </c>
      <c r="H1892" s="1">
        <v>16</v>
      </c>
      <c r="I1892" s="1">
        <v>0</v>
      </c>
      <c r="J1892" s="1">
        <v>3</v>
      </c>
      <c r="K1892" s="1">
        <v>0</v>
      </c>
      <c r="L1892" s="1">
        <v>0</v>
      </c>
      <c r="M1892" s="1">
        <v>1</v>
      </c>
      <c r="N1892" s="1">
        <v>1</v>
      </c>
      <c r="O1892" s="1">
        <v>1</v>
      </c>
      <c r="P1892" s="1">
        <v>0</v>
      </c>
      <c r="Q1892" s="1">
        <v>2</v>
      </c>
      <c r="R1892" s="1">
        <v>7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55</v>
      </c>
      <c r="AA1892" s="1" t="str" cm="1">
        <f t="array" ref="AA1892">_xlfn.IFS(AND(Z1892&lt;36, Z1892&gt;23), "24-35", AND(Z1892&lt;51, Z1892&gt;35),"36-50", AND(Z1892&lt;66, Z1892&gt;50), "51-66", Z1892&gt;65, "66+", TRUE, "?")</f>
        <v>51-66</v>
      </c>
      <c r="AB1892" s="1">
        <v>2299</v>
      </c>
      <c r="AC1892" s="1">
        <v>1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1</v>
      </c>
      <c r="AL1892" s="1">
        <v>18</v>
      </c>
      <c r="AM1892" s="2">
        <v>42550</v>
      </c>
      <c r="AN1892" t="str">
        <f t="shared" si="59"/>
        <v>47025,19,0.000404040404040404,1,1,6,16,0,3,0,0,1,1,1,0,2,7,0,0,0,0,0,0,0,55,51-66,2299,1,0,0,0,0,0,0,0,1,18,42550</v>
      </c>
    </row>
    <row r="1893" spans="1:40" ht="13" hidden="1" x14ac:dyDescent="0.15">
      <c r="A1893">
        <v>306</v>
      </c>
      <c r="B1893" s="1">
        <v>24072</v>
      </c>
      <c r="C1893" s="1">
        <v>19</v>
      </c>
      <c r="D1893" s="4">
        <f t="shared" si="58"/>
        <v>7.8929877035559986E-4</v>
      </c>
      <c r="E1893" s="1">
        <v>1</v>
      </c>
      <c r="F1893" s="1">
        <v>0</v>
      </c>
      <c r="G1893" s="1">
        <v>79</v>
      </c>
      <c r="H1893" s="1">
        <v>9</v>
      </c>
      <c r="I1893" s="1">
        <v>1</v>
      </c>
      <c r="J1893" s="1">
        <v>6</v>
      </c>
      <c r="K1893" s="1">
        <v>3</v>
      </c>
      <c r="L1893" s="1">
        <v>0</v>
      </c>
      <c r="M1893" s="1">
        <v>4</v>
      </c>
      <c r="N1893" s="1">
        <v>1</v>
      </c>
      <c r="O1893" s="1">
        <v>1</v>
      </c>
      <c r="P1893" s="1">
        <v>0</v>
      </c>
      <c r="Q1893" s="1">
        <v>2</v>
      </c>
      <c r="R1893" s="1">
        <v>8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37</v>
      </c>
      <c r="AA1893" s="1" t="str" cm="1">
        <f t="array" ref="AA1893">_xlfn.IFS(AND(Z1893&lt;36, Z1893&gt;23), "24-35", AND(Z1893&lt;51, Z1893&gt;35),"36-50", AND(Z1893&lt;66, Z1893&gt;50), "51-66", Z1893&gt;65, "66+", TRUE, "?")</f>
        <v>36-50</v>
      </c>
      <c r="AB1893" s="1">
        <v>2598</v>
      </c>
      <c r="AC1893" s="1">
        <v>0</v>
      </c>
      <c r="AD1893" s="1">
        <v>0</v>
      </c>
      <c r="AE1893" s="1">
        <v>1</v>
      </c>
      <c r="AF1893" s="1">
        <v>0</v>
      </c>
      <c r="AG1893" s="1">
        <v>0</v>
      </c>
      <c r="AH1893" s="1">
        <v>0</v>
      </c>
      <c r="AI1893" s="1">
        <v>1</v>
      </c>
      <c r="AJ1893" s="1">
        <v>0</v>
      </c>
      <c r="AK1893" s="1">
        <v>0</v>
      </c>
      <c r="AL1893" s="1">
        <v>15</v>
      </c>
      <c r="AM1893" s="2">
        <v>42251</v>
      </c>
      <c r="AN1893" t="str">
        <f t="shared" si="59"/>
        <v>24072,19,0.0007892987703556,1,0,79,9,1,6,3,0,4,1,1,0,2,8,0,0,0,0,0,0,0,37,36-50,2598,0,0,1,0,0,0,1,0,0,15,42251</v>
      </c>
    </row>
    <row r="1894" spans="1:40" ht="13" hidden="1" x14ac:dyDescent="0.15">
      <c r="A1894">
        <v>397</v>
      </c>
      <c r="B1894" s="1">
        <v>48686</v>
      </c>
      <c r="C1894" s="1">
        <v>19</v>
      </c>
      <c r="D1894" s="4">
        <f t="shared" si="58"/>
        <v>3.9025592572813542E-4</v>
      </c>
      <c r="E1894" s="1">
        <v>1</v>
      </c>
      <c r="F1894" s="1">
        <v>2</v>
      </c>
      <c r="G1894" s="1">
        <v>8</v>
      </c>
      <c r="H1894" s="1">
        <v>10</v>
      </c>
      <c r="I1894" s="1">
        <v>0</v>
      </c>
      <c r="J1894" s="1">
        <v>7</v>
      </c>
      <c r="K1894" s="1">
        <v>2</v>
      </c>
      <c r="L1894" s="1">
        <v>0</v>
      </c>
      <c r="M1894" s="1">
        <v>1</v>
      </c>
      <c r="N1894" s="1">
        <v>1</v>
      </c>
      <c r="O1894" s="1">
        <v>1</v>
      </c>
      <c r="P1894" s="1">
        <v>0</v>
      </c>
      <c r="Q1894" s="1">
        <v>2</v>
      </c>
      <c r="R1894" s="1">
        <v>8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67</v>
      </c>
      <c r="AA1894" s="1" t="str" cm="1">
        <f t="array" ref="AA1894">_xlfn.IFS(AND(Z1894&lt;36, Z1894&gt;23), "24-35", AND(Z1894&lt;51, Z1894&gt;35),"36-50", AND(Z1894&lt;66, Z1894&gt;50), "51-66", Z1894&gt;65, "66+", TRUE, "?")</f>
        <v>66+</v>
      </c>
      <c r="AB1894" s="1">
        <v>2366</v>
      </c>
      <c r="AC1894" s="1">
        <v>0</v>
      </c>
      <c r="AD1894" s="1">
        <v>1</v>
      </c>
      <c r="AE1894" s="1">
        <v>0</v>
      </c>
      <c r="AF1894" s="1">
        <v>0</v>
      </c>
      <c r="AG1894" s="1">
        <v>0</v>
      </c>
      <c r="AH1894" s="1">
        <v>0</v>
      </c>
      <c r="AI1894" s="1">
        <v>1</v>
      </c>
      <c r="AJ1894" s="1">
        <v>0</v>
      </c>
      <c r="AK1894" s="1">
        <v>0</v>
      </c>
      <c r="AL1894" s="1">
        <v>18</v>
      </c>
      <c r="AM1894" s="2">
        <v>42483</v>
      </c>
      <c r="AN1894" t="str">
        <f t="shared" si="59"/>
        <v>48686,19,0.000390255925728135,1,2,8,10,0,7,2,0,1,1,1,0,2,8,0,0,0,0,0,0,0,67,66+,2366,0,1,0,0,0,0,1,0,0,18,42483</v>
      </c>
    </row>
    <row r="1895" spans="1:40" ht="13" hidden="1" x14ac:dyDescent="0.15">
      <c r="A1895">
        <v>458</v>
      </c>
      <c r="B1895" s="1">
        <v>14045</v>
      </c>
      <c r="C1895" s="1">
        <v>19</v>
      </c>
      <c r="D1895" s="4">
        <f t="shared" si="58"/>
        <v>1.3527945888216447E-3</v>
      </c>
      <c r="E1895" s="1">
        <v>1</v>
      </c>
      <c r="F1895" s="1">
        <v>0</v>
      </c>
      <c r="G1895" s="1">
        <v>24</v>
      </c>
      <c r="H1895" s="1">
        <v>11</v>
      </c>
      <c r="I1895" s="1">
        <v>0</v>
      </c>
      <c r="J1895" s="1">
        <v>5</v>
      </c>
      <c r="K1895" s="1">
        <v>2</v>
      </c>
      <c r="L1895" s="1">
        <v>1</v>
      </c>
      <c r="M1895" s="1">
        <v>1</v>
      </c>
      <c r="N1895" s="1">
        <v>1</v>
      </c>
      <c r="O1895" s="1">
        <v>1</v>
      </c>
      <c r="P1895" s="1">
        <v>0</v>
      </c>
      <c r="Q1895" s="1">
        <v>3</v>
      </c>
      <c r="R1895" s="1">
        <v>7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51</v>
      </c>
      <c r="AA1895" s="1" t="str" cm="1">
        <f t="array" ref="AA1895">_xlfn.IFS(AND(Z1895&lt;36, Z1895&gt;23), "24-35", AND(Z1895&lt;51, Z1895&gt;35),"36-50", AND(Z1895&lt;66, Z1895&gt;50), "51-66", Z1895&gt;65, "66+", TRUE, "?")</f>
        <v>51-66</v>
      </c>
      <c r="AB1895" s="1">
        <v>2313</v>
      </c>
      <c r="AC1895" s="1">
        <v>0</v>
      </c>
      <c r="AD1895" s="1">
        <v>1</v>
      </c>
      <c r="AE1895" s="1">
        <v>0</v>
      </c>
      <c r="AF1895" s="1">
        <v>0</v>
      </c>
      <c r="AG1895" s="1">
        <v>0</v>
      </c>
      <c r="AH1895" s="1">
        <v>0</v>
      </c>
      <c r="AI1895" s="1">
        <v>1</v>
      </c>
      <c r="AJ1895" s="1">
        <v>0</v>
      </c>
      <c r="AK1895" s="1">
        <v>0</v>
      </c>
      <c r="AL1895" s="1">
        <v>18</v>
      </c>
      <c r="AM1895" s="2">
        <v>42536</v>
      </c>
      <c r="AN1895" t="str">
        <f t="shared" si="59"/>
        <v>14045,19,0.00135279458882164,1,0,24,11,0,5,2,1,1,1,1,0,3,7,0,0,0,0,0,0,0,51,51-66,2313,0,1,0,0,0,0,1,0,0,18,42536</v>
      </c>
    </row>
    <row r="1896" spans="1:40" ht="13" hidden="1" x14ac:dyDescent="0.15">
      <c r="A1896">
        <v>649</v>
      </c>
      <c r="B1896" s="1">
        <v>13084</v>
      </c>
      <c r="C1896" s="1">
        <v>19</v>
      </c>
      <c r="D1896" s="4">
        <f t="shared" si="58"/>
        <v>1.4521553041883216E-3</v>
      </c>
      <c r="E1896" s="1">
        <v>0</v>
      </c>
      <c r="F1896" s="1">
        <v>0</v>
      </c>
      <c r="G1896" s="1">
        <v>29</v>
      </c>
      <c r="H1896" s="1">
        <v>2</v>
      </c>
      <c r="I1896" s="1">
        <v>0</v>
      </c>
      <c r="J1896" s="1">
        <v>7</v>
      </c>
      <c r="K1896" s="1">
        <v>3</v>
      </c>
      <c r="L1896" s="1">
        <v>7</v>
      </c>
      <c r="M1896" s="1">
        <v>10</v>
      </c>
      <c r="N1896" s="1">
        <v>1</v>
      </c>
      <c r="O1896" s="1">
        <v>1</v>
      </c>
      <c r="P1896" s="1">
        <v>0</v>
      </c>
      <c r="Q1896" s="1">
        <v>3</v>
      </c>
      <c r="R1896" s="1">
        <v>6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68</v>
      </c>
      <c r="AA1896" s="1" t="str" cm="1">
        <f t="array" ref="AA1896">_xlfn.IFS(AND(Z1896&lt;36, Z1896&gt;23), "24-35", AND(Z1896&lt;51, Z1896&gt;35),"36-50", AND(Z1896&lt;66, Z1896&gt;50), "51-66", Z1896&gt;65, "66+", TRUE, "?")</f>
        <v>66+</v>
      </c>
      <c r="AB1896" s="1">
        <v>2398</v>
      </c>
      <c r="AC1896" s="1">
        <v>0</v>
      </c>
      <c r="AD1896" s="1">
        <v>0</v>
      </c>
      <c r="AE1896" s="1">
        <v>0</v>
      </c>
      <c r="AF1896" s="1">
        <v>1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9</v>
      </c>
      <c r="AM1896" s="2">
        <v>42451</v>
      </c>
      <c r="AN1896" t="str">
        <f t="shared" si="59"/>
        <v>13084,19,0.00145215530418832,0,0,29,2,0,7,3,7,10,1,1,0,3,6,0,0,0,0,0,0,0,68,66+,2398,0,0,0,1,0,0,0,0,0,9,42451</v>
      </c>
    </row>
    <row r="1897" spans="1:40" ht="13" hidden="1" x14ac:dyDescent="0.15">
      <c r="A1897">
        <v>652</v>
      </c>
      <c r="B1897" s="1">
        <v>34824</v>
      </c>
      <c r="C1897" s="1">
        <v>19</v>
      </c>
      <c r="D1897" s="4">
        <f t="shared" si="58"/>
        <v>5.4560073512520098E-4</v>
      </c>
      <c r="E1897" s="1">
        <v>0</v>
      </c>
      <c r="F1897" s="1">
        <v>0</v>
      </c>
      <c r="G1897" s="1">
        <v>65</v>
      </c>
      <c r="H1897" s="1">
        <v>4</v>
      </c>
      <c r="I1897" s="1">
        <v>2</v>
      </c>
      <c r="J1897" s="1">
        <v>11</v>
      </c>
      <c r="K1897" s="1">
        <v>2</v>
      </c>
      <c r="L1897" s="1">
        <v>0</v>
      </c>
      <c r="M1897" s="1">
        <v>4</v>
      </c>
      <c r="N1897" s="1">
        <v>1</v>
      </c>
      <c r="O1897" s="1">
        <v>1</v>
      </c>
      <c r="P1897" s="1">
        <v>0</v>
      </c>
      <c r="Q1897" s="1">
        <v>2</v>
      </c>
      <c r="R1897" s="1">
        <v>6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25</v>
      </c>
      <c r="AA1897" s="1" t="str" cm="1">
        <f t="array" ref="AA1897">_xlfn.IFS(AND(Z1897&lt;36, Z1897&gt;23), "24-35", AND(Z1897&lt;51, Z1897&gt;35),"36-50", AND(Z1897&lt;66, Z1897&gt;50), "51-66", Z1897&gt;65, "66+", TRUE, "?")</f>
        <v>24-35</v>
      </c>
      <c r="AB1897" s="1">
        <v>2254</v>
      </c>
      <c r="AC1897" s="1">
        <v>0</v>
      </c>
      <c r="AD1897" s="1">
        <v>0</v>
      </c>
      <c r="AE1897" s="1">
        <v>1</v>
      </c>
      <c r="AF1897" s="1">
        <v>0</v>
      </c>
      <c r="AG1897" s="1">
        <v>0</v>
      </c>
      <c r="AH1897" s="1">
        <v>0</v>
      </c>
      <c r="AI1897" s="1">
        <v>1</v>
      </c>
      <c r="AJ1897" s="1">
        <v>0</v>
      </c>
      <c r="AK1897" s="1">
        <v>0</v>
      </c>
      <c r="AL1897" s="1">
        <v>15</v>
      </c>
      <c r="AM1897" s="2">
        <v>42595</v>
      </c>
      <c r="AN1897" t="str">
        <f t="shared" si="59"/>
        <v>34824,19,0.000545600735125201,0,0,65,4,2,11,2,0,4,1,1,0,2,6,0,0,0,0,0,0,0,25,24-35,2254,0,0,1,0,0,0,1,0,0,15,42595</v>
      </c>
    </row>
    <row r="1898" spans="1:40" ht="13" hidden="1" x14ac:dyDescent="0.15">
      <c r="A1898">
        <v>734</v>
      </c>
      <c r="B1898" s="1">
        <v>30467</v>
      </c>
      <c r="C1898" s="1">
        <v>19</v>
      </c>
      <c r="D1898" s="4">
        <f t="shared" si="58"/>
        <v>6.2362556208356583E-4</v>
      </c>
      <c r="E1898" s="1">
        <v>1</v>
      </c>
      <c r="F1898" s="1">
        <v>0</v>
      </c>
      <c r="G1898" s="1">
        <v>8</v>
      </c>
      <c r="H1898" s="1">
        <v>1</v>
      </c>
      <c r="I1898" s="1">
        <v>3</v>
      </c>
      <c r="J1898" s="1">
        <v>8</v>
      </c>
      <c r="K1898" s="1">
        <v>2</v>
      </c>
      <c r="L1898" s="1">
        <v>5</v>
      </c>
      <c r="M1898" s="1">
        <v>5</v>
      </c>
      <c r="N1898" s="1">
        <v>1</v>
      </c>
      <c r="O1898" s="1">
        <v>1</v>
      </c>
      <c r="P1898" s="1">
        <v>0</v>
      </c>
      <c r="Q1898" s="1">
        <v>2</v>
      </c>
      <c r="R1898" s="1">
        <v>7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48</v>
      </c>
      <c r="AA1898" s="1" t="str" cm="1">
        <f t="array" ref="AA1898">_xlfn.IFS(AND(Z1898&lt;36, Z1898&gt;23), "24-35", AND(Z1898&lt;51, Z1898&gt;35),"36-50", AND(Z1898&lt;66, Z1898&gt;50), "51-66", Z1898&gt;65, "66+", TRUE, "?")</f>
        <v>36-50</v>
      </c>
      <c r="AB1898" s="1">
        <v>2261</v>
      </c>
      <c r="AC1898" s="1">
        <v>0</v>
      </c>
      <c r="AD1898" s="1">
        <v>1</v>
      </c>
      <c r="AE1898" s="1">
        <v>0</v>
      </c>
      <c r="AF1898" s="1">
        <v>0</v>
      </c>
      <c r="AG1898" s="1">
        <v>0</v>
      </c>
      <c r="AH1898" s="1">
        <v>0</v>
      </c>
      <c r="AI1898" s="1">
        <v>1</v>
      </c>
      <c r="AJ1898" s="1">
        <v>0</v>
      </c>
      <c r="AK1898" s="1">
        <v>0</v>
      </c>
      <c r="AL1898" s="1">
        <v>14</v>
      </c>
      <c r="AM1898" s="2">
        <v>42588</v>
      </c>
      <c r="AN1898" t="str">
        <f t="shared" si="59"/>
        <v>30467,19,0.000623625562083566,1,0,8,1,3,8,2,5,5,1,1,0,2,7,0,0,0,0,0,0,0,48,36-50,2261,0,1,0,0,0,0,1,0,0,14,42588</v>
      </c>
    </row>
    <row r="1899" spans="1:40" ht="13" hidden="1" x14ac:dyDescent="0.15">
      <c r="A1899">
        <v>1113</v>
      </c>
      <c r="B1899" s="1">
        <v>22327</v>
      </c>
      <c r="C1899" s="1">
        <v>19</v>
      </c>
      <c r="D1899" s="4">
        <f t="shared" si="58"/>
        <v>8.5098759349666326E-4</v>
      </c>
      <c r="E1899" s="1">
        <v>1</v>
      </c>
      <c r="F1899" s="1">
        <v>0</v>
      </c>
      <c r="G1899" s="1">
        <v>94</v>
      </c>
      <c r="H1899" s="1">
        <v>5</v>
      </c>
      <c r="I1899" s="1">
        <v>4</v>
      </c>
      <c r="J1899" s="1">
        <v>8</v>
      </c>
      <c r="K1899" s="1">
        <v>2</v>
      </c>
      <c r="L1899" s="1">
        <v>0</v>
      </c>
      <c r="M1899" s="1">
        <v>5</v>
      </c>
      <c r="N1899" s="1">
        <v>1</v>
      </c>
      <c r="O1899" s="1">
        <v>1</v>
      </c>
      <c r="P1899" s="1">
        <v>0</v>
      </c>
      <c r="Q1899" s="1">
        <v>3</v>
      </c>
      <c r="R1899" s="1">
        <v>5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35</v>
      </c>
      <c r="AA1899" s="1" t="str" cm="1">
        <f t="array" ref="AA1899">_xlfn.IFS(AND(Z1899&lt;36, Z1899&gt;23), "24-35", AND(Z1899&lt;51, Z1899&gt;35),"36-50", AND(Z1899&lt;66, Z1899&gt;50), "51-66", Z1899&gt;65, "66+", TRUE, "?")</f>
        <v>24-35</v>
      </c>
      <c r="AB1899" s="1">
        <v>2490</v>
      </c>
      <c r="AC1899" s="1">
        <v>0</v>
      </c>
      <c r="AD1899" s="1">
        <v>0</v>
      </c>
      <c r="AE1899" s="1">
        <v>1</v>
      </c>
      <c r="AF1899" s="1">
        <v>0</v>
      </c>
      <c r="AG1899" s="1">
        <v>0</v>
      </c>
      <c r="AH1899" s="1">
        <v>0</v>
      </c>
      <c r="AI1899" s="1">
        <v>1</v>
      </c>
      <c r="AJ1899" s="1">
        <v>0</v>
      </c>
      <c r="AK1899" s="1">
        <v>0</v>
      </c>
      <c r="AL1899" s="1">
        <v>14</v>
      </c>
      <c r="AM1899" s="2">
        <v>42359</v>
      </c>
      <c r="AN1899" t="str">
        <f t="shared" si="59"/>
        <v>22327,19,0.000850987593496663,1,0,94,5,4,8,2,0,5,1,1,0,3,5,0,0,0,0,0,0,0,35,24-35,2490,0,0,1,0,0,0,1,0,0,14,42359</v>
      </c>
    </row>
    <row r="1900" spans="1:40" ht="13" hidden="1" x14ac:dyDescent="0.15">
      <c r="A1900">
        <v>1260</v>
      </c>
      <c r="B1900" s="1">
        <v>24367</v>
      </c>
      <c r="C1900" s="1">
        <v>19</v>
      </c>
      <c r="D1900" s="4">
        <f t="shared" si="58"/>
        <v>7.7974309516969673E-4</v>
      </c>
      <c r="E1900" s="1">
        <v>1</v>
      </c>
      <c r="F1900" s="1">
        <v>0</v>
      </c>
      <c r="G1900" s="1">
        <v>58</v>
      </c>
      <c r="H1900" s="1">
        <v>2</v>
      </c>
      <c r="I1900" s="1">
        <v>4</v>
      </c>
      <c r="J1900" s="1">
        <v>2</v>
      </c>
      <c r="K1900" s="1">
        <v>0</v>
      </c>
      <c r="L1900" s="1">
        <v>11</v>
      </c>
      <c r="M1900" s="1">
        <v>5</v>
      </c>
      <c r="N1900" s="1">
        <v>1</v>
      </c>
      <c r="O1900" s="1">
        <v>1</v>
      </c>
      <c r="P1900" s="1">
        <v>0</v>
      </c>
      <c r="Q1900" s="1">
        <v>2</v>
      </c>
      <c r="R1900" s="1">
        <v>9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38</v>
      </c>
      <c r="AA1900" s="1" t="str" cm="1">
        <f t="array" ref="AA1900">_xlfn.IFS(AND(Z1900&lt;36, Z1900&gt;23), "24-35", AND(Z1900&lt;51, Z1900&gt;35),"36-50", AND(Z1900&lt;66, Z1900&gt;50), "51-66", Z1900&gt;65, "66+", TRUE, "?")</f>
        <v>36-50</v>
      </c>
      <c r="AB1900" s="1">
        <v>2625</v>
      </c>
      <c r="AC1900" s="1">
        <v>0</v>
      </c>
      <c r="AD1900" s="1">
        <v>0</v>
      </c>
      <c r="AE1900" s="1">
        <v>1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14</v>
      </c>
      <c r="AM1900" s="2">
        <v>42224</v>
      </c>
      <c r="AN1900" t="str">
        <f t="shared" si="59"/>
        <v>24367,19,0.000779743095169697,1,0,58,2,4,2,0,11,5,1,1,0,2,9,0,0,0,0,0,0,0,38,36-50,2625,0,0,1,0,0,0,0,0,0,14,42224</v>
      </c>
    </row>
    <row r="1901" spans="1:40" ht="13" hidden="1" x14ac:dyDescent="0.15">
      <c r="A1901">
        <v>1337</v>
      </c>
      <c r="B1901" s="1">
        <v>36408</v>
      </c>
      <c r="C1901" s="1">
        <v>19</v>
      </c>
      <c r="D1901" s="4">
        <f t="shared" si="58"/>
        <v>5.2186332674137551E-4</v>
      </c>
      <c r="E1901" s="1">
        <v>1</v>
      </c>
      <c r="F1901" s="1">
        <v>1</v>
      </c>
      <c r="G1901" s="1">
        <v>11</v>
      </c>
      <c r="H1901" s="1">
        <v>9</v>
      </c>
      <c r="I1901" s="1">
        <v>1</v>
      </c>
      <c r="J1901" s="1">
        <v>4</v>
      </c>
      <c r="K1901" s="1">
        <v>3</v>
      </c>
      <c r="L1901" s="1">
        <v>2</v>
      </c>
      <c r="M1901" s="1">
        <v>3</v>
      </c>
      <c r="N1901" s="1">
        <v>1</v>
      </c>
      <c r="O1901" s="1">
        <v>1</v>
      </c>
      <c r="P1901" s="1">
        <v>0</v>
      </c>
      <c r="Q1901" s="1">
        <v>2</v>
      </c>
      <c r="R1901" s="1">
        <v>6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71</v>
      </c>
      <c r="AA1901" s="1" t="str" cm="1">
        <f t="array" ref="AA1901">_xlfn.IFS(AND(Z1901&lt;36, Z1901&gt;23), "24-35", AND(Z1901&lt;51, Z1901&gt;35),"36-50", AND(Z1901&lt;66, Z1901&gt;50), "51-66", Z1901&gt;65, "66+", TRUE, "?")</f>
        <v>66+</v>
      </c>
      <c r="AB1901" s="1">
        <v>2440</v>
      </c>
      <c r="AC1901" s="1">
        <v>0</v>
      </c>
      <c r="AD1901" s="1">
        <v>1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1</v>
      </c>
      <c r="AK1901" s="1">
        <v>0</v>
      </c>
      <c r="AL1901" s="1">
        <v>16</v>
      </c>
      <c r="AM1901" s="2">
        <v>42409</v>
      </c>
      <c r="AN1901" t="str">
        <f t="shared" si="59"/>
        <v>36408,19,0.000521863326741376,1,1,11,9,1,4,3,2,3,1,1,0,2,6,0,0,0,0,0,0,0,71,66+,2440,0,1,0,0,0,0,0,1,0,16,42409</v>
      </c>
    </row>
    <row r="1902" spans="1:40" ht="13" hidden="1" x14ac:dyDescent="0.15">
      <c r="A1902">
        <v>1552</v>
      </c>
      <c r="B1902" s="1">
        <v>24336</v>
      </c>
      <c r="C1902" s="1">
        <v>19</v>
      </c>
      <c r="D1902" s="4">
        <f t="shared" si="58"/>
        <v>7.8073635765943459E-4</v>
      </c>
      <c r="E1902" s="1">
        <v>1</v>
      </c>
      <c r="F1902" s="1">
        <v>0</v>
      </c>
      <c r="G1902" s="1">
        <v>82</v>
      </c>
      <c r="H1902" s="1">
        <v>1</v>
      </c>
      <c r="I1902" s="1">
        <v>6</v>
      </c>
      <c r="J1902" s="1">
        <v>2</v>
      </c>
      <c r="K1902" s="1">
        <v>8</v>
      </c>
      <c r="L1902" s="1">
        <v>2</v>
      </c>
      <c r="M1902" s="1">
        <v>12</v>
      </c>
      <c r="N1902" s="1">
        <v>1</v>
      </c>
      <c r="O1902" s="1">
        <v>1</v>
      </c>
      <c r="P1902" s="1">
        <v>0</v>
      </c>
      <c r="Q1902" s="1">
        <v>2</v>
      </c>
      <c r="R1902" s="1">
        <v>7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39</v>
      </c>
      <c r="AA1902" s="1" t="str" cm="1">
        <f t="array" ref="AA1902">_xlfn.IFS(AND(Z1902&lt;36, Z1902&gt;23), "24-35", AND(Z1902&lt;51, Z1902&gt;35),"36-50", AND(Z1902&lt;66, Z1902&gt;50), "51-66", Z1902&gt;65, "66+", TRUE, "?")</f>
        <v>36-50</v>
      </c>
      <c r="AB1902" s="1">
        <v>2830</v>
      </c>
      <c r="AC1902" s="1">
        <v>0</v>
      </c>
      <c r="AD1902" s="1">
        <v>0</v>
      </c>
      <c r="AE1902" s="1">
        <v>1</v>
      </c>
      <c r="AF1902" s="1">
        <v>0</v>
      </c>
      <c r="AG1902" s="1">
        <v>0</v>
      </c>
      <c r="AH1902" s="1">
        <v>1</v>
      </c>
      <c r="AI1902" s="1">
        <v>0</v>
      </c>
      <c r="AJ1902" s="1">
        <v>0</v>
      </c>
      <c r="AK1902" s="1">
        <v>0</v>
      </c>
      <c r="AL1902" s="1">
        <v>7</v>
      </c>
      <c r="AM1902" s="2">
        <v>42019</v>
      </c>
      <c r="AN1902" t="str">
        <f t="shared" si="59"/>
        <v>24336,19,0.000780736357659435,1,0,82,1,6,2,8,2,12,1,1,0,2,7,0,0,0,0,0,0,0,39,36-50,2830,0,0,1,0,0,1,0,0,0,7,42019</v>
      </c>
    </row>
    <row r="1903" spans="1:40" ht="13" hidden="1" x14ac:dyDescent="0.15">
      <c r="A1903">
        <v>1617</v>
      </c>
      <c r="B1903" s="1">
        <v>36802</v>
      </c>
      <c r="C1903" s="1">
        <v>19</v>
      </c>
      <c r="D1903" s="4">
        <f t="shared" si="58"/>
        <v>5.1627628933210155E-4</v>
      </c>
      <c r="E1903" s="1">
        <v>1</v>
      </c>
      <c r="F1903" s="1">
        <v>0</v>
      </c>
      <c r="G1903" s="1">
        <v>23</v>
      </c>
      <c r="H1903" s="1">
        <v>16</v>
      </c>
      <c r="I1903" s="1">
        <v>1</v>
      </c>
      <c r="J1903" s="1">
        <v>2</v>
      </c>
      <c r="K1903" s="1">
        <v>0</v>
      </c>
      <c r="L1903" s="1">
        <v>0</v>
      </c>
      <c r="M1903" s="1">
        <v>1</v>
      </c>
      <c r="N1903" s="1">
        <v>1</v>
      </c>
      <c r="O1903" s="1">
        <v>1</v>
      </c>
      <c r="P1903" s="1">
        <v>0</v>
      </c>
      <c r="Q1903" s="1">
        <v>3</v>
      </c>
      <c r="R1903" s="1">
        <v>5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40</v>
      </c>
      <c r="AA1903" s="1" t="str" cm="1">
        <f t="array" ref="AA1903">_xlfn.IFS(AND(Z1903&lt;36, Z1903&gt;23), "24-35", AND(Z1903&lt;51, Z1903&gt;35),"36-50", AND(Z1903&lt;66, Z1903&gt;50), "51-66", Z1903&gt;65, "66+", TRUE, "?")</f>
        <v>36-50</v>
      </c>
      <c r="AB1903" s="1">
        <v>2172</v>
      </c>
      <c r="AC1903" s="1">
        <v>0</v>
      </c>
      <c r="AD1903" s="1">
        <v>0</v>
      </c>
      <c r="AE1903" s="1">
        <v>1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1</v>
      </c>
      <c r="AL1903" s="1">
        <v>18</v>
      </c>
      <c r="AM1903" s="2">
        <v>42677</v>
      </c>
      <c r="AN1903" t="str">
        <f t="shared" si="59"/>
        <v>36802,19,0.000516276289332102,1,0,23,16,1,2,0,0,1,1,1,0,3,5,0,0,0,0,0,0,0,40,36-50,2172,0,0,1,0,0,0,0,0,1,18,42677</v>
      </c>
    </row>
    <row r="1904" spans="1:40" ht="13" hidden="1" x14ac:dyDescent="0.15">
      <c r="A1904">
        <v>1746</v>
      </c>
      <c r="B1904" s="1">
        <v>34230</v>
      </c>
      <c r="C1904" s="1">
        <v>19</v>
      </c>
      <c r="D1904" s="4">
        <f t="shared" si="58"/>
        <v>5.5506865322816246E-4</v>
      </c>
      <c r="E1904" s="1">
        <v>1</v>
      </c>
      <c r="F1904" s="1">
        <v>1</v>
      </c>
      <c r="G1904" s="1">
        <v>72</v>
      </c>
      <c r="H1904" s="1">
        <v>15</v>
      </c>
      <c r="I1904" s="1">
        <v>0</v>
      </c>
      <c r="J1904" s="1">
        <v>4</v>
      </c>
      <c r="K1904" s="1">
        <v>0</v>
      </c>
      <c r="L1904" s="1">
        <v>0</v>
      </c>
      <c r="M1904" s="1">
        <v>2</v>
      </c>
      <c r="N1904" s="1">
        <v>1</v>
      </c>
      <c r="O1904" s="1">
        <v>1</v>
      </c>
      <c r="P1904" s="1">
        <v>0</v>
      </c>
      <c r="Q1904" s="1">
        <v>2</v>
      </c>
      <c r="R1904" s="1">
        <v>7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55</v>
      </c>
      <c r="AA1904" s="1" t="str" cm="1">
        <f t="array" ref="AA1904">_xlfn.IFS(AND(Z1904&lt;36, Z1904&gt;23), "24-35", AND(Z1904&lt;51, Z1904&gt;35),"36-50", AND(Z1904&lt;66, Z1904&gt;50), "51-66", Z1904&gt;65, "66+", TRUE, "?")</f>
        <v>51-66</v>
      </c>
      <c r="AB1904" s="1">
        <v>2709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0</v>
      </c>
      <c r="AJ1904" s="1">
        <v>0</v>
      </c>
      <c r="AK1904" s="1">
        <v>1</v>
      </c>
      <c r="AL1904" s="1">
        <v>17</v>
      </c>
      <c r="AM1904" s="2">
        <v>42140</v>
      </c>
      <c r="AN1904" t="str">
        <f t="shared" si="59"/>
        <v>34230,19,0.000555068653228162,1,1,72,15,0,4,0,0,2,1,1,0,2,7,0,0,0,0,0,0,0,55,51-66,2709,0,0,0,1,0,0,0,0,1,17,42140</v>
      </c>
    </row>
    <row r="1905" spans="1:40" ht="13" hidden="1" x14ac:dyDescent="0.15">
      <c r="A1905">
        <v>1752</v>
      </c>
      <c r="B1905" s="1">
        <v>22701</v>
      </c>
      <c r="C1905" s="1">
        <v>19</v>
      </c>
      <c r="D1905" s="4">
        <f t="shared" si="58"/>
        <v>8.3696753446984716E-4</v>
      </c>
      <c r="E1905" s="1">
        <v>1</v>
      </c>
      <c r="F1905" s="1">
        <v>0</v>
      </c>
      <c r="G1905" s="1">
        <v>2</v>
      </c>
      <c r="H1905" s="1">
        <v>2</v>
      </c>
      <c r="I1905" s="1">
        <v>4</v>
      </c>
      <c r="J1905" s="1">
        <v>9</v>
      </c>
      <c r="K1905" s="1">
        <v>0</v>
      </c>
      <c r="L1905" s="1">
        <v>4</v>
      </c>
      <c r="M1905" s="1">
        <v>5</v>
      </c>
      <c r="N1905" s="1">
        <v>1</v>
      </c>
      <c r="O1905" s="1">
        <v>1</v>
      </c>
      <c r="P1905" s="1">
        <v>0</v>
      </c>
      <c r="Q1905" s="1">
        <v>3</v>
      </c>
      <c r="R1905" s="1">
        <v>5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43</v>
      </c>
      <c r="AA1905" s="1" t="str" cm="1">
        <f t="array" ref="AA1905">_xlfn.IFS(AND(Z1905&lt;36, Z1905&gt;23), "24-35", AND(Z1905&lt;51, Z1905&gt;35),"36-50", AND(Z1905&lt;66, Z1905&gt;50), "51-66", Z1905&gt;65, "66+", TRUE, "?")</f>
        <v>36-50</v>
      </c>
      <c r="AB1905" s="1">
        <v>2456</v>
      </c>
      <c r="AC1905" s="1">
        <v>0</v>
      </c>
      <c r="AD1905" s="1">
        <v>1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1</v>
      </c>
      <c r="AK1905" s="1">
        <v>0</v>
      </c>
      <c r="AL1905" s="1">
        <v>14</v>
      </c>
      <c r="AM1905" s="2">
        <v>42393</v>
      </c>
      <c r="AN1905" t="str">
        <f t="shared" si="59"/>
        <v>22701,19,0.000836967534469847,1,0,2,2,4,9,0,4,5,1,1,0,3,5,0,0,0,0,0,0,0,43,36-50,2456,0,1,0,0,0,0,0,1,0,14,42393</v>
      </c>
    </row>
    <row r="1906" spans="1:40" ht="13" hidden="1" x14ac:dyDescent="0.15">
      <c r="A1906">
        <v>1781</v>
      </c>
      <c r="B1906" s="1">
        <v>29478</v>
      </c>
      <c r="C1906" s="1">
        <v>19</v>
      </c>
      <c r="D1906" s="4">
        <f t="shared" si="58"/>
        <v>6.4454847683017842E-4</v>
      </c>
      <c r="E1906" s="1">
        <v>1</v>
      </c>
      <c r="F1906" s="1">
        <v>0</v>
      </c>
      <c r="G1906" s="1">
        <v>59</v>
      </c>
      <c r="H1906" s="1">
        <v>8</v>
      </c>
      <c r="I1906" s="1">
        <v>0</v>
      </c>
      <c r="J1906" s="1">
        <v>7</v>
      </c>
      <c r="K1906" s="1">
        <v>3</v>
      </c>
      <c r="L1906" s="1">
        <v>1</v>
      </c>
      <c r="M1906" s="1">
        <v>1</v>
      </c>
      <c r="N1906" s="1">
        <v>1</v>
      </c>
      <c r="O1906" s="1">
        <v>1</v>
      </c>
      <c r="P1906" s="1">
        <v>0</v>
      </c>
      <c r="Q1906" s="1">
        <v>3</v>
      </c>
      <c r="R1906" s="1">
        <v>6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44</v>
      </c>
      <c r="AA1906" s="1" t="str" cm="1">
        <f t="array" ref="AA1906">_xlfn.IFS(AND(Z1906&lt;36, Z1906&gt;23), "24-35", AND(Z1906&lt;51, Z1906&gt;35),"36-50", AND(Z1906&lt;66, Z1906&gt;50), "51-66", Z1906&gt;65, "66+", TRUE, "?")</f>
        <v>36-50</v>
      </c>
      <c r="AB1906" s="1">
        <v>2322</v>
      </c>
      <c r="AC1906" s="1">
        <v>0</v>
      </c>
      <c r="AD1906" s="1">
        <v>0</v>
      </c>
      <c r="AE1906" s="1">
        <v>0</v>
      </c>
      <c r="AF1906" s="1">
        <v>1</v>
      </c>
      <c r="AG1906" s="1">
        <v>0</v>
      </c>
      <c r="AH1906" s="1">
        <v>0</v>
      </c>
      <c r="AI1906" s="1">
        <v>1</v>
      </c>
      <c r="AJ1906" s="1">
        <v>0</v>
      </c>
      <c r="AK1906" s="1">
        <v>0</v>
      </c>
      <c r="AL1906" s="1">
        <v>18</v>
      </c>
      <c r="AM1906" s="2">
        <v>42527</v>
      </c>
      <c r="AN1906" t="str">
        <f t="shared" si="59"/>
        <v>29478,19,0.000644548476830178,1,0,59,8,0,7,3,1,1,1,1,0,3,6,0,0,0,0,0,0,0,44,36-50,2322,0,0,0,1,0,0,1,0,0,18,42527</v>
      </c>
    </row>
    <row r="1907" spans="1:40" ht="13" hidden="1" x14ac:dyDescent="0.15">
      <c r="A1907">
        <v>1838</v>
      </c>
      <c r="B1907" s="1">
        <v>22263</v>
      </c>
      <c r="C1907" s="1">
        <v>19</v>
      </c>
      <c r="D1907" s="4">
        <f t="shared" si="58"/>
        <v>8.5343394870412796E-4</v>
      </c>
      <c r="E1907" s="1">
        <v>1</v>
      </c>
      <c r="F1907" s="1">
        <v>1</v>
      </c>
      <c r="G1907" s="1">
        <v>31</v>
      </c>
      <c r="H1907" s="1">
        <v>17</v>
      </c>
      <c r="I1907" s="1">
        <v>0</v>
      </c>
      <c r="J1907" s="1">
        <v>2</v>
      </c>
      <c r="K1907" s="1">
        <v>0</v>
      </c>
      <c r="L1907" s="1">
        <v>0</v>
      </c>
      <c r="M1907" s="1">
        <v>2</v>
      </c>
      <c r="N1907" s="1">
        <v>2</v>
      </c>
      <c r="O1907" s="1">
        <v>1</v>
      </c>
      <c r="P1907" s="1">
        <v>0</v>
      </c>
      <c r="Q1907" s="1">
        <v>3</v>
      </c>
      <c r="R1907" s="1">
        <v>6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1</v>
      </c>
      <c r="Y1907" s="1">
        <v>0</v>
      </c>
      <c r="Z1907" s="1">
        <v>69</v>
      </c>
      <c r="AA1907" s="1" t="str" cm="1">
        <f t="array" ref="AA1907">_xlfn.IFS(AND(Z1907&lt;36, Z1907&gt;23), "24-35", AND(Z1907&lt;51, Z1907&gt;35),"36-50", AND(Z1907&lt;66, Z1907&gt;50), "51-66", Z1907&gt;65, "66+", TRUE, "?")</f>
        <v>66+</v>
      </c>
      <c r="AB1907" s="1">
        <v>2250</v>
      </c>
      <c r="AC1907" s="1">
        <v>1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1</v>
      </c>
      <c r="AJ1907" s="1">
        <v>0</v>
      </c>
      <c r="AK1907" s="1">
        <v>0</v>
      </c>
      <c r="AL1907" s="1">
        <v>17</v>
      </c>
      <c r="AM1907" s="2">
        <v>42599</v>
      </c>
      <c r="AN1907" t="str">
        <f t="shared" si="59"/>
        <v>22263,19,0.000853433948704128,1,1,31,17,0,2,0,0,2,2,1,0,3,6,0,0,0,0,0,1,0,69,66+,2250,1,0,0,0,0,0,1,0,0,17,42599</v>
      </c>
    </row>
    <row r="1908" spans="1:40" ht="13" hidden="1" x14ac:dyDescent="0.15">
      <c r="A1908">
        <v>1921</v>
      </c>
      <c r="B1908" s="1">
        <v>25818</v>
      </c>
      <c r="C1908" s="1">
        <v>19</v>
      </c>
      <c r="D1908" s="4">
        <f t="shared" si="58"/>
        <v>7.3592067549771477E-4</v>
      </c>
      <c r="E1908" s="1">
        <v>1</v>
      </c>
      <c r="F1908" s="1">
        <v>0</v>
      </c>
      <c r="G1908" s="1">
        <v>51</v>
      </c>
      <c r="H1908" s="1">
        <v>5</v>
      </c>
      <c r="I1908" s="1">
        <v>2</v>
      </c>
      <c r="J1908" s="1">
        <v>8</v>
      </c>
      <c r="K1908" s="1">
        <v>2</v>
      </c>
      <c r="L1908" s="1">
        <v>2</v>
      </c>
      <c r="M1908" s="1">
        <v>9</v>
      </c>
      <c r="N1908" s="1">
        <v>1</v>
      </c>
      <c r="O1908" s="1">
        <v>0</v>
      </c>
      <c r="P1908" s="1">
        <v>1</v>
      </c>
      <c r="Q1908" s="1">
        <v>2</v>
      </c>
      <c r="R1908" s="1">
        <v>7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49</v>
      </c>
      <c r="AA1908" s="1" t="str" cm="1">
        <f t="array" ref="AA1908">_xlfn.IFS(AND(Z1908&lt;36, Z1908&gt;23), "24-35", AND(Z1908&lt;51, Z1908&gt;35),"36-50", AND(Z1908&lt;66, Z1908&gt;50), "51-66", Z1908&gt;65, "66+", TRUE, "?")</f>
        <v>36-50</v>
      </c>
      <c r="AB1908" s="1">
        <v>2778</v>
      </c>
      <c r="AC1908" s="1">
        <v>1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1</v>
      </c>
      <c r="AJ1908" s="1">
        <v>0</v>
      </c>
      <c r="AK1908" s="1">
        <v>0</v>
      </c>
      <c r="AL1908" s="1">
        <v>10</v>
      </c>
      <c r="AM1908" s="2">
        <v>42071</v>
      </c>
      <c r="AN1908" t="str">
        <f t="shared" si="59"/>
        <v>25818,19,0.000735920675497715,1,0,51,5,2,8,2,2,9,1,0,1,2,7,0,0,0,0,0,0,0,49,36-50,2778,1,0,0,0,0,0,1,0,0,10,42071</v>
      </c>
    </row>
    <row r="1909" spans="1:40" ht="13" x14ac:dyDescent="0.15">
      <c r="A1909">
        <v>1969</v>
      </c>
      <c r="B1909" s="1">
        <v>25721</v>
      </c>
      <c r="C1909" s="1">
        <v>19</v>
      </c>
      <c r="D1909" s="4">
        <f t="shared" si="58"/>
        <v>7.3869600715368764E-4</v>
      </c>
      <c r="E1909" s="1">
        <v>1</v>
      </c>
      <c r="F1909" s="1">
        <v>0</v>
      </c>
      <c r="G1909" s="1">
        <v>75</v>
      </c>
      <c r="H1909" s="1">
        <v>1</v>
      </c>
      <c r="I1909" s="1">
        <v>3</v>
      </c>
      <c r="J1909" s="1">
        <v>6</v>
      </c>
      <c r="K1909" s="1">
        <v>3</v>
      </c>
      <c r="L1909" s="1">
        <v>6</v>
      </c>
      <c r="M1909" s="1">
        <v>15</v>
      </c>
      <c r="N1909" s="1">
        <v>1</v>
      </c>
      <c r="O1909" s="1">
        <v>1</v>
      </c>
      <c r="P1909" s="1">
        <v>1</v>
      </c>
      <c r="Q1909" s="1">
        <v>2</v>
      </c>
      <c r="R1909" s="1">
        <v>7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1</v>
      </c>
      <c r="Z1909" s="1">
        <v>49</v>
      </c>
      <c r="AA1909" s="1" t="str" cm="1">
        <f t="array" ref="AA1909">_xlfn.IFS(AND(Z1909&lt;36, Z1909&gt;23), "24-35", AND(Z1909&lt;51, Z1909&gt;35),"36-50", AND(Z1909&lt;66, Z1909&gt;50), "51-66", Z1909&gt;65, "66+", TRUE, "?")</f>
        <v>36-50</v>
      </c>
      <c r="AB1909" s="1">
        <v>2563</v>
      </c>
      <c r="AC1909" s="1">
        <v>0</v>
      </c>
      <c r="AD1909" s="1">
        <v>1</v>
      </c>
      <c r="AE1909" s="1">
        <v>0</v>
      </c>
      <c r="AF1909" s="1">
        <v>0</v>
      </c>
      <c r="AG1909" s="1">
        <v>0</v>
      </c>
      <c r="AH1909" s="1">
        <v>0</v>
      </c>
      <c r="AI1909" s="1">
        <v>1</v>
      </c>
      <c r="AJ1909" s="1">
        <v>0</v>
      </c>
      <c r="AK1909" s="1">
        <v>0</v>
      </c>
      <c r="AL1909" s="1">
        <v>4</v>
      </c>
      <c r="AM1909" s="2">
        <v>42286</v>
      </c>
      <c r="AN1909" t="str">
        <f t="shared" si="59"/>
        <v>25721,19,0.000738696007153688,1,0,75,1,3,6,3,6,15,1,1,1,2,7,0,0,0,0,0,0,1,49,36-50,2563,0,1,0,0,0,0,1,0,0,4,42286</v>
      </c>
    </row>
    <row r="1910" spans="1:40" ht="13" hidden="1" x14ac:dyDescent="0.15">
      <c r="A1910">
        <v>2017</v>
      </c>
      <c r="B1910" s="1">
        <v>26816</v>
      </c>
      <c r="C1910" s="1">
        <v>19</v>
      </c>
      <c r="D1910" s="4">
        <f t="shared" si="58"/>
        <v>7.0853221957040569E-4</v>
      </c>
      <c r="E1910" s="1">
        <v>0</v>
      </c>
      <c r="F1910" s="1">
        <v>0</v>
      </c>
      <c r="G1910" s="1">
        <v>50</v>
      </c>
      <c r="H1910" s="1">
        <v>5</v>
      </c>
      <c r="I1910" s="1">
        <v>1</v>
      </c>
      <c r="J1910" s="1">
        <v>6</v>
      </c>
      <c r="K1910" s="1">
        <v>3</v>
      </c>
      <c r="L1910" s="1">
        <v>4</v>
      </c>
      <c r="M1910" s="1">
        <v>3</v>
      </c>
      <c r="N1910" s="1">
        <v>1</v>
      </c>
      <c r="O1910" s="1">
        <v>0</v>
      </c>
      <c r="P1910" s="1">
        <v>0</v>
      </c>
      <c r="Q1910" s="1">
        <v>3</v>
      </c>
      <c r="R1910" s="1">
        <v>4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34</v>
      </c>
      <c r="AA1910" s="1" t="str" cm="1">
        <f t="array" ref="AA1910">_xlfn.IFS(AND(Z1910&lt;36, Z1910&gt;23), "24-35", AND(Z1910&lt;51, Z1910&gt;35),"36-50", AND(Z1910&lt;66, Z1910&gt;50), "51-66", Z1910&gt;65, "66+", TRUE, "?")</f>
        <v>24-35</v>
      </c>
      <c r="AB1910" s="1">
        <v>2840</v>
      </c>
      <c r="AC1910" s="1">
        <v>0</v>
      </c>
      <c r="AD1910" s="1">
        <v>0</v>
      </c>
      <c r="AE1910" s="1">
        <v>1</v>
      </c>
      <c r="AF1910" s="1">
        <v>0</v>
      </c>
      <c r="AG1910" s="1">
        <v>0</v>
      </c>
      <c r="AH1910" s="1">
        <v>0</v>
      </c>
      <c r="AI1910" s="1">
        <v>1</v>
      </c>
      <c r="AJ1910" s="1">
        <v>0</v>
      </c>
      <c r="AK1910" s="1">
        <v>0</v>
      </c>
      <c r="AL1910" s="1">
        <v>16</v>
      </c>
      <c r="AM1910" s="2">
        <v>42009</v>
      </c>
      <c r="AN1910" t="str">
        <f t="shared" si="59"/>
        <v>26816,19,0.000708532219570406,0,0,50,5,1,6,3,4,3,1,0,0,3,4,0,0,0,0,0,0,0,34,24-35,2840,0,0,1,0,0,0,1,0,0,16,42009</v>
      </c>
    </row>
    <row r="1911" spans="1:40" ht="13" hidden="1" x14ac:dyDescent="0.15">
      <c r="A1911">
        <v>134</v>
      </c>
      <c r="B1911" s="1">
        <v>38547</v>
      </c>
      <c r="C1911" s="1">
        <v>18</v>
      </c>
      <c r="D1911" s="4">
        <f t="shared" si="58"/>
        <v>4.6696240952603317E-4</v>
      </c>
      <c r="E1911" s="1">
        <v>1</v>
      </c>
      <c r="F1911" s="1">
        <v>0</v>
      </c>
      <c r="G1911" s="1">
        <v>49</v>
      </c>
      <c r="H1911" s="1">
        <v>6</v>
      </c>
      <c r="I1911" s="1">
        <v>1</v>
      </c>
      <c r="J1911" s="1">
        <v>10</v>
      </c>
      <c r="K1911" s="1">
        <v>0</v>
      </c>
      <c r="L1911" s="1">
        <v>1</v>
      </c>
      <c r="M1911" s="1">
        <v>4</v>
      </c>
      <c r="N1911" s="1">
        <v>1</v>
      </c>
      <c r="O1911" s="1">
        <v>1</v>
      </c>
      <c r="P1911" s="1">
        <v>0</v>
      </c>
      <c r="Q1911" s="1">
        <v>2</v>
      </c>
      <c r="R1911" s="1">
        <v>8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1</v>
      </c>
      <c r="Y1911" s="1">
        <v>0</v>
      </c>
      <c r="Z1911" s="1">
        <v>39</v>
      </c>
      <c r="AA1911" s="1" t="str" cm="1">
        <f t="array" ref="AA1911">_xlfn.IFS(AND(Z1911&lt;36, Z1911&gt;23), "24-35", AND(Z1911&lt;51, Z1911&gt;35),"36-50", AND(Z1911&lt;66, Z1911&gt;50), "51-66", Z1911&gt;65, "66+", TRUE, "?")</f>
        <v>36-50</v>
      </c>
      <c r="AB1911" s="1">
        <v>2464</v>
      </c>
      <c r="AC1911" s="1">
        <v>0</v>
      </c>
      <c r="AD1911" s="1">
        <v>0</v>
      </c>
      <c r="AE1911" s="1">
        <v>0</v>
      </c>
      <c r="AF1911" s="1">
        <v>1</v>
      </c>
      <c r="AG1911" s="1">
        <v>0</v>
      </c>
      <c r="AH1911" s="1">
        <v>0</v>
      </c>
      <c r="AI1911" s="1">
        <v>1</v>
      </c>
      <c r="AJ1911" s="1">
        <v>0</v>
      </c>
      <c r="AK1911" s="1">
        <v>0</v>
      </c>
      <c r="AL1911" s="1">
        <v>14</v>
      </c>
      <c r="AM1911" s="2">
        <v>42385</v>
      </c>
      <c r="AN1911" t="str">
        <f t="shared" si="59"/>
        <v>38547,18,0.000466962409526033,1,0,49,6,1,10,0,1,4,1,1,0,2,8,0,0,0,0,0,1,0,39,36-50,2464,0,0,0,1,0,0,1,0,0,14,42385</v>
      </c>
    </row>
    <row r="1912" spans="1:40" ht="13" hidden="1" x14ac:dyDescent="0.15">
      <c r="A1912">
        <v>144</v>
      </c>
      <c r="B1912" s="1">
        <v>60199</v>
      </c>
      <c r="C1912" s="1">
        <v>18</v>
      </c>
      <c r="D1912" s="4">
        <f t="shared" si="58"/>
        <v>2.9900828917423877E-4</v>
      </c>
      <c r="E1912" s="1">
        <v>1</v>
      </c>
      <c r="F1912" s="1">
        <v>2</v>
      </c>
      <c r="G1912" s="1">
        <v>49</v>
      </c>
      <c r="H1912" s="1">
        <v>8</v>
      </c>
      <c r="I1912" s="1">
        <v>1</v>
      </c>
      <c r="J1912" s="1">
        <v>7</v>
      </c>
      <c r="K1912" s="1">
        <v>2</v>
      </c>
      <c r="L1912" s="1">
        <v>0</v>
      </c>
      <c r="M1912" s="1">
        <v>0</v>
      </c>
      <c r="N1912" s="1">
        <v>1</v>
      </c>
      <c r="O1912" s="1">
        <v>0</v>
      </c>
      <c r="P1912" s="1">
        <v>0</v>
      </c>
      <c r="Q1912" s="1">
        <v>3</v>
      </c>
      <c r="R1912" s="1">
        <v>4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42</v>
      </c>
      <c r="AA1912" s="1" t="str" cm="1">
        <f t="array" ref="AA1912">_xlfn.IFS(AND(Z1912&lt;36, Z1912&gt;23), "24-35", AND(Z1912&lt;51, Z1912&gt;35),"36-50", AND(Z1912&lt;66, Z1912&gt;50), "51-66", Z1912&gt;65, "66+", TRUE, "?")</f>
        <v>36-50</v>
      </c>
      <c r="AB1912" s="1">
        <v>2449</v>
      </c>
      <c r="AC1912" s="1">
        <v>0</v>
      </c>
      <c r="AD1912" s="1">
        <v>0</v>
      </c>
      <c r="AE1912" s="1">
        <v>1</v>
      </c>
      <c r="AF1912" s="1">
        <v>0</v>
      </c>
      <c r="AG1912" s="1">
        <v>0</v>
      </c>
      <c r="AH1912" s="1">
        <v>0</v>
      </c>
      <c r="AI1912" s="1">
        <v>1</v>
      </c>
      <c r="AJ1912" s="1">
        <v>0</v>
      </c>
      <c r="AK1912" s="1">
        <v>0</v>
      </c>
      <c r="AL1912" s="1">
        <v>18</v>
      </c>
      <c r="AM1912" s="2">
        <v>42400</v>
      </c>
      <c r="AN1912" t="str">
        <f t="shared" si="59"/>
        <v>60199,18,0.000299008289174239,1,2,49,8,1,7,2,0,0,1,0,0,3,4,0,0,0,0,0,0,0,42,36-50,2449,0,0,1,0,0,0,1,0,0,18,42400</v>
      </c>
    </row>
    <row r="1913" spans="1:40" ht="13" hidden="1" x14ac:dyDescent="0.15">
      <c r="A1913">
        <v>346</v>
      </c>
      <c r="B1913" s="1">
        <v>29548</v>
      </c>
      <c r="C1913" s="1">
        <v>18</v>
      </c>
      <c r="D1913" s="4">
        <f t="shared" si="58"/>
        <v>6.0917828617842161E-4</v>
      </c>
      <c r="E1913" s="1">
        <v>1</v>
      </c>
      <c r="F1913" s="1">
        <v>0</v>
      </c>
      <c r="G1913" s="1">
        <v>52</v>
      </c>
      <c r="H1913" s="1">
        <v>7</v>
      </c>
      <c r="I1913" s="1">
        <v>1</v>
      </c>
      <c r="J1913" s="1">
        <v>6</v>
      </c>
      <c r="K1913" s="1">
        <v>3</v>
      </c>
      <c r="L1913" s="1">
        <v>1</v>
      </c>
      <c r="M1913" s="1">
        <v>11</v>
      </c>
      <c r="N1913" s="1">
        <v>1</v>
      </c>
      <c r="O1913" s="1">
        <v>1</v>
      </c>
      <c r="P1913" s="1">
        <v>1</v>
      </c>
      <c r="Q1913" s="1">
        <v>2</v>
      </c>
      <c r="R1913" s="1">
        <v>4</v>
      </c>
      <c r="S1913" s="1">
        <v>0</v>
      </c>
      <c r="T1913" s="1">
        <v>0</v>
      </c>
      <c r="U1913" s="1">
        <v>1</v>
      </c>
      <c r="V1913" s="1">
        <v>0</v>
      </c>
      <c r="W1913" s="1">
        <v>0</v>
      </c>
      <c r="X1913" s="1">
        <v>0</v>
      </c>
      <c r="Y1913" s="1">
        <v>0</v>
      </c>
      <c r="Z1913" s="1">
        <v>50</v>
      </c>
      <c r="AA1913" s="1" t="str" cm="1">
        <f t="array" ref="AA1913">_xlfn.IFS(AND(Z1913&lt;36, Z1913&gt;23), "24-35", AND(Z1913&lt;51, Z1913&gt;35),"36-50", AND(Z1913&lt;66, Z1913&gt;50), "51-66", Z1913&gt;65, "66+", TRUE, "?")</f>
        <v>36-50</v>
      </c>
      <c r="AB1913" s="1">
        <v>2463</v>
      </c>
      <c r="AC1913" s="1">
        <v>0</v>
      </c>
      <c r="AD1913" s="1">
        <v>0</v>
      </c>
      <c r="AE1913" s="1">
        <v>1</v>
      </c>
      <c r="AF1913" s="1">
        <v>0</v>
      </c>
      <c r="AG1913" s="1">
        <v>0</v>
      </c>
      <c r="AH1913" s="1">
        <v>0</v>
      </c>
      <c r="AI1913" s="1">
        <v>0</v>
      </c>
      <c r="AJ1913" s="1">
        <v>1</v>
      </c>
      <c r="AK1913" s="1">
        <v>0</v>
      </c>
      <c r="AL1913" s="1">
        <v>7</v>
      </c>
      <c r="AM1913" s="2">
        <v>42386</v>
      </c>
      <c r="AN1913" t="str">
        <f t="shared" si="59"/>
        <v>29548,18,0.000609178286178422,1,0,52,7,1,6,3,1,11,1,1,1,2,4,0,0,1,0,0,0,0,50,36-50,2463,0,0,1,0,0,0,0,1,0,7,42386</v>
      </c>
    </row>
    <row r="1914" spans="1:40" ht="13" hidden="1" x14ac:dyDescent="0.15">
      <c r="A1914">
        <v>673</v>
      </c>
      <c r="B1914" s="1">
        <v>45160</v>
      </c>
      <c r="C1914" s="1">
        <v>18</v>
      </c>
      <c r="D1914" s="4">
        <f t="shared" si="58"/>
        <v>3.9858281665190433E-4</v>
      </c>
      <c r="E1914" s="1">
        <v>1</v>
      </c>
      <c r="F1914" s="1">
        <v>1</v>
      </c>
      <c r="G1914" s="1">
        <v>9</v>
      </c>
      <c r="H1914" s="1">
        <v>8</v>
      </c>
      <c r="I1914" s="1">
        <v>2</v>
      </c>
      <c r="J1914" s="1">
        <v>5</v>
      </c>
      <c r="K1914" s="1">
        <v>3</v>
      </c>
      <c r="L1914" s="1">
        <v>0</v>
      </c>
      <c r="M1914" s="1">
        <v>3</v>
      </c>
      <c r="N1914" s="1">
        <v>1</v>
      </c>
      <c r="O1914" s="1">
        <v>1</v>
      </c>
      <c r="P1914" s="1">
        <v>0</v>
      </c>
      <c r="Q1914" s="1">
        <v>2</v>
      </c>
      <c r="R1914" s="1">
        <v>7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62</v>
      </c>
      <c r="AA1914" s="1" t="str" cm="1">
        <f t="array" ref="AA1914">_xlfn.IFS(AND(Z1914&lt;36, Z1914&gt;23), "24-35", AND(Z1914&lt;51, Z1914&gt;35),"36-50", AND(Z1914&lt;66, Z1914&gt;50), "51-66", Z1914&gt;65, "66+", TRUE, "?")</f>
        <v>51-66</v>
      </c>
      <c r="AB1914" s="1">
        <v>2251</v>
      </c>
      <c r="AC1914" s="1">
        <v>0</v>
      </c>
      <c r="AD1914" s="1">
        <v>0</v>
      </c>
      <c r="AE1914" s="1">
        <v>1</v>
      </c>
      <c r="AF1914" s="1">
        <v>0</v>
      </c>
      <c r="AG1914" s="1">
        <v>0</v>
      </c>
      <c r="AH1914" s="1">
        <v>0</v>
      </c>
      <c r="AI1914" s="1">
        <v>1</v>
      </c>
      <c r="AJ1914" s="1">
        <v>0</v>
      </c>
      <c r="AK1914" s="1">
        <v>0</v>
      </c>
      <c r="AL1914" s="1">
        <v>15</v>
      </c>
      <c r="AM1914" s="2">
        <v>42598</v>
      </c>
      <c r="AN1914" t="str">
        <f t="shared" si="59"/>
        <v>45160,18,0.000398582816651904,1,1,9,8,2,5,3,0,3,1,1,0,2,7,0,0,0,0,0,0,0,62,51-66,2251,0,0,1,0,0,0,1,0,0,15,42598</v>
      </c>
    </row>
    <row r="1915" spans="1:40" ht="13" hidden="1" x14ac:dyDescent="0.15">
      <c r="A1915">
        <v>1163</v>
      </c>
      <c r="B1915" s="1">
        <v>25707</v>
      </c>
      <c r="C1915" s="1">
        <v>18</v>
      </c>
      <c r="D1915" s="4">
        <f t="shared" si="58"/>
        <v>7.0019838954370401E-4</v>
      </c>
      <c r="E1915" s="1">
        <v>1</v>
      </c>
      <c r="F1915" s="1">
        <v>0</v>
      </c>
      <c r="G1915" s="1">
        <v>18</v>
      </c>
      <c r="H1915" s="1">
        <v>1</v>
      </c>
      <c r="I1915" s="1">
        <v>6</v>
      </c>
      <c r="J1915" s="1">
        <v>2</v>
      </c>
      <c r="K1915" s="1">
        <v>3</v>
      </c>
      <c r="L1915" s="1">
        <v>6</v>
      </c>
      <c r="M1915" s="1">
        <v>3</v>
      </c>
      <c r="N1915" s="1">
        <v>1</v>
      </c>
      <c r="O1915" s="1">
        <v>1</v>
      </c>
      <c r="P1915" s="1">
        <v>0</v>
      </c>
      <c r="Q1915" s="1">
        <v>3</v>
      </c>
      <c r="R1915" s="1">
        <v>7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36</v>
      </c>
      <c r="AA1915" s="1" t="str" cm="1">
        <f t="array" ref="AA1915">_xlfn.IFS(AND(Z1915&lt;36, Z1915&gt;23), "24-35", AND(Z1915&lt;51, Z1915&gt;35),"36-50", AND(Z1915&lt;66, Z1915&gt;50), "51-66", Z1915&gt;65, "66+", TRUE, "?")</f>
        <v>36-50</v>
      </c>
      <c r="AB1915" s="1">
        <v>2321</v>
      </c>
      <c r="AC1915" s="1">
        <v>0</v>
      </c>
      <c r="AD1915" s="1">
        <v>0</v>
      </c>
      <c r="AE1915" s="1">
        <v>1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15</v>
      </c>
      <c r="AM1915" s="2">
        <v>42528</v>
      </c>
      <c r="AN1915" t="str">
        <f t="shared" si="59"/>
        <v>25707,18,0.000700198389543704,1,0,18,1,6,2,3,6,3,1,1,0,3,7,0,0,0,0,0,0,0,36,36-50,2321,0,0,1,0,0,0,0,0,0,15,42528</v>
      </c>
    </row>
    <row r="1916" spans="1:40" ht="13" hidden="1" x14ac:dyDescent="0.15">
      <c r="A1916">
        <v>1326</v>
      </c>
      <c r="B1916" s="1">
        <v>43269</v>
      </c>
      <c r="C1916" s="1">
        <v>18</v>
      </c>
      <c r="D1916" s="4">
        <f t="shared" si="58"/>
        <v>4.1600221867849963E-4</v>
      </c>
      <c r="E1916" s="1">
        <v>1</v>
      </c>
      <c r="F1916" s="1">
        <v>0</v>
      </c>
      <c r="G1916" s="1">
        <v>61</v>
      </c>
      <c r="H1916" s="1">
        <v>10</v>
      </c>
      <c r="I1916" s="1">
        <v>1</v>
      </c>
      <c r="J1916" s="1">
        <v>7</v>
      </c>
      <c r="K1916" s="1">
        <v>0</v>
      </c>
      <c r="L1916" s="1">
        <v>0</v>
      </c>
      <c r="M1916" s="1">
        <v>1</v>
      </c>
      <c r="N1916" s="1">
        <v>1</v>
      </c>
      <c r="O1916" s="1">
        <v>1</v>
      </c>
      <c r="P1916" s="1">
        <v>0</v>
      </c>
      <c r="Q1916" s="1">
        <v>2</v>
      </c>
      <c r="R1916" s="1">
        <v>8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48</v>
      </c>
      <c r="AA1916" s="1" t="str" cm="1">
        <f t="array" ref="AA1916">_xlfn.IFS(AND(Z1916&lt;36, Z1916&gt;23), "24-35", AND(Z1916&lt;51, Z1916&gt;35),"36-50", AND(Z1916&lt;66, Z1916&gt;50), "51-66", Z1916&gt;65, "66+", TRUE, "?")</f>
        <v>36-50</v>
      </c>
      <c r="AB1916" s="1">
        <v>2445</v>
      </c>
      <c r="AC1916" s="1">
        <v>0</v>
      </c>
      <c r="AD1916" s="1">
        <v>1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1</v>
      </c>
      <c r="AL1916" s="1">
        <v>17</v>
      </c>
      <c r="AM1916" s="2">
        <v>42404</v>
      </c>
      <c r="AN1916" t="str">
        <f t="shared" si="59"/>
        <v>43269,18,0.0004160022186785,1,0,61,10,1,7,0,0,1,1,1,0,2,8,0,0,0,0,0,0,0,48,36-50,2445,0,1,0,0,0,0,0,0,1,17,42404</v>
      </c>
    </row>
    <row r="1917" spans="1:40" ht="13" hidden="1" x14ac:dyDescent="0.15">
      <c r="A1917">
        <v>1421</v>
      </c>
      <c r="B1917" s="1">
        <v>9255</v>
      </c>
      <c r="C1917" s="1">
        <v>18</v>
      </c>
      <c r="D1917" s="4">
        <f t="shared" si="58"/>
        <v>1.9448946515397082E-3</v>
      </c>
      <c r="E1917" s="1">
        <v>1</v>
      </c>
      <c r="F1917" s="1">
        <v>0</v>
      </c>
      <c r="G1917" s="1">
        <v>91</v>
      </c>
      <c r="H1917" s="1">
        <v>9</v>
      </c>
      <c r="I1917" s="1">
        <v>0</v>
      </c>
      <c r="J1917" s="1">
        <v>7</v>
      </c>
      <c r="K1917" s="1">
        <v>2</v>
      </c>
      <c r="L1917" s="1">
        <v>0</v>
      </c>
      <c r="M1917" s="1">
        <v>4</v>
      </c>
      <c r="N1917" s="1">
        <v>1</v>
      </c>
      <c r="O1917" s="1">
        <v>1</v>
      </c>
      <c r="P1917" s="1">
        <v>1</v>
      </c>
      <c r="Q1917" s="1">
        <v>2</v>
      </c>
      <c r="R1917" s="1">
        <v>8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31</v>
      </c>
      <c r="AA1917" s="1" t="str" cm="1">
        <f t="array" ref="AA1917">_xlfn.IFS(AND(Z1917&lt;36, Z1917&gt;23), "24-35", AND(Z1917&lt;51, Z1917&gt;35),"36-50", AND(Z1917&lt;66, Z1917&gt;50), "51-66", Z1917&gt;65, "66+", TRUE, "?")</f>
        <v>24-35</v>
      </c>
      <c r="AB1917" s="1">
        <v>2350</v>
      </c>
      <c r="AC1917" s="1">
        <v>0</v>
      </c>
      <c r="AD1917" s="1">
        <v>0</v>
      </c>
      <c r="AE1917" s="1">
        <v>1</v>
      </c>
      <c r="AF1917" s="1">
        <v>0</v>
      </c>
      <c r="AG1917" s="1">
        <v>0</v>
      </c>
      <c r="AH1917" s="1">
        <v>0</v>
      </c>
      <c r="AI1917" s="1">
        <v>1</v>
      </c>
      <c r="AJ1917" s="1">
        <v>0</v>
      </c>
      <c r="AK1917" s="1">
        <v>0</v>
      </c>
      <c r="AL1917" s="1">
        <v>14</v>
      </c>
      <c r="AM1917" s="2">
        <v>42499</v>
      </c>
      <c r="AN1917" t="str">
        <f t="shared" si="59"/>
        <v>9255,18,0.00194489465153971,1,0,91,9,0,7,2,0,4,1,1,1,2,8,0,0,0,0,0,0,0,31,24-35,2350,0,0,1,0,0,0,1,0,0,14,42499</v>
      </c>
    </row>
    <row r="1918" spans="1:40" ht="13" hidden="1" x14ac:dyDescent="0.15">
      <c r="A1918">
        <v>1555</v>
      </c>
      <c r="B1918" s="1">
        <v>42033</v>
      </c>
      <c r="C1918" s="1">
        <v>18</v>
      </c>
      <c r="D1918" s="4">
        <f t="shared" si="58"/>
        <v>4.2823495824709159E-4</v>
      </c>
      <c r="E1918" s="1">
        <v>1</v>
      </c>
      <c r="F1918" s="1">
        <v>1</v>
      </c>
      <c r="G1918" s="1">
        <v>95</v>
      </c>
      <c r="H1918" s="1">
        <v>11</v>
      </c>
      <c r="I1918" s="1">
        <v>1</v>
      </c>
      <c r="J1918" s="1">
        <v>4</v>
      </c>
      <c r="K1918" s="1">
        <v>2</v>
      </c>
      <c r="L1918" s="1">
        <v>0</v>
      </c>
      <c r="M1918" s="1">
        <v>7</v>
      </c>
      <c r="N1918" s="1">
        <v>1</v>
      </c>
      <c r="O1918" s="1">
        <v>1</v>
      </c>
      <c r="P1918" s="1">
        <v>0</v>
      </c>
      <c r="Q1918" s="1">
        <v>2</v>
      </c>
      <c r="R1918" s="1">
        <v>7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49</v>
      </c>
      <c r="AA1918" s="1" t="str" cm="1">
        <f t="array" ref="AA1918">_xlfn.IFS(AND(Z1918&lt;36, Z1918&gt;23), "24-35", AND(Z1918&lt;51, Z1918&gt;35),"36-50", AND(Z1918&lt;66, Z1918&gt;50), "51-66", Z1918&gt;65, "66+", TRUE, "?")</f>
        <v>36-50</v>
      </c>
      <c r="AB1918" s="1">
        <v>2807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1</v>
      </c>
      <c r="AI1918" s="1">
        <v>0</v>
      </c>
      <c r="AJ1918" s="1">
        <v>0</v>
      </c>
      <c r="AK1918" s="1">
        <v>0</v>
      </c>
      <c r="AL1918" s="1">
        <v>11</v>
      </c>
      <c r="AM1918" s="2">
        <v>42042</v>
      </c>
      <c r="AN1918" t="str">
        <f t="shared" si="59"/>
        <v>42033,18,0.000428234958247092,1,1,95,11,1,4,2,0,7,1,1,0,2,7,0,0,0,0,0,0,0,49,36-50,2807,0,0,0,1,0,1,0,0,0,11,42042</v>
      </c>
    </row>
    <row r="1919" spans="1:40" ht="13" hidden="1" x14ac:dyDescent="0.15">
      <c r="A1919">
        <v>1703</v>
      </c>
      <c r="B1919" s="1">
        <v>34738</v>
      </c>
      <c r="C1919" s="1">
        <v>18</v>
      </c>
      <c r="D1919" s="4">
        <f t="shared" si="58"/>
        <v>5.1816454603028381E-4</v>
      </c>
      <c r="E1919" s="1">
        <v>1</v>
      </c>
      <c r="F1919" s="1">
        <v>0</v>
      </c>
      <c r="G1919" s="1">
        <v>51</v>
      </c>
      <c r="H1919" s="1">
        <v>3</v>
      </c>
      <c r="I1919" s="1">
        <v>2</v>
      </c>
      <c r="J1919" s="1">
        <v>10</v>
      </c>
      <c r="K1919" s="1">
        <v>3</v>
      </c>
      <c r="L1919" s="1">
        <v>0</v>
      </c>
      <c r="M1919" s="1">
        <v>2</v>
      </c>
      <c r="N1919" s="1">
        <v>1</v>
      </c>
      <c r="O1919" s="1">
        <v>1</v>
      </c>
      <c r="P1919" s="1">
        <v>0</v>
      </c>
      <c r="Q1919" s="1">
        <v>3</v>
      </c>
      <c r="R1919" s="1">
        <v>6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36</v>
      </c>
      <c r="AA1919" s="1" t="str" cm="1">
        <f t="array" ref="AA1919">_xlfn.IFS(AND(Z1919&lt;36, Z1919&gt;23), "24-35", AND(Z1919&lt;51, Z1919&gt;35),"36-50", AND(Z1919&lt;66, Z1919&gt;50), "51-66", Z1919&gt;65, "66+", TRUE, "?")</f>
        <v>36-50</v>
      </c>
      <c r="AB1919" s="1">
        <v>2208</v>
      </c>
      <c r="AC1919" s="1">
        <v>0</v>
      </c>
      <c r="AD1919" s="1">
        <v>0</v>
      </c>
      <c r="AE1919" s="1">
        <v>1</v>
      </c>
      <c r="AF1919" s="1">
        <v>0</v>
      </c>
      <c r="AG1919" s="1">
        <v>0</v>
      </c>
      <c r="AH1919" s="1">
        <v>0</v>
      </c>
      <c r="AI1919" s="1">
        <v>1</v>
      </c>
      <c r="AJ1919" s="1">
        <v>0</v>
      </c>
      <c r="AK1919" s="1">
        <v>0</v>
      </c>
      <c r="AL1919" s="1">
        <v>16</v>
      </c>
      <c r="AM1919" s="2">
        <v>42641</v>
      </c>
      <c r="AN1919" t="str">
        <f t="shared" si="59"/>
        <v>34738,18,0.000518164546030284,1,0,51,3,2,10,3,0,2,1,1,0,3,6,0,0,0,0,0,0,0,36,36-50,2208,0,0,1,0,0,0,1,0,0,16,42641</v>
      </c>
    </row>
    <row r="1920" spans="1:40" ht="13" hidden="1" x14ac:dyDescent="0.15">
      <c r="A1920">
        <v>1887</v>
      </c>
      <c r="B1920" s="1">
        <v>27889</v>
      </c>
      <c r="C1920" s="1">
        <v>18</v>
      </c>
      <c r="D1920" s="4">
        <f t="shared" si="58"/>
        <v>6.4541575531571588E-4</v>
      </c>
      <c r="E1920" s="1">
        <v>1</v>
      </c>
      <c r="F1920" s="1">
        <v>0</v>
      </c>
      <c r="G1920" s="1">
        <v>42</v>
      </c>
      <c r="H1920" s="1">
        <v>14</v>
      </c>
      <c r="I1920" s="1">
        <v>0</v>
      </c>
      <c r="J1920" s="1">
        <v>4</v>
      </c>
      <c r="K1920" s="1">
        <v>0</v>
      </c>
      <c r="L1920" s="1">
        <v>0</v>
      </c>
      <c r="M1920" s="1">
        <v>8</v>
      </c>
      <c r="N1920" s="1">
        <v>1</v>
      </c>
      <c r="O1920" s="1">
        <v>1</v>
      </c>
      <c r="P1920" s="1">
        <v>1</v>
      </c>
      <c r="Q1920" s="1">
        <v>2</v>
      </c>
      <c r="R1920" s="1">
        <v>6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43</v>
      </c>
      <c r="AA1920" s="1" t="str" cm="1">
        <f t="array" ref="AA1920">_xlfn.IFS(AND(Z1920&lt;36, Z1920&gt;23), "24-35", AND(Z1920&lt;51, Z1920&gt;35),"36-50", AND(Z1920&lt;66, Z1920&gt;50), "51-66", Z1920&gt;65, "66+", TRUE, "?")</f>
        <v>36-50</v>
      </c>
      <c r="AB1920" s="1">
        <v>2518</v>
      </c>
      <c r="AC1920" s="1">
        <v>0</v>
      </c>
      <c r="AD1920" s="1">
        <v>1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1</v>
      </c>
      <c r="AK1920" s="1">
        <v>0</v>
      </c>
      <c r="AL1920" s="1">
        <v>10</v>
      </c>
      <c r="AM1920" s="2">
        <v>42331</v>
      </c>
      <c r="AN1920" t="str">
        <f t="shared" si="59"/>
        <v>27889,18,0.000645415755315716,1,0,42,14,0,4,0,0,8,1,1,1,2,6,0,0,0,0,0,0,0,43,36-50,2518,0,1,0,0,0,0,0,1,0,10,42331</v>
      </c>
    </row>
    <row r="1921" spans="1:40" ht="13" hidden="1" x14ac:dyDescent="0.15">
      <c r="A1921">
        <v>1894</v>
      </c>
      <c r="B1921" s="1">
        <v>34109</v>
      </c>
      <c r="C1921" s="1">
        <v>18</v>
      </c>
      <c r="D1921" s="4">
        <f t="shared" si="58"/>
        <v>5.2771995660969245E-4</v>
      </c>
      <c r="E1921" s="1">
        <v>0</v>
      </c>
      <c r="F1921" s="1">
        <v>1</v>
      </c>
      <c r="G1921" s="1">
        <v>39</v>
      </c>
      <c r="H1921" s="1">
        <v>9</v>
      </c>
      <c r="I1921" s="1">
        <v>1</v>
      </c>
      <c r="J1921" s="1">
        <v>5</v>
      </c>
      <c r="K1921" s="1">
        <v>2</v>
      </c>
      <c r="L1921" s="1">
        <v>1</v>
      </c>
      <c r="M1921" s="1">
        <v>4</v>
      </c>
      <c r="N1921" s="1">
        <v>1</v>
      </c>
      <c r="O1921" s="1">
        <v>0</v>
      </c>
      <c r="P1921" s="1">
        <v>0</v>
      </c>
      <c r="Q1921" s="1">
        <v>3</v>
      </c>
      <c r="R1921" s="1">
        <v>4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49</v>
      </c>
      <c r="AA1921" s="1" t="str" cm="1">
        <f t="array" ref="AA1921">_xlfn.IFS(AND(Z1921&lt;36, Z1921&gt;23), "24-35", AND(Z1921&lt;51, Z1921&gt;35),"36-50", AND(Z1921&lt;66, Z1921&gt;50), "51-66", Z1921&gt;65, "66+", TRUE, "?")</f>
        <v>36-50</v>
      </c>
      <c r="AB1921" s="1">
        <v>2394</v>
      </c>
      <c r="AC1921" s="1">
        <v>0</v>
      </c>
      <c r="AD1921" s="1">
        <v>1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1</v>
      </c>
      <c r="AK1921" s="1">
        <v>0</v>
      </c>
      <c r="AL1921" s="1">
        <v>14</v>
      </c>
      <c r="AM1921" s="2">
        <v>42455</v>
      </c>
      <c r="AN1921" t="str">
        <f t="shared" si="59"/>
        <v>34109,18,0.000527719956609692,0,1,39,9,1,5,2,1,4,1,0,0,3,4,0,0,0,0,0,0,0,49,36-50,2394,0,1,0,0,0,0,0,1,0,14,42455</v>
      </c>
    </row>
    <row r="1922" spans="1:40" ht="13" x14ac:dyDescent="0.15">
      <c r="A1922">
        <v>1989</v>
      </c>
      <c r="B1922" s="1">
        <v>31385</v>
      </c>
      <c r="C1922" s="1">
        <v>18</v>
      </c>
      <c r="D1922" s="4">
        <f t="shared" ref="D1922:D1985" si="60">C1922/B1922</f>
        <v>5.7352238330412621E-4</v>
      </c>
      <c r="E1922" s="1">
        <v>1</v>
      </c>
      <c r="F1922" s="1">
        <v>0</v>
      </c>
      <c r="G1922" s="1">
        <v>56</v>
      </c>
      <c r="H1922" s="1">
        <v>3</v>
      </c>
      <c r="I1922" s="1">
        <v>2</v>
      </c>
      <c r="J1922" s="1">
        <v>12</v>
      </c>
      <c r="K1922" s="1">
        <v>0</v>
      </c>
      <c r="L1922" s="1">
        <v>1</v>
      </c>
      <c r="M1922" s="1">
        <v>9</v>
      </c>
      <c r="N1922" s="1">
        <v>1</v>
      </c>
      <c r="O1922" s="1">
        <v>1</v>
      </c>
      <c r="P1922" s="1">
        <v>0</v>
      </c>
      <c r="Q1922" s="1">
        <v>2</v>
      </c>
      <c r="R1922" s="1">
        <v>8</v>
      </c>
      <c r="S1922" s="1">
        <v>0</v>
      </c>
      <c r="T1922" s="1">
        <v>0</v>
      </c>
      <c r="U1922" s="1">
        <v>1</v>
      </c>
      <c r="V1922" s="1">
        <v>0</v>
      </c>
      <c r="W1922" s="1">
        <v>0</v>
      </c>
      <c r="X1922" s="1">
        <v>0</v>
      </c>
      <c r="Y1922" s="1">
        <v>1</v>
      </c>
      <c r="Z1922" s="1">
        <v>36</v>
      </c>
      <c r="AA1922" s="1" t="str" cm="1">
        <f t="array" ref="AA1922">_xlfn.IFS(AND(Z1922&lt;36, Z1922&gt;23), "24-35", AND(Z1922&lt;51, Z1922&gt;35),"36-50", AND(Z1922&lt;66, Z1922&gt;50), "51-66", Z1922&gt;65, "66+", TRUE, "?")</f>
        <v>36-50</v>
      </c>
      <c r="AB1922" s="1">
        <v>2730</v>
      </c>
      <c r="AC1922" s="1">
        <v>0</v>
      </c>
      <c r="AD1922" s="1">
        <v>0</v>
      </c>
      <c r="AE1922" s="1">
        <v>1</v>
      </c>
      <c r="AF1922" s="1">
        <v>0</v>
      </c>
      <c r="AG1922" s="1">
        <v>0</v>
      </c>
      <c r="AH1922" s="1">
        <v>0</v>
      </c>
      <c r="AI1922" s="1">
        <v>0</v>
      </c>
      <c r="AJ1922" s="1">
        <v>1</v>
      </c>
      <c r="AK1922" s="1">
        <v>0</v>
      </c>
      <c r="AL1922" s="1">
        <v>9</v>
      </c>
      <c r="AM1922" s="2">
        <v>42119</v>
      </c>
      <c r="AN1922" t="str">
        <f t="shared" ref="AN1922:AN1985" si="61">_xlfn.TEXTJOIN(",",TRUE,B1922:AM1922)</f>
        <v>31385,18,0.000573522383304126,1,0,56,3,2,12,0,1,9,1,1,0,2,8,0,0,1,0,0,0,1,36,36-50,2730,0,0,1,0,0,0,0,1,0,9,42119</v>
      </c>
    </row>
    <row r="1923" spans="1:40" ht="13" x14ac:dyDescent="0.15">
      <c r="A1923">
        <v>1985</v>
      </c>
      <c r="B1923" s="1">
        <v>26576</v>
      </c>
      <c r="C1923" s="1">
        <v>18</v>
      </c>
      <c r="D1923" s="4">
        <f t="shared" si="60"/>
        <v>6.7730282962071041E-4</v>
      </c>
      <c r="E1923" s="1">
        <v>1</v>
      </c>
      <c r="F1923" s="1">
        <v>0</v>
      </c>
      <c r="G1923" s="1">
        <v>40</v>
      </c>
      <c r="H1923" s="1">
        <v>10</v>
      </c>
      <c r="I1923" s="1">
        <v>0</v>
      </c>
      <c r="J1923" s="1">
        <v>8</v>
      </c>
      <c r="K1923" s="1">
        <v>0</v>
      </c>
      <c r="L1923" s="1">
        <v>0</v>
      </c>
      <c r="M1923" s="1">
        <v>9</v>
      </c>
      <c r="N1923" s="1">
        <v>1</v>
      </c>
      <c r="O1923" s="1">
        <v>1</v>
      </c>
      <c r="P1923" s="1">
        <v>0</v>
      </c>
      <c r="Q1923" s="1">
        <v>2</v>
      </c>
      <c r="R1923" s="1">
        <v>9</v>
      </c>
      <c r="S1923" s="1">
        <v>0</v>
      </c>
      <c r="T1923" s="1">
        <v>0</v>
      </c>
      <c r="U1923" s="1">
        <v>1</v>
      </c>
      <c r="V1923" s="1">
        <v>0</v>
      </c>
      <c r="W1923" s="1">
        <v>0</v>
      </c>
      <c r="X1923" s="1">
        <v>0</v>
      </c>
      <c r="Y1923" s="1">
        <v>1</v>
      </c>
      <c r="Z1923" s="1">
        <v>34</v>
      </c>
      <c r="AA1923" s="1" t="str" cm="1">
        <f t="array" ref="AA1923">_xlfn.IFS(AND(Z1923&lt;36, Z1923&gt;23), "24-35", AND(Z1923&lt;51, Z1923&gt;35),"36-50", AND(Z1923&lt;66, Z1923&gt;50), "51-66", Z1923&gt;65, "66+", TRUE, "?")</f>
        <v>24-35</v>
      </c>
      <c r="AB1923" s="1">
        <v>2783</v>
      </c>
      <c r="AC1923" s="1">
        <v>0</v>
      </c>
      <c r="AD1923" s="1">
        <v>0</v>
      </c>
      <c r="AE1923" s="1">
        <v>1</v>
      </c>
      <c r="AF1923" s="1">
        <v>0</v>
      </c>
      <c r="AG1923" s="1">
        <v>0</v>
      </c>
      <c r="AH1923" s="1">
        <v>0</v>
      </c>
      <c r="AI1923" s="1">
        <v>1</v>
      </c>
      <c r="AJ1923" s="1">
        <v>0</v>
      </c>
      <c r="AK1923" s="1">
        <v>0</v>
      </c>
      <c r="AL1923" s="1">
        <v>9</v>
      </c>
      <c r="AM1923" s="2">
        <v>42066</v>
      </c>
      <c r="AN1923" t="str">
        <f t="shared" si="61"/>
        <v>26576,18,0.00067730282962071,1,0,40,10,0,8,0,0,9,1,1,0,2,9,0,0,1,0,0,0,1,34,24-35,2783,0,0,1,0,0,0,1,0,0,9,42066</v>
      </c>
    </row>
    <row r="1924" spans="1:40" ht="13" x14ac:dyDescent="0.15">
      <c r="A1924">
        <v>1982</v>
      </c>
      <c r="B1924" s="1">
        <v>15287</v>
      </c>
      <c r="C1924" s="1">
        <v>18</v>
      </c>
      <c r="D1924" s="4">
        <f t="shared" si="60"/>
        <v>1.1774710538365932E-3</v>
      </c>
      <c r="E1924" s="1">
        <v>1</v>
      </c>
      <c r="F1924" s="1">
        <v>0</v>
      </c>
      <c r="G1924" s="1">
        <v>60</v>
      </c>
      <c r="H1924" s="1">
        <v>1</v>
      </c>
      <c r="I1924" s="1">
        <v>2</v>
      </c>
      <c r="J1924" s="1">
        <v>8</v>
      </c>
      <c r="K1924" s="1">
        <v>4</v>
      </c>
      <c r="L1924" s="1">
        <v>3</v>
      </c>
      <c r="M1924" s="1">
        <v>13</v>
      </c>
      <c r="N1924" s="1">
        <v>2</v>
      </c>
      <c r="O1924" s="1">
        <v>1</v>
      </c>
      <c r="P1924" s="1">
        <v>1</v>
      </c>
      <c r="Q1924" s="1">
        <v>2</v>
      </c>
      <c r="R1924" s="1">
        <v>7</v>
      </c>
      <c r="S1924" s="1">
        <v>0</v>
      </c>
      <c r="T1924" s="1">
        <v>0</v>
      </c>
      <c r="U1924" s="1">
        <v>1</v>
      </c>
      <c r="V1924" s="1">
        <v>0</v>
      </c>
      <c r="W1924" s="1">
        <v>0</v>
      </c>
      <c r="X1924" s="1">
        <v>0</v>
      </c>
      <c r="Y1924" s="1">
        <v>1</v>
      </c>
      <c r="Z1924" s="1">
        <v>41</v>
      </c>
      <c r="AA1924" s="1" t="str" cm="1">
        <f t="array" ref="AA1924">_xlfn.IFS(AND(Z1924&lt;36, Z1924&gt;23), "24-35", AND(Z1924&lt;51, Z1924&gt;35),"36-50", AND(Z1924&lt;66, Z1924&gt;50), "51-66", Z1924&gt;65, "66+", TRUE, "?")</f>
        <v>36-50</v>
      </c>
      <c r="AB1924" s="1">
        <v>2786</v>
      </c>
      <c r="AC1924" s="1">
        <v>1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1</v>
      </c>
      <c r="AJ1924" s="1">
        <v>0</v>
      </c>
      <c r="AK1924" s="1">
        <v>0</v>
      </c>
      <c r="AL1924" s="1">
        <v>5</v>
      </c>
      <c r="AM1924" s="2">
        <v>42063</v>
      </c>
      <c r="AN1924" t="str">
        <f t="shared" si="61"/>
        <v>15287,18,0.00117747105383659,1,0,60,1,2,8,4,3,13,2,1,1,2,7,0,0,1,0,0,0,1,41,36-50,2786,1,0,0,0,0,0,1,0,0,5,42063</v>
      </c>
    </row>
    <row r="1925" spans="1:40" ht="13" hidden="1" x14ac:dyDescent="0.15">
      <c r="A1925">
        <v>211</v>
      </c>
      <c r="B1925" s="1">
        <v>34320</v>
      </c>
      <c r="C1925" s="1">
        <v>17</v>
      </c>
      <c r="D1925" s="4">
        <f t="shared" si="60"/>
        <v>4.9533799533799539E-4</v>
      </c>
      <c r="E1925" s="1">
        <v>1</v>
      </c>
      <c r="F1925" s="1">
        <v>0</v>
      </c>
      <c r="G1925" s="1">
        <v>66</v>
      </c>
      <c r="H1925" s="1">
        <v>4</v>
      </c>
      <c r="I1925" s="1">
        <v>1</v>
      </c>
      <c r="J1925" s="1">
        <v>9</v>
      </c>
      <c r="K1925" s="1">
        <v>3</v>
      </c>
      <c r="L1925" s="1">
        <v>0</v>
      </c>
      <c r="M1925" s="1">
        <v>0</v>
      </c>
      <c r="N1925" s="1">
        <v>1</v>
      </c>
      <c r="O1925" s="1">
        <v>1</v>
      </c>
      <c r="P1925" s="1">
        <v>0</v>
      </c>
      <c r="Q1925" s="1">
        <v>2</v>
      </c>
      <c r="R1925" s="1">
        <v>8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34</v>
      </c>
      <c r="AA1925" s="1" t="str" cm="1">
        <f t="array" ref="AA1925">_xlfn.IFS(AND(Z1925&lt;36, Z1925&gt;23), "24-35", AND(Z1925&lt;51, Z1925&gt;35),"36-50", AND(Z1925&lt;66, Z1925&gt;50), "51-66", Z1925&gt;65, "66+", TRUE, "?")</f>
        <v>24-35</v>
      </c>
      <c r="AB1925" s="1">
        <v>2292</v>
      </c>
      <c r="AC1925" s="1">
        <v>0</v>
      </c>
      <c r="AD1925" s="1">
        <v>0</v>
      </c>
      <c r="AE1925" s="1">
        <v>0</v>
      </c>
      <c r="AF1925" s="1">
        <v>1</v>
      </c>
      <c r="AG1925" s="1">
        <v>0</v>
      </c>
      <c r="AH1925" s="1">
        <v>0</v>
      </c>
      <c r="AI1925" s="1">
        <v>0</v>
      </c>
      <c r="AJ1925" s="1">
        <v>0</v>
      </c>
      <c r="AK1925" s="1">
        <v>1</v>
      </c>
      <c r="AL1925" s="1">
        <v>17</v>
      </c>
      <c r="AM1925" s="2">
        <v>42557</v>
      </c>
      <c r="AN1925" t="str">
        <f t="shared" si="61"/>
        <v>34320,17,0.000495337995337995,1,0,66,4,1,9,3,0,0,1,1,0,2,8,0,0,0,0,0,0,0,34,24-35,2292,0,0,0,1,0,0,0,0,1,17,42557</v>
      </c>
    </row>
    <row r="1926" spans="1:40" ht="13" hidden="1" x14ac:dyDescent="0.15">
      <c r="A1926">
        <v>272</v>
      </c>
      <c r="B1926" s="1">
        <v>29672</v>
      </c>
      <c r="C1926" s="1">
        <v>17</v>
      </c>
      <c r="D1926" s="4">
        <f t="shared" si="60"/>
        <v>5.7293070908600696E-4</v>
      </c>
      <c r="E1926" s="1">
        <v>1</v>
      </c>
      <c r="F1926" s="1">
        <v>1</v>
      </c>
      <c r="G1926" s="1">
        <v>6</v>
      </c>
      <c r="H1926" s="1">
        <v>9</v>
      </c>
      <c r="I1926" s="1">
        <v>1</v>
      </c>
      <c r="J1926" s="1">
        <v>3</v>
      </c>
      <c r="K1926" s="1">
        <v>0</v>
      </c>
      <c r="L1926" s="1">
        <v>4</v>
      </c>
      <c r="M1926" s="1">
        <v>8</v>
      </c>
      <c r="N1926" s="1">
        <v>1</v>
      </c>
      <c r="O1926" s="1">
        <v>0</v>
      </c>
      <c r="P1926" s="1">
        <v>0</v>
      </c>
      <c r="Q1926" s="1">
        <v>3</v>
      </c>
      <c r="R1926" s="1">
        <v>6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55</v>
      </c>
      <c r="AA1926" s="1" t="str" cm="1">
        <f t="array" ref="AA1926">_xlfn.IFS(AND(Z1926&lt;36, Z1926&gt;23), "24-35", AND(Z1926&lt;51, Z1926&gt;35),"36-50", AND(Z1926&lt;66, Z1926&gt;50), "51-66", Z1926&gt;65, "66+", TRUE, "?")</f>
        <v>51-66</v>
      </c>
      <c r="AB1926" s="1">
        <v>2633</v>
      </c>
      <c r="AC1926" s="1">
        <v>0</v>
      </c>
      <c r="AD1926" s="1">
        <v>0</v>
      </c>
      <c r="AE1926" s="1">
        <v>0</v>
      </c>
      <c r="AF1926" s="1">
        <v>1</v>
      </c>
      <c r="AG1926" s="1">
        <v>0</v>
      </c>
      <c r="AH1926" s="1">
        <v>0</v>
      </c>
      <c r="AI1926" s="1">
        <v>1</v>
      </c>
      <c r="AJ1926" s="1">
        <v>0</v>
      </c>
      <c r="AK1926" s="1">
        <v>0</v>
      </c>
      <c r="AL1926" s="1">
        <v>9</v>
      </c>
      <c r="AM1926" s="2">
        <v>42216</v>
      </c>
      <c r="AN1926" t="str">
        <f t="shared" si="61"/>
        <v>29672,17,0.000572930709086007,1,1,6,9,1,3,0,4,8,1,0,0,3,6,0,0,0,0,0,0,0,55,51-66,2633,0,0,0,1,0,0,1,0,0,9,42216</v>
      </c>
    </row>
    <row r="1927" spans="1:40" ht="13" hidden="1" x14ac:dyDescent="0.15">
      <c r="A1927">
        <v>536</v>
      </c>
      <c r="B1927" s="1">
        <v>47691</v>
      </c>
      <c r="C1927" s="1">
        <v>17</v>
      </c>
      <c r="D1927" s="4">
        <f t="shared" si="60"/>
        <v>3.5646138684447797E-4</v>
      </c>
      <c r="E1927" s="1">
        <v>0</v>
      </c>
      <c r="F1927" s="1">
        <v>1</v>
      </c>
      <c r="G1927" s="1">
        <v>43</v>
      </c>
      <c r="H1927" s="1">
        <v>14</v>
      </c>
      <c r="I1927" s="1">
        <v>0</v>
      </c>
      <c r="J1927" s="1">
        <v>3</v>
      </c>
      <c r="K1927" s="1">
        <v>0</v>
      </c>
      <c r="L1927" s="1">
        <v>0</v>
      </c>
      <c r="M1927" s="1">
        <v>4</v>
      </c>
      <c r="N1927" s="1">
        <v>1</v>
      </c>
      <c r="O1927" s="1">
        <v>1</v>
      </c>
      <c r="P1927" s="1">
        <v>0</v>
      </c>
      <c r="Q1927" s="1">
        <v>2</v>
      </c>
      <c r="R1927" s="1">
        <v>6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41</v>
      </c>
      <c r="AA1927" s="1" t="str" cm="1">
        <f t="array" ref="AA1927">_xlfn.IFS(AND(Z1927&lt;36, Z1927&gt;23), "24-35", AND(Z1927&lt;51, Z1927&gt;35),"36-50", AND(Z1927&lt;66, Z1927&gt;50), "51-66", Z1927&gt;65, "66+", TRUE, "?")</f>
        <v>36-50</v>
      </c>
      <c r="AB1927" s="1">
        <v>2518</v>
      </c>
      <c r="AC1927" s="1">
        <v>0</v>
      </c>
      <c r="AD1927" s="1">
        <v>0</v>
      </c>
      <c r="AE1927" s="1">
        <v>1</v>
      </c>
      <c r="AF1927" s="1">
        <v>0</v>
      </c>
      <c r="AG1927" s="1">
        <v>0</v>
      </c>
      <c r="AH1927" s="1">
        <v>0</v>
      </c>
      <c r="AI1927" s="1">
        <v>1</v>
      </c>
      <c r="AJ1927" s="1">
        <v>0</v>
      </c>
      <c r="AK1927" s="1">
        <v>0</v>
      </c>
      <c r="AL1927" s="1">
        <v>13</v>
      </c>
      <c r="AM1927" s="2">
        <v>42331</v>
      </c>
      <c r="AN1927" t="str">
        <f t="shared" si="61"/>
        <v>47691,17,0.000356461386844478,0,1,43,14,0,3,0,0,4,1,1,0,2,6,0,0,0,0,0,0,0,41,36-50,2518,0,0,1,0,0,0,1,0,0,13,42331</v>
      </c>
    </row>
    <row r="1928" spans="1:40" ht="13" hidden="1" x14ac:dyDescent="0.15">
      <c r="A1928">
        <v>624</v>
      </c>
      <c r="B1928" s="1">
        <v>45068</v>
      </c>
      <c r="C1928" s="1">
        <v>17</v>
      </c>
      <c r="D1928" s="4">
        <f t="shared" si="60"/>
        <v>3.7720777491790183E-4</v>
      </c>
      <c r="E1928" s="1">
        <v>0</v>
      </c>
      <c r="F1928" s="1">
        <v>1</v>
      </c>
      <c r="G1928" s="1">
        <v>25</v>
      </c>
      <c r="H1928" s="1">
        <v>14</v>
      </c>
      <c r="I1928" s="1">
        <v>0</v>
      </c>
      <c r="J1928" s="1">
        <v>3</v>
      </c>
      <c r="K1928" s="1">
        <v>0</v>
      </c>
      <c r="L1928" s="1">
        <v>0</v>
      </c>
      <c r="M1928" s="1">
        <v>3</v>
      </c>
      <c r="N1928" s="1">
        <v>1</v>
      </c>
      <c r="O1928" s="1">
        <v>1</v>
      </c>
      <c r="P1928" s="1">
        <v>0</v>
      </c>
      <c r="Q1928" s="1">
        <v>2</v>
      </c>
      <c r="R1928" s="1">
        <v>7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46</v>
      </c>
      <c r="AA1928" s="1" t="str" cm="1">
        <f t="array" ref="AA1928">_xlfn.IFS(AND(Z1928&lt;36, Z1928&gt;23), "24-35", AND(Z1928&lt;51, Z1928&gt;35),"36-50", AND(Z1928&lt;66, Z1928&gt;50), "51-66", Z1928&gt;65, "66+", TRUE, "?")</f>
        <v>36-50</v>
      </c>
      <c r="AB1928" s="1">
        <v>2568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0</v>
      </c>
      <c r="AJ1928" s="1">
        <v>0</v>
      </c>
      <c r="AK1928" s="1">
        <v>1</v>
      </c>
      <c r="AL1928" s="1">
        <v>14</v>
      </c>
      <c r="AM1928" s="2">
        <v>42281</v>
      </c>
      <c r="AN1928" t="str">
        <f t="shared" si="61"/>
        <v>45068,17,0.000377207774917902,0,1,25,14,0,3,0,0,3,1,1,0,2,7,0,0,0,0,0,0,0,46,36-50,2568,0,0,0,1,0,0,0,0,1,14,42281</v>
      </c>
    </row>
    <row r="1929" spans="1:40" ht="13" hidden="1" x14ac:dyDescent="0.15">
      <c r="A1929">
        <v>700</v>
      </c>
      <c r="B1929" s="1">
        <v>33697</v>
      </c>
      <c r="C1929" s="1">
        <v>17</v>
      </c>
      <c r="D1929" s="4">
        <f t="shared" si="60"/>
        <v>5.0449594919429032E-4</v>
      </c>
      <c r="E1929" s="1">
        <v>1</v>
      </c>
      <c r="F1929" s="1">
        <v>0</v>
      </c>
      <c r="G1929" s="1">
        <v>34</v>
      </c>
      <c r="H1929" s="1">
        <v>4</v>
      </c>
      <c r="I1929" s="1">
        <v>3</v>
      </c>
      <c r="J1929" s="1">
        <v>7</v>
      </c>
      <c r="K1929" s="1">
        <v>0</v>
      </c>
      <c r="L1929" s="1">
        <v>3</v>
      </c>
      <c r="M1929" s="1">
        <v>11</v>
      </c>
      <c r="N1929" s="1">
        <v>1</v>
      </c>
      <c r="O1929" s="1">
        <v>1</v>
      </c>
      <c r="P1929" s="1">
        <v>0</v>
      </c>
      <c r="Q1929" s="1">
        <v>2</v>
      </c>
      <c r="R1929" s="1">
        <v>7</v>
      </c>
      <c r="S1929" s="1">
        <v>0</v>
      </c>
      <c r="T1929" s="1">
        <v>0</v>
      </c>
      <c r="U1929" s="1">
        <v>1</v>
      </c>
      <c r="V1929" s="1">
        <v>0</v>
      </c>
      <c r="W1929" s="1">
        <v>0</v>
      </c>
      <c r="X1929" s="1">
        <v>0</v>
      </c>
      <c r="Y1929" s="1">
        <v>0</v>
      </c>
      <c r="Z1929" s="1">
        <v>50</v>
      </c>
      <c r="AA1929" s="1" t="str" cm="1">
        <f t="array" ref="AA1929">_xlfn.IFS(AND(Z1929&lt;36, Z1929&gt;23), "24-35", AND(Z1929&lt;51, Z1929&gt;35),"36-50", AND(Z1929&lt;66, Z1929&gt;50), "51-66", Z1929&gt;65, "66+", TRUE, "?")</f>
        <v>36-50</v>
      </c>
      <c r="AB1929" s="1">
        <v>2446</v>
      </c>
      <c r="AC1929" s="1">
        <v>0</v>
      </c>
      <c r="AD1929" s="1">
        <v>0</v>
      </c>
      <c r="AE1929" s="1">
        <v>1</v>
      </c>
      <c r="AF1929" s="1">
        <v>0</v>
      </c>
      <c r="AG1929" s="1">
        <v>0</v>
      </c>
      <c r="AH1929" s="1">
        <v>0</v>
      </c>
      <c r="AI1929" s="1">
        <v>1</v>
      </c>
      <c r="AJ1929" s="1">
        <v>0</v>
      </c>
      <c r="AK1929" s="1">
        <v>0</v>
      </c>
      <c r="AL1929" s="1">
        <v>6</v>
      </c>
      <c r="AM1929" s="2">
        <v>42403</v>
      </c>
      <c r="AN1929" t="str">
        <f t="shared" si="61"/>
        <v>33697,17,0.00050449594919429,1,0,34,4,3,7,0,3,11,1,1,0,2,7,0,0,1,0,0,0,0,50,36-50,2446,0,0,1,0,0,0,1,0,0,6,42403</v>
      </c>
    </row>
    <row r="1930" spans="1:40" ht="13" hidden="1" x14ac:dyDescent="0.15">
      <c r="A1930">
        <v>1014</v>
      </c>
      <c r="B1930" s="1">
        <v>41014</v>
      </c>
      <c r="C1930" s="1">
        <v>17</v>
      </c>
      <c r="D1930" s="4">
        <f t="shared" si="60"/>
        <v>4.1449261227873409E-4</v>
      </c>
      <c r="E1930" s="1">
        <v>1</v>
      </c>
      <c r="F1930" s="1">
        <v>0</v>
      </c>
      <c r="G1930" s="1">
        <v>65</v>
      </c>
      <c r="H1930" s="1">
        <v>7</v>
      </c>
      <c r="I1930" s="1">
        <v>2</v>
      </c>
      <c r="J1930" s="1">
        <v>6</v>
      </c>
      <c r="K1930" s="1">
        <v>2</v>
      </c>
      <c r="L1930" s="1">
        <v>0</v>
      </c>
      <c r="M1930" s="1">
        <v>3</v>
      </c>
      <c r="N1930" s="1">
        <v>1</v>
      </c>
      <c r="O1930" s="1">
        <v>1</v>
      </c>
      <c r="P1930" s="1">
        <v>0</v>
      </c>
      <c r="Q1930" s="1">
        <v>2</v>
      </c>
      <c r="R1930" s="1">
        <v>7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42</v>
      </c>
      <c r="AA1930" s="1" t="str" cm="1">
        <f t="array" ref="AA1930">_xlfn.IFS(AND(Z1930&lt;36, Z1930&gt;23), "24-35", AND(Z1930&lt;51, Z1930&gt;35),"36-50", AND(Z1930&lt;66, Z1930&gt;50), "51-66", Z1930&gt;65, "66+", TRUE, "?")</f>
        <v>36-50</v>
      </c>
      <c r="AB1930" s="1">
        <v>2592</v>
      </c>
      <c r="AC1930" s="1">
        <v>0</v>
      </c>
      <c r="AD1930" s="1">
        <v>1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1</v>
      </c>
      <c r="AL1930" s="1">
        <v>14</v>
      </c>
      <c r="AM1930" s="2">
        <v>42257</v>
      </c>
      <c r="AN1930" t="str">
        <f t="shared" si="61"/>
        <v>41014,17,0.000414492612278734,1,0,65,7,2,6,2,0,3,1,1,0,2,7,0,0,0,0,0,0,0,42,36-50,2592,0,1,0,0,0,0,0,0,1,14,42257</v>
      </c>
    </row>
    <row r="1931" spans="1:40" ht="13" hidden="1" x14ac:dyDescent="0.15">
      <c r="A1931">
        <v>1170</v>
      </c>
      <c r="B1931" s="1">
        <v>40521</v>
      </c>
      <c r="C1931" s="1">
        <v>17</v>
      </c>
      <c r="D1931" s="4">
        <f t="shared" si="60"/>
        <v>4.1953554946817697E-4</v>
      </c>
      <c r="E1931" s="1">
        <v>1</v>
      </c>
      <c r="F1931" s="1">
        <v>1</v>
      </c>
      <c r="G1931" s="1">
        <v>82</v>
      </c>
      <c r="H1931" s="1">
        <v>12</v>
      </c>
      <c r="I1931" s="1">
        <v>0</v>
      </c>
      <c r="J1931" s="1">
        <v>5</v>
      </c>
      <c r="K1931" s="1">
        <v>0</v>
      </c>
      <c r="L1931" s="1">
        <v>0</v>
      </c>
      <c r="M1931" s="1">
        <v>4</v>
      </c>
      <c r="N1931" s="1">
        <v>1</v>
      </c>
      <c r="O1931" s="1">
        <v>0</v>
      </c>
      <c r="P1931" s="1">
        <v>1</v>
      </c>
      <c r="Q1931" s="1">
        <v>2</v>
      </c>
      <c r="R1931" s="1">
        <v>5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52</v>
      </c>
      <c r="AA1931" s="1" t="str" cm="1">
        <f t="array" ref="AA1931">_xlfn.IFS(AND(Z1931&lt;36, Z1931&gt;23), "24-35", AND(Z1931&lt;51, Z1931&gt;35),"36-50", AND(Z1931&lt;66, Z1931&gt;50), "51-66", Z1931&gt;65, "66+", TRUE, "?")</f>
        <v>51-66</v>
      </c>
      <c r="AB1931" s="1">
        <v>2609</v>
      </c>
      <c r="AC1931" s="1">
        <v>0</v>
      </c>
      <c r="AD1931" s="1">
        <v>0</v>
      </c>
      <c r="AE1931" s="1">
        <v>0</v>
      </c>
      <c r="AF1931" s="1">
        <v>1</v>
      </c>
      <c r="AG1931" s="1">
        <v>0</v>
      </c>
      <c r="AH1931" s="1">
        <v>0</v>
      </c>
      <c r="AI1931" s="1">
        <v>1</v>
      </c>
      <c r="AJ1931" s="1">
        <v>0</v>
      </c>
      <c r="AK1931" s="1">
        <v>0</v>
      </c>
      <c r="AL1931" s="1">
        <v>13</v>
      </c>
      <c r="AM1931" s="2">
        <v>42240</v>
      </c>
      <c r="AN1931" t="str">
        <f t="shared" si="61"/>
        <v>40521,17,0.000419535549468177,1,1,82,12,0,5,0,0,4,1,0,1,2,5,0,0,0,0,0,0,0,52,51-66,2609,0,0,0,1,0,0,1,0,0,13,42240</v>
      </c>
    </row>
    <row r="1932" spans="1:40" ht="13" hidden="1" x14ac:dyDescent="0.15">
      <c r="A1932">
        <v>1180</v>
      </c>
      <c r="B1932" s="1">
        <v>39356</v>
      </c>
      <c r="C1932" s="1">
        <v>17</v>
      </c>
      <c r="D1932" s="4">
        <f t="shared" si="60"/>
        <v>4.3195446691736964E-4</v>
      </c>
      <c r="E1932" s="1">
        <v>1</v>
      </c>
      <c r="F1932" s="1">
        <v>1</v>
      </c>
      <c r="G1932" s="1">
        <v>21</v>
      </c>
      <c r="H1932" s="1">
        <v>15</v>
      </c>
      <c r="I1932" s="1">
        <v>0</v>
      </c>
      <c r="J1932" s="1">
        <v>2</v>
      </c>
      <c r="K1932" s="1">
        <v>0</v>
      </c>
      <c r="L1932" s="1">
        <v>0</v>
      </c>
      <c r="M1932" s="1">
        <v>6</v>
      </c>
      <c r="N1932" s="1">
        <v>1</v>
      </c>
      <c r="O1932" s="1">
        <v>1</v>
      </c>
      <c r="P1932" s="1">
        <v>0</v>
      </c>
      <c r="Q1932" s="1">
        <v>2</v>
      </c>
      <c r="R1932" s="1">
        <v>6</v>
      </c>
      <c r="S1932" s="1">
        <v>0</v>
      </c>
      <c r="T1932" s="1">
        <v>0</v>
      </c>
      <c r="U1932" s="1">
        <v>1</v>
      </c>
      <c r="V1932" s="1">
        <v>0</v>
      </c>
      <c r="W1932" s="1">
        <v>0</v>
      </c>
      <c r="X1932" s="1">
        <v>0</v>
      </c>
      <c r="Y1932" s="1">
        <v>0</v>
      </c>
      <c r="Z1932" s="1">
        <v>44</v>
      </c>
      <c r="AA1932" s="1" t="str" cm="1">
        <f t="array" ref="AA1932">_xlfn.IFS(AND(Z1932&lt;36, Z1932&gt;23), "24-35", AND(Z1932&lt;51, Z1932&gt;35),"36-50", AND(Z1932&lt;66, Z1932&gt;50), "51-66", Z1932&gt;65, "66+", TRUE, "?")</f>
        <v>36-50</v>
      </c>
      <c r="AB1932" s="1">
        <v>2261</v>
      </c>
      <c r="AC1932" s="1">
        <v>0</v>
      </c>
      <c r="AD1932" s="1">
        <v>1</v>
      </c>
      <c r="AE1932" s="1">
        <v>0</v>
      </c>
      <c r="AF1932" s="1">
        <v>0</v>
      </c>
      <c r="AG1932" s="1">
        <v>0</v>
      </c>
      <c r="AH1932" s="1">
        <v>0</v>
      </c>
      <c r="AI1932" s="1">
        <v>1</v>
      </c>
      <c r="AJ1932" s="1">
        <v>0</v>
      </c>
      <c r="AK1932" s="1">
        <v>0</v>
      </c>
      <c r="AL1932" s="1">
        <v>11</v>
      </c>
      <c r="AM1932" s="2">
        <v>42588</v>
      </c>
      <c r="AN1932" t="str">
        <f t="shared" si="61"/>
        <v>39356,17,0.00043195446691737,1,1,21,15,0,2,0,0,6,1,1,0,2,6,0,0,1,0,0,0,0,44,36-50,2261,0,1,0,0,0,0,1,0,0,11,42588</v>
      </c>
    </row>
    <row r="1933" spans="1:40" ht="13" hidden="1" x14ac:dyDescent="0.15">
      <c r="A1933">
        <v>1266</v>
      </c>
      <c r="B1933" s="1">
        <v>18227</v>
      </c>
      <c r="C1933" s="1">
        <v>17</v>
      </c>
      <c r="D1933" s="4">
        <f t="shared" si="60"/>
        <v>9.3268228452296042E-4</v>
      </c>
      <c r="E1933" s="1">
        <v>1</v>
      </c>
      <c r="F1933" s="1">
        <v>0</v>
      </c>
      <c r="G1933" s="1">
        <v>21</v>
      </c>
      <c r="H1933" s="1">
        <v>1</v>
      </c>
      <c r="I1933" s="1">
        <v>2</v>
      </c>
      <c r="J1933" s="1">
        <v>7</v>
      </c>
      <c r="K1933" s="1">
        <v>4</v>
      </c>
      <c r="L1933" s="1">
        <v>3</v>
      </c>
      <c r="M1933" s="1">
        <v>11</v>
      </c>
      <c r="N1933" s="1">
        <v>1</v>
      </c>
      <c r="O1933" s="1">
        <v>0</v>
      </c>
      <c r="P1933" s="1">
        <v>1</v>
      </c>
      <c r="Q1933" s="1">
        <v>2</v>
      </c>
      <c r="R1933" s="1">
        <v>8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33</v>
      </c>
      <c r="AA1933" s="1" t="str" cm="1">
        <f t="array" ref="AA1933">_xlfn.IFS(AND(Z1933&lt;36, Z1933&gt;23), "24-35", AND(Z1933&lt;51, Z1933&gt;35),"36-50", AND(Z1933&lt;66, Z1933&gt;50), "51-66", Z1933&gt;65, "66+", TRUE, "?")</f>
        <v>24-35</v>
      </c>
      <c r="AB1933" s="1">
        <v>2757</v>
      </c>
      <c r="AC1933" s="1">
        <v>0</v>
      </c>
      <c r="AD1933" s="1">
        <v>0</v>
      </c>
      <c r="AE1933" s="1">
        <v>0</v>
      </c>
      <c r="AF1933" s="1">
        <v>1</v>
      </c>
      <c r="AG1933" s="1">
        <v>0</v>
      </c>
      <c r="AH1933" s="1">
        <v>0</v>
      </c>
      <c r="AI1933" s="1">
        <v>1</v>
      </c>
      <c r="AJ1933" s="1">
        <v>0</v>
      </c>
      <c r="AK1933" s="1">
        <v>0</v>
      </c>
      <c r="AL1933" s="1">
        <v>6</v>
      </c>
      <c r="AM1933" s="2">
        <v>42092</v>
      </c>
      <c r="AN1933" t="str">
        <f t="shared" si="61"/>
        <v>18227,17,0.00093268228452296,1,0,21,1,2,7,4,3,11,1,0,1,2,8,0,0,0,0,0,0,0,33,24-35,2757,0,0,0,1,0,0,1,0,0,6,42092</v>
      </c>
    </row>
    <row r="1934" spans="1:40" ht="13" hidden="1" x14ac:dyDescent="0.15">
      <c r="A1934">
        <v>1427</v>
      </c>
      <c r="B1934" s="1">
        <v>51411</v>
      </c>
      <c r="C1934" s="1">
        <v>17</v>
      </c>
      <c r="D1934" s="4">
        <f t="shared" si="60"/>
        <v>3.3066853397132907E-4</v>
      </c>
      <c r="E1934" s="1">
        <v>1</v>
      </c>
      <c r="F1934" s="1">
        <v>2</v>
      </c>
      <c r="G1934" s="1">
        <v>81</v>
      </c>
      <c r="H1934" s="1">
        <v>14</v>
      </c>
      <c r="I1934" s="1">
        <v>0</v>
      </c>
      <c r="J1934" s="1">
        <v>3</v>
      </c>
      <c r="K1934" s="1">
        <v>0</v>
      </c>
      <c r="L1934" s="1">
        <v>0</v>
      </c>
      <c r="M1934" s="1">
        <v>1</v>
      </c>
      <c r="N1934" s="1">
        <v>1</v>
      </c>
      <c r="O1934" s="1">
        <v>0</v>
      </c>
      <c r="P1934" s="1">
        <v>0</v>
      </c>
      <c r="Q1934" s="1">
        <v>3</v>
      </c>
      <c r="R1934" s="1">
        <v>5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67</v>
      </c>
      <c r="AA1934" s="1" t="str" cm="1">
        <f t="array" ref="AA1934">_xlfn.IFS(AND(Z1934&lt;36, Z1934&gt;23), "24-35", AND(Z1934&lt;51, Z1934&gt;35),"36-50", AND(Z1934&lt;66, Z1934&gt;50), "51-66", Z1934&gt;65, "66+", TRUE, "?")</f>
        <v>66+</v>
      </c>
      <c r="AB1934" s="1">
        <v>2558</v>
      </c>
      <c r="AC1934" s="1">
        <v>0</v>
      </c>
      <c r="AD1934" s="1">
        <v>0</v>
      </c>
      <c r="AE1934" s="1">
        <v>1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1</v>
      </c>
      <c r="AL1934" s="1">
        <v>16</v>
      </c>
      <c r="AM1934" s="2">
        <v>42291</v>
      </c>
      <c r="AN1934" t="str">
        <f t="shared" si="61"/>
        <v>51411,17,0.000330668533971329,1,2,81,14,0,3,0,0,1,1,0,0,3,5,0,0,0,0,0,0,0,67,66+,2558,0,0,1,0,0,0,0,0,1,16,42291</v>
      </c>
    </row>
    <row r="1935" spans="1:40" ht="13" hidden="1" x14ac:dyDescent="0.15">
      <c r="A1935">
        <v>1432</v>
      </c>
      <c r="B1935" s="1">
        <v>37284</v>
      </c>
      <c r="C1935" s="1">
        <v>17</v>
      </c>
      <c r="D1935" s="4">
        <f t="shared" si="60"/>
        <v>4.559596609805815E-4</v>
      </c>
      <c r="E1935" s="1">
        <v>1</v>
      </c>
      <c r="F1935" s="1">
        <v>1</v>
      </c>
      <c r="G1935" s="1">
        <v>46</v>
      </c>
      <c r="H1935" s="1">
        <v>11</v>
      </c>
      <c r="I1935" s="1">
        <v>1</v>
      </c>
      <c r="J1935" s="1">
        <v>2</v>
      </c>
      <c r="K1935" s="1">
        <v>2</v>
      </c>
      <c r="L1935" s="1">
        <v>1</v>
      </c>
      <c r="M1935" s="1">
        <v>6</v>
      </c>
      <c r="N1935" s="1">
        <v>1</v>
      </c>
      <c r="O1935" s="1">
        <v>0</v>
      </c>
      <c r="P1935" s="1">
        <v>0</v>
      </c>
      <c r="Q1935" s="1">
        <v>3</v>
      </c>
      <c r="R1935" s="1">
        <v>6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45</v>
      </c>
      <c r="AA1935" s="1" t="str" cm="1">
        <f t="array" ref="AA1935">_xlfn.IFS(AND(Z1935&lt;36, Z1935&gt;23), "24-35", AND(Z1935&lt;51, Z1935&gt;35),"36-50", AND(Z1935&lt;66, Z1935&gt;50), "51-66", Z1935&gt;65, "66+", TRUE, "?")</f>
        <v>36-50</v>
      </c>
      <c r="AB1935" s="1">
        <v>2616</v>
      </c>
      <c r="AC1935" s="1">
        <v>0</v>
      </c>
      <c r="AD1935" s="1">
        <v>1</v>
      </c>
      <c r="AE1935" s="1">
        <v>0</v>
      </c>
      <c r="AF1935" s="1">
        <v>0</v>
      </c>
      <c r="AG1935" s="1">
        <v>0</v>
      </c>
      <c r="AH1935" s="1">
        <v>1</v>
      </c>
      <c r="AI1935" s="1">
        <v>0</v>
      </c>
      <c r="AJ1935" s="1">
        <v>0</v>
      </c>
      <c r="AK1935" s="1">
        <v>0</v>
      </c>
      <c r="AL1935" s="1">
        <v>11</v>
      </c>
      <c r="AM1935" s="2">
        <v>42233</v>
      </c>
      <c r="AN1935" t="str">
        <f t="shared" si="61"/>
        <v>37284,17,0.000455959660980581,1,1,46,11,1,2,2,1,6,1,0,0,3,6,0,0,0,0,0,0,0,45,36-50,2616,0,1,0,0,0,1,0,0,0,11,42233</v>
      </c>
    </row>
    <row r="1936" spans="1:40" ht="13" hidden="1" x14ac:dyDescent="0.15">
      <c r="A1936">
        <v>1441</v>
      </c>
      <c r="B1936" s="1">
        <v>24645</v>
      </c>
      <c r="C1936" s="1">
        <v>17</v>
      </c>
      <c r="D1936" s="4">
        <f t="shared" si="60"/>
        <v>6.8979509028200441E-4</v>
      </c>
      <c r="E1936" s="1">
        <v>1</v>
      </c>
      <c r="F1936" s="1">
        <v>0</v>
      </c>
      <c r="G1936" s="1">
        <v>16</v>
      </c>
      <c r="H1936" s="1">
        <v>5</v>
      </c>
      <c r="I1936" s="1">
        <v>3</v>
      </c>
      <c r="J1936" s="1">
        <v>4</v>
      </c>
      <c r="K1936" s="1">
        <v>4</v>
      </c>
      <c r="L1936" s="1">
        <v>1</v>
      </c>
      <c r="M1936" s="1">
        <v>0</v>
      </c>
      <c r="N1936" s="1">
        <v>1</v>
      </c>
      <c r="O1936" s="1">
        <v>1</v>
      </c>
      <c r="P1936" s="1">
        <v>0</v>
      </c>
      <c r="Q1936" s="1">
        <v>2</v>
      </c>
      <c r="R1936" s="1">
        <v>8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32</v>
      </c>
      <c r="AA1936" s="1" t="str" cm="1">
        <f t="array" ref="AA1936">_xlfn.IFS(AND(Z1936&lt;36, Z1936&gt;23), "24-35", AND(Z1936&lt;51, Z1936&gt;35),"36-50", AND(Z1936&lt;66, Z1936&gt;50), "51-66", Z1936&gt;65, "66+", TRUE, "?")</f>
        <v>24-35</v>
      </c>
      <c r="AB1936" s="1">
        <v>2764</v>
      </c>
      <c r="AC1936" s="1">
        <v>0</v>
      </c>
      <c r="AD1936" s="1">
        <v>1</v>
      </c>
      <c r="AE1936" s="1">
        <v>0</v>
      </c>
      <c r="AF1936" s="1">
        <v>0</v>
      </c>
      <c r="AG1936" s="1">
        <v>0</v>
      </c>
      <c r="AH1936" s="1">
        <v>0</v>
      </c>
      <c r="AI1936" s="1">
        <v>1</v>
      </c>
      <c r="AJ1936" s="1">
        <v>0</v>
      </c>
      <c r="AK1936" s="1">
        <v>0</v>
      </c>
      <c r="AL1936" s="1">
        <v>17</v>
      </c>
      <c r="AM1936" s="2">
        <v>42085</v>
      </c>
      <c r="AN1936" t="str">
        <f t="shared" si="61"/>
        <v>24645,17,0.000689795090282004,1,0,16,5,3,4,4,1,0,1,1,0,2,8,0,0,0,0,0,0,0,32,24-35,2764,0,1,0,0,0,0,1,0,0,17,42085</v>
      </c>
    </row>
    <row r="1937" spans="1:40" ht="13" hidden="1" x14ac:dyDescent="0.15">
      <c r="A1937">
        <v>1510</v>
      </c>
      <c r="B1937" s="1">
        <v>39228</v>
      </c>
      <c r="C1937" s="1">
        <v>17</v>
      </c>
      <c r="D1937" s="4">
        <f t="shared" si="60"/>
        <v>4.3336392372794941E-4</v>
      </c>
      <c r="E1937" s="1">
        <v>0</v>
      </c>
      <c r="F1937" s="1">
        <v>0</v>
      </c>
      <c r="G1937" s="1">
        <v>1</v>
      </c>
      <c r="H1937" s="1">
        <v>7</v>
      </c>
      <c r="I1937" s="1">
        <v>1</v>
      </c>
      <c r="J1937" s="1">
        <v>6</v>
      </c>
      <c r="K1937" s="1">
        <v>0</v>
      </c>
      <c r="L1937" s="1">
        <v>3</v>
      </c>
      <c r="M1937" s="1">
        <v>3</v>
      </c>
      <c r="N1937" s="1">
        <v>1</v>
      </c>
      <c r="O1937" s="1">
        <v>0</v>
      </c>
      <c r="P1937" s="1">
        <v>0</v>
      </c>
      <c r="Q1937" s="1">
        <v>3</v>
      </c>
      <c r="R1937" s="1">
        <v>4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60</v>
      </c>
      <c r="AA1937" s="1" t="str" cm="1">
        <f t="array" ref="AA1937">_xlfn.IFS(AND(Z1937&lt;36, Z1937&gt;23), "24-35", AND(Z1937&lt;51, Z1937&gt;35),"36-50", AND(Z1937&lt;66, Z1937&gt;50), "51-66", Z1937&gt;65, "66+", TRUE, "?")</f>
        <v>51-66</v>
      </c>
      <c r="AB1937" s="1">
        <v>2574</v>
      </c>
      <c r="AC1937" s="1">
        <v>1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1</v>
      </c>
      <c r="AK1937" s="1">
        <v>0</v>
      </c>
      <c r="AL1937" s="1">
        <v>14</v>
      </c>
      <c r="AM1937" s="2">
        <v>42275</v>
      </c>
      <c r="AN1937" t="str">
        <f t="shared" si="61"/>
        <v>39228,17,0.000433363923727949,0,0,1,7,1,6,0,3,3,1,0,0,3,4,0,0,0,0,0,0,0,60,51-66,2574,1,0,0,0,0,0,0,1,0,14,42275</v>
      </c>
    </row>
    <row r="1938" spans="1:40" ht="13" hidden="1" x14ac:dyDescent="0.15">
      <c r="A1938">
        <v>1984</v>
      </c>
      <c r="B1938" s="1">
        <v>27469</v>
      </c>
      <c r="C1938" s="1">
        <v>17</v>
      </c>
      <c r="D1938" s="4">
        <f t="shared" si="60"/>
        <v>6.1887946412319346E-4</v>
      </c>
      <c r="E1938" s="1">
        <v>0</v>
      </c>
      <c r="F1938" s="1">
        <v>0</v>
      </c>
      <c r="G1938" s="1">
        <v>2</v>
      </c>
      <c r="H1938" s="1">
        <v>9</v>
      </c>
      <c r="I1938" s="1">
        <v>1</v>
      </c>
      <c r="J1938" s="1">
        <v>2</v>
      </c>
      <c r="K1938" s="1">
        <v>3</v>
      </c>
      <c r="L1938" s="1">
        <v>2</v>
      </c>
      <c r="M1938" s="1">
        <v>0</v>
      </c>
      <c r="N1938" s="1">
        <v>1</v>
      </c>
      <c r="O1938" s="1">
        <v>0</v>
      </c>
      <c r="P1938" s="1">
        <v>0</v>
      </c>
      <c r="Q1938" s="1">
        <v>3</v>
      </c>
      <c r="R1938" s="1">
        <v>6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73</v>
      </c>
      <c r="AA1938" s="1" t="str" cm="1">
        <f t="array" ref="AA1938">_xlfn.IFS(AND(Z1938&lt;36, Z1938&gt;23), "24-35", AND(Z1938&lt;51, Z1938&gt;35),"36-50", AND(Z1938&lt;66, Z1938&gt;50), "51-66", Z1938&gt;65, "66+", TRUE, "?")</f>
        <v>66+</v>
      </c>
      <c r="AB1938" s="1">
        <v>2855</v>
      </c>
      <c r="AC1938" s="1">
        <v>0</v>
      </c>
      <c r="AD1938" s="1">
        <v>1</v>
      </c>
      <c r="AE1938" s="1">
        <v>0</v>
      </c>
      <c r="AF1938" s="1">
        <v>0</v>
      </c>
      <c r="AG1938" s="1">
        <v>0</v>
      </c>
      <c r="AH1938" s="1">
        <v>0</v>
      </c>
      <c r="AI1938" s="1">
        <v>1</v>
      </c>
      <c r="AJ1938" s="1">
        <v>0</v>
      </c>
      <c r="AK1938" s="1">
        <v>0</v>
      </c>
      <c r="AL1938" s="1">
        <v>17</v>
      </c>
      <c r="AM1938" s="2">
        <v>41994</v>
      </c>
      <c r="AN1938" t="str">
        <f t="shared" si="61"/>
        <v>27469,17,0.000618879464123193,0,0,2,9,1,2,3,2,0,1,0,0,3,6,0,0,0,0,0,0,0,73,66+,2855,0,1,0,0,0,0,1,0,0,17,41994</v>
      </c>
    </row>
    <row r="1939" spans="1:40" ht="13" hidden="1" x14ac:dyDescent="0.15">
      <c r="A1939">
        <v>198</v>
      </c>
      <c r="B1939" s="1">
        <v>52195</v>
      </c>
      <c r="C1939" s="1">
        <v>16</v>
      </c>
      <c r="D1939" s="4">
        <f t="shared" si="60"/>
        <v>3.0654277229619697E-4</v>
      </c>
      <c r="E1939" s="1">
        <v>2</v>
      </c>
      <c r="F1939" s="1">
        <v>1</v>
      </c>
      <c r="G1939" s="1">
        <v>2</v>
      </c>
      <c r="H1939" s="1">
        <v>12</v>
      </c>
      <c r="I1939" s="1">
        <v>0</v>
      </c>
      <c r="J1939" s="1">
        <v>4</v>
      </c>
      <c r="K1939" s="1">
        <v>0</v>
      </c>
      <c r="L1939" s="1">
        <v>0</v>
      </c>
      <c r="M1939" s="1">
        <v>1</v>
      </c>
      <c r="N1939" s="1">
        <v>1</v>
      </c>
      <c r="O1939" s="1">
        <v>1</v>
      </c>
      <c r="P1939" s="1">
        <v>0</v>
      </c>
      <c r="Q1939" s="1">
        <v>2</v>
      </c>
      <c r="R1939" s="1">
        <v>8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42</v>
      </c>
      <c r="AA1939" s="1" t="str" cm="1">
        <f t="array" ref="AA1939">_xlfn.IFS(AND(Z1939&lt;36, Z1939&gt;23), "24-35", AND(Z1939&lt;51, Z1939&gt;35),"36-50", AND(Z1939&lt;66, Z1939&gt;50), "51-66", Z1939&gt;65, "66+", TRUE, "?")</f>
        <v>36-50</v>
      </c>
      <c r="AB1939" s="1">
        <v>2207</v>
      </c>
      <c r="AC1939" s="1">
        <v>0</v>
      </c>
      <c r="AD1939" s="1">
        <v>0</v>
      </c>
      <c r="AE1939" s="1">
        <v>1</v>
      </c>
      <c r="AF1939" s="1">
        <v>0</v>
      </c>
      <c r="AG1939" s="1">
        <v>0</v>
      </c>
      <c r="AH1939" s="1">
        <v>1</v>
      </c>
      <c r="AI1939" s="1">
        <v>0</v>
      </c>
      <c r="AJ1939" s="1">
        <v>0</v>
      </c>
      <c r="AK1939" s="1">
        <v>0</v>
      </c>
      <c r="AL1939" s="1">
        <v>15</v>
      </c>
      <c r="AM1939" s="2">
        <v>42642</v>
      </c>
      <c r="AN1939" t="str">
        <f t="shared" si="61"/>
        <v>52195,16,0.000306542772296197,2,1,2,12,0,4,0,0,1,1,1,0,2,8,0,0,0,0,0,0,0,42,36-50,2207,0,0,1,0,0,1,0,0,0,15,42642</v>
      </c>
    </row>
    <row r="1940" spans="1:40" ht="13" hidden="1" x14ac:dyDescent="0.15">
      <c r="A1940">
        <v>226</v>
      </c>
      <c r="B1940" s="1">
        <v>31686</v>
      </c>
      <c r="C1940" s="1">
        <v>16</v>
      </c>
      <c r="D1940" s="4">
        <f t="shared" si="60"/>
        <v>5.0495486965852429E-4</v>
      </c>
      <c r="E1940" s="1">
        <v>1</v>
      </c>
      <c r="F1940" s="1">
        <v>1</v>
      </c>
      <c r="G1940" s="1">
        <v>31</v>
      </c>
      <c r="H1940" s="1">
        <v>11</v>
      </c>
      <c r="I1940" s="1">
        <v>0</v>
      </c>
      <c r="J1940" s="1">
        <v>5</v>
      </c>
      <c r="K1940" s="1">
        <v>0</v>
      </c>
      <c r="L1940" s="1">
        <v>0</v>
      </c>
      <c r="M1940" s="1">
        <v>1</v>
      </c>
      <c r="N1940" s="1">
        <v>2</v>
      </c>
      <c r="O1940" s="1">
        <v>1</v>
      </c>
      <c r="P1940" s="1">
        <v>0</v>
      </c>
      <c r="Q1940" s="1">
        <v>3</v>
      </c>
      <c r="R1940" s="1">
        <v>6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56</v>
      </c>
      <c r="AA1940" s="1" t="str" cm="1">
        <f t="array" ref="AA1940">_xlfn.IFS(AND(Z1940&lt;36, Z1940&gt;23), "24-35", AND(Z1940&lt;51, Z1940&gt;35),"36-50", AND(Z1940&lt;66, Z1940&gt;50), "51-66", Z1940&gt;65, "66+", TRUE, "?")</f>
        <v>51-66</v>
      </c>
      <c r="AB1940" s="1">
        <v>2183</v>
      </c>
      <c r="AC1940" s="1">
        <v>0</v>
      </c>
      <c r="AD1940" s="1">
        <v>1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1</v>
      </c>
      <c r="AL1940" s="1">
        <v>15</v>
      </c>
      <c r="AM1940" s="2">
        <v>42666</v>
      </c>
      <c r="AN1940" t="str">
        <f t="shared" si="61"/>
        <v>31686,16,0.000504954869658524,1,1,31,11,0,5,0,0,1,2,1,0,3,6,0,0,0,0,0,0,0,56,51-66,2183,0,1,0,0,0,0,0,0,1,15,42666</v>
      </c>
    </row>
    <row r="1941" spans="1:40" ht="13" hidden="1" x14ac:dyDescent="0.15">
      <c r="A1941">
        <v>354</v>
      </c>
      <c r="B1941" s="1">
        <v>33581</v>
      </c>
      <c r="C1941" s="1">
        <v>16</v>
      </c>
      <c r="D1941" s="4">
        <f t="shared" si="60"/>
        <v>4.7645990292129479E-4</v>
      </c>
      <c r="E1941" s="1">
        <v>2</v>
      </c>
      <c r="F1941" s="1">
        <v>0</v>
      </c>
      <c r="G1941" s="1">
        <v>38</v>
      </c>
      <c r="H1941" s="1">
        <v>11</v>
      </c>
      <c r="I1941" s="1">
        <v>0</v>
      </c>
      <c r="J1941" s="1">
        <v>5</v>
      </c>
      <c r="K1941" s="1">
        <v>0</v>
      </c>
      <c r="L1941" s="1">
        <v>0</v>
      </c>
      <c r="M1941" s="1">
        <v>1</v>
      </c>
      <c r="N1941" s="1">
        <v>1</v>
      </c>
      <c r="O1941" s="1">
        <v>1</v>
      </c>
      <c r="P1941" s="1">
        <v>0</v>
      </c>
      <c r="Q1941" s="1">
        <v>2</v>
      </c>
      <c r="R1941" s="1">
        <v>8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51</v>
      </c>
      <c r="AA1941" s="1" t="str" cm="1">
        <f t="array" ref="AA1941">_xlfn.IFS(AND(Z1941&lt;36, Z1941&gt;23), "24-35", AND(Z1941&lt;51, Z1941&gt;35),"36-50", AND(Z1941&lt;66, Z1941&gt;50), "51-66", Z1941&gt;65, "66+", TRUE, "?")</f>
        <v>51-66</v>
      </c>
      <c r="AB1941" s="1">
        <v>2696</v>
      </c>
      <c r="AC1941" s="1">
        <v>0</v>
      </c>
      <c r="AD1941" s="1">
        <v>1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1</v>
      </c>
      <c r="AL1941" s="1">
        <v>15</v>
      </c>
      <c r="AM1941" s="2">
        <v>42153</v>
      </c>
      <c r="AN1941" t="str">
        <f t="shared" si="61"/>
        <v>33581,16,0.000476459902921295,2,0,38,11,0,5,0,0,1,1,1,0,2,8,0,0,0,0,0,0,0,51,51-66,2696,0,1,0,0,0,0,0,0,1,15,42153</v>
      </c>
    </row>
    <row r="1942" spans="1:40" ht="13" hidden="1" x14ac:dyDescent="0.15">
      <c r="A1942">
        <v>355</v>
      </c>
      <c r="B1942" s="1">
        <v>19986</v>
      </c>
      <c r="C1942" s="1">
        <v>16</v>
      </c>
      <c r="D1942" s="4">
        <f t="shared" si="60"/>
        <v>8.0056039227459222E-4</v>
      </c>
      <c r="E1942" s="1">
        <v>1</v>
      </c>
      <c r="F1942" s="1">
        <v>0</v>
      </c>
      <c r="G1942" s="1">
        <v>74</v>
      </c>
      <c r="H1942" s="1">
        <v>3</v>
      </c>
      <c r="I1942" s="1">
        <v>6</v>
      </c>
      <c r="J1942" s="1">
        <v>5</v>
      </c>
      <c r="K1942" s="1">
        <v>0</v>
      </c>
      <c r="L1942" s="1">
        <v>2</v>
      </c>
      <c r="M1942" s="1">
        <v>6</v>
      </c>
      <c r="N1942" s="1">
        <v>1</v>
      </c>
      <c r="O1942" s="1">
        <v>0</v>
      </c>
      <c r="P1942" s="1">
        <v>0</v>
      </c>
      <c r="Q1942" s="1">
        <v>3</v>
      </c>
      <c r="R1942" s="1">
        <v>7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35</v>
      </c>
      <c r="AA1942" s="1" t="str" cm="1">
        <f t="array" ref="AA1942">_xlfn.IFS(AND(Z1942&lt;36, Z1942&gt;23), "24-35", AND(Z1942&lt;51, Z1942&gt;35),"36-50", AND(Z1942&lt;66, Z1942&gt;50), "51-66", Z1942&gt;65, "66+", TRUE, "?")</f>
        <v>24-35</v>
      </c>
      <c r="AB1942" s="1">
        <v>2386</v>
      </c>
      <c r="AC1942" s="1">
        <v>0</v>
      </c>
      <c r="AD1942" s="1">
        <v>1</v>
      </c>
      <c r="AE1942" s="1">
        <v>0</v>
      </c>
      <c r="AF1942" s="1">
        <v>0</v>
      </c>
      <c r="AG1942" s="1">
        <v>0</v>
      </c>
      <c r="AH1942" s="1">
        <v>0</v>
      </c>
      <c r="AI1942" s="1">
        <v>1</v>
      </c>
      <c r="AJ1942" s="1">
        <v>0</v>
      </c>
      <c r="AK1942" s="1">
        <v>0</v>
      </c>
      <c r="AL1942" s="1">
        <v>10</v>
      </c>
      <c r="AM1942" s="2">
        <v>42463</v>
      </c>
      <c r="AN1942" t="str">
        <f t="shared" si="61"/>
        <v>19986,16,0.000800560392274592,1,0,74,3,6,5,0,2,6,1,0,0,3,7,0,0,0,0,0,0,0,35,24-35,2386,0,1,0,0,0,0,1,0,0,10,42463</v>
      </c>
    </row>
    <row r="1943" spans="1:40" ht="13" hidden="1" x14ac:dyDescent="0.15">
      <c r="A1943">
        <v>444</v>
      </c>
      <c r="B1943" s="1">
        <v>20518</v>
      </c>
      <c r="C1943" s="1">
        <v>16</v>
      </c>
      <c r="D1943" s="4">
        <f t="shared" si="60"/>
        <v>7.7980309971732134E-4</v>
      </c>
      <c r="E1943" s="1">
        <v>1</v>
      </c>
      <c r="F1943" s="1">
        <v>0</v>
      </c>
      <c r="G1943" s="1">
        <v>58</v>
      </c>
      <c r="H1943" s="1">
        <v>4</v>
      </c>
      <c r="I1943" s="1">
        <v>1</v>
      </c>
      <c r="J1943" s="1">
        <v>6</v>
      </c>
      <c r="K1943" s="1">
        <v>4</v>
      </c>
      <c r="L1943" s="1">
        <v>1</v>
      </c>
      <c r="M1943" s="1">
        <v>9</v>
      </c>
      <c r="N1943" s="1">
        <v>1</v>
      </c>
      <c r="O1943" s="1">
        <v>1</v>
      </c>
      <c r="P1943" s="1">
        <v>1</v>
      </c>
      <c r="Q1943" s="1">
        <v>2</v>
      </c>
      <c r="R1943" s="1">
        <v>5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32</v>
      </c>
      <c r="AA1943" s="1" t="str" cm="1">
        <f t="array" ref="AA1943">_xlfn.IFS(AND(Z1943&lt;36, Z1943&gt;23), "24-35", AND(Z1943&lt;51, Z1943&gt;35),"36-50", AND(Z1943&lt;66, Z1943&gt;50), "51-66", Z1943&gt;65, "66+", TRUE, "?")</f>
        <v>24-35</v>
      </c>
      <c r="AB1943" s="1">
        <v>2201</v>
      </c>
      <c r="AC1943" s="1">
        <v>0</v>
      </c>
      <c r="AD1943" s="1">
        <v>0</v>
      </c>
      <c r="AE1943" s="1">
        <v>1</v>
      </c>
      <c r="AF1943" s="1">
        <v>0</v>
      </c>
      <c r="AG1943" s="1">
        <v>0</v>
      </c>
      <c r="AH1943" s="1">
        <v>0</v>
      </c>
      <c r="AI1943" s="1">
        <v>1</v>
      </c>
      <c r="AJ1943" s="1">
        <v>0</v>
      </c>
      <c r="AK1943" s="1">
        <v>0</v>
      </c>
      <c r="AL1943" s="1">
        <v>7</v>
      </c>
      <c r="AM1943" s="2">
        <v>42648</v>
      </c>
      <c r="AN1943" t="str">
        <f t="shared" si="61"/>
        <v>20518,16,0.000779803099717321,1,0,58,4,1,6,4,1,9,1,1,1,2,5,0,0,0,0,0,0,0,32,24-35,2201,0,0,1,0,0,0,1,0,0,7,42648</v>
      </c>
    </row>
    <row r="1944" spans="1:40" ht="13" hidden="1" x14ac:dyDescent="0.15">
      <c r="A1944">
        <v>537</v>
      </c>
      <c r="B1944" s="1">
        <v>38200</v>
      </c>
      <c r="C1944" s="1">
        <v>16</v>
      </c>
      <c r="D1944" s="4">
        <f t="shared" si="60"/>
        <v>4.18848167539267E-4</v>
      </c>
      <c r="E1944" s="1">
        <v>1</v>
      </c>
      <c r="F1944" s="1">
        <v>1</v>
      </c>
      <c r="G1944" s="1">
        <v>19</v>
      </c>
      <c r="H1944" s="1">
        <v>12</v>
      </c>
      <c r="I1944" s="1">
        <v>0</v>
      </c>
      <c r="J1944" s="1">
        <v>4</v>
      </c>
      <c r="K1944" s="1">
        <v>0</v>
      </c>
      <c r="L1944" s="1">
        <v>0</v>
      </c>
      <c r="M1944" s="1">
        <v>1</v>
      </c>
      <c r="N1944" s="1">
        <v>1</v>
      </c>
      <c r="O1944" s="1">
        <v>1</v>
      </c>
      <c r="P1944" s="1">
        <v>0</v>
      </c>
      <c r="Q1944" s="1">
        <v>2</v>
      </c>
      <c r="R1944" s="1">
        <v>7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50</v>
      </c>
      <c r="AA1944" s="1" t="str" cm="1">
        <f t="array" ref="AA1944">_xlfn.IFS(AND(Z1944&lt;36, Z1944&gt;23), "24-35", AND(Z1944&lt;51, Z1944&gt;35),"36-50", AND(Z1944&lt;66, Z1944&gt;50), "51-66", Z1944&gt;65, "66+", TRUE, "?")</f>
        <v>36-50</v>
      </c>
      <c r="AB1944" s="1">
        <v>2728</v>
      </c>
      <c r="AC1944" s="1">
        <v>0</v>
      </c>
      <c r="AD1944" s="1">
        <v>0</v>
      </c>
      <c r="AE1944" s="1">
        <v>0</v>
      </c>
      <c r="AF1944" s="1">
        <v>1</v>
      </c>
      <c r="AG1944" s="1">
        <v>0</v>
      </c>
      <c r="AH1944" s="1">
        <v>0</v>
      </c>
      <c r="AI1944" s="1">
        <v>1</v>
      </c>
      <c r="AJ1944" s="1">
        <v>0</v>
      </c>
      <c r="AK1944" s="1">
        <v>0</v>
      </c>
      <c r="AL1944" s="1">
        <v>15</v>
      </c>
      <c r="AM1944" s="2">
        <v>42121</v>
      </c>
      <c r="AN1944" t="str">
        <f t="shared" si="61"/>
        <v>38200,16,0.000418848167539267,1,1,19,12,0,4,0,0,1,1,1,0,2,7,0,0,0,0,0,0,0,50,36-50,2728,0,0,0,1,0,0,1,0,0,15,42121</v>
      </c>
    </row>
    <row r="1945" spans="1:40" ht="13" hidden="1" x14ac:dyDescent="0.15">
      <c r="A1945">
        <v>726</v>
      </c>
      <c r="B1945" s="1">
        <v>41452</v>
      </c>
      <c r="C1945" s="1">
        <v>16</v>
      </c>
      <c r="D1945" s="4">
        <f t="shared" si="60"/>
        <v>3.8598861333590662E-4</v>
      </c>
      <c r="E1945" s="1">
        <v>1</v>
      </c>
      <c r="F1945" s="1">
        <v>1</v>
      </c>
      <c r="G1945" s="1">
        <v>86</v>
      </c>
      <c r="H1945" s="1">
        <v>13</v>
      </c>
      <c r="I1945" s="1">
        <v>0</v>
      </c>
      <c r="J1945" s="1">
        <v>3</v>
      </c>
      <c r="K1945" s="1">
        <v>0</v>
      </c>
      <c r="L1945" s="1">
        <v>0</v>
      </c>
      <c r="M1945" s="1">
        <v>0</v>
      </c>
      <c r="N1945" s="1">
        <v>1</v>
      </c>
      <c r="O1945" s="1">
        <v>1</v>
      </c>
      <c r="P1945" s="1">
        <v>0</v>
      </c>
      <c r="Q1945" s="1">
        <v>2</v>
      </c>
      <c r="R1945" s="1">
        <v>7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67</v>
      </c>
      <c r="AA1945" s="1" t="str" cm="1">
        <f t="array" ref="AA1945">_xlfn.IFS(AND(Z1945&lt;36, Z1945&gt;23), "24-35", AND(Z1945&lt;51, Z1945&gt;35),"36-50", AND(Z1945&lt;66, Z1945&gt;50), "51-66", Z1945&gt;65, "66+", TRUE, "?")</f>
        <v>66+</v>
      </c>
      <c r="AB1945" s="1">
        <v>2639</v>
      </c>
      <c r="AC1945" s="1">
        <v>0</v>
      </c>
      <c r="AD1945" s="1">
        <v>0</v>
      </c>
      <c r="AE1945" s="1">
        <v>0</v>
      </c>
      <c r="AF1945" s="1">
        <v>1</v>
      </c>
      <c r="AG1945" s="1">
        <v>0</v>
      </c>
      <c r="AH1945" s="1">
        <v>0</v>
      </c>
      <c r="AI1945" s="1">
        <v>1</v>
      </c>
      <c r="AJ1945" s="1">
        <v>0</v>
      </c>
      <c r="AK1945" s="1">
        <v>0</v>
      </c>
      <c r="AL1945" s="1">
        <v>16</v>
      </c>
      <c r="AM1945" s="2">
        <v>42210</v>
      </c>
      <c r="AN1945" t="str">
        <f t="shared" si="61"/>
        <v>41452,16,0.000385988613335907,1,1,86,13,0,3,0,0,0,1,1,0,2,7,0,0,0,0,0,0,0,67,66+,2639,0,0,0,1,0,0,1,0,0,16,42210</v>
      </c>
    </row>
    <row r="1946" spans="1:40" ht="13" hidden="1" x14ac:dyDescent="0.15">
      <c r="A1946">
        <v>733</v>
      </c>
      <c r="B1946" s="1">
        <v>20587</v>
      </c>
      <c r="C1946" s="1">
        <v>16</v>
      </c>
      <c r="D1946" s="4">
        <f t="shared" si="60"/>
        <v>7.7718948851216785E-4</v>
      </c>
      <c r="E1946" s="1">
        <v>1</v>
      </c>
      <c r="F1946" s="1">
        <v>0</v>
      </c>
      <c r="G1946" s="1">
        <v>39</v>
      </c>
      <c r="H1946" s="1">
        <v>2</v>
      </c>
      <c r="I1946" s="1">
        <v>3</v>
      </c>
      <c r="J1946" s="1">
        <v>6</v>
      </c>
      <c r="K1946" s="1">
        <v>4</v>
      </c>
      <c r="L1946" s="1">
        <v>1</v>
      </c>
      <c r="M1946" s="1">
        <v>9</v>
      </c>
      <c r="N1946" s="1">
        <v>1</v>
      </c>
      <c r="O1946" s="1">
        <v>1</v>
      </c>
      <c r="P1946" s="1">
        <v>1</v>
      </c>
      <c r="Q1946" s="1">
        <v>2</v>
      </c>
      <c r="R1946" s="1">
        <v>7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50</v>
      </c>
      <c r="AA1946" s="1" t="str" cm="1">
        <f t="array" ref="AA1946">_xlfn.IFS(AND(Z1946&lt;36, Z1946&gt;23), "24-35", AND(Z1946&lt;51, Z1946&gt;35),"36-50", AND(Z1946&lt;66, Z1946&gt;50), "51-66", Z1946&gt;65, "66+", TRUE, "?")</f>
        <v>36-50</v>
      </c>
      <c r="AB1946" s="1">
        <v>2208</v>
      </c>
      <c r="AC1946" s="1">
        <v>0</v>
      </c>
      <c r="AD1946" s="1">
        <v>0</v>
      </c>
      <c r="AE1946" s="1">
        <v>1</v>
      </c>
      <c r="AF1946" s="1">
        <v>0</v>
      </c>
      <c r="AG1946" s="1">
        <v>0</v>
      </c>
      <c r="AH1946" s="1">
        <v>0</v>
      </c>
      <c r="AI1946" s="1">
        <v>1</v>
      </c>
      <c r="AJ1946" s="1">
        <v>0</v>
      </c>
      <c r="AK1946" s="1">
        <v>0</v>
      </c>
      <c r="AL1946" s="1">
        <v>7</v>
      </c>
      <c r="AM1946" s="2">
        <v>42641</v>
      </c>
      <c r="AN1946" t="str">
        <f t="shared" si="61"/>
        <v>20587,16,0.000777189488512168,1,0,39,2,3,6,4,1,9,1,1,1,2,7,0,0,0,0,0,0,0,50,36-50,2208,0,0,1,0,0,0,1,0,0,7,42641</v>
      </c>
    </row>
    <row r="1947" spans="1:40" ht="13" hidden="1" x14ac:dyDescent="0.15">
      <c r="A1947">
        <v>767</v>
      </c>
      <c r="B1947" s="1">
        <v>30772</v>
      </c>
      <c r="C1947" s="1">
        <v>16</v>
      </c>
      <c r="D1947" s="4">
        <f t="shared" si="60"/>
        <v>5.19953204211621E-4</v>
      </c>
      <c r="E1947" s="1">
        <v>1</v>
      </c>
      <c r="F1947" s="1">
        <v>1</v>
      </c>
      <c r="G1947" s="1">
        <v>89</v>
      </c>
      <c r="H1947" s="1">
        <v>7</v>
      </c>
      <c r="I1947" s="1">
        <v>2</v>
      </c>
      <c r="J1947" s="1">
        <v>4</v>
      </c>
      <c r="K1947" s="1">
        <v>2</v>
      </c>
      <c r="L1947" s="1">
        <v>1</v>
      </c>
      <c r="M1947" s="1">
        <v>4</v>
      </c>
      <c r="N1947" s="1">
        <v>1</v>
      </c>
      <c r="O1947" s="1">
        <v>1</v>
      </c>
      <c r="P1947" s="1">
        <v>0</v>
      </c>
      <c r="Q1947" s="1">
        <v>2</v>
      </c>
      <c r="R1947" s="1">
        <v>6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44</v>
      </c>
      <c r="AA1947" s="1" t="str" cm="1">
        <f t="array" ref="AA1947">_xlfn.IFS(AND(Z1947&lt;36, Z1947&gt;23), "24-35", AND(Z1947&lt;51, Z1947&gt;35),"36-50", AND(Z1947&lt;66, Z1947&gt;50), "51-66", Z1947&gt;65, "66+", TRUE, "?")</f>
        <v>36-50</v>
      </c>
      <c r="AB1947" s="1">
        <v>2268</v>
      </c>
      <c r="AC1947" s="1">
        <v>0</v>
      </c>
      <c r="AD1947" s="1">
        <v>1</v>
      </c>
      <c r="AE1947" s="1">
        <v>0</v>
      </c>
      <c r="AF1947" s="1">
        <v>0</v>
      </c>
      <c r="AG1947" s="1">
        <v>0</v>
      </c>
      <c r="AH1947" s="1">
        <v>0</v>
      </c>
      <c r="AI1947" s="1">
        <v>1</v>
      </c>
      <c r="AJ1947" s="1">
        <v>0</v>
      </c>
      <c r="AK1947" s="1">
        <v>0</v>
      </c>
      <c r="AL1947" s="1">
        <v>12</v>
      </c>
      <c r="AM1947" s="2">
        <v>42581</v>
      </c>
      <c r="AN1947" t="str">
        <f t="shared" si="61"/>
        <v>30772,16,0.000519953204211621,1,1,89,7,2,4,2,1,4,1,1,0,2,6,0,0,0,0,0,0,0,44,36-50,2268,0,1,0,0,0,0,1,0,0,12,42581</v>
      </c>
    </row>
    <row r="1948" spans="1:40" ht="13" hidden="1" x14ac:dyDescent="0.15">
      <c r="A1948">
        <v>922</v>
      </c>
      <c r="B1948" s="1">
        <v>46779</v>
      </c>
      <c r="C1948" s="1">
        <v>16</v>
      </c>
      <c r="D1948" s="4">
        <f t="shared" si="60"/>
        <v>3.4203381859381344E-4</v>
      </c>
      <c r="E1948" s="1">
        <v>1</v>
      </c>
      <c r="F1948" s="1">
        <v>1</v>
      </c>
      <c r="G1948" s="1">
        <v>55</v>
      </c>
      <c r="H1948" s="1">
        <v>12</v>
      </c>
      <c r="I1948" s="1">
        <v>1</v>
      </c>
      <c r="J1948" s="1">
        <v>3</v>
      </c>
      <c r="K1948" s="1">
        <v>0</v>
      </c>
      <c r="L1948" s="1">
        <v>0</v>
      </c>
      <c r="M1948" s="1">
        <v>7</v>
      </c>
      <c r="N1948" s="1">
        <v>1</v>
      </c>
      <c r="O1948" s="1">
        <v>0</v>
      </c>
      <c r="P1948" s="1">
        <v>1</v>
      </c>
      <c r="Q1948" s="1">
        <v>2</v>
      </c>
      <c r="R1948" s="1">
        <v>4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60</v>
      </c>
      <c r="AA1948" s="1" t="str" cm="1">
        <f t="array" ref="AA1948">_xlfn.IFS(AND(Z1948&lt;36, Z1948&gt;23), "24-35", AND(Z1948&lt;51, Z1948&gt;35),"36-50", AND(Z1948&lt;66, Z1948&gt;50), "51-66", Z1948&gt;65, "66+", TRUE, "?")</f>
        <v>51-66</v>
      </c>
      <c r="AB1948" s="1">
        <v>2511</v>
      </c>
      <c r="AC1948" s="1">
        <v>0</v>
      </c>
      <c r="AD1948" s="1">
        <v>0</v>
      </c>
      <c r="AE1948" s="1">
        <v>0</v>
      </c>
      <c r="AF1948" s="1">
        <v>0</v>
      </c>
      <c r="AG1948" s="1">
        <v>1</v>
      </c>
      <c r="AH1948" s="1">
        <v>1</v>
      </c>
      <c r="AI1948" s="1">
        <v>0</v>
      </c>
      <c r="AJ1948" s="1">
        <v>0</v>
      </c>
      <c r="AK1948" s="1">
        <v>0</v>
      </c>
      <c r="AL1948" s="1">
        <v>9</v>
      </c>
      <c r="AM1948" s="2">
        <v>42338</v>
      </c>
      <c r="AN1948" t="str">
        <f t="shared" si="61"/>
        <v>46779,16,0.000342033818593813,1,1,55,12,1,3,0,0,7,1,0,1,2,4,0,0,0,0,0,0,0,60,51-66,2511,0,0,0,0,1,1,0,0,0,9,42338</v>
      </c>
    </row>
    <row r="1949" spans="1:40" ht="13" hidden="1" x14ac:dyDescent="0.15">
      <c r="A1949">
        <v>932</v>
      </c>
      <c r="B1949" s="1">
        <v>24884</v>
      </c>
      <c r="C1949" s="1">
        <v>16</v>
      </c>
      <c r="D1949" s="4">
        <f t="shared" si="60"/>
        <v>6.4298344317633826E-4</v>
      </c>
      <c r="E1949" s="1">
        <v>1</v>
      </c>
      <c r="F1949" s="1">
        <v>0</v>
      </c>
      <c r="G1949" s="1">
        <v>32</v>
      </c>
      <c r="H1949" s="1">
        <v>3</v>
      </c>
      <c r="I1949" s="1">
        <v>6</v>
      </c>
      <c r="J1949" s="1">
        <v>7</v>
      </c>
      <c r="K1949" s="1">
        <v>0</v>
      </c>
      <c r="L1949" s="1">
        <v>0</v>
      </c>
      <c r="M1949" s="1">
        <v>3</v>
      </c>
      <c r="N1949" s="1">
        <v>1</v>
      </c>
      <c r="O1949" s="1">
        <v>0</v>
      </c>
      <c r="P1949" s="1">
        <v>0</v>
      </c>
      <c r="Q1949" s="1">
        <v>3</v>
      </c>
      <c r="R1949" s="1">
        <v>7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48</v>
      </c>
      <c r="AA1949" s="1" t="str" cm="1">
        <f t="array" ref="AA1949">_xlfn.IFS(AND(Z1949&lt;36, Z1949&gt;23), "24-35", AND(Z1949&lt;51, Z1949&gt;35),"36-50", AND(Z1949&lt;66, Z1949&gt;50), "51-66", Z1949&gt;65, "66+", TRUE, "?")</f>
        <v>36-50</v>
      </c>
      <c r="AB1949" s="1">
        <v>2736</v>
      </c>
      <c r="AC1949" s="1">
        <v>0</v>
      </c>
      <c r="AD1949" s="1">
        <v>1</v>
      </c>
      <c r="AE1949" s="1">
        <v>0</v>
      </c>
      <c r="AF1949" s="1">
        <v>0</v>
      </c>
      <c r="AG1949" s="1">
        <v>0</v>
      </c>
      <c r="AH1949" s="1">
        <v>1</v>
      </c>
      <c r="AI1949" s="1">
        <v>0</v>
      </c>
      <c r="AJ1949" s="1">
        <v>0</v>
      </c>
      <c r="AK1949" s="1">
        <v>0</v>
      </c>
      <c r="AL1949" s="1">
        <v>13</v>
      </c>
      <c r="AM1949" s="2">
        <v>42113</v>
      </c>
      <c r="AN1949" t="str">
        <f t="shared" si="61"/>
        <v>24884,16,0.000642983443176338,1,0,32,3,6,7,0,0,3,1,0,0,3,7,0,0,0,0,0,0,0,48,36-50,2736,0,1,0,0,0,1,0,0,0,13,42113</v>
      </c>
    </row>
    <row r="1950" spans="1:40" ht="13" hidden="1" x14ac:dyDescent="0.15">
      <c r="A1950">
        <v>1004</v>
      </c>
      <c r="B1950" s="1">
        <v>22304</v>
      </c>
      <c r="C1950" s="1">
        <v>16</v>
      </c>
      <c r="D1950" s="4">
        <f t="shared" si="60"/>
        <v>7.173601147776184E-4</v>
      </c>
      <c r="E1950" s="1">
        <v>0</v>
      </c>
      <c r="F1950" s="1">
        <v>0</v>
      </c>
      <c r="G1950" s="1">
        <v>91</v>
      </c>
      <c r="H1950" s="1">
        <v>3</v>
      </c>
      <c r="I1950" s="1">
        <v>2</v>
      </c>
      <c r="J1950" s="1">
        <v>7</v>
      </c>
      <c r="K1950" s="1">
        <v>0</v>
      </c>
      <c r="L1950" s="1">
        <v>4</v>
      </c>
      <c r="M1950" s="1">
        <v>2</v>
      </c>
      <c r="N1950" s="1">
        <v>1</v>
      </c>
      <c r="O1950" s="1">
        <v>1</v>
      </c>
      <c r="P1950" s="1">
        <v>0</v>
      </c>
      <c r="Q1950" s="1">
        <v>2</v>
      </c>
      <c r="R1950" s="1">
        <v>8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64</v>
      </c>
      <c r="AA1950" s="1" t="str" cm="1">
        <f t="array" ref="AA1950">_xlfn.IFS(AND(Z1950&lt;36, Z1950&gt;23), "24-35", AND(Z1950&lt;51, Z1950&gt;35),"36-50", AND(Z1950&lt;66, Z1950&gt;50), "51-66", Z1950&gt;65, "66+", TRUE, "?")</f>
        <v>51-66</v>
      </c>
      <c r="AB1950" s="1">
        <v>2853</v>
      </c>
      <c r="AC1950" s="1">
        <v>1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1</v>
      </c>
      <c r="AJ1950" s="1">
        <v>0</v>
      </c>
      <c r="AK1950" s="1">
        <v>0</v>
      </c>
      <c r="AL1950" s="1">
        <v>14</v>
      </c>
      <c r="AM1950" s="2">
        <v>41996</v>
      </c>
      <c r="AN1950" t="str">
        <f t="shared" si="61"/>
        <v>22304,16,0.000717360114777618,0,0,91,3,2,7,0,4,2,1,1,0,2,8,0,0,0,0,0,0,0,64,51-66,2853,1,0,0,0,0,0,1,0,0,14,41996</v>
      </c>
    </row>
    <row r="1951" spans="1:40" ht="13" hidden="1" x14ac:dyDescent="0.15">
      <c r="A1951">
        <v>1045</v>
      </c>
      <c r="B1951" s="1">
        <v>54466</v>
      </c>
      <c r="C1951" s="1">
        <v>16</v>
      </c>
      <c r="D1951" s="4">
        <f t="shared" si="60"/>
        <v>2.9376124554768111E-4</v>
      </c>
      <c r="E1951" s="1">
        <v>1</v>
      </c>
      <c r="F1951" s="1">
        <v>1</v>
      </c>
      <c r="G1951" s="1">
        <v>78</v>
      </c>
      <c r="H1951" s="1">
        <v>12</v>
      </c>
      <c r="I1951" s="1">
        <v>0</v>
      </c>
      <c r="J1951" s="1">
        <v>4</v>
      </c>
      <c r="K1951" s="1">
        <v>0</v>
      </c>
      <c r="L1951" s="1">
        <v>0</v>
      </c>
      <c r="M1951" s="1">
        <v>0</v>
      </c>
      <c r="N1951" s="1">
        <v>1</v>
      </c>
      <c r="O1951" s="1">
        <v>1</v>
      </c>
      <c r="P1951" s="1">
        <v>0</v>
      </c>
      <c r="Q1951" s="1">
        <v>2</v>
      </c>
      <c r="R1951" s="1">
        <v>5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47</v>
      </c>
      <c r="AA1951" s="1" t="str" cm="1">
        <f t="array" ref="AA1951">_xlfn.IFS(AND(Z1951&lt;36, Z1951&gt;23), "24-35", AND(Z1951&lt;51, Z1951&gt;35),"36-50", AND(Z1951&lt;66, Z1951&gt;50), "51-66", Z1951&gt;65, "66+", TRUE, "?")</f>
        <v>36-50</v>
      </c>
      <c r="AB1951" s="1">
        <v>2299</v>
      </c>
      <c r="AC1951" s="1">
        <v>0</v>
      </c>
      <c r="AD1951" s="1">
        <v>0</v>
      </c>
      <c r="AE1951" s="1">
        <v>1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1</v>
      </c>
      <c r="AL1951" s="1">
        <v>16</v>
      </c>
      <c r="AM1951" s="2">
        <v>42550</v>
      </c>
      <c r="AN1951" t="str">
        <f t="shared" si="61"/>
        <v>54466,16,0.000293761245547681,1,1,78,12,0,4,0,0,0,1,1,0,2,5,0,0,0,0,0,0,0,47,36-50,2299,0,0,1,0,0,0,0,0,1,16,42550</v>
      </c>
    </row>
    <row r="1952" spans="1:40" ht="13" hidden="1" x14ac:dyDescent="0.15">
      <c r="A1952">
        <v>1104</v>
      </c>
      <c r="B1952" s="1">
        <v>33444</v>
      </c>
      <c r="C1952" s="1">
        <v>16</v>
      </c>
      <c r="D1952" s="4">
        <f t="shared" si="60"/>
        <v>4.7841167324482717E-4</v>
      </c>
      <c r="E1952" s="1">
        <v>1</v>
      </c>
      <c r="F1952" s="1">
        <v>1</v>
      </c>
      <c r="G1952" s="1">
        <v>24</v>
      </c>
      <c r="H1952" s="1">
        <v>8</v>
      </c>
      <c r="I1952" s="1">
        <v>0</v>
      </c>
      <c r="J1952" s="1">
        <v>8</v>
      </c>
      <c r="K1952" s="1">
        <v>0</v>
      </c>
      <c r="L1952" s="1">
        <v>0</v>
      </c>
      <c r="M1952" s="1">
        <v>2</v>
      </c>
      <c r="N1952" s="1">
        <v>1</v>
      </c>
      <c r="O1952" s="1">
        <v>1</v>
      </c>
      <c r="P1952" s="1">
        <v>0</v>
      </c>
      <c r="Q1952" s="1">
        <v>2</v>
      </c>
      <c r="R1952" s="1">
        <v>8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68</v>
      </c>
      <c r="AA1952" s="1" t="str" cm="1">
        <f t="array" ref="AA1952">_xlfn.IFS(AND(Z1952&lt;36, Z1952&gt;23), "24-35", AND(Z1952&lt;51, Z1952&gt;35),"36-50", AND(Z1952&lt;66, Z1952&gt;50), "51-66", Z1952&gt;65, "66+", TRUE, "?")</f>
        <v>66+</v>
      </c>
      <c r="AB1952" s="1">
        <v>2762</v>
      </c>
      <c r="AC1952" s="1">
        <v>0</v>
      </c>
      <c r="AD1952" s="1">
        <v>1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1</v>
      </c>
      <c r="AK1952" s="1">
        <v>0</v>
      </c>
      <c r="AL1952" s="1">
        <v>14</v>
      </c>
      <c r="AM1952" s="2">
        <v>42087</v>
      </c>
      <c r="AN1952" t="str">
        <f t="shared" si="61"/>
        <v>33444,16,0.000478411673244827,1,1,24,8,0,8,0,0,2,1,1,0,2,8,0,0,0,0,0,0,0,68,66+,2762,0,1,0,0,0,0,0,1,0,14,42087</v>
      </c>
    </row>
    <row r="1953" spans="1:40" ht="13" hidden="1" x14ac:dyDescent="0.15">
      <c r="A1953">
        <v>1112</v>
      </c>
      <c r="B1953" s="1">
        <v>26954</v>
      </c>
      <c r="C1953" s="1">
        <v>16</v>
      </c>
      <c r="D1953" s="4">
        <f t="shared" si="60"/>
        <v>5.9360391778585735E-4</v>
      </c>
      <c r="E1953" s="1">
        <v>1</v>
      </c>
      <c r="F1953" s="1">
        <v>0</v>
      </c>
      <c r="G1953" s="1">
        <v>17</v>
      </c>
      <c r="H1953" s="1">
        <v>4</v>
      </c>
      <c r="I1953" s="1">
        <v>1</v>
      </c>
      <c r="J1953" s="1">
        <v>11</v>
      </c>
      <c r="K1953" s="1">
        <v>0</v>
      </c>
      <c r="L1953" s="1">
        <v>0</v>
      </c>
      <c r="M1953" s="1">
        <v>1</v>
      </c>
      <c r="N1953" s="1">
        <v>1</v>
      </c>
      <c r="O1953" s="1">
        <v>1</v>
      </c>
      <c r="P1953" s="1">
        <v>0</v>
      </c>
      <c r="Q1953" s="1">
        <v>2</v>
      </c>
      <c r="R1953" s="1">
        <v>7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49</v>
      </c>
      <c r="AA1953" s="1" t="str" cm="1">
        <f t="array" ref="AA1953">_xlfn.IFS(AND(Z1953&lt;36, Z1953&gt;23), "24-35", AND(Z1953&lt;51, Z1953&gt;35),"36-50", AND(Z1953&lt;66, Z1953&gt;50), "51-66", Z1953&gt;65, "66+", TRUE, "?")</f>
        <v>36-50</v>
      </c>
      <c r="AB1953" s="1">
        <v>2211</v>
      </c>
      <c r="AC1953" s="1">
        <v>0</v>
      </c>
      <c r="AD1953" s="1">
        <v>0</v>
      </c>
      <c r="AE1953" s="1">
        <v>1</v>
      </c>
      <c r="AF1953" s="1">
        <v>0</v>
      </c>
      <c r="AG1953" s="1">
        <v>0</v>
      </c>
      <c r="AH1953" s="1">
        <v>0</v>
      </c>
      <c r="AI1953" s="1">
        <v>1</v>
      </c>
      <c r="AJ1953" s="1">
        <v>0</v>
      </c>
      <c r="AK1953" s="1">
        <v>0</v>
      </c>
      <c r="AL1953" s="1">
        <v>15</v>
      </c>
      <c r="AM1953" s="2">
        <v>42638</v>
      </c>
      <c r="AN1953" t="str">
        <f t="shared" si="61"/>
        <v>26954,16,0.000593603917785857,1,0,17,4,1,11,0,0,1,1,1,0,2,7,0,0,0,0,0,0,0,49,36-50,2211,0,0,1,0,0,0,1,0,0,15,42638</v>
      </c>
    </row>
    <row r="1954" spans="1:40" ht="13" hidden="1" x14ac:dyDescent="0.15">
      <c r="A1954">
        <v>1145</v>
      </c>
      <c r="B1954" s="1">
        <v>26228</v>
      </c>
      <c r="C1954" s="1">
        <v>16</v>
      </c>
      <c r="D1954" s="4">
        <f t="shared" si="60"/>
        <v>6.1003507701692852E-4</v>
      </c>
      <c r="E1954" s="1">
        <v>1</v>
      </c>
      <c r="F1954" s="1">
        <v>0</v>
      </c>
      <c r="G1954" s="1">
        <v>50</v>
      </c>
      <c r="H1954" s="1">
        <v>2</v>
      </c>
      <c r="I1954" s="1">
        <v>6</v>
      </c>
      <c r="J1954" s="1">
        <v>4</v>
      </c>
      <c r="K1954" s="1">
        <v>3</v>
      </c>
      <c r="L1954" s="1">
        <v>1</v>
      </c>
      <c r="M1954" s="1">
        <v>9</v>
      </c>
      <c r="N1954" s="1">
        <v>1</v>
      </c>
      <c r="O1954" s="1">
        <v>1</v>
      </c>
      <c r="P1954" s="1">
        <v>0</v>
      </c>
      <c r="Q1954" s="1">
        <v>2</v>
      </c>
      <c r="R1954" s="1">
        <v>8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47</v>
      </c>
      <c r="AA1954" s="1" t="str" cm="1">
        <f t="array" ref="AA1954">_xlfn.IFS(AND(Z1954&lt;36, Z1954&gt;23), "24-35", AND(Z1954&lt;51, Z1954&gt;35),"36-50", AND(Z1954&lt;66, Z1954&gt;50), "51-66", Z1954&gt;65, "66+", TRUE, "?")</f>
        <v>36-50</v>
      </c>
      <c r="AB1954" s="1">
        <v>2439</v>
      </c>
      <c r="AC1954" s="1">
        <v>0</v>
      </c>
      <c r="AD1954" s="1">
        <v>1</v>
      </c>
      <c r="AE1954" s="1">
        <v>0</v>
      </c>
      <c r="AF1954" s="1">
        <v>0</v>
      </c>
      <c r="AG1954" s="1">
        <v>0</v>
      </c>
      <c r="AH1954" s="1">
        <v>0</v>
      </c>
      <c r="AI1954" s="1">
        <v>1</v>
      </c>
      <c r="AJ1954" s="1">
        <v>0</v>
      </c>
      <c r="AK1954" s="1">
        <v>0</v>
      </c>
      <c r="AL1954" s="1">
        <v>7</v>
      </c>
      <c r="AM1954" s="2">
        <v>42410</v>
      </c>
      <c r="AN1954" t="str">
        <f t="shared" si="61"/>
        <v>26228,16,0.000610035077016929,1,0,50,2,6,4,3,1,9,1,1,0,2,8,0,0,0,0,0,0,0,47,36-50,2439,0,1,0,0,0,0,1,0,0,7,42410</v>
      </c>
    </row>
    <row r="1955" spans="1:40" ht="13" hidden="1" x14ac:dyDescent="0.15">
      <c r="A1955">
        <v>1314</v>
      </c>
      <c r="B1955" s="1">
        <v>43142</v>
      </c>
      <c r="C1955" s="1">
        <v>16</v>
      </c>
      <c r="D1955" s="4">
        <f t="shared" si="60"/>
        <v>3.7086829539659727E-4</v>
      </c>
      <c r="E1955" s="1">
        <v>1</v>
      </c>
      <c r="F1955" s="1">
        <v>1</v>
      </c>
      <c r="G1955" s="1">
        <v>84</v>
      </c>
      <c r="H1955" s="1">
        <v>5</v>
      </c>
      <c r="I1955" s="1">
        <v>1</v>
      </c>
      <c r="J1955" s="1">
        <v>7</v>
      </c>
      <c r="K1955" s="1">
        <v>2</v>
      </c>
      <c r="L1955" s="1">
        <v>1</v>
      </c>
      <c r="M1955" s="1">
        <v>4</v>
      </c>
      <c r="N1955" s="1">
        <v>1</v>
      </c>
      <c r="O1955" s="1">
        <v>1</v>
      </c>
      <c r="P1955" s="1">
        <v>0</v>
      </c>
      <c r="Q1955" s="1">
        <v>2</v>
      </c>
      <c r="R1955" s="1">
        <v>7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51</v>
      </c>
      <c r="AA1955" s="1" t="str" cm="1">
        <f t="array" ref="AA1955">_xlfn.IFS(AND(Z1955&lt;36, Z1955&gt;23), "24-35", AND(Z1955&lt;51, Z1955&gt;35),"36-50", AND(Z1955&lt;66, Z1955&gt;50), "51-66", Z1955&gt;65, "66+", TRUE, "?")</f>
        <v>51-66</v>
      </c>
      <c r="AB1955" s="1">
        <v>2290</v>
      </c>
      <c r="AC1955" s="1">
        <v>0</v>
      </c>
      <c r="AD1955" s="1">
        <v>1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1</v>
      </c>
      <c r="AK1955" s="1">
        <v>0</v>
      </c>
      <c r="AL1955" s="1">
        <v>12</v>
      </c>
      <c r="AM1955" s="2">
        <v>42559</v>
      </c>
      <c r="AN1955" t="str">
        <f t="shared" si="61"/>
        <v>43142,16,0.000370868295396597,1,1,84,5,1,7,2,1,4,1,1,0,2,7,0,0,0,0,0,0,0,51,51-66,2290,0,1,0,0,0,0,0,1,0,12,42559</v>
      </c>
    </row>
    <row r="1956" spans="1:40" ht="13" hidden="1" x14ac:dyDescent="0.15">
      <c r="A1956">
        <v>1325</v>
      </c>
      <c r="B1956" s="1">
        <v>34596</v>
      </c>
      <c r="C1956" s="1">
        <v>16</v>
      </c>
      <c r="D1956" s="4">
        <f t="shared" si="60"/>
        <v>4.6248121170077463E-4</v>
      </c>
      <c r="E1956" s="1">
        <v>1</v>
      </c>
      <c r="F1956" s="1">
        <v>0</v>
      </c>
      <c r="G1956" s="1">
        <v>48</v>
      </c>
      <c r="H1956" s="1">
        <v>14</v>
      </c>
      <c r="I1956" s="1">
        <v>0</v>
      </c>
      <c r="J1956" s="1">
        <v>2</v>
      </c>
      <c r="K1956" s="1">
        <v>0</v>
      </c>
      <c r="L1956" s="1">
        <v>0</v>
      </c>
      <c r="M1956" s="1">
        <v>7</v>
      </c>
      <c r="N1956" s="1">
        <v>1</v>
      </c>
      <c r="O1956" s="1">
        <v>1</v>
      </c>
      <c r="P1956" s="1">
        <v>0</v>
      </c>
      <c r="Q1956" s="1">
        <v>2</v>
      </c>
      <c r="R1956" s="1">
        <v>8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46</v>
      </c>
      <c r="AA1956" s="1" t="str" cm="1">
        <f t="array" ref="AA1956">_xlfn.IFS(AND(Z1956&lt;36, Z1956&gt;23), "24-35", AND(Z1956&lt;51, Z1956&gt;35),"36-50", AND(Z1956&lt;66, Z1956&gt;50), "51-66", Z1956&gt;65, "66+", TRUE, "?")</f>
        <v>36-50</v>
      </c>
      <c r="AB1956" s="1">
        <v>2601</v>
      </c>
      <c r="AC1956" s="1">
        <v>0</v>
      </c>
      <c r="AD1956" s="1">
        <v>1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1</v>
      </c>
      <c r="AL1956" s="1">
        <v>9</v>
      </c>
      <c r="AM1956" s="2">
        <v>42248</v>
      </c>
      <c r="AN1956" t="str">
        <f t="shared" si="61"/>
        <v>34596,16,0.000462481211700775,1,0,48,14,0,2,0,0,7,1,1,0,2,8,0,0,0,0,0,0,0,46,36-50,2601,0,1,0,0,0,0,0,0,1,9,42248</v>
      </c>
    </row>
    <row r="1957" spans="1:40" ht="13" hidden="1" x14ac:dyDescent="0.15">
      <c r="A1957">
        <v>1825</v>
      </c>
      <c r="B1957" s="1">
        <v>33279</v>
      </c>
      <c r="C1957" s="1">
        <v>16</v>
      </c>
      <c r="D1957" s="4">
        <f t="shared" si="60"/>
        <v>4.8078367739415247E-4</v>
      </c>
      <c r="E1957" s="1">
        <v>0</v>
      </c>
      <c r="F1957" s="1">
        <v>0</v>
      </c>
      <c r="G1957" s="1">
        <v>29</v>
      </c>
      <c r="H1957" s="1">
        <v>10</v>
      </c>
      <c r="I1957" s="1">
        <v>3</v>
      </c>
      <c r="J1957" s="1">
        <v>3</v>
      </c>
      <c r="K1957" s="1">
        <v>0</v>
      </c>
      <c r="L1957" s="1">
        <v>0</v>
      </c>
      <c r="M1957" s="1">
        <v>0</v>
      </c>
      <c r="N1957" s="1">
        <v>1</v>
      </c>
      <c r="O1957" s="1">
        <v>0</v>
      </c>
      <c r="P1957" s="1">
        <v>0</v>
      </c>
      <c r="Q1957" s="1">
        <v>3</v>
      </c>
      <c r="R1957" s="1">
        <v>3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54</v>
      </c>
      <c r="AA1957" s="1" t="str" cm="1">
        <f t="array" ref="AA1957">_xlfn.IFS(AND(Z1957&lt;36, Z1957&gt;23), "24-35", AND(Z1957&lt;51, Z1957&gt;35),"36-50", AND(Z1957&lt;66, Z1957&gt;50), "51-66", Z1957&gt;65, "66+", TRUE, "?")</f>
        <v>51-66</v>
      </c>
      <c r="AB1957" s="1">
        <v>2176</v>
      </c>
      <c r="AC1957" s="1">
        <v>0</v>
      </c>
      <c r="AD1957" s="1">
        <v>0</v>
      </c>
      <c r="AE1957" s="1">
        <v>1</v>
      </c>
      <c r="AF1957" s="1">
        <v>0</v>
      </c>
      <c r="AG1957" s="1">
        <v>0</v>
      </c>
      <c r="AH1957" s="1">
        <v>0</v>
      </c>
      <c r="AI1957" s="1">
        <v>1</v>
      </c>
      <c r="AJ1957" s="1">
        <v>0</v>
      </c>
      <c r="AK1957" s="1">
        <v>0</v>
      </c>
      <c r="AL1957" s="1">
        <v>16</v>
      </c>
      <c r="AM1957" s="2">
        <v>42673</v>
      </c>
      <c r="AN1957" t="str">
        <f t="shared" si="61"/>
        <v>33279,16,0.000480783677394152,0,0,29,10,3,3,0,0,0,1,0,0,3,3,0,0,0,0,0,0,0,54,51-66,2176,0,0,1,0,0,0,1,0,0,16,42673</v>
      </c>
    </row>
    <row r="1958" spans="1:40" ht="13" hidden="1" x14ac:dyDescent="0.15">
      <c r="A1958">
        <v>1839</v>
      </c>
      <c r="B1958" s="1">
        <v>30261</v>
      </c>
      <c r="C1958" s="1">
        <v>16</v>
      </c>
      <c r="D1958" s="4">
        <f t="shared" si="60"/>
        <v>5.2873335316083411E-4</v>
      </c>
      <c r="E1958" s="1">
        <v>1</v>
      </c>
      <c r="F1958" s="1">
        <v>2</v>
      </c>
      <c r="G1958" s="1">
        <v>75</v>
      </c>
      <c r="H1958" s="1">
        <v>8</v>
      </c>
      <c r="I1958" s="1">
        <v>0</v>
      </c>
      <c r="J1958" s="1">
        <v>5</v>
      </c>
      <c r="K1958" s="1">
        <v>0</v>
      </c>
      <c r="L1958" s="1">
        <v>3</v>
      </c>
      <c r="M1958" s="1">
        <v>6</v>
      </c>
      <c r="N1958" s="1">
        <v>1</v>
      </c>
      <c r="O1958" s="1">
        <v>0</v>
      </c>
      <c r="P1958" s="1">
        <v>0</v>
      </c>
      <c r="Q1958" s="1">
        <v>3</v>
      </c>
      <c r="R1958" s="1">
        <v>8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48</v>
      </c>
      <c r="AA1958" s="1" t="str" cm="1">
        <f t="array" ref="AA1958">_xlfn.IFS(AND(Z1958&lt;36, Z1958&gt;23), "24-35", AND(Z1958&lt;51, Z1958&gt;35),"36-50", AND(Z1958&lt;66, Z1958&gt;50), "51-66", Z1958&gt;65, "66+", TRUE, "?")</f>
        <v>36-50</v>
      </c>
      <c r="AB1958" s="1">
        <v>2801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>
        <v>1</v>
      </c>
      <c r="AJ1958" s="1">
        <v>0</v>
      </c>
      <c r="AK1958" s="1">
        <v>0</v>
      </c>
      <c r="AL1958" s="1">
        <v>10</v>
      </c>
      <c r="AM1958" s="2">
        <v>42048</v>
      </c>
      <c r="AN1958" t="str">
        <f t="shared" si="61"/>
        <v>30261,16,0.000528733353160834,1,2,75,8,0,5,0,3,6,1,0,0,3,8,0,0,0,0,0,0,0,48,36-50,2801,0,0,0,1,0,0,1,0,0,10,42048</v>
      </c>
    </row>
    <row r="1959" spans="1:40" ht="13" hidden="1" x14ac:dyDescent="0.15">
      <c r="A1959">
        <v>1959</v>
      </c>
      <c r="B1959" s="1">
        <v>15253</v>
      </c>
      <c r="C1959" s="1">
        <v>16</v>
      </c>
      <c r="D1959" s="4">
        <f t="shared" si="60"/>
        <v>1.0489739723333114E-3</v>
      </c>
      <c r="E1959" s="1">
        <v>1</v>
      </c>
      <c r="F1959" s="1">
        <v>0</v>
      </c>
      <c r="G1959" s="1">
        <v>13</v>
      </c>
      <c r="H1959" s="1">
        <v>1</v>
      </c>
      <c r="I1959" s="1">
        <v>3</v>
      </c>
      <c r="J1959" s="1">
        <v>3</v>
      </c>
      <c r="K1959" s="1">
        <v>8</v>
      </c>
      <c r="L1959" s="1">
        <v>1</v>
      </c>
      <c r="M1959" s="1">
        <v>13</v>
      </c>
      <c r="N1959" s="1">
        <v>2</v>
      </c>
      <c r="O1959" s="1">
        <v>1</v>
      </c>
      <c r="P1959" s="1">
        <v>0</v>
      </c>
      <c r="Q1959" s="1">
        <v>3</v>
      </c>
      <c r="R1959" s="1">
        <v>7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28</v>
      </c>
      <c r="AA1959" s="1" t="str" cm="1">
        <f t="array" ref="AA1959">_xlfn.IFS(AND(Z1959&lt;36, Z1959&gt;23), "24-35", AND(Z1959&lt;51, Z1959&gt;35),"36-50", AND(Z1959&lt;66, Z1959&gt;50), "51-66", Z1959&gt;65, "66+", TRUE, "?")</f>
        <v>24-35</v>
      </c>
      <c r="AB1959" s="1">
        <v>2403</v>
      </c>
      <c r="AC1959" s="1">
        <v>0</v>
      </c>
      <c r="AD1959" s="1">
        <v>0</v>
      </c>
      <c r="AE1959" s="1">
        <v>1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3</v>
      </c>
      <c r="AM1959" s="2">
        <v>42446</v>
      </c>
      <c r="AN1959" t="str">
        <f t="shared" si="61"/>
        <v>15253,16,0.00104897397233331,1,0,13,1,3,3,8,1,13,2,1,0,3,7,0,0,0,0,0,0,0,28,24-35,2403,0,0,1,0,0,0,0,0,0,3,42446</v>
      </c>
    </row>
    <row r="1960" spans="1:40" ht="13" x14ac:dyDescent="0.15">
      <c r="A1960">
        <v>1993</v>
      </c>
      <c r="B1960" s="1">
        <v>34596</v>
      </c>
      <c r="C1960" s="1">
        <v>16</v>
      </c>
      <c r="D1960" s="4">
        <f t="shared" si="60"/>
        <v>4.6248121170077463E-4</v>
      </c>
      <c r="E1960" s="1">
        <v>1</v>
      </c>
      <c r="F1960" s="1">
        <v>0</v>
      </c>
      <c r="G1960" s="1">
        <v>48</v>
      </c>
      <c r="H1960" s="1">
        <v>14</v>
      </c>
      <c r="I1960" s="1">
        <v>0</v>
      </c>
      <c r="J1960" s="1">
        <v>2</v>
      </c>
      <c r="K1960" s="1">
        <v>0</v>
      </c>
      <c r="L1960" s="1">
        <v>0</v>
      </c>
      <c r="M1960" s="1">
        <v>7</v>
      </c>
      <c r="N1960" s="1">
        <v>1</v>
      </c>
      <c r="O1960" s="1">
        <v>1</v>
      </c>
      <c r="P1960" s="1">
        <v>0</v>
      </c>
      <c r="Q1960" s="1">
        <v>2</v>
      </c>
      <c r="R1960" s="1">
        <v>8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1</v>
      </c>
      <c r="Z1960" s="1">
        <v>46</v>
      </c>
      <c r="AA1960" s="1" t="str" cm="1">
        <f t="array" ref="AA1960">_xlfn.IFS(AND(Z1960&lt;36, Z1960&gt;23), "24-35", AND(Z1960&lt;51, Z1960&gt;35),"36-50", AND(Z1960&lt;66, Z1960&gt;50), "51-66", Z1960&gt;65, "66+", TRUE, "?")</f>
        <v>36-50</v>
      </c>
      <c r="AB1960" s="1">
        <v>2601</v>
      </c>
      <c r="AC1960" s="1">
        <v>0</v>
      </c>
      <c r="AD1960" s="1">
        <v>1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1</v>
      </c>
      <c r="AL1960" s="1">
        <v>9</v>
      </c>
      <c r="AM1960" s="2">
        <v>42248</v>
      </c>
      <c r="AN1960" t="str">
        <f t="shared" si="61"/>
        <v>34596,16,0.000462481211700775,1,0,48,14,0,2,0,0,7,1,1,0,2,8,0,0,0,0,0,0,1,46,36-50,2601,0,1,0,0,0,0,0,0,1,9,42248</v>
      </c>
    </row>
    <row r="1961" spans="1:40" ht="13" hidden="1" x14ac:dyDescent="0.15">
      <c r="A1961">
        <v>215</v>
      </c>
      <c r="B1961" s="1">
        <v>15033</v>
      </c>
      <c r="C1961" s="1">
        <v>15</v>
      </c>
      <c r="D1961" s="4">
        <f t="shared" si="60"/>
        <v>9.9780482937537407E-4</v>
      </c>
      <c r="E1961" s="1">
        <v>0</v>
      </c>
      <c r="F1961" s="1">
        <v>0</v>
      </c>
      <c r="G1961" s="1">
        <v>37</v>
      </c>
      <c r="H1961" s="1">
        <v>0</v>
      </c>
      <c r="I1961" s="1">
        <v>4</v>
      </c>
      <c r="J1961" s="1">
        <v>5</v>
      </c>
      <c r="K1961" s="1">
        <v>6</v>
      </c>
      <c r="L1961" s="1">
        <v>0</v>
      </c>
      <c r="M1961" s="1">
        <v>4</v>
      </c>
      <c r="N1961" s="1">
        <v>1</v>
      </c>
      <c r="O1961" s="1">
        <v>1</v>
      </c>
      <c r="P1961" s="1">
        <v>0</v>
      </c>
      <c r="Q1961" s="1">
        <v>3</v>
      </c>
      <c r="R1961" s="1">
        <v>3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69</v>
      </c>
      <c r="AA1961" s="1" t="str" cm="1">
        <f t="array" ref="AA1961">_xlfn.IFS(AND(Z1961&lt;36, Z1961&gt;23), "24-35", AND(Z1961&lt;51, Z1961&gt;35),"36-50", AND(Z1961&lt;66, Z1961&gt;50), "51-66", Z1961&gt;65, "66+", TRUE, "?")</f>
        <v>66+</v>
      </c>
      <c r="AB1961" s="1">
        <v>2233</v>
      </c>
      <c r="AC1961" s="1">
        <v>0</v>
      </c>
      <c r="AD1961" s="1">
        <v>0</v>
      </c>
      <c r="AE1961" s="1">
        <v>1</v>
      </c>
      <c r="AF1961" s="1">
        <v>0</v>
      </c>
      <c r="AG1961" s="1">
        <v>0</v>
      </c>
      <c r="AH1961" s="1">
        <v>0</v>
      </c>
      <c r="AI1961" s="1">
        <v>1</v>
      </c>
      <c r="AJ1961" s="1">
        <v>0</v>
      </c>
      <c r="AK1961" s="1">
        <v>0</v>
      </c>
      <c r="AL1961" s="1">
        <v>11</v>
      </c>
      <c r="AM1961" s="2">
        <v>42616</v>
      </c>
      <c r="AN1961" t="str">
        <f t="shared" si="61"/>
        <v>15033,15,0.000997804829375374,0,0,37,0,4,5,6,0,4,1,1,0,3,3,0,0,0,0,0,0,0,69,66+,2233,0,0,1,0,0,0,1,0,0,11,42616</v>
      </c>
    </row>
    <row r="1962" spans="1:40" ht="13" hidden="1" x14ac:dyDescent="0.15">
      <c r="A1962">
        <v>232</v>
      </c>
      <c r="B1962" s="1">
        <v>29938</v>
      </c>
      <c r="C1962" s="1">
        <v>15</v>
      </c>
      <c r="D1962" s="4">
        <f t="shared" si="60"/>
        <v>5.0103547331151047E-4</v>
      </c>
      <c r="E1962" s="1">
        <v>1</v>
      </c>
      <c r="F1962" s="1">
        <v>0</v>
      </c>
      <c r="G1962" s="1">
        <v>52</v>
      </c>
      <c r="H1962" s="1">
        <v>3</v>
      </c>
      <c r="I1962" s="1">
        <v>3</v>
      </c>
      <c r="J1962" s="1">
        <v>7</v>
      </c>
      <c r="K1962" s="1">
        <v>0</v>
      </c>
      <c r="L1962" s="1">
        <v>2</v>
      </c>
      <c r="M1962" s="1">
        <v>11</v>
      </c>
      <c r="N1962" s="1">
        <v>2</v>
      </c>
      <c r="O1962" s="1">
        <v>1</v>
      </c>
      <c r="P1962" s="1">
        <v>0</v>
      </c>
      <c r="Q1962" s="1">
        <v>3</v>
      </c>
      <c r="R1962" s="1">
        <v>6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35</v>
      </c>
      <c r="AA1962" s="1" t="str" cm="1">
        <f t="array" ref="AA1962">_xlfn.IFS(AND(Z1962&lt;36, Z1962&gt;23), "24-35", AND(Z1962&lt;51, Z1962&gt;35),"36-50", AND(Z1962&lt;66, Z1962&gt;50), "51-66", Z1962&gt;65, "66+", TRUE, "?")</f>
        <v>24-35</v>
      </c>
      <c r="AB1962" s="1">
        <v>2404</v>
      </c>
      <c r="AC1962" s="1">
        <v>0</v>
      </c>
      <c r="AD1962" s="1">
        <v>0</v>
      </c>
      <c r="AE1962" s="1">
        <v>1</v>
      </c>
      <c r="AF1962" s="1">
        <v>0</v>
      </c>
      <c r="AG1962" s="1">
        <v>0</v>
      </c>
      <c r="AH1962" s="1">
        <v>0</v>
      </c>
      <c r="AI1962" s="1">
        <v>1</v>
      </c>
      <c r="AJ1962" s="1">
        <v>0</v>
      </c>
      <c r="AK1962" s="1">
        <v>0</v>
      </c>
      <c r="AL1962" s="1">
        <v>4</v>
      </c>
      <c r="AM1962" s="2">
        <v>42445</v>
      </c>
      <c r="AN1962" t="str">
        <f t="shared" si="61"/>
        <v>29938,15,0.00050103547331151,1,0,52,3,3,7,0,2,11,2,1,0,3,6,0,0,0,0,0,0,0,35,24-35,2404,0,0,1,0,0,0,1,0,0,4,42445</v>
      </c>
    </row>
    <row r="1963" spans="1:40" ht="13" hidden="1" x14ac:dyDescent="0.15">
      <c r="A1963">
        <v>240</v>
      </c>
      <c r="B1963" s="1">
        <v>40737</v>
      </c>
      <c r="C1963" s="1">
        <v>15</v>
      </c>
      <c r="D1963" s="4">
        <f t="shared" si="60"/>
        <v>3.6821562707121291E-4</v>
      </c>
      <c r="E1963" s="1">
        <v>2</v>
      </c>
      <c r="F1963" s="1">
        <v>1</v>
      </c>
      <c r="G1963" s="1">
        <v>24</v>
      </c>
      <c r="H1963" s="1">
        <v>11</v>
      </c>
      <c r="I1963" s="1">
        <v>0</v>
      </c>
      <c r="J1963" s="1">
        <v>4</v>
      </c>
      <c r="K1963" s="1">
        <v>0</v>
      </c>
      <c r="L1963" s="1">
        <v>0</v>
      </c>
      <c r="M1963" s="1">
        <v>2</v>
      </c>
      <c r="N1963" s="1">
        <v>1</v>
      </c>
      <c r="O1963" s="1">
        <v>1</v>
      </c>
      <c r="P1963" s="1">
        <v>0</v>
      </c>
      <c r="Q1963" s="1">
        <v>2</v>
      </c>
      <c r="R1963" s="1">
        <v>8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63</v>
      </c>
      <c r="AA1963" s="1" t="str" cm="1">
        <f t="array" ref="AA1963">_xlfn.IFS(AND(Z1963&lt;36, Z1963&gt;23), "24-35", AND(Z1963&lt;51, Z1963&gt;35),"36-50", AND(Z1963&lt;66, Z1963&gt;50), "51-66", Z1963&gt;65, "66+", TRUE, "?")</f>
        <v>51-66</v>
      </c>
      <c r="AB1963" s="1">
        <v>2362</v>
      </c>
      <c r="AC1963" s="1">
        <v>0</v>
      </c>
      <c r="AD1963" s="1">
        <v>0</v>
      </c>
      <c r="AE1963" s="1">
        <v>1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1</v>
      </c>
      <c r="AL1963" s="1">
        <v>13</v>
      </c>
      <c r="AM1963" s="2">
        <v>42487</v>
      </c>
      <c r="AN1963" t="str">
        <f t="shared" si="61"/>
        <v>40737,15,0.000368215627071213,2,1,24,11,0,4,0,0,2,1,1,0,2,8,0,0,0,0,0,0,0,63,51-66,2362,0,0,1,0,0,0,0,0,1,13,42487</v>
      </c>
    </row>
    <row r="1964" spans="1:40" ht="13" hidden="1" x14ac:dyDescent="0.15">
      <c r="A1964">
        <v>416</v>
      </c>
      <c r="B1964" s="1">
        <v>23295</v>
      </c>
      <c r="C1964" s="1">
        <v>15</v>
      </c>
      <c r="D1964" s="4">
        <f t="shared" si="60"/>
        <v>6.43915003219575E-4</v>
      </c>
      <c r="E1964" s="1">
        <v>0</v>
      </c>
      <c r="F1964" s="1">
        <v>0</v>
      </c>
      <c r="G1964" s="1">
        <v>72</v>
      </c>
      <c r="H1964" s="1">
        <v>0</v>
      </c>
      <c r="I1964" s="1">
        <v>0</v>
      </c>
      <c r="J1964" s="1">
        <v>1</v>
      </c>
      <c r="K1964" s="1">
        <v>2</v>
      </c>
      <c r="L1964" s="1">
        <v>12</v>
      </c>
      <c r="M1964" s="1">
        <v>5</v>
      </c>
      <c r="N1964" s="1">
        <v>1</v>
      </c>
      <c r="O1964" s="1">
        <v>1</v>
      </c>
      <c r="P1964" s="1">
        <v>0</v>
      </c>
      <c r="Q1964" s="1">
        <v>2</v>
      </c>
      <c r="R1964" s="1">
        <v>8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61</v>
      </c>
      <c r="AA1964" s="1" t="str" cm="1">
        <f t="array" ref="AA1964">_xlfn.IFS(AND(Z1964&lt;36, Z1964&gt;23), "24-35", AND(Z1964&lt;51, Z1964&gt;35),"36-50", AND(Z1964&lt;66, Z1964&gt;50), "51-66", Z1964&gt;65, "66+", TRUE, "?")</f>
        <v>51-66</v>
      </c>
      <c r="AB1964" s="1">
        <v>2510</v>
      </c>
      <c r="AC1964" s="1">
        <v>1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1</v>
      </c>
      <c r="AJ1964" s="1">
        <v>0</v>
      </c>
      <c r="AK1964" s="1">
        <v>0</v>
      </c>
      <c r="AL1964" s="1">
        <v>10</v>
      </c>
      <c r="AM1964" s="2">
        <v>42339</v>
      </c>
      <c r="AN1964" t="str">
        <f t="shared" si="61"/>
        <v>23295,15,0.000643915003219575,0,0,72,0,0,1,2,12,5,1,1,0,2,8,0,0,0,0,0,0,0,61,51-66,2510,1,0,0,0,0,0,1,0,0,10,42339</v>
      </c>
    </row>
    <row r="1965" spans="1:40" ht="13" hidden="1" x14ac:dyDescent="0.15">
      <c r="A1965">
        <v>598</v>
      </c>
      <c r="B1965" s="1">
        <v>46102</v>
      </c>
      <c r="C1965" s="1">
        <v>15</v>
      </c>
      <c r="D1965" s="4">
        <f t="shared" si="60"/>
        <v>3.2536549390481975E-4</v>
      </c>
      <c r="E1965" s="1">
        <v>2</v>
      </c>
      <c r="F1965" s="1">
        <v>1</v>
      </c>
      <c r="G1965" s="1">
        <v>3</v>
      </c>
      <c r="H1965" s="1">
        <v>14</v>
      </c>
      <c r="I1965" s="1">
        <v>0</v>
      </c>
      <c r="J1965" s="1">
        <v>1</v>
      </c>
      <c r="K1965" s="1">
        <v>0</v>
      </c>
      <c r="L1965" s="1">
        <v>0</v>
      </c>
      <c r="M1965" s="1">
        <v>1</v>
      </c>
      <c r="N1965" s="1">
        <v>1</v>
      </c>
      <c r="O1965" s="1">
        <v>1</v>
      </c>
      <c r="P1965" s="1">
        <v>0</v>
      </c>
      <c r="Q1965" s="1">
        <v>2</v>
      </c>
      <c r="R1965" s="1">
        <v>7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58</v>
      </c>
      <c r="AA1965" s="1" t="str" cm="1">
        <f t="array" ref="AA1965">_xlfn.IFS(AND(Z1965&lt;36, Z1965&gt;23), "24-35", AND(Z1965&lt;51, Z1965&gt;35),"36-50", AND(Z1965&lt;66, Z1965&gt;50), "51-66", Z1965&gt;65, "66+", TRUE, "?")</f>
        <v>51-66</v>
      </c>
      <c r="AB1965" s="1">
        <v>2270</v>
      </c>
      <c r="AC1965" s="1">
        <v>1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1</v>
      </c>
      <c r="AJ1965" s="1">
        <v>0</v>
      </c>
      <c r="AK1965" s="1">
        <v>0</v>
      </c>
      <c r="AL1965" s="1">
        <v>14</v>
      </c>
      <c r="AM1965" s="2">
        <v>42579</v>
      </c>
      <c r="AN1965" t="str">
        <f t="shared" si="61"/>
        <v>46102,15,0.00032536549390482,2,1,3,14,0,1,0,0,1,1,1,0,2,7,0,0,0,0,0,0,0,58,51-66,2270,1,0,0,0,0,0,1,0,0,14,42579</v>
      </c>
    </row>
    <row r="1966" spans="1:40" ht="13" hidden="1" x14ac:dyDescent="0.15">
      <c r="A1966">
        <v>676</v>
      </c>
      <c r="B1966" s="1">
        <v>18988</v>
      </c>
      <c r="C1966" s="1">
        <v>15</v>
      </c>
      <c r="D1966" s="4">
        <f t="shared" si="60"/>
        <v>7.8997261428270489E-4</v>
      </c>
      <c r="E1966" s="1">
        <v>1</v>
      </c>
      <c r="F1966" s="1">
        <v>0</v>
      </c>
      <c r="G1966" s="1">
        <v>43</v>
      </c>
      <c r="H1966" s="1">
        <v>6</v>
      </c>
      <c r="I1966" s="1">
        <v>0</v>
      </c>
      <c r="J1966" s="1">
        <v>6</v>
      </c>
      <c r="K1966" s="1">
        <v>2</v>
      </c>
      <c r="L1966" s="1">
        <v>1</v>
      </c>
      <c r="M1966" s="1">
        <v>1</v>
      </c>
      <c r="N1966" s="1">
        <v>2</v>
      </c>
      <c r="O1966" s="1">
        <v>1</v>
      </c>
      <c r="P1966" s="1">
        <v>0</v>
      </c>
      <c r="Q1966" s="1">
        <v>3</v>
      </c>
      <c r="R1966" s="1">
        <v>7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36</v>
      </c>
      <c r="AA1966" s="1" t="str" cm="1">
        <f t="array" ref="AA1966">_xlfn.IFS(AND(Z1966&lt;36, Z1966&gt;23), "24-35", AND(Z1966&lt;51, Z1966&gt;35),"36-50", AND(Z1966&lt;66, Z1966&gt;50), "51-66", Z1966&gt;65, "66+", TRUE, "?")</f>
        <v>36-50</v>
      </c>
      <c r="AB1966" s="1">
        <v>2196</v>
      </c>
      <c r="AC1966" s="1">
        <v>0</v>
      </c>
      <c r="AD1966" s="1">
        <v>1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1</v>
      </c>
      <c r="AL1966" s="1">
        <v>14</v>
      </c>
      <c r="AM1966" s="2">
        <v>42653</v>
      </c>
      <c r="AN1966" t="str">
        <f t="shared" si="61"/>
        <v>18988,15,0.000789972614282705,1,0,43,6,0,6,2,1,1,2,1,0,3,7,0,0,0,0,0,0,0,36,36-50,2196,0,1,0,0,0,0,0,0,1,14,42653</v>
      </c>
    </row>
    <row r="1967" spans="1:40" ht="13" hidden="1" x14ac:dyDescent="0.15">
      <c r="A1967">
        <v>829</v>
      </c>
      <c r="B1967" s="1">
        <v>36627</v>
      </c>
      <c r="C1967" s="1">
        <v>15</v>
      </c>
      <c r="D1967" s="4">
        <f t="shared" si="60"/>
        <v>4.095339503644852E-4</v>
      </c>
      <c r="E1967" s="1">
        <v>2</v>
      </c>
      <c r="F1967" s="1">
        <v>0</v>
      </c>
      <c r="G1967" s="1">
        <v>78</v>
      </c>
      <c r="H1967" s="1">
        <v>9</v>
      </c>
      <c r="I1967" s="1">
        <v>1</v>
      </c>
      <c r="J1967" s="1">
        <v>5</v>
      </c>
      <c r="K1967" s="1">
        <v>0</v>
      </c>
      <c r="L1967" s="1">
        <v>0</v>
      </c>
      <c r="M1967" s="1">
        <v>1</v>
      </c>
      <c r="N1967" s="1">
        <v>1</v>
      </c>
      <c r="O1967" s="1">
        <v>0</v>
      </c>
      <c r="P1967" s="1">
        <v>0</v>
      </c>
      <c r="Q1967" s="1">
        <v>3</v>
      </c>
      <c r="R1967" s="1">
        <v>5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45</v>
      </c>
      <c r="AA1967" s="1" t="str" cm="1">
        <f t="array" ref="AA1967">_xlfn.IFS(AND(Z1967&lt;36, Z1967&gt;23), "24-35", AND(Z1967&lt;51, Z1967&gt;35),"36-50", AND(Z1967&lt;66, Z1967&gt;50), "51-66", Z1967&gt;65, "66+", TRUE, "?")</f>
        <v>36-50</v>
      </c>
      <c r="AB1967" s="1">
        <v>2500</v>
      </c>
      <c r="AC1967" s="1">
        <v>1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1</v>
      </c>
      <c r="AJ1967" s="1">
        <v>0</v>
      </c>
      <c r="AK1967" s="1">
        <v>0</v>
      </c>
      <c r="AL1967" s="1">
        <v>14</v>
      </c>
      <c r="AM1967" s="2">
        <v>42349</v>
      </c>
      <c r="AN1967" t="str">
        <f t="shared" si="61"/>
        <v>36627,15,0.000409533950364485,2,0,78,9,1,5,0,0,1,1,0,0,3,5,0,0,0,0,0,0,0,45,36-50,2500,1,0,0,0,0,0,1,0,0,14,42349</v>
      </c>
    </row>
    <row r="1968" spans="1:40" ht="13" hidden="1" x14ac:dyDescent="0.15">
      <c r="A1968">
        <v>1018</v>
      </c>
      <c r="B1968" s="1">
        <v>40479</v>
      </c>
      <c r="C1968" s="1">
        <v>15</v>
      </c>
      <c r="D1968" s="4">
        <f t="shared" si="60"/>
        <v>3.7056251389609425E-4</v>
      </c>
      <c r="E1968" s="1">
        <v>1</v>
      </c>
      <c r="F1968" s="1">
        <v>0</v>
      </c>
      <c r="G1968" s="1">
        <v>95</v>
      </c>
      <c r="H1968" s="1">
        <v>5</v>
      </c>
      <c r="I1968" s="1">
        <v>0</v>
      </c>
      <c r="J1968" s="1">
        <v>8</v>
      </c>
      <c r="K1968" s="1">
        <v>2</v>
      </c>
      <c r="L1968" s="1">
        <v>0</v>
      </c>
      <c r="M1968" s="1">
        <v>0</v>
      </c>
      <c r="N1968" s="1">
        <v>1</v>
      </c>
      <c r="O1968" s="1">
        <v>0</v>
      </c>
      <c r="P1968" s="1">
        <v>0</v>
      </c>
      <c r="Q1968" s="1">
        <v>3</v>
      </c>
      <c r="R1968" s="1">
        <v>4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38</v>
      </c>
      <c r="AA1968" s="1" t="str" cm="1">
        <f t="array" ref="AA1968">_xlfn.IFS(AND(Z1968&lt;36, Z1968&gt;23), "24-35", AND(Z1968&lt;51, Z1968&gt;35),"36-50", AND(Z1968&lt;66, Z1968&gt;50), "51-66", Z1968&gt;65, "66+", TRUE, "?")</f>
        <v>36-50</v>
      </c>
      <c r="AB1968" s="1">
        <v>2475</v>
      </c>
      <c r="AC1968" s="1">
        <v>0</v>
      </c>
      <c r="AD1968" s="1">
        <v>0</v>
      </c>
      <c r="AE1968" s="1">
        <v>0</v>
      </c>
      <c r="AF1968" s="1">
        <v>1</v>
      </c>
      <c r="AG1968" s="1">
        <v>0</v>
      </c>
      <c r="AH1968" s="1">
        <v>0</v>
      </c>
      <c r="AI1968" s="1">
        <v>1</v>
      </c>
      <c r="AJ1968" s="1">
        <v>0</v>
      </c>
      <c r="AK1968" s="1">
        <v>0</v>
      </c>
      <c r="AL1968" s="1">
        <v>15</v>
      </c>
      <c r="AM1968" s="2">
        <v>42374</v>
      </c>
      <c r="AN1968" t="str">
        <f t="shared" si="61"/>
        <v>40479,15,0.000370562513896094,1,0,95,5,0,8,2,0,0,1,0,0,3,4,0,0,0,0,0,0,0,38,36-50,2475,0,0,0,1,0,0,1,0,0,15,42374</v>
      </c>
    </row>
    <row r="1969" spans="1:40" ht="13" hidden="1" x14ac:dyDescent="0.15">
      <c r="A1969">
        <v>1021</v>
      </c>
      <c r="B1969" s="1">
        <v>24163</v>
      </c>
      <c r="C1969" s="1">
        <v>15</v>
      </c>
      <c r="D1969" s="4">
        <f t="shared" si="60"/>
        <v>6.2078384306584443E-4</v>
      </c>
      <c r="E1969" s="1">
        <v>1</v>
      </c>
      <c r="F1969" s="1">
        <v>1</v>
      </c>
      <c r="G1969" s="1">
        <v>3</v>
      </c>
      <c r="H1969" s="1">
        <v>4</v>
      </c>
      <c r="I1969" s="1">
        <v>1</v>
      </c>
      <c r="J1969" s="1">
        <v>7</v>
      </c>
      <c r="K1969" s="1">
        <v>2</v>
      </c>
      <c r="L1969" s="1">
        <v>1</v>
      </c>
      <c r="M1969" s="1">
        <v>2</v>
      </c>
      <c r="N1969" s="1">
        <v>2</v>
      </c>
      <c r="O1969" s="1">
        <v>1</v>
      </c>
      <c r="P1969" s="1">
        <v>0</v>
      </c>
      <c r="Q1969" s="1">
        <v>3</v>
      </c>
      <c r="R1969" s="1">
        <v>4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50</v>
      </c>
      <c r="AA1969" s="1" t="str" cm="1">
        <f t="array" ref="AA1969">_xlfn.IFS(AND(Z1969&lt;36, Z1969&gt;23), "24-35", AND(Z1969&lt;51, Z1969&gt;35),"36-50", AND(Z1969&lt;66, Z1969&gt;50), "51-66", Z1969&gt;65, "66+", TRUE, "?")</f>
        <v>36-50</v>
      </c>
      <c r="AB1969" s="1">
        <v>2419</v>
      </c>
      <c r="AC1969" s="1">
        <v>0</v>
      </c>
      <c r="AD1969" s="1">
        <v>0</v>
      </c>
      <c r="AE1969" s="1">
        <v>1</v>
      </c>
      <c r="AF1969" s="1">
        <v>0</v>
      </c>
      <c r="AG1969" s="1">
        <v>0</v>
      </c>
      <c r="AH1969" s="1">
        <v>0</v>
      </c>
      <c r="AI1969" s="1">
        <v>1</v>
      </c>
      <c r="AJ1969" s="1">
        <v>0</v>
      </c>
      <c r="AK1969" s="1">
        <v>0</v>
      </c>
      <c r="AL1969" s="1">
        <v>13</v>
      </c>
      <c r="AM1969" s="2">
        <v>42430</v>
      </c>
      <c r="AN1969" t="str">
        <f t="shared" si="61"/>
        <v>24163,15,0.000620783843065844,1,1,3,4,1,7,2,1,2,2,1,0,3,4,0,0,0,0,0,0,0,50,36-50,2419,0,0,1,0,0,0,1,0,0,13,42430</v>
      </c>
    </row>
    <row r="1970" spans="1:40" ht="13" hidden="1" x14ac:dyDescent="0.15">
      <c r="A1970">
        <v>1438</v>
      </c>
      <c r="B1970" s="1">
        <v>31859</v>
      </c>
      <c r="C1970" s="1">
        <v>15</v>
      </c>
      <c r="D1970" s="4">
        <f t="shared" si="60"/>
        <v>4.7082457076493299E-4</v>
      </c>
      <c r="E1970" s="1">
        <v>1</v>
      </c>
      <c r="F1970" s="1">
        <v>0</v>
      </c>
      <c r="G1970" s="1">
        <v>77</v>
      </c>
      <c r="H1970" s="1">
        <v>3</v>
      </c>
      <c r="I1970" s="1">
        <v>1</v>
      </c>
      <c r="J1970" s="1">
        <v>3</v>
      </c>
      <c r="K1970" s="1">
        <v>8</v>
      </c>
      <c r="L1970" s="1">
        <v>0</v>
      </c>
      <c r="M1970" s="1">
        <v>5</v>
      </c>
      <c r="N1970" s="1">
        <v>1</v>
      </c>
      <c r="O1970" s="1">
        <v>1</v>
      </c>
      <c r="P1970" s="1">
        <v>0</v>
      </c>
      <c r="Q1970" s="1">
        <v>2</v>
      </c>
      <c r="R1970" s="1">
        <v>7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44</v>
      </c>
      <c r="AA1970" s="1" t="str" cm="1">
        <f t="array" ref="AA1970">_xlfn.IFS(AND(Z1970&lt;36, Z1970&gt;23), "24-35", AND(Z1970&lt;51, Z1970&gt;35),"36-50", AND(Z1970&lt;66, Z1970&gt;50), "51-66", Z1970&gt;65, "66+", TRUE, "?")</f>
        <v>36-50</v>
      </c>
      <c r="AB1970" s="1">
        <v>2539</v>
      </c>
      <c r="AC1970" s="1">
        <v>1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1</v>
      </c>
      <c r="AJ1970" s="1">
        <v>0</v>
      </c>
      <c r="AK1970" s="1">
        <v>0</v>
      </c>
      <c r="AL1970" s="1">
        <v>10</v>
      </c>
      <c r="AM1970" s="2">
        <v>42310</v>
      </c>
      <c r="AN1970" t="str">
        <f t="shared" si="61"/>
        <v>31859,15,0.000470824570764933,1,0,77,3,1,3,8,0,5,1,1,0,2,7,0,0,0,0,0,0,0,44,36-50,2539,1,0,0,0,0,0,1,0,0,10,42310</v>
      </c>
    </row>
    <row r="1971" spans="1:40" ht="13" x14ac:dyDescent="0.15">
      <c r="A1971">
        <v>2008</v>
      </c>
      <c r="B1971" s="1">
        <v>27190</v>
      </c>
      <c r="C1971" s="1">
        <v>15</v>
      </c>
      <c r="D1971" s="4">
        <f t="shared" si="60"/>
        <v>5.5167340934166975E-4</v>
      </c>
      <c r="E1971" s="1">
        <v>1</v>
      </c>
      <c r="F1971" s="1">
        <v>0</v>
      </c>
      <c r="G1971" s="1">
        <v>13</v>
      </c>
      <c r="H1971" s="1">
        <v>1</v>
      </c>
      <c r="I1971" s="1">
        <v>6</v>
      </c>
      <c r="J1971" s="1">
        <v>7</v>
      </c>
      <c r="K1971" s="1">
        <v>0</v>
      </c>
      <c r="L1971" s="1">
        <v>1</v>
      </c>
      <c r="M1971" s="1">
        <v>3</v>
      </c>
      <c r="N1971" s="1">
        <v>1</v>
      </c>
      <c r="O1971" s="1">
        <v>1</v>
      </c>
      <c r="P1971" s="1">
        <v>0</v>
      </c>
      <c r="Q1971" s="1">
        <v>2</v>
      </c>
      <c r="R1971" s="1">
        <v>8</v>
      </c>
      <c r="S1971" s="1">
        <v>0</v>
      </c>
      <c r="T1971" s="1">
        <v>0</v>
      </c>
      <c r="U1971" s="1">
        <v>1</v>
      </c>
      <c r="V1971" s="1">
        <v>0</v>
      </c>
      <c r="W1971" s="1">
        <v>0</v>
      </c>
      <c r="X1971" s="1">
        <v>0</v>
      </c>
      <c r="Y1971" s="1">
        <v>1</v>
      </c>
      <c r="Z1971" s="1">
        <v>47</v>
      </c>
      <c r="AA1971" s="1" t="str" cm="1">
        <f t="array" ref="AA1971">_xlfn.IFS(AND(Z1971&lt;36, Z1971&gt;23), "24-35", AND(Z1971&lt;51, Z1971&gt;35),"36-50", AND(Z1971&lt;66, Z1971&gt;50), "51-66", Z1971&gt;65, "66+", TRUE, "?")</f>
        <v>36-50</v>
      </c>
      <c r="AB1971" s="1">
        <v>2477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12</v>
      </c>
      <c r="AM1971" s="2">
        <v>42372</v>
      </c>
      <c r="AN1971" t="str">
        <f t="shared" si="61"/>
        <v>27190,15,0.00055167340934167,1,0,13,1,6,7,0,1,3,1,1,0,2,8,0,0,1,0,0,0,1,47,36-50,2477,0,0,0,1,0,0,0,0,0,12,42372</v>
      </c>
    </row>
    <row r="1972" spans="1:40" ht="13" hidden="1" x14ac:dyDescent="0.15">
      <c r="A1972">
        <v>1209</v>
      </c>
      <c r="B1972" s="1">
        <v>15759</v>
      </c>
      <c r="C1972" s="1">
        <v>14</v>
      </c>
      <c r="D1972" s="4">
        <f t="shared" si="60"/>
        <v>8.883812424646234E-4</v>
      </c>
      <c r="E1972" s="1">
        <v>0</v>
      </c>
      <c r="F1972" s="1">
        <v>0</v>
      </c>
      <c r="G1972" s="1">
        <v>12</v>
      </c>
      <c r="H1972" s="1">
        <v>1</v>
      </c>
      <c r="I1972" s="1">
        <v>2</v>
      </c>
      <c r="J1972" s="1">
        <v>5</v>
      </c>
      <c r="K1972" s="1">
        <v>6</v>
      </c>
      <c r="L1972" s="1">
        <v>0</v>
      </c>
      <c r="M1972" s="1">
        <v>3</v>
      </c>
      <c r="N1972" s="1">
        <v>1</v>
      </c>
      <c r="O1972" s="1">
        <v>1</v>
      </c>
      <c r="P1972" s="1">
        <v>0</v>
      </c>
      <c r="Q1972" s="1">
        <v>2</v>
      </c>
      <c r="R1972" s="1">
        <v>7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64</v>
      </c>
      <c r="AA1972" s="1" t="str" cm="1">
        <f t="array" ref="AA1972">_xlfn.IFS(AND(Z1972&lt;36, Z1972&gt;23), "24-35", AND(Z1972&lt;51, Z1972&gt;35),"36-50", AND(Z1972&lt;66, Z1972&gt;50), "51-66", Z1972&gt;65, "66+", TRUE, "?")</f>
        <v>51-66</v>
      </c>
      <c r="AB1972" s="1">
        <v>2456</v>
      </c>
      <c r="AC1972" s="1">
        <v>0</v>
      </c>
      <c r="AD1972" s="1">
        <v>1</v>
      </c>
      <c r="AE1972" s="1">
        <v>0</v>
      </c>
      <c r="AF1972" s="1">
        <v>0</v>
      </c>
      <c r="AG1972" s="1">
        <v>0</v>
      </c>
      <c r="AH1972" s="1">
        <v>0</v>
      </c>
      <c r="AI1972" s="1">
        <v>1</v>
      </c>
      <c r="AJ1972" s="1">
        <v>0</v>
      </c>
      <c r="AK1972" s="1">
        <v>0</v>
      </c>
      <c r="AL1972" s="1">
        <v>11</v>
      </c>
      <c r="AM1972" s="2">
        <v>42393</v>
      </c>
      <c r="AN1972" t="str">
        <f t="shared" si="61"/>
        <v>15759,14,0.000888381242464623,0,0,12,1,2,5,6,0,3,1,1,0,2,7,0,0,0,0,0,0,0,64,51-66,2456,0,1,0,0,0,0,1,0,0,11,42393</v>
      </c>
    </row>
    <row r="1973" spans="1:40" ht="13" hidden="1" x14ac:dyDescent="0.15">
      <c r="A1973">
        <v>1301</v>
      </c>
      <c r="B1973" s="1">
        <v>39996</v>
      </c>
      <c r="C1973" s="1">
        <v>14</v>
      </c>
      <c r="D1973" s="4">
        <f t="shared" si="60"/>
        <v>3.5003500350035003E-4</v>
      </c>
      <c r="E1973" s="1">
        <v>1</v>
      </c>
      <c r="F1973" s="1">
        <v>1</v>
      </c>
      <c r="G1973" s="1">
        <v>85</v>
      </c>
      <c r="H1973" s="1">
        <v>11</v>
      </c>
      <c r="I1973" s="1">
        <v>0</v>
      </c>
      <c r="J1973" s="1">
        <v>3</v>
      </c>
      <c r="K1973" s="1">
        <v>0</v>
      </c>
      <c r="L1973" s="1">
        <v>0</v>
      </c>
      <c r="M1973" s="1">
        <v>1</v>
      </c>
      <c r="N1973" s="1">
        <v>1</v>
      </c>
      <c r="O1973" s="1">
        <v>1</v>
      </c>
      <c r="P1973" s="1">
        <v>0</v>
      </c>
      <c r="Q1973" s="1">
        <v>2</v>
      </c>
      <c r="R1973" s="1">
        <v>6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46</v>
      </c>
      <c r="AA1973" s="1" t="str" cm="1">
        <f t="array" ref="AA1973">_xlfn.IFS(AND(Z1973&lt;36, Z1973&gt;23), "24-35", AND(Z1973&lt;51, Z1973&gt;35),"36-50", AND(Z1973&lt;66, Z1973&gt;50), "51-66", Z1973&gt;65, "66+", TRUE, "?")</f>
        <v>36-50</v>
      </c>
      <c r="AB1973" s="1">
        <v>2197</v>
      </c>
      <c r="AC1973" s="1">
        <v>1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1</v>
      </c>
      <c r="AJ1973" s="1">
        <v>0</v>
      </c>
      <c r="AK1973" s="1">
        <v>0</v>
      </c>
      <c r="AL1973" s="1">
        <v>13</v>
      </c>
      <c r="AM1973" s="2">
        <v>42652</v>
      </c>
      <c r="AN1973" t="str">
        <f t="shared" si="61"/>
        <v>39996,14,0.00035003500350035,1,1,85,11,0,3,0,0,1,1,1,0,2,6,0,0,0,0,0,0,0,46,36-50,2197,1,0,0,0,0,0,1,0,0,13,42652</v>
      </c>
    </row>
    <row r="1974" spans="1:40" ht="13" hidden="1" x14ac:dyDescent="0.15">
      <c r="A1974">
        <v>1455</v>
      </c>
      <c r="B1974" s="1">
        <v>34633</v>
      </c>
      <c r="C1974" s="1">
        <v>14</v>
      </c>
      <c r="D1974" s="4">
        <f t="shared" si="60"/>
        <v>4.042387318453498E-4</v>
      </c>
      <c r="E1974" s="1">
        <v>2</v>
      </c>
      <c r="F1974" s="1">
        <v>1</v>
      </c>
      <c r="G1974" s="1">
        <v>31</v>
      </c>
      <c r="H1974" s="1">
        <v>8</v>
      </c>
      <c r="I1974" s="1">
        <v>1</v>
      </c>
      <c r="J1974" s="1">
        <v>5</v>
      </c>
      <c r="K1974" s="1">
        <v>0</v>
      </c>
      <c r="L1974" s="1">
        <v>0</v>
      </c>
      <c r="M1974" s="1">
        <v>1</v>
      </c>
      <c r="N1974" s="1">
        <v>1</v>
      </c>
      <c r="O1974" s="1">
        <v>1</v>
      </c>
      <c r="P1974" s="1">
        <v>0</v>
      </c>
      <c r="Q1974" s="1">
        <v>2</v>
      </c>
      <c r="R1974" s="1">
        <v>6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64</v>
      </c>
      <c r="AA1974" s="1" t="str" cm="1">
        <f t="array" ref="AA1974">_xlfn.IFS(AND(Z1974&lt;36, Z1974&gt;23), "24-35", AND(Z1974&lt;51, Z1974&gt;35),"36-50", AND(Z1974&lt;66, Z1974&gt;50), "51-66", Z1974&gt;65, "66+", TRUE, "?")</f>
        <v>51-66</v>
      </c>
      <c r="AB1974" s="1">
        <v>2316</v>
      </c>
      <c r="AC1974" s="1">
        <v>0</v>
      </c>
      <c r="AD1974" s="1">
        <v>0</v>
      </c>
      <c r="AE1974" s="1">
        <v>0</v>
      </c>
      <c r="AF1974" s="1">
        <v>1</v>
      </c>
      <c r="AG1974" s="1">
        <v>0</v>
      </c>
      <c r="AH1974" s="1">
        <v>0</v>
      </c>
      <c r="AI1974" s="1">
        <v>1</v>
      </c>
      <c r="AJ1974" s="1">
        <v>0</v>
      </c>
      <c r="AK1974" s="1">
        <v>0</v>
      </c>
      <c r="AL1974" s="1">
        <v>13</v>
      </c>
      <c r="AM1974" s="2">
        <v>42533</v>
      </c>
      <c r="AN1974" t="str">
        <f t="shared" si="61"/>
        <v>34633,14,0.00040423873184535,2,1,31,8,1,5,0,0,1,1,1,0,2,6,0,0,0,0,0,0,0,64,51-66,2316,0,0,0,1,0,0,1,0,0,13,42533</v>
      </c>
    </row>
    <row r="1975" spans="1:40" ht="13" hidden="1" x14ac:dyDescent="0.15">
      <c r="A1975">
        <v>1486</v>
      </c>
      <c r="B1975" s="1">
        <v>28359</v>
      </c>
      <c r="C1975" s="1">
        <v>14</v>
      </c>
      <c r="D1975" s="4">
        <f t="shared" si="60"/>
        <v>4.9367043971931313E-4</v>
      </c>
      <c r="E1975" s="1">
        <v>1</v>
      </c>
      <c r="F1975" s="1">
        <v>0</v>
      </c>
      <c r="G1975" s="1">
        <v>35</v>
      </c>
      <c r="H1975" s="1">
        <v>6</v>
      </c>
      <c r="I1975" s="1">
        <v>0</v>
      </c>
      <c r="J1975" s="1">
        <v>5</v>
      </c>
      <c r="K1975" s="1">
        <v>2</v>
      </c>
      <c r="L1975" s="1">
        <v>1</v>
      </c>
      <c r="M1975" s="1">
        <v>2</v>
      </c>
      <c r="N1975" s="1">
        <v>1</v>
      </c>
      <c r="O1975" s="1">
        <v>1</v>
      </c>
      <c r="P1975" s="1">
        <v>0</v>
      </c>
      <c r="Q1975" s="1">
        <v>2</v>
      </c>
      <c r="R1975" s="1">
        <v>7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37</v>
      </c>
      <c r="AA1975" s="1" t="str" cm="1">
        <f t="array" ref="AA1975">_xlfn.IFS(AND(Z1975&lt;36, Z1975&gt;23), "24-35", AND(Z1975&lt;51, Z1975&gt;35),"36-50", AND(Z1975&lt;66, Z1975&gt;50), "51-66", Z1975&gt;65, "66+", TRUE, "?")</f>
        <v>36-50</v>
      </c>
      <c r="AB1975" s="1">
        <v>2404</v>
      </c>
      <c r="AC1975" s="1">
        <v>0</v>
      </c>
      <c r="AD1975" s="1">
        <v>0</v>
      </c>
      <c r="AE1975" s="1">
        <v>0</v>
      </c>
      <c r="AF1975" s="1">
        <v>1</v>
      </c>
      <c r="AG1975" s="1">
        <v>0</v>
      </c>
      <c r="AH1975" s="1">
        <v>0</v>
      </c>
      <c r="AI1975" s="1">
        <v>1</v>
      </c>
      <c r="AJ1975" s="1">
        <v>0</v>
      </c>
      <c r="AK1975" s="1">
        <v>0</v>
      </c>
      <c r="AL1975" s="1">
        <v>12</v>
      </c>
      <c r="AM1975" s="2">
        <v>42445</v>
      </c>
      <c r="AN1975" t="str">
        <f t="shared" si="61"/>
        <v>28359,14,0.000493670439719313,1,0,35,6,0,5,2,1,2,1,1,0,2,7,0,0,0,0,0,0,0,37,36-50,2404,0,0,0,1,0,0,1,0,0,12,42445</v>
      </c>
    </row>
    <row r="1976" spans="1:40" ht="13" hidden="1" x14ac:dyDescent="0.15">
      <c r="A1976">
        <v>1500</v>
      </c>
      <c r="B1976" s="1">
        <v>22775</v>
      </c>
      <c r="C1976" s="1">
        <v>14</v>
      </c>
      <c r="D1976" s="4">
        <f t="shared" si="60"/>
        <v>6.1470911086717889E-4</v>
      </c>
      <c r="E1976" s="1">
        <v>1</v>
      </c>
      <c r="F1976" s="1">
        <v>0</v>
      </c>
      <c r="G1976" s="1">
        <v>40</v>
      </c>
      <c r="H1976" s="1">
        <v>5</v>
      </c>
      <c r="I1976" s="1">
        <v>1</v>
      </c>
      <c r="J1976" s="1">
        <v>8</v>
      </c>
      <c r="K1976" s="1">
        <v>0</v>
      </c>
      <c r="L1976" s="1">
        <v>0</v>
      </c>
      <c r="M1976" s="1">
        <v>1</v>
      </c>
      <c r="N1976" s="1">
        <v>1</v>
      </c>
      <c r="O1976" s="1">
        <v>1</v>
      </c>
      <c r="P1976" s="1">
        <v>0</v>
      </c>
      <c r="Q1976" s="1">
        <v>2</v>
      </c>
      <c r="R1976" s="1">
        <v>8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42</v>
      </c>
      <c r="AA1976" s="1" t="str" cm="1">
        <f t="array" ref="AA1976">_xlfn.IFS(AND(Z1976&lt;36, Z1976&gt;23), "24-35", AND(Z1976&lt;51, Z1976&gt;35),"36-50", AND(Z1976&lt;66, Z1976&gt;50), "51-66", Z1976&gt;65, "66+", TRUE, "?")</f>
        <v>36-50</v>
      </c>
      <c r="AB1976" s="1">
        <v>2534</v>
      </c>
      <c r="AC1976" s="1">
        <v>0</v>
      </c>
      <c r="AD1976" s="1">
        <v>0</v>
      </c>
      <c r="AE1976" s="1">
        <v>0</v>
      </c>
      <c r="AF1976" s="1">
        <v>1</v>
      </c>
      <c r="AG1976" s="1">
        <v>0</v>
      </c>
      <c r="AH1976" s="1">
        <v>0</v>
      </c>
      <c r="AI1976" s="1">
        <v>1</v>
      </c>
      <c r="AJ1976" s="1">
        <v>0</v>
      </c>
      <c r="AK1976" s="1">
        <v>0</v>
      </c>
      <c r="AL1976" s="1">
        <v>13</v>
      </c>
      <c r="AM1976" s="2">
        <v>42315</v>
      </c>
      <c r="AN1976" t="str">
        <f t="shared" si="61"/>
        <v>22775,14,0.000614709110867179,1,0,40,5,1,8,0,0,1,1,1,0,2,8,0,0,0,0,0,0,0,42,36-50,2534,0,0,0,1,0,0,1,0,0,13,42315</v>
      </c>
    </row>
    <row r="1977" spans="1:40" ht="13" hidden="1" x14ac:dyDescent="0.15">
      <c r="A1977">
        <v>1551</v>
      </c>
      <c r="B1977" s="1">
        <v>18169</v>
      </c>
      <c r="C1977" s="1">
        <v>14</v>
      </c>
      <c r="D1977" s="4">
        <f t="shared" si="60"/>
        <v>7.7054323297925042E-4</v>
      </c>
      <c r="E1977" s="1">
        <v>1</v>
      </c>
      <c r="F1977" s="1">
        <v>0</v>
      </c>
      <c r="G1977" s="1">
        <v>40</v>
      </c>
      <c r="H1977" s="1">
        <v>9</v>
      </c>
      <c r="I1977" s="1">
        <v>0</v>
      </c>
      <c r="J1977" s="1">
        <v>5</v>
      </c>
      <c r="K1977" s="1">
        <v>0</v>
      </c>
      <c r="L1977" s="1">
        <v>0</v>
      </c>
      <c r="M1977" s="1">
        <v>7</v>
      </c>
      <c r="N1977" s="1">
        <v>1</v>
      </c>
      <c r="O1977" s="1">
        <v>1</v>
      </c>
      <c r="P1977" s="1">
        <v>0</v>
      </c>
      <c r="Q1977" s="1">
        <v>2</v>
      </c>
      <c r="R1977" s="1">
        <v>8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35</v>
      </c>
      <c r="AA1977" s="1" t="str" cm="1">
        <f t="array" ref="AA1977">_xlfn.IFS(AND(Z1977&lt;36, Z1977&gt;23), "24-35", AND(Z1977&lt;51, Z1977&gt;35),"36-50", AND(Z1977&lt;66, Z1977&gt;50), "51-66", Z1977&gt;65, "66+", TRUE, "?")</f>
        <v>24-35</v>
      </c>
      <c r="AB1977" s="1">
        <v>2654</v>
      </c>
      <c r="AC1977" s="1">
        <v>0</v>
      </c>
      <c r="AD1977" s="1">
        <v>1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1</v>
      </c>
      <c r="AL1977" s="1">
        <v>7</v>
      </c>
      <c r="AM1977" s="2">
        <v>42195</v>
      </c>
      <c r="AN1977" t="str">
        <f t="shared" si="61"/>
        <v>18169,14,0.00077054323297925,1,0,40,9,0,5,0,0,7,1,1,0,2,8,0,0,0,0,0,0,0,35,24-35,2654,0,1,0,0,0,0,0,0,1,7,42195</v>
      </c>
    </row>
    <row r="1978" spans="1:40" ht="13" hidden="1" x14ac:dyDescent="0.15">
      <c r="A1978">
        <v>1764</v>
      </c>
      <c r="B1978" s="1">
        <v>34242</v>
      </c>
      <c r="C1978" s="1">
        <v>14</v>
      </c>
      <c r="D1978" s="4">
        <f t="shared" si="60"/>
        <v>4.0885462297762982E-4</v>
      </c>
      <c r="E1978" s="1">
        <v>0</v>
      </c>
      <c r="F1978" s="1">
        <v>1</v>
      </c>
      <c r="G1978" s="1">
        <v>25</v>
      </c>
      <c r="H1978" s="1">
        <v>8</v>
      </c>
      <c r="I1978" s="1">
        <v>2</v>
      </c>
      <c r="J1978" s="1">
        <v>4</v>
      </c>
      <c r="K1978" s="1">
        <v>0</v>
      </c>
      <c r="L1978" s="1">
        <v>0</v>
      </c>
      <c r="M1978" s="1">
        <v>1</v>
      </c>
      <c r="N1978" s="1">
        <v>1</v>
      </c>
      <c r="O1978" s="1">
        <v>0</v>
      </c>
      <c r="P1978" s="1">
        <v>0</v>
      </c>
      <c r="Q1978" s="1">
        <v>3</v>
      </c>
      <c r="R1978" s="1">
        <v>5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61</v>
      </c>
      <c r="AA1978" s="1" t="str" cm="1">
        <f t="array" ref="AA1978">_xlfn.IFS(AND(Z1978&lt;36, Z1978&gt;23), "24-35", AND(Z1978&lt;51, Z1978&gt;35),"36-50", AND(Z1978&lt;66, Z1978&gt;50), "51-66", Z1978&gt;65, "66+", TRUE, "?")</f>
        <v>51-66</v>
      </c>
      <c r="AB1978" s="1">
        <v>2257</v>
      </c>
      <c r="AC1978" s="1">
        <v>0</v>
      </c>
      <c r="AD1978" s="1">
        <v>1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1</v>
      </c>
      <c r="AK1978" s="1">
        <v>0</v>
      </c>
      <c r="AL1978" s="1">
        <v>13</v>
      </c>
      <c r="AM1978" s="2">
        <v>42592</v>
      </c>
      <c r="AN1978" t="str">
        <f t="shared" si="61"/>
        <v>34242,14,0.00040885462297763,0,1,25,8,2,4,0,0,1,1,0,0,3,5,0,0,0,0,0,0,0,61,51-66,2257,0,1,0,0,0,0,0,1,0,13,42592</v>
      </c>
    </row>
    <row r="1979" spans="1:40" ht="13" x14ac:dyDescent="0.15">
      <c r="A1979">
        <v>2021</v>
      </c>
      <c r="B1979" s="1">
        <v>37406</v>
      </c>
      <c r="C1979" s="1">
        <v>14</v>
      </c>
      <c r="D1979" s="4">
        <f t="shared" si="60"/>
        <v>3.7427150724482706E-4</v>
      </c>
      <c r="E1979" s="1">
        <v>1</v>
      </c>
      <c r="F1979" s="1">
        <v>0</v>
      </c>
      <c r="G1979" s="1">
        <v>18</v>
      </c>
      <c r="H1979" s="1">
        <v>2</v>
      </c>
      <c r="I1979" s="1">
        <v>0</v>
      </c>
      <c r="J1979" s="1">
        <v>8</v>
      </c>
      <c r="K1979" s="1">
        <v>2</v>
      </c>
      <c r="L1979" s="1">
        <v>2</v>
      </c>
      <c r="M1979" s="1">
        <v>3</v>
      </c>
      <c r="N1979" s="1">
        <v>1</v>
      </c>
      <c r="O1979" s="1">
        <v>1</v>
      </c>
      <c r="P1979" s="1">
        <v>0</v>
      </c>
      <c r="Q1979" s="1">
        <v>2</v>
      </c>
      <c r="R1979" s="1">
        <v>8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1</v>
      </c>
      <c r="Z1979" s="1">
        <v>40</v>
      </c>
      <c r="AA1979" s="1" t="str" cm="1">
        <f t="array" ref="AA1979">_xlfn.IFS(AND(Z1979&lt;36, Z1979&gt;23), "24-35", AND(Z1979&lt;51, Z1979&gt;35),"36-50", AND(Z1979&lt;66, Z1979&gt;50), "51-66", Z1979&gt;65, "66+", TRUE, "?")</f>
        <v>36-50</v>
      </c>
      <c r="AB1979" s="1">
        <v>2421</v>
      </c>
      <c r="AC1979" s="1">
        <v>0</v>
      </c>
      <c r="AD1979" s="1">
        <v>1</v>
      </c>
      <c r="AE1979" s="1">
        <v>0</v>
      </c>
      <c r="AF1979" s="1">
        <v>0</v>
      </c>
      <c r="AG1979" s="1">
        <v>0</v>
      </c>
      <c r="AH1979" s="1">
        <v>0</v>
      </c>
      <c r="AI1979" s="1">
        <v>1</v>
      </c>
      <c r="AJ1979" s="1">
        <v>0</v>
      </c>
      <c r="AK1979" s="1">
        <v>0</v>
      </c>
      <c r="AL1979" s="1">
        <v>11</v>
      </c>
      <c r="AM1979" s="2">
        <v>42428</v>
      </c>
      <c r="AN1979" t="str">
        <f t="shared" si="61"/>
        <v>37406,14,0.000374271507244827,1,0,18,2,0,8,2,2,3,1,1,0,2,8,0,0,0,0,0,0,1,40,36-50,2421,0,1,0,0,0,0,1,0,0,11,42428</v>
      </c>
    </row>
    <row r="1980" spans="1:40" ht="13" hidden="1" x14ac:dyDescent="0.15">
      <c r="A1980">
        <v>357</v>
      </c>
      <c r="B1980" s="1">
        <v>36143</v>
      </c>
      <c r="C1980" s="1">
        <v>13</v>
      </c>
      <c r="D1980" s="4">
        <f t="shared" si="60"/>
        <v>3.5968237279694544E-4</v>
      </c>
      <c r="E1980" s="1">
        <v>1</v>
      </c>
      <c r="F1980" s="1">
        <v>0</v>
      </c>
      <c r="G1980" s="1">
        <v>33</v>
      </c>
      <c r="H1980" s="1">
        <v>12</v>
      </c>
      <c r="I1980" s="1">
        <v>0</v>
      </c>
      <c r="J1980" s="1">
        <v>1</v>
      </c>
      <c r="K1980" s="1">
        <v>0</v>
      </c>
      <c r="L1980" s="1">
        <v>0</v>
      </c>
      <c r="M1980" s="1">
        <v>6</v>
      </c>
      <c r="N1980" s="1">
        <v>1</v>
      </c>
      <c r="O1980" s="1">
        <v>0</v>
      </c>
      <c r="P1980" s="1">
        <v>1</v>
      </c>
      <c r="Q1980" s="1">
        <v>2</v>
      </c>
      <c r="R1980" s="1">
        <v>3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39</v>
      </c>
      <c r="AA1980" s="1" t="str" cm="1">
        <f t="array" ref="AA1980">_xlfn.IFS(AND(Z1980&lt;36, Z1980&gt;23), "24-35", AND(Z1980&lt;51, Z1980&gt;35),"36-50", AND(Z1980&lt;66, Z1980&gt;50), "51-66", Z1980&gt;65, "66+", TRUE, "?")</f>
        <v>36-50</v>
      </c>
      <c r="AB1980" s="1">
        <v>2250</v>
      </c>
      <c r="AC1980" s="1">
        <v>0</v>
      </c>
      <c r="AD1980" s="1">
        <v>0</v>
      </c>
      <c r="AE1980" s="1">
        <v>1</v>
      </c>
      <c r="AF1980" s="1">
        <v>0</v>
      </c>
      <c r="AG1980" s="1">
        <v>0</v>
      </c>
      <c r="AH1980" s="1">
        <v>0</v>
      </c>
      <c r="AI1980" s="1">
        <v>0</v>
      </c>
      <c r="AJ1980" s="1">
        <v>1</v>
      </c>
      <c r="AK1980" s="1">
        <v>0</v>
      </c>
      <c r="AL1980" s="1">
        <v>7</v>
      </c>
      <c r="AM1980" s="2">
        <v>42599</v>
      </c>
      <c r="AN1980" t="str">
        <f t="shared" si="61"/>
        <v>36143,13,0.000359682372796945,1,0,33,12,0,1,0,0,6,1,0,1,2,3,0,0,0,0,0,0,0,39,36-50,2250,0,0,1,0,0,0,0,1,0,7,42599</v>
      </c>
    </row>
    <row r="1981" spans="1:40" ht="13" hidden="1" x14ac:dyDescent="0.15">
      <c r="A1981">
        <v>414</v>
      </c>
      <c r="B1981" s="1">
        <v>18100</v>
      </c>
      <c r="C1981" s="1">
        <v>13</v>
      </c>
      <c r="D1981" s="4">
        <f t="shared" si="60"/>
        <v>7.1823204419889505E-4</v>
      </c>
      <c r="E1981" s="1">
        <v>0</v>
      </c>
      <c r="F1981" s="1">
        <v>0</v>
      </c>
      <c r="G1981" s="1">
        <v>14</v>
      </c>
      <c r="H1981" s="1">
        <v>3</v>
      </c>
      <c r="I1981" s="1">
        <v>1</v>
      </c>
      <c r="J1981" s="1">
        <v>2</v>
      </c>
      <c r="K1981" s="1">
        <v>4</v>
      </c>
      <c r="L1981" s="1">
        <v>3</v>
      </c>
      <c r="M1981" s="1">
        <v>1</v>
      </c>
      <c r="N1981" s="1">
        <v>1</v>
      </c>
      <c r="O1981" s="1">
        <v>0</v>
      </c>
      <c r="P1981" s="1">
        <v>0</v>
      </c>
      <c r="Q1981" s="1">
        <v>3</v>
      </c>
      <c r="R1981" s="1">
        <v>5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74</v>
      </c>
      <c r="AA1981" s="1" t="str" cm="1">
        <f t="array" ref="AA1981">_xlfn.IFS(AND(Z1981&lt;36, Z1981&gt;23), "24-35", AND(Z1981&lt;51, Z1981&gt;35),"36-50", AND(Z1981&lt;66, Z1981&gt;50), "51-66", Z1981&gt;65, "66+", TRUE, "?")</f>
        <v>66+</v>
      </c>
      <c r="AB1981" s="1">
        <v>2486</v>
      </c>
      <c r="AC1981" s="1">
        <v>0</v>
      </c>
      <c r="AD1981" s="1">
        <v>1</v>
      </c>
      <c r="AE1981" s="1">
        <v>0</v>
      </c>
      <c r="AF1981" s="1">
        <v>0</v>
      </c>
      <c r="AG1981" s="1">
        <v>0</v>
      </c>
      <c r="AH1981" s="1">
        <v>0</v>
      </c>
      <c r="AI1981" s="1">
        <v>1</v>
      </c>
      <c r="AJ1981" s="1">
        <v>0</v>
      </c>
      <c r="AK1981" s="1">
        <v>0</v>
      </c>
      <c r="AL1981" s="1">
        <v>12</v>
      </c>
      <c r="AM1981" s="2">
        <v>42363</v>
      </c>
      <c r="AN1981" t="str">
        <f t="shared" si="61"/>
        <v>18100,13,0.000718232044198895,0,0,14,3,1,2,4,3,1,1,0,0,3,5,0,0,0,0,0,0,0,74,66+,2486,0,1,0,0,0,0,1,0,0,12,42363</v>
      </c>
    </row>
    <row r="1982" spans="1:40" ht="13" hidden="1" x14ac:dyDescent="0.15">
      <c r="A1982">
        <v>947</v>
      </c>
      <c r="B1982" s="1">
        <v>36736</v>
      </c>
      <c r="C1982" s="1">
        <v>13</v>
      </c>
      <c r="D1982" s="4">
        <f t="shared" si="60"/>
        <v>3.5387630662020908E-4</v>
      </c>
      <c r="E1982" s="1">
        <v>1</v>
      </c>
      <c r="F1982" s="1">
        <v>1</v>
      </c>
      <c r="G1982" s="1">
        <v>52</v>
      </c>
      <c r="H1982" s="1">
        <v>10</v>
      </c>
      <c r="I1982" s="1">
        <v>0</v>
      </c>
      <c r="J1982" s="1">
        <v>3</v>
      </c>
      <c r="K1982" s="1">
        <v>0</v>
      </c>
      <c r="L1982" s="1">
        <v>0</v>
      </c>
      <c r="M1982" s="1">
        <v>4</v>
      </c>
      <c r="N1982" s="1">
        <v>1</v>
      </c>
      <c r="O1982" s="1">
        <v>1</v>
      </c>
      <c r="P1982" s="1">
        <v>0</v>
      </c>
      <c r="Q1982" s="1">
        <v>2</v>
      </c>
      <c r="R1982" s="1">
        <v>6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57</v>
      </c>
      <c r="AA1982" s="1" t="str" cm="1">
        <f t="array" ref="AA1982">_xlfn.IFS(AND(Z1982&lt;36, Z1982&gt;23), "24-35", AND(Z1982&lt;51, Z1982&gt;35),"36-50", AND(Z1982&lt;66, Z1982&gt;50), "51-66", Z1982&gt;65, "66+", TRUE, "?")</f>
        <v>51-66</v>
      </c>
      <c r="AB1982" s="1">
        <v>2574</v>
      </c>
      <c r="AC1982" s="1">
        <v>0</v>
      </c>
      <c r="AD1982" s="1">
        <v>0</v>
      </c>
      <c r="AE1982" s="1">
        <v>1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1</v>
      </c>
      <c r="AL1982" s="1">
        <v>9</v>
      </c>
      <c r="AM1982" s="2">
        <v>42275</v>
      </c>
      <c r="AN1982" t="str">
        <f t="shared" si="61"/>
        <v>36736,13,0.000353876306620209,1,1,52,10,0,3,0,0,4,1,1,0,2,6,0,0,0,0,0,0,0,57,51-66,2574,0,0,1,0,0,0,0,0,1,9,42275</v>
      </c>
    </row>
    <row r="1983" spans="1:40" ht="13" hidden="1" x14ac:dyDescent="0.15">
      <c r="A1983">
        <v>1060</v>
      </c>
      <c r="B1983" s="1">
        <v>16581</v>
      </c>
      <c r="C1983" s="1">
        <v>13</v>
      </c>
      <c r="D1983" s="4">
        <f t="shared" si="60"/>
        <v>7.8402991375670951E-4</v>
      </c>
      <c r="E1983" s="1">
        <v>0</v>
      </c>
      <c r="F1983" s="1">
        <v>0</v>
      </c>
      <c r="G1983" s="1">
        <v>51</v>
      </c>
      <c r="H1983" s="1">
        <v>1</v>
      </c>
      <c r="I1983" s="1">
        <v>3</v>
      </c>
      <c r="J1983" s="1">
        <v>4</v>
      </c>
      <c r="K1983" s="1">
        <v>2</v>
      </c>
      <c r="L1983" s="1">
        <v>3</v>
      </c>
      <c r="M1983" s="1">
        <v>11</v>
      </c>
      <c r="N1983" s="1">
        <v>1</v>
      </c>
      <c r="O1983" s="1">
        <v>0</v>
      </c>
      <c r="P1983" s="1">
        <v>0</v>
      </c>
      <c r="Q1983" s="1">
        <v>3</v>
      </c>
      <c r="R1983" s="1">
        <v>4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35</v>
      </c>
      <c r="AA1983" s="1" t="str" cm="1">
        <f t="array" ref="AA1983">_xlfn.IFS(AND(Z1983&lt;36, Z1983&gt;23), "24-35", AND(Z1983&lt;51, Z1983&gt;35),"36-50", AND(Z1983&lt;66, Z1983&gt;50), "51-66", Z1983&gt;65, "66+", TRUE, "?")</f>
        <v>24-35</v>
      </c>
      <c r="AB1983" s="1">
        <v>2692</v>
      </c>
      <c r="AC1983" s="1">
        <v>0</v>
      </c>
      <c r="AD1983" s="1">
        <v>0</v>
      </c>
      <c r="AE1983" s="1">
        <v>1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2</v>
      </c>
      <c r="AM1983" s="2">
        <v>42157</v>
      </c>
      <c r="AN1983" t="str">
        <f t="shared" si="61"/>
        <v>16581,13,0.00078402991375671,0,0,51,1,3,4,2,3,11,1,0,0,3,4,0,0,0,0,0,0,0,35,24-35,2692,0,0,1,0,0,0,0,0,0,2,42157</v>
      </c>
    </row>
    <row r="1984" spans="1:40" ht="13" hidden="1" x14ac:dyDescent="0.15">
      <c r="A1984">
        <v>1082</v>
      </c>
      <c r="B1984" s="1">
        <v>7500</v>
      </c>
      <c r="C1984" s="1">
        <v>13</v>
      </c>
      <c r="D1984" s="4">
        <f t="shared" si="60"/>
        <v>1.7333333333333333E-3</v>
      </c>
      <c r="E1984" s="1">
        <v>0</v>
      </c>
      <c r="F1984" s="1">
        <v>1</v>
      </c>
      <c r="G1984" s="1">
        <v>61</v>
      </c>
      <c r="H1984" s="1">
        <v>5</v>
      </c>
      <c r="I1984" s="1">
        <v>2</v>
      </c>
      <c r="J1984" s="1">
        <v>3</v>
      </c>
      <c r="K1984" s="1">
        <v>3</v>
      </c>
      <c r="L1984" s="1">
        <v>0</v>
      </c>
      <c r="M1984" s="1">
        <v>5</v>
      </c>
      <c r="N1984" s="1">
        <v>1</v>
      </c>
      <c r="O1984" s="1">
        <v>1</v>
      </c>
      <c r="P1984" s="1">
        <v>0</v>
      </c>
      <c r="Q1984" s="1">
        <v>2</v>
      </c>
      <c r="R1984" s="1">
        <v>8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41</v>
      </c>
      <c r="AA1984" s="1" t="str" cm="1">
        <f t="array" ref="AA1984">_xlfn.IFS(AND(Z1984&lt;36, Z1984&gt;23), "24-35", AND(Z1984&lt;51, Z1984&gt;35),"36-50", AND(Z1984&lt;66, Z1984&gt;50), "51-66", Z1984&gt;65, "66+", TRUE, "?")</f>
        <v>36-50</v>
      </c>
      <c r="AB1984" s="1">
        <v>2828</v>
      </c>
      <c r="AC1984" s="1">
        <v>0</v>
      </c>
      <c r="AD1984" s="1">
        <v>1</v>
      </c>
      <c r="AE1984" s="1">
        <v>0</v>
      </c>
      <c r="AF1984" s="1">
        <v>0</v>
      </c>
      <c r="AG1984" s="1">
        <v>0</v>
      </c>
      <c r="AH1984" s="1">
        <v>0</v>
      </c>
      <c r="AI1984" s="1">
        <v>1</v>
      </c>
      <c r="AJ1984" s="1">
        <v>0</v>
      </c>
      <c r="AK1984" s="1">
        <v>0</v>
      </c>
      <c r="AL1984" s="1">
        <v>8</v>
      </c>
      <c r="AM1984" s="2">
        <v>42021</v>
      </c>
      <c r="AN1984" t="str">
        <f t="shared" si="61"/>
        <v>7500,13,0.00173333333333333,0,1,61,5,2,3,3,0,5,1,1,0,2,8,0,0,0,0,0,0,0,41,36-50,2828,0,1,0,0,0,0,1,0,0,8,42021</v>
      </c>
    </row>
    <row r="1985" spans="1:40" ht="13" hidden="1" x14ac:dyDescent="0.15">
      <c r="A1985">
        <v>1823</v>
      </c>
      <c r="B1985" s="1">
        <v>28420</v>
      </c>
      <c r="C1985" s="1">
        <v>13</v>
      </c>
      <c r="D1985" s="4">
        <f t="shared" si="60"/>
        <v>4.5742434904996482E-4</v>
      </c>
      <c r="E1985" s="1">
        <v>1</v>
      </c>
      <c r="F1985" s="1">
        <v>0</v>
      </c>
      <c r="G1985" s="1">
        <v>36</v>
      </c>
      <c r="H1985" s="1">
        <v>4</v>
      </c>
      <c r="I1985" s="1">
        <v>2</v>
      </c>
      <c r="J1985" s="1">
        <v>5</v>
      </c>
      <c r="K1985" s="1">
        <v>2</v>
      </c>
      <c r="L1985" s="1">
        <v>0</v>
      </c>
      <c r="M1985" s="1">
        <v>0</v>
      </c>
      <c r="N1985" s="1">
        <v>1</v>
      </c>
      <c r="O1985" s="1">
        <v>1</v>
      </c>
      <c r="P1985" s="1">
        <v>0</v>
      </c>
      <c r="Q1985" s="1">
        <v>2</v>
      </c>
      <c r="R1985" s="1">
        <v>6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53</v>
      </c>
      <c r="AA1985" s="1" t="str" cm="1">
        <f t="array" ref="AA1985">_xlfn.IFS(AND(Z1985&lt;36, Z1985&gt;23), "24-35", AND(Z1985&lt;51, Z1985&gt;35),"36-50", AND(Z1985&lt;66, Z1985&gt;50), "51-66", Z1985&gt;65, "66+", TRUE, "?")</f>
        <v>51-66</v>
      </c>
      <c r="AB1985" s="1">
        <v>2346</v>
      </c>
      <c r="AC1985" s="1">
        <v>1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1</v>
      </c>
      <c r="AL1985" s="1">
        <v>13</v>
      </c>
      <c r="AM1985" s="2">
        <v>42503</v>
      </c>
      <c r="AN1985" t="str">
        <f t="shared" si="61"/>
        <v>28420,13,0.000457424349049965,1,0,36,4,2,5,2,0,0,1,1,0,2,6,0,0,0,0,0,0,0,53,51-66,2346,1,0,0,0,0,0,0,0,1,13,42503</v>
      </c>
    </row>
    <row r="1986" spans="1:40" ht="13" hidden="1" x14ac:dyDescent="0.15">
      <c r="A1986">
        <v>69</v>
      </c>
      <c r="B1986" s="1">
        <v>40246</v>
      </c>
      <c r="C1986" s="1">
        <v>12</v>
      </c>
      <c r="D1986" s="4">
        <f t="shared" ref="D1986:D2022" si="62">C1986/B1986</f>
        <v>2.9816627739402674E-4</v>
      </c>
      <c r="E1986" s="1">
        <v>1</v>
      </c>
      <c r="F1986" s="1">
        <v>0</v>
      </c>
      <c r="G1986" s="1">
        <v>68</v>
      </c>
      <c r="H1986" s="1">
        <v>2</v>
      </c>
      <c r="I1986" s="1">
        <v>1</v>
      </c>
      <c r="J1986" s="1">
        <v>6</v>
      </c>
      <c r="K1986" s="1">
        <v>2</v>
      </c>
      <c r="L1986" s="1">
        <v>1</v>
      </c>
      <c r="M1986" s="1">
        <v>1</v>
      </c>
      <c r="N1986" s="1">
        <v>1</v>
      </c>
      <c r="O1986" s="1">
        <v>1</v>
      </c>
      <c r="P1986" s="1">
        <v>0</v>
      </c>
      <c r="Q1986" s="1">
        <v>2</v>
      </c>
      <c r="R1986" s="1">
        <v>6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43</v>
      </c>
      <c r="AA1986" s="1" t="str" cm="1">
        <f t="array" ref="AA1986">_xlfn.IFS(AND(Z1986&lt;36, Z1986&gt;23), "24-35", AND(Z1986&lt;51, Z1986&gt;35),"36-50", AND(Z1986&lt;66, Z1986&gt;50), "51-66", Z1986&gt;65, "66+", TRUE, "?")</f>
        <v>36-50</v>
      </c>
      <c r="AB1986" s="1">
        <v>2716</v>
      </c>
      <c r="AC1986" s="1">
        <v>1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1</v>
      </c>
      <c r="AJ1986" s="1">
        <v>0</v>
      </c>
      <c r="AK1986" s="1">
        <v>0</v>
      </c>
      <c r="AL1986" s="1">
        <v>11</v>
      </c>
      <c r="AM1986" s="2">
        <v>42133</v>
      </c>
      <c r="AN1986" t="str">
        <f t="shared" ref="AN1986:AN2022" si="63">_xlfn.TEXTJOIN(",",TRUE,B1986:AM1986)</f>
        <v>40246,12,0.000298166277394027,1,0,68,2,1,6,2,1,1,1,1,0,2,6,0,0,0,0,0,0,0,43,36-50,2716,1,0,0,0,0,0,1,0,0,11,42133</v>
      </c>
    </row>
    <row r="1987" spans="1:40" ht="13" hidden="1" x14ac:dyDescent="0.15">
      <c r="A1987">
        <v>74</v>
      </c>
      <c r="B1987" s="1">
        <v>26304</v>
      </c>
      <c r="C1987" s="1">
        <v>12</v>
      </c>
      <c r="D1987" s="4">
        <f t="shared" si="62"/>
        <v>4.5620437956204378E-4</v>
      </c>
      <c r="E1987" s="1">
        <v>1</v>
      </c>
      <c r="F1987" s="1">
        <v>0</v>
      </c>
      <c r="G1987" s="1">
        <v>5</v>
      </c>
      <c r="H1987" s="1">
        <v>4</v>
      </c>
      <c r="I1987" s="1">
        <v>1</v>
      </c>
      <c r="J1987" s="1">
        <v>5</v>
      </c>
      <c r="K1987" s="1">
        <v>2</v>
      </c>
      <c r="L1987" s="1">
        <v>0</v>
      </c>
      <c r="M1987" s="1">
        <v>4</v>
      </c>
      <c r="N1987" s="1">
        <v>1</v>
      </c>
      <c r="O1987" s="1">
        <v>1</v>
      </c>
      <c r="P1987" s="1">
        <v>0</v>
      </c>
      <c r="Q1987" s="1">
        <v>2</v>
      </c>
      <c r="R1987" s="1">
        <v>7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51</v>
      </c>
      <c r="AA1987" s="1" t="str" cm="1">
        <f t="array" ref="AA1987">_xlfn.IFS(AND(Z1987&lt;36, Z1987&gt;23), "24-35", AND(Z1987&lt;51, Z1987&gt;35),"36-50", AND(Z1987&lt;66, Z1987&gt;50), "51-66", Z1987&gt;65, "66+", TRUE, "?")</f>
        <v>51-66</v>
      </c>
      <c r="AB1987" s="1">
        <v>2530</v>
      </c>
      <c r="AC1987" s="1">
        <v>0</v>
      </c>
      <c r="AD1987" s="1">
        <v>1</v>
      </c>
      <c r="AE1987" s="1">
        <v>0</v>
      </c>
      <c r="AF1987" s="1">
        <v>0</v>
      </c>
      <c r="AG1987" s="1">
        <v>0</v>
      </c>
      <c r="AH1987" s="1">
        <v>0</v>
      </c>
      <c r="AI1987" s="1">
        <v>1</v>
      </c>
      <c r="AJ1987" s="1">
        <v>0</v>
      </c>
      <c r="AK1987" s="1">
        <v>0</v>
      </c>
      <c r="AL1987" s="1">
        <v>8</v>
      </c>
      <c r="AM1987" s="2">
        <v>42319</v>
      </c>
      <c r="AN1987" t="str">
        <f t="shared" si="63"/>
        <v>26304,12,0.000456204379562044,1,0,5,4,1,5,2,0,4,1,1,0,2,7,0,0,0,0,0,0,0,51,51-66,2530,0,1,0,0,0,0,1,0,0,8,42319</v>
      </c>
    </row>
    <row r="1988" spans="1:40" ht="13" hidden="1" x14ac:dyDescent="0.15">
      <c r="A1988">
        <v>324</v>
      </c>
      <c r="B1988" s="1">
        <v>33181</v>
      </c>
      <c r="C1988" s="1">
        <v>12</v>
      </c>
      <c r="D1988" s="4">
        <f t="shared" si="62"/>
        <v>3.6165275308158284E-4</v>
      </c>
      <c r="E1988" s="1">
        <v>1</v>
      </c>
      <c r="F1988" s="1">
        <v>0</v>
      </c>
      <c r="G1988" s="1">
        <v>90</v>
      </c>
      <c r="H1988" s="1">
        <v>9</v>
      </c>
      <c r="I1988" s="1">
        <v>0</v>
      </c>
      <c r="J1988" s="1">
        <v>3</v>
      </c>
      <c r="K1988" s="1">
        <v>0</v>
      </c>
      <c r="L1988" s="1">
        <v>0</v>
      </c>
      <c r="M1988" s="1">
        <v>4</v>
      </c>
      <c r="N1988" s="1">
        <v>1</v>
      </c>
      <c r="O1988" s="1">
        <v>1</v>
      </c>
      <c r="P1988" s="1">
        <v>0</v>
      </c>
      <c r="Q1988" s="1">
        <v>2</v>
      </c>
      <c r="R1988" s="1">
        <v>6</v>
      </c>
      <c r="S1988" s="1">
        <v>0</v>
      </c>
      <c r="T1988" s="1">
        <v>0</v>
      </c>
      <c r="U1988" s="1">
        <v>1</v>
      </c>
      <c r="V1988" s="1">
        <v>0</v>
      </c>
      <c r="W1988" s="1">
        <v>0</v>
      </c>
      <c r="X1988" s="1">
        <v>0</v>
      </c>
      <c r="Y1988" s="1">
        <v>0</v>
      </c>
      <c r="Z1988" s="1">
        <v>44</v>
      </c>
      <c r="AA1988" s="1" t="str" cm="1">
        <f t="array" ref="AA1988">_xlfn.IFS(AND(Z1988&lt;36, Z1988&gt;23), "24-35", AND(Z1988&lt;51, Z1988&gt;35),"36-50", AND(Z1988&lt;66, Z1988&gt;50), "51-66", Z1988&gt;65, "66+", TRUE, "?")</f>
        <v>36-50</v>
      </c>
      <c r="AB1988" s="1">
        <v>2336</v>
      </c>
      <c r="AC1988" s="1">
        <v>0</v>
      </c>
      <c r="AD1988" s="1">
        <v>1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1</v>
      </c>
      <c r="AK1988" s="1">
        <v>0</v>
      </c>
      <c r="AL1988" s="1">
        <v>8</v>
      </c>
      <c r="AM1988" s="2">
        <v>42513</v>
      </c>
      <c r="AN1988" t="str">
        <f t="shared" si="63"/>
        <v>33181,12,0.000361652753081583,1,0,90,9,0,3,0,0,4,1,1,0,2,6,0,0,1,0,0,0,0,44,36-50,2336,0,1,0,0,0,0,0,1,0,8,42513</v>
      </c>
    </row>
    <row r="1989" spans="1:40" ht="13" hidden="1" x14ac:dyDescent="0.15">
      <c r="A1989">
        <v>437</v>
      </c>
      <c r="B1989" s="1">
        <v>31880</v>
      </c>
      <c r="C1989" s="1">
        <v>12</v>
      </c>
      <c r="D1989" s="4">
        <f t="shared" si="62"/>
        <v>3.764115432873275E-4</v>
      </c>
      <c r="E1989" s="1">
        <v>1</v>
      </c>
      <c r="F1989" s="1">
        <v>0</v>
      </c>
      <c r="G1989" s="1">
        <v>13</v>
      </c>
      <c r="H1989" s="1">
        <v>4</v>
      </c>
      <c r="I1989" s="1">
        <v>1</v>
      </c>
      <c r="J1989" s="1">
        <v>5</v>
      </c>
      <c r="K1989" s="1">
        <v>2</v>
      </c>
      <c r="L1989" s="1">
        <v>0</v>
      </c>
      <c r="M1989" s="1">
        <v>3</v>
      </c>
      <c r="N1989" s="1">
        <v>1</v>
      </c>
      <c r="O1989" s="1">
        <v>1</v>
      </c>
      <c r="P1989" s="1">
        <v>0</v>
      </c>
      <c r="Q1989" s="1">
        <v>2</v>
      </c>
      <c r="R1989" s="1">
        <v>8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50</v>
      </c>
      <c r="AA1989" s="1" t="str" cm="1">
        <f t="array" ref="AA1989">_xlfn.IFS(AND(Z1989&lt;36, Z1989&gt;23), "24-35", AND(Z1989&lt;51, Z1989&gt;35),"36-50", AND(Z1989&lt;66, Z1989&gt;50), "51-66", Z1989&gt;65, "66+", TRUE, "?")</f>
        <v>36-50</v>
      </c>
      <c r="AB1989" s="1">
        <v>2765</v>
      </c>
      <c r="AC1989" s="1">
        <v>0</v>
      </c>
      <c r="AD1989" s="1">
        <v>0</v>
      </c>
      <c r="AE1989" s="1">
        <v>0</v>
      </c>
      <c r="AF1989" s="1">
        <v>0</v>
      </c>
      <c r="AG1989" s="1">
        <v>1</v>
      </c>
      <c r="AH1989" s="1">
        <v>0</v>
      </c>
      <c r="AI1989" s="1">
        <v>1</v>
      </c>
      <c r="AJ1989" s="1">
        <v>0</v>
      </c>
      <c r="AK1989" s="1">
        <v>0</v>
      </c>
      <c r="AL1989" s="1">
        <v>9</v>
      </c>
      <c r="AM1989" s="2">
        <v>42084</v>
      </c>
      <c r="AN1989" t="str">
        <f t="shared" si="63"/>
        <v>31880,12,0.000376411543287328,1,0,13,4,1,5,2,0,3,1,1,0,2,8,0,0,0,0,0,0,0,50,36-50,2765,0,0,0,0,1,0,1,0,0,9,42084</v>
      </c>
    </row>
    <row r="1990" spans="1:40" ht="13" hidden="1" x14ac:dyDescent="0.15">
      <c r="A1990">
        <v>665</v>
      </c>
      <c r="B1990" s="1">
        <v>25252</v>
      </c>
      <c r="C1990" s="1">
        <v>12</v>
      </c>
      <c r="D1990" s="4">
        <f t="shared" si="62"/>
        <v>4.7520988436559479E-4</v>
      </c>
      <c r="E1990" s="1">
        <v>1</v>
      </c>
      <c r="F1990" s="1">
        <v>0</v>
      </c>
      <c r="G1990" s="1">
        <v>26</v>
      </c>
      <c r="H1990" s="1">
        <v>1</v>
      </c>
      <c r="I1990" s="1">
        <v>3</v>
      </c>
      <c r="J1990" s="1">
        <v>4</v>
      </c>
      <c r="K1990" s="1">
        <v>2</v>
      </c>
      <c r="L1990" s="1">
        <v>2</v>
      </c>
      <c r="M1990" s="1">
        <v>6</v>
      </c>
      <c r="N1990" s="1">
        <v>1</v>
      </c>
      <c r="O1990" s="1">
        <v>1</v>
      </c>
      <c r="P1990" s="1">
        <v>0</v>
      </c>
      <c r="Q1990" s="1">
        <v>2</v>
      </c>
      <c r="R1990" s="1">
        <v>8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34</v>
      </c>
      <c r="AA1990" s="1" t="str" cm="1">
        <f t="array" ref="AA1990">_xlfn.IFS(AND(Z1990&lt;36, Z1990&gt;23), "24-35", AND(Z1990&lt;51, Z1990&gt;35),"36-50", AND(Z1990&lt;66, Z1990&gt;50), "51-66", Z1990&gt;65, "66+", TRUE, "?")</f>
        <v>24-35</v>
      </c>
      <c r="AB1990" s="1">
        <v>2511</v>
      </c>
      <c r="AC1990" s="1">
        <v>0</v>
      </c>
      <c r="AD1990" s="1">
        <v>1</v>
      </c>
      <c r="AE1990" s="1">
        <v>0</v>
      </c>
      <c r="AF1990" s="1">
        <v>0</v>
      </c>
      <c r="AG1990" s="1">
        <v>0</v>
      </c>
      <c r="AH1990" s="1">
        <v>0</v>
      </c>
      <c r="AI1990" s="1">
        <v>1</v>
      </c>
      <c r="AJ1990" s="1">
        <v>0</v>
      </c>
      <c r="AK1990" s="1">
        <v>0</v>
      </c>
      <c r="AL1990" s="1">
        <v>6</v>
      </c>
      <c r="AM1990" s="2">
        <v>42338</v>
      </c>
      <c r="AN1990" t="str">
        <f t="shared" si="63"/>
        <v>25252,12,0.000475209884365595,1,0,26,1,3,4,2,2,6,1,1,0,2,8,0,0,0,0,0,0,0,34,24-35,2511,0,1,0,0,0,0,1,0,0,6,42338</v>
      </c>
    </row>
    <row r="1991" spans="1:40" ht="13" hidden="1" x14ac:dyDescent="0.15">
      <c r="A1991">
        <v>690</v>
      </c>
      <c r="B1991" s="1">
        <v>17487</v>
      </c>
      <c r="C1991" s="1">
        <v>12</v>
      </c>
      <c r="D1991" s="4">
        <f t="shared" si="62"/>
        <v>6.8622405215302792E-4</v>
      </c>
      <c r="E1991" s="1">
        <v>1</v>
      </c>
      <c r="F1991" s="1">
        <v>0</v>
      </c>
      <c r="G1991" s="1">
        <v>37</v>
      </c>
      <c r="H1991" s="1">
        <v>0</v>
      </c>
      <c r="I1991" s="1">
        <v>0</v>
      </c>
      <c r="J1991" s="1">
        <v>1</v>
      </c>
      <c r="K1991" s="1">
        <v>7</v>
      </c>
      <c r="L1991" s="1">
        <v>4</v>
      </c>
      <c r="M1991" s="1">
        <v>6</v>
      </c>
      <c r="N1991" s="1">
        <v>1</v>
      </c>
      <c r="O1991" s="1">
        <v>1</v>
      </c>
      <c r="P1991" s="1">
        <v>0</v>
      </c>
      <c r="Q1991" s="1">
        <v>2</v>
      </c>
      <c r="R1991" s="1">
        <v>7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31</v>
      </c>
      <c r="AA1991" s="1" t="str" cm="1">
        <f t="array" ref="AA1991">_xlfn.IFS(AND(Z1991&lt;36, Z1991&gt;23), "24-35", AND(Z1991&lt;51, Z1991&gt;35),"36-50", AND(Z1991&lt;66, Z1991&gt;50), "51-66", Z1991&gt;65, "66+", TRUE, "?")</f>
        <v>24-35</v>
      </c>
      <c r="AB1991" s="1">
        <v>2627</v>
      </c>
      <c r="AC1991" s="1">
        <v>0</v>
      </c>
      <c r="AD1991" s="1">
        <v>1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6</v>
      </c>
      <c r="AM1991" s="2">
        <v>42222</v>
      </c>
      <c r="AN1991" t="str">
        <f t="shared" si="63"/>
        <v>17487,12,0.000686224052153028,1,0,37,0,0,1,7,4,6,1,1,0,2,7,0,0,0,0,0,0,0,31,24-35,2627,0,1,0,0,0,0,0,0,0,6,42222</v>
      </c>
    </row>
    <row r="1992" spans="1:40" ht="13" hidden="1" x14ac:dyDescent="0.15">
      <c r="A1992">
        <v>840</v>
      </c>
      <c r="B1992" s="1">
        <v>26868</v>
      </c>
      <c r="C1992" s="1">
        <v>12</v>
      </c>
      <c r="D1992" s="4">
        <f t="shared" si="62"/>
        <v>4.4662795891022776E-4</v>
      </c>
      <c r="E1992" s="1">
        <v>1</v>
      </c>
      <c r="F1992" s="1">
        <v>0</v>
      </c>
      <c r="G1992" s="1">
        <v>52</v>
      </c>
      <c r="H1992" s="1">
        <v>0</v>
      </c>
      <c r="I1992" s="1">
        <v>0</v>
      </c>
      <c r="J1992" s="1">
        <v>1</v>
      </c>
      <c r="K1992" s="1">
        <v>8</v>
      </c>
      <c r="L1992" s="1">
        <v>3</v>
      </c>
      <c r="M1992" s="1">
        <v>2</v>
      </c>
      <c r="N1992" s="1">
        <v>1</v>
      </c>
      <c r="O1992" s="1">
        <v>1</v>
      </c>
      <c r="P1992" s="1">
        <v>0</v>
      </c>
      <c r="Q1992" s="1">
        <v>2</v>
      </c>
      <c r="R1992" s="1">
        <v>7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29</v>
      </c>
      <c r="AA1992" s="1" t="str" cm="1">
        <f t="array" ref="AA1992">_xlfn.IFS(AND(Z1992&lt;36, Z1992&gt;23), "24-35", AND(Z1992&lt;51, Z1992&gt;35),"36-50", AND(Z1992&lt;66, Z1992&gt;50), "51-66", Z1992&gt;65, "66+", TRUE, "?")</f>
        <v>24-35</v>
      </c>
      <c r="AB1992" s="1">
        <v>2219</v>
      </c>
      <c r="AC1992" s="1">
        <v>0</v>
      </c>
      <c r="AD1992" s="1">
        <v>0</v>
      </c>
      <c r="AE1992" s="1">
        <v>1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10</v>
      </c>
      <c r="AM1992" s="2">
        <v>42630</v>
      </c>
      <c r="AN1992" t="str">
        <f t="shared" si="63"/>
        <v>26868,12,0.000446627958910228,1,0,52,0,0,1,8,3,2,1,1,0,2,7,0,0,0,0,0,0,0,29,24-35,2219,0,0,1,0,0,0,0,0,0,10,42630</v>
      </c>
    </row>
    <row r="1993" spans="1:40" ht="13" hidden="1" x14ac:dyDescent="0.15">
      <c r="A1993">
        <v>1361</v>
      </c>
      <c r="B1993" s="1">
        <v>41145</v>
      </c>
      <c r="C1993" s="1">
        <v>12</v>
      </c>
      <c r="D1993" s="4">
        <f t="shared" si="62"/>
        <v>2.916514764855997E-4</v>
      </c>
      <c r="E1993" s="1">
        <v>1</v>
      </c>
      <c r="F1993" s="1">
        <v>1</v>
      </c>
      <c r="G1993" s="1">
        <v>20</v>
      </c>
      <c r="H1993" s="1">
        <v>9</v>
      </c>
      <c r="I1993" s="1">
        <v>0</v>
      </c>
      <c r="J1993" s="1">
        <v>3</v>
      </c>
      <c r="K1993" s="1">
        <v>0</v>
      </c>
      <c r="L1993" s="1">
        <v>0</v>
      </c>
      <c r="M1993" s="1">
        <v>1</v>
      </c>
      <c r="N1993" s="1">
        <v>1</v>
      </c>
      <c r="O1993" s="1">
        <v>0</v>
      </c>
      <c r="P1993" s="1">
        <v>0</v>
      </c>
      <c r="Q1993" s="1">
        <v>3</v>
      </c>
      <c r="R1993" s="1">
        <v>3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70</v>
      </c>
      <c r="AA1993" s="1" t="str" cm="1">
        <f t="array" ref="AA1993">_xlfn.IFS(AND(Z1993&lt;36, Z1993&gt;23), "24-35", AND(Z1993&lt;51, Z1993&gt;35),"36-50", AND(Z1993&lt;66, Z1993&gt;50), "51-66", Z1993&gt;65, "66+", TRUE, "?")</f>
        <v>66+</v>
      </c>
      <c r="AB1993" s="1">
        <v>2300</v>
      </c>
      <c r="AC1993" s="1">
        <v>0</v>
      </c>
      <c r="AD1993" s="1">
        <v>1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1</v>
      </c>
      <c r="AL1993" s="1">
        <v>11</v>
      </c>
      <c r="AM1993" s="2">
        <v>42549</v>
      </c>
      <c r="AN1993" t="str">
        <f t="shared" si="63"/>
        <v>41145,12,0.0002916514764856,1,1,20,9,0,3,0,0,1,1,0,0,3,3,0,0,0,0,0,0,0,70,66+,2300,0,1,0,0,0,0,0,0,1,11,42549</v>
      </c>
    </row>
    <row r="1994" spans="1:40" ht="13" hidden="1" x14ac:dyDescent="0.15">
      <c r="A1994">
        <v>61</v>
      </c>
      <c r="B1994" s="1">
        <v>32474</v>
      </c>
      <c r="C1994" s="1">
        <v>11</v>
      </c>
      <c r="D1994" s="4">
        <f t="shared" si="62"/>
        <v>3.3873252448112336E-4</v>
      </c>
      <c r="E1994" s="1">
        <v>1</v>
      </c>
      <c r="F1994" s="1">
        <v>1</v>
      </c>
      <c r="G1994" s="1">
        <v>0</v>
      </c>
      <c r="H1994" s="1">
        <v>10</v>
      </c>
      <c r="I1994" s="1">
        <v>0</v>
      </c>
      <c r="J1994" s="1">
        <v>1</v>
      </c>
      <c r="K1994" s="1">
        <v>0</v>
      </c>
      <c r="L1994" s="1">
        <v>0</v>
      </c>
      <c r="M1994" s="1">
        <v>0</v>
      </c>
      <c r="N1994" s="1">
        <v>1</v>
      </c>
      <c r="O1994" s="1">
        <v>1</v>
      </c>
      <c r="P1994" s="1">
        <v>0</v>
      </c>
      <c r="Q1994" s="1">
        <v>2</v>
      </c>
      <c r="R1994" s="1">
        <v>7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53</v>
      </c>
      <c r="AA1994" s="1" t="str" cm="1">
        <f t="array" ref="AA1994">_xlfn.IFS(AND(Z1994&lt;36, Z1994&gt;23), "24-35", AND(Z1994&lt;51, Z1994&gt;35),"36-50", AND(Z1994&lt;66, Z1994&gt;50), "51-66", Z1994&gt;65, "66+", TRUE, "?")</f>
        <v>51-66</v>
      </c>
      <c r="AB1994" s="1">
        <v>2208</v>
      </c>
      <c r="AC1994" s="1">
        <v>0</v>
      </c>
      <c r="AD1994" s="1">
        <v>0</v>
      </c>
      <c r="AE1994" s="1">
        <v>0</v>
      </c>
      <c r="AF1994" s="1">
        <v>1</v>
      </c>
      <c r="AG1994" s="1">
        <v>0</v>
      </c>
      <c r="AH1994" s="1">
        <v>0</v>
      </c>
      <c r="AI1994" s="1">
        <v>1</v>
      </c>
      <c r="AJ1994" s="1">
        <v>0</v>
      </c>
      <c r="AK1994" s="1">
        <v>0</v>
      </c>
      <c r="AL1994" s="1">
        <v>11</v>
      </c>
      <c r="AM1994" s="2">
        <v>42641</v>
      </c>
      <c r="AN1994" t="str">
        <f t="shared" si="63"/>
        <v>32474,11,0.000338732524481123,1,1,0,10,0,1,0,0,0,1,1,0,2,7,0,0,0,0,0,0,0,53,51-66,2208,0,0,0,1,0,0,1,0,0,11,42641</v>
      </c>
    </row>
    <row r="1995" spans="1:40" ht="13" hidden="1" x14ac:dyDescent="0.15">
      <c r="A1995">
        <v>683</v>
      </c>
      <c r="B1995" s="1">
        <v>35946</v>
      </c>
      <c r="C1995" s="1">
        <v>11</v>
      </c>
      <c r="D1995" s="4">
        <f t="shared" si="62"/>
        <v>3.0601457742168806E-4</v>
      </c>
      <c r="E1995" s="1">
        <v>1</v>
      </c>
      <c r="F1995" s="1">
        <v>1</v>
      </c>
      <c r="G1995" s="1">
        <v>24</v>
      </c>
      <c r="H1995" s="1">
        <v>8</v>
      </c>
      <c r="I1995" s="1">
        <v>0</v>
      </c>
      <c r="J1995" s="1">
        <v>3</v>
      </c>
      <c r="K1995" s="1">
        <v>0</v>
      </c>
      <c r="L1995" s="1">
        <v>0</v>
      </c>
      <c r="M1995" s="1">
        <v>0</v>
      </c>
      <c r="N1995" s="1">
        <v>1</v>
      </c>
      <c r="O1995" s="1">
        <v>0</v>
      </c>
      <c r="P1995" s="1">
        <v>0</v>
      </c>
      <c r="Q1995" s="1">
        <v>3</v>
      </c>
      <c r="R1995" s="1">
        <v>5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71</v>
      </c>
      <c r="AA1995" s="1" t="str" cm="1">
        <f t="array" ref="AA1995">_xlfn.IFS(AND(Z1995&lt;36, Z1995&gt;23), "24-35", AND(Z1995&lt;51, Z1995&gt;35),"36-50", AND(Z1995&lt;66, Z1995&gt;50), "51-66", Z1995&gt;65, "66+", TRUE, "?")</f>
        <v>66+</v>
      </c>
      <c r="AB1995" s="1">
        <v>2434</v>
      </c>
      <c r="AC1995" s="1">
        <v>1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1</v>
      </c>
      <c r="AL1995" s="1">
        <v>11</v>
      </c>
      <c r="AM1995" s="2">
        <v>42415</v>
      </c>
      <c r="AN1995" t="str">
        <f t="shared" si="63"/>
        <v>35946,11,0.000306014577421688,1,1,24,8,0,3,0,0,0,1,0,0,3,5,0,0,0,0,0,0,0,71,66+,2434,1,0,0,0,0,0,0,0,1,11,42415</v>
      </c>
    </row>
    <row r="1996" spans="1:40" ht="13" hidden="1" x14ac:dyDescent="0.15">
      <c r="A1996">
        <v>987</v>
      </c>
      <c r="B1996" s="1">
        <v>28764</v>
      </c>
      <c r="C1996" s="1">
        <v>11</v>
      </c>
      <c r="D1996" s="4">
        <f t="shared" si="62"/>
        <v>3.8242247253511335E-4</v>
      </c>
      <c r="E1996" s="1">
        <v>1</v>
      </c>
      <c r="F1996" s="1">
        <v>1</v>
      </c>
      <c r="G1996" s="1">
        <v>16</v>
      </c>
      <c r="H1996" s="1">
        <v>8</v>
      </c>
      <c r="I1996" s="1">
        <v>0</v>
      </c>
      <c r="J1996" s="1">
        <v>3</v>
      </c>
      <c r="K1996" s="1">
        <v>0</v>
      </c>
      <c r="L1996" s="1">
        <v>0</v>
      </c>
      <c r="M1996" s="1">
        <v>1</v>
      </c>
      <c r="N1996" s="1">
        <v>1</v>
      </c>
      <c r="O1996" s="1">
        <v>1</v>
      </c>
      <c r="P1996" s="1">
        <v>0</v>
      </c>
      <c r="Q1996" s="1">
        <v>2</v>
      </c>
      <c r="R1996" s="1">
        <v>8</v>
      </c>
      <c r="S1996" s="1">
        <v>0</v>
      </c>
      <c r="T1996" s="1">
        <v>0</v>
      </c>
      <c r="U1996" s="1">
        <v>1</v>
      </c>
      <c r="V1996" s="1">
        <v>0</v>
      </c>
      <c r="W1996" s="1">
        <v>0</v>
      </c>
      <c r="X1996" s="1">
        <v>0</v>
      </c>
      <c r="Y1996" s="1">
        <v>0</v>
      </c>
      <c r="Z1996" s="1">
        <v>54</v>
      </c>
      <c r="AA1996" s="1" t="str" cm="1">
        <f t="array" ref="AA1996">_xlfn.IFS(AND(Z1996&lt;36, Z1996&gt;23), "24-35", AND(Z1996&lt;51, Z1996&gt;35),"36-50", AND(Z1996&lt;66, Z1996&gt;50), "51-66", Z1996&gt;65, "66+", TRUE, "?")</f>
        <v>51-66</v>
      </c>
      <c r="AB1996" s="1">
        <v>2183</v>
      </c>
      <c r="AC1996" s="1">
        <v>0</v>
      </c>
      <c r="AD1996" s="1">
        <v>0</v>
      </c>
      <c r="AE1996" s="1">
        <v>0</v>
      </c>
      <c r="AF1996" s="1">
        <v>1</v>
      </c>
      <c r="AG1996" s="1">
        <v>0</v>
      </c>
      <c r="AH1996" s="1">
        <v>0</v>
      </c>
      <c r="AI1996" s="1">
        <v>0</v>
      </c>
      <c r="AJ1996" s="1">
        <v>0</v>
      </c>
      <c r="AK1996" s="1">
        <v>1</v>
      </c>
      <c r="AL1996" s="1">
        <v>10</v>
      </c>
      <c r="AM1996" s="2">
        <v>42666</v>
      </c>
      <c r="AN1996" t="str">
        <f t="shared" si="63"/>
        <v>28764,11,0.000382422472535113,1,1,16,8,0,3,0,0,1,1,1,0,2,8,0,0,1,0,0,0,0,54,51-66,2183,0,0,0,1,0,0,0,0,1,10,42666</v>
      </c>
    </row>
    <row r="1997" spans="1:40" ht="13" hidden="1" x14ac:dyDescent="0.15">
      <c r="A1997">
        <v>1032</v>
      </c>
      <c r="B1997" s="1">
        <v>27590</v>
      </c>
      <c r="C1997" s="1">
        <v>11</v>
      </c>
      <c r="D1997" s="4">
        <f t="shared" si="62"/>
        <v>3.9869517941283075E-4</v>
      </c>
      <c r="E1997" s="1">
        <v>1</v>
      </c>
      <c r="F1997" s="1">
        <v>0</v>
      </c>
      <c r="G1997" s="1">
        <v>38</v>
      </c>
      <c r="H1997" s="1">
        <v>6</v>
      </c>
      <c r="I1997" s="1">
        <v>0</v>
      </c>
      <c r="J1997" s="1">
        <v>5</v>
      </c>
      <c r="K1997" s="1">
        <v>0</v>
      </c>
      <c r="L1997" s="1">
        <v>0</v>
      </c>
      <c r="M1997" s="1">
        <v>1</v>
      </c>
      <c r="N1997" s="1">
        <v>1</v>
      </c>
      <c r="O1997" s="1">
        <v>1</v>
      </c>
      <c r="P1997" s="1">
        <v>0</v>
      </c>
      <c r="Q1997" s="1">
        <v>2</v>
      </c>
      <c r="R1997" s="1">
        <v>7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38</v>
      </c>
      <c r="AA1997" s="1" t="str" cm="1">
        <f t="array" ref="AA1997">_xlfn.IFS(AND(Z1997&lt;36, Z1997&gt;23), "24-35", AND(Z1997&lt;51, Z1997&gt;35),"36-50", AND(Z1997&lt;66, Z1997&gt;50), "51-66", Z1997&gt;65, "66+", TRUE, "?")</f>
        <v>36-50</v>
      </c>
      <c r="AB1997" s="1">
        <v>2591</v>
      </c>
      <c r="AC1997" s="1">
        <v>0</v>
      </c>
      <c r="AD1997" s="1">
        <v>0</v>
      </c>
      <c r="AE1997" s="1">
        <v>0</v>
      </c>
      <c r="AF1997" s="1">
        <v>1</v>
      </c>
      <c r="AG1997" s="1">
        <v>0</v>
      </c>
      <c r="AH1997" s="1">
        <v>0</v>
      </c>
      <c r="AI1997" s="1">
        <v>0</v>
      </c>
      <c r="AJ1997" s="1">
        <v>1</v>
      </c>
      <c r="AK1997" s="1">
        <v>0</v>
      </c>
      <c r="AL1997" s="1">
        <v>10</v>
      </c>
      <c r="AM1997" s="2">
        <v>42258</v>
      </c>
      <c r="AN1997" t="str">
        <f t="shared" si="63"/>
        <v>27590,11,0.000398695179412831,1,0,38,6,0,5,0,0,1,1,1,0,2,7,0,0,0,0,0,0,0,38,36-50,2591,0,0,0,1,0,0,0,1,0,10,42258</v>
      </c>
    </row>
    <row r="1998" spans="1:40" ht="13" hidden="1" x14ac:dyDescent="0.15">
      <c r="A1998">
        <v>1063</v>
      </c>
      <c r="B1998" s="1">
        <v>25930</v>
      </c>
      <c r="C1998" s="1">
        <v>11</v>
      </c>
      <c r="D1998" s="4">
        <f t="shared" si="62"/>
        <v>4.2421905129193986E-4</v>
      </c>
      <c r="E1998" s="1">
        <v>1</v>
      </c>
      <c r="F1998" s="1">
        <v>1</v>
      </c>
      <c r="G1998" s="1">
        <v>87</v>
      </c>
      <c r="H1998" s="1">
        <v>6</v>
      </c>
      <c r="I1998" s="1">
        <v>1</v>
      </c>
      <c r="J1998" s="1">
        <v>2</v>
      </c>
      <c r="K1998" s="1">
        <v>2</v>
      </c>
      <c r="L1998" s="1">
        <v>0</v>
      </c>
      <c r="M1998" s="1">
        <v>4</v>
      </c>
      <c r="N1998" s="1">
        <v>1</v>
      </c>
      <c r="O1998" s="1">
        <v>1</v>
      </c>
      <c r="P1998" s="1">
        <v>0</v>
      </c>
      <c r="Q1998" s="1">
        <v>2</v>
      </c>
      <c r="R1998" s="1">
        <v>7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53</v>
      </c>
      <c r="AA1998" s="1" t="str" cm="1">
        <f t="array" ref="AA1998">_xlfn.IFS(AND(Z1998&lt;36, Z1998&gt;23), "24-35", AND(Z1998&lt;51, Z1998&gt;35),"36-50", AND(Z1998&lt;66, Z1998&gt;50), "51-66", Z1998&gt;65, "66+", TRUE, "?")</f>
        <v>51-66</v>
      </c>
      <c r="AB1998" s="1">
        <v>2421</v>
      </c>
      <c r="AC1998" s="1">
        <v>0</v>
      </c>
      <c r="AD1998" s="1">
        <v>0</v>
      </c>
      <c r="AE1998" s="1">
        <v>1</v>
      </c>
      <c r="AF1998" s="1">
        <v>0</v>
      </c>
      <c r="AG1998" s="1">
        <v>0</v>
      </c>
      <c r="AH1998" s="1">
        <v>0</v>
      </c>
      <c r="AI1998" s="1">
        <v>1</v>
      </c>
      <c r="AJ1998" s="1">
        <v>0</v>
      </c>
      <c r="AK1998" s="1">
        <v>0</v>
      </c>
      <c r="AL1998" s="1">
        <v>7</v>
      </c>
      <c r="AM1998" s="2">
        <v>42428</v>
      </c>
      <c r="AN1998" t="str">
        <f t="shared" si="63"/>
        <v>25930,11,0.00042421905129194,1,1,87,6,1,2,2,0,4,1,1,0,2,7,0,0,0,0,0,0,0,53,51-66,2421,0,0,1,0,0,0,1,0,0,7,42428</v>
      </c>
    </row>
    <row r="1999" spans="1:40" ht="13" hidden="1" x14ac:dyDescent="0.15">
      <c r="A1999">
        <v>1688</v>
      </c>
      <c r="B1999" s="1">
        <v>22280</v>
      </c>
      <c r="C1999" s="1">
        <v>11</v>
      </c>
      <c r="D1999" s="4">
        <f t="shared" si="62"/>
        <v>4.9371633752244169E-4</v>
      </c>
      <c r="E1999" s="1">
        <v>1</v>
      </c>
      <c r="F1999" s="1">
        <v>0</v>
      </c>
      <c r="G1999" s="1">
        <v>85</v>
      </c>
      <c r="H1999" s="1">
        <v>2</v>
      </c>
      <c r="I1999" s="1">
        <v>1</v>
      </c>
      <c r="J1999" s="1">
        <v>4</v>
      </c>
      <c r="K1999" s="1">
        <v>3</v>
      </c>
      <c r="L1999" s="1">
        <v>1</v>
      </c>
      <c r="M1999" s="1">
        <v>2</v>
      </c>
      <c r="N1999" s="1">
        <v>1</v>
      </c>
      <c r="O1999" s="1">
        <v>1</v>
      </c>
      <c r="P1999" s="1">
        <v>0</v>
      </c>
      <c r="Q1999" s="1">
        <v>2</v>
      </c>
      <c r="R1999" s="1">
        <v>8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45</v>
      </c>
      <c r="AA1999" s="1" t="str" cm="1">
        <f t="array" ref="AA1999">_xlfn.IFS(AND(Z1999&lt;36, Z1999&gt;23), "24-35", AND(Z1999&lt;51, Z1999&gt;35),"36-50", AND(Z1999&lt;66, Z1999&gt;50), "51-66", Z1999&gt;65, "66+", TRUE, "?")</f>
        <v>36-50</v>
      </c>
      <c r="AB1999" s="1">
        <v>2565</v>
      </c>
      <c r="AC1999" s="1">
        <v>0</v>
      </c>
      <c r="AD1999" s="1">
        <v>0</v>
      </c>
      <c r="AE1999" s="1">
        <v>0</v>
      </c>
      <c r="AF1999" s="1">
        <v>1</v>
      </c>
      <c r="AG1999" s="1">
        <v>0</v>
      </c>
      <c r="AH1999" s="1">
        <v>0</v>
      </c>
      <c r="AI1999" s="1">
        <v>1</v>
      </c>
      <c r="AJ1999" s="1">
        <v>0</v>
      </c>
      <c r="AK1999" s="1">
        <v>0</v>
      </c>
      <c r="AL1999" s="1">
        <v>9</v>
      </c>
      <c r="AM1999" s="2">
        <v>42284</v>
      </c>
      <c r="AN1999" t="str">
        <f t="shared" si="63"/>
        <v>22280,11,0.000493716337522442,1,0,85,2,1,4,3,1,2,1,1,0,2,8,0,0,0,0,0,0,0,45,36-50,2565,0,0,0,1,0,0,1,0,0,9,42284</v>
      </c>
    </row>
    <row r="2000" spans="1:40" ht="13" hidden="1" x14ac:dyDescent="0.15">
      <c r="A2000">
        <v>2005</v>
      </c>
      <c r="B2000" s="1">
        <v>36807</v>
      </c>
      <c r="C2000" s="1">
        <v>11</v>
      </c>
      <c r="D2000" s="4">
        <f t="shared" si="62"/>
        <v>2.9885619583231452E-4</v>
      </c>
      <c r="E2000" s="1">
        <v>1</v>
      </c>
      <c r="F2000" s="1">
        <v>1</v>
      </c>
      <c r="G2000" s="1">
        <v>88</v>
      </c>
      <c r="H2000" s="1">
        <v>4</v>
      </c>
      <c r="I2000" s="1">
        <v>2</v>
      </c>
      <c r="J2000" s="1">
        <v>5</v>
      </c>
      <c r="K2000" s="1">
        <v>0</v>
      </c>
      <c r="L2000" s="1">
        <v>0</v>
      </c>
      <c r="M2000" s="1">
        <v>5</v>
      </c>
      <c r="N2000" s="1">
        <v>1</v>
      </c>
      <c r="O2000" s="1">
        <v>1</v>
      </c>
      <c r="P2000" s="1">
        <v>0</v>
      </c>
      <c r="Q2000" s="1">
        <v>2</v>
      </c>
      <c r="R2000" s="1">
        <v>6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66</v>
      </c>
      <c r="AA2000" s="1" t="str" cm="1">
        <f t="array" ref="AA2000">_xlfn.IFS(AND(Z2000&lt;36, Z2000&gt;23), "24-35", AND(Z2000&lt;51, Z2000&gt;35),"36-50", AND(Z2000&lt;66, Z2000&gt;50), "51-66", Z2000&gt;65, "66+", TRUE, "?")</f>
        <v>66+</v>
      </c>
      <c r="AB2000" s="1">
        <v>2715</v>
      </c>
      <c r="AC2000" s="1">
        <v>0</v>
      </c>
      <c r="AD2000" s="1">
        <v>0</v>
      </c>
      <c r="AE2000" s="1">
        <v>0</v>
      </c>
      <c r="AF2000" s="1">
        <v>1</v>
      </c>
      <c r="AG2000" s="1">
        <v>0</v>
      </c>
      <c r="AH2000" s="1">
        <v>0</v>
      </c>
      <c r="AI2000" s="1">
        <v>1</v>
      </c>
      <c r="AJ2000" s="1">
        <v>0</v>
      </c>
      <c r="AK2000" s="1">
        <v>0</v>
      </c>
      <c r="AL2000" s="1">
        <v>6</v>
      </c>
      <c r="AM2000" s="2">
        <v>42134</v>
      </c>
      <c r="AN2000" t="str">
        <f t="shared" si="63"/>
        <v>36807,11,0.000298856195832315,1,1,88,4,2,5,0,0,5,1,1,0,2,6,0,0,0,0,0,0,0,66,66+,2715,0,0,0,1,0,0,1,0,0,6,42134</v>
      </c>
    </row>
    <row r="2001" spans="1:40" ht="13" hidden="1" x14ac:dyDescent="0.15">
      <c r="A2001">
        <v>535</v>
      </c>
      <c r="B2001" s="1">
        <v>29298</v>
      </c>
      <c r="C2001" s="1">
        <v>10</v>
      </c>
      <c r="D2001" s="4">
        <f t="shared" si="62"/>
        <v>3.4132022663663046E-4</v>
      </c>
      <c r="E2001" s="1">
        <v>1</v>
      </c>
      <c r="F2001" s="1">
        <v>1</v>
      </c>
      <c r="G2001" s="1">
        <v>60</v>
      </c>
      <c r="H2001" s="1">
        <v>6</v>
      </c>
      <c r="I2001" s="1">
        <v>0</v>
      </c>
      <c r="J2001" s="1">
        <v>2</v>
      </c>
      <c r="K2001" s="1">
        <v>2</v>
      </c>
      <c r="L2001" s="1">
        <v>0</v>
      </c>
      <c r="M2001" s="1">
        <v>1</v>
      </c>
      <c r="N2001" s="1">
        <v>1</v>
      </c>
      <c r="O2001" s="1">
        <v>1</v>
      </c>
      <c r="P2001" s="1">
        <v>0</v>
      </c>
      <c r="Q2001" s="1">
        <v>2</v>
      </c>
      <c r="R2001" s="1">
        <v>5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69</v>
      </c>
      <c r="AA2001" s="1" t="str" cm="1">
        <f t="array" ref="AA2001">_xlfn.IFS(AND(Z2001&lt;36, Z2001&gt;23), "24-35", AND(Z2001&lt;51, Z2001&gt;35),"36-50", AND(Z2001&lt;66, Z2001&gt;50), "51-66", Z2001&gt;65, "66+", TRUE, "?")</f>
        <v>66+</v>
      </c>
      <c r="AB2001" s="1">
        <v>2454</v>
      </c>
      <c r="AC2001" s="1">
        <v>0</v>
      </c>
      <c r="AD2001" s="1">
        <v>0</v>
      </c>
      <c r="AE2001" s="1">
        <v>0</v>
      </c>
      <c r="AF2001" s="1">
        <v>1</v>
      </c>
      <c r="AG2001" s="1">
        <v>0</v>
      </c>
      <c r="AH2001" s="1">
        <v>0</v>
      </c>
      <c r="AI2001" s="1">
        <v>0</v>
      </c>
      <c r="AJ2001" s="1">
        <v>1</v>
      </c>
      <c r="AK2001" s="1">
        <v>0</v>
      </c>
      <c r="AL2001" s="1">
        <v>9</v>
      </c>
      <c r="AM2001" s="2">
        <v>42395</v>
      </c>
      <c r="AN2001" t="str">
        <f t="shared" si="63"/>
        <v>29298,10,0.00034132022663663,1,1,60,6,0,2,2,0,1,1,1,0,2,5,0,0,0,0,0,0,0,69,66+,2454,0,0,0,1,0,0,0,1,0,9,42395</v>
      </c>
    </row>
    <row r="2002" spans="1:40" ht="13" hidden="1" x14ac:dyDescent="0.15">
      <c r="A2002">
        <v>632</v>
      </c>
      <c r="B2002" s="1">
        <v>26751</v>
      </c>
      <c r="C2002" s="1">
        <v>10</v>
      </c>
      <c r="D2002" s="4">
        <f t="shared" si="62"/>
        <v>3.7381780120369332E-4</v>
      </c>
      <c r="E2002" s="1">
        <v>2</v>
      </c>
      <c r="F2002" s="1">
        <v>0</v>
      </c>
      <c r="G2002" s="1">
        <v>26</v>
      </c>
      <c r="H2002" s="1">
        <v>1</v>
      </c>
      <c r="I2002" s="1">
        <v>1</v>
      </c>
      <c r="J2002" s="1">
        <v>5</v>
      </c>
      <c r="K2002" s="1">
        <v>0</v>
      </c>
      <c r="L2002" s="1">
        <v>3</v>
      </c>
      <c r="M2002" s="1">
        <v>1</v>
      </c>
      <c r="N2002" s="1">
        <v>1</v>
      </c>
      <c r="O2002" s="1">
        <v>1</v>
      </c>
      <c r="P2002" s="1">
        <v>0</v>
      </c>
      <c r="Q2002" s="1">
        <v>2</v>
      </c>
      <c r="R2002" s="1">
        <v>8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46</v>
      </c>
      <c r="AA2002" s="1" t="str" cm="1">
        <f t="array" ref="AA2002">_xlfn.IFS(AND(Z2002&lt;36, Z2002&gt;23), "24-35", AND(Z2002&lt;51, Z2002&gt;35),"36-50", AND(Z2002&lt;66, Z2002&gt;50), "51-66", Z2002&gt;65, "66+", TRUE, "?")</f>
        <v>36-50</v>
      </c>
      <c r="AB2002" s="1">
        <v>2197</v>
      </c>
      <c r="AC2002" s="1">
        <v>0</v>
      </c>
      <c r="AD2002" s="1">
        <v>1</v>
      </c>
      <c r="AE2002" s="1">
        <v>0</v>
      </c>
      <c r="AF2002" s="1">
        <v>0</v>
      </c>
      <c r="AG2002" s="1">
        <v>0</v>
      </c>
      <c r="AH2002" s="1">
        <v>0</v>
      </c>
      <c r="AI2002" s="1">
        <v>1</v>
      </c>
      <c r="AJ2002" s="1">
        <v>0</v>
      </c>
      <c r="AK2002" s="1">
        <v>0</v>
      </c>
      <c r="AL2002" s="1">
        <v>9</v>
      </c>
      <c r="AM2002" s="2">
        <v>42652</v>
      </c>
      <c r="AN2002" t="str">
        <f t="shared" si="63"/>
        <v>26751,10,0.000373817801203693,2,0,26,1,1,5,0,3,1,1,1,0,2,8,0,0,0,0,0,0,0,46,36-50,2197,0,1,0,0,0,0,1,0,0,9,42652</v>
      </c>
    </row>
    <row r="2003" spans="1:40" ht="13" hidden="1" x14ac:dyDescent="0.15">
      <c r="A2003">
        <v>809</v>
      </c>
      <c r="B2003" s="1">
        <v>7500</v>
      </c>
      <c r="C2003" s="1">
        <v>10</v>
      </c>
      <c r="D2003" s="4">
        <f t="shared" si="62"/>
        <v>1.3333333333333333E-3</v>
      </c>
      <c r="E2003" s="1">
        <v>0</v>
      </c>
      <c r="F2003" s="1">
        <v>0</v>
      </c>
      <c r="G2003" s="1">
        <v>94</v>
      </c>
      <c r="H2003" s="1">
        <v>0</v>
      </c>
      <c r="I2003" s="1">
        <v>2</v>
      </c>
      <c r="J2003" s="1">
        <v>3</v>
      </c>
      <c r="K2003" s="1">
        <v>4</v>
      </c>
      <c r="L2003" s="1">
        <v>1</v>
      </c>
      <c r="M2003" s="1">
        <v>5</v>
      </c>
      <c r="N2003" s="1">
        <v>1</v>
      </c>
      <c r="O2003" s="1">
        <v>0</v>
      </c>
      <c r="P2003" s="1">
        <v>0</v>
      </c>
      <c r="Q2003" s="1">
        <v>3</v>
      </c>
      <c r="R2003" s="1">
        <v>6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33</v>
      </c>
      <c r="AA2003" s="1" t="str" cm="1">
        <f t="array" ref="AA2003">_xlfn.IFS(AND(Z2003&lt;36, Z2003&gt;23), "24-35", AND(Z2003&lt;51, Z2003&gt;35),"36-50", AND(Z2003&lt;66, Z2003&gt;50), "51-66", Z2003&gt;65, "66+", TRUE, "?")</f>
        <v>24-35</v>
      </c>
      <c r="AB2003" s="1">
        <v>2695</v>
      </c>
      <c r="AC2003" s="1">
        <v>0</v>
      </c>
      <c r="AD2003" s="1">
        <v>1</v>
      </c>
      <c r="AE2003" s="1">
        <v>0</v>
      </c>
      <c r="AF2003" s="1">
        <v>0</v>
      </c>
      <c r="AG2003" s="1">
        <v>0</v>
      </c>
      <c r="AH2003" s="1">
        <v>0</v>
      </c>
      <c r="AI2003" s="1">
        <v>1</v>
      </c>
      <c r="AJ2003" s="1">
        <v>0</v>
      </c>
      <c r="AK2003" s="1">
        <v>0</v>
      </c>
      <c r="AL2003" s="1">
        <v>5</v>
      </c>
      <c r="AM2003" s="2">
        <v>42154</v>
      </c>
      <c r="AN2003" t="str">
        <f t="shared" si="63"/>
        <v>7500,10,0.00133333333333333,0,0,94,0,2,3,4,1,5,1,0,0,3,6,0,0,0,0,0,0,0,33,24-35,2695,0,1,0,0,0,0,1,0,0,5,42154</v>
      </c>
    </row>
    <row r="2004" spans="1:40" ht="13" hidden="1" x14ac:dyDescent="0.15">
      <c r="A2004">
        <v>814</v>
      </c>
      <c r="B2004" s="1">
        <v>19485</v>
      </c>
      <c r="C2004" s="1">
        <v>10</v>
      </c>
      <c r="D2004" s="4">
        <f t="shared" si="62"/>
        <v>5.1321529381575571E-4</v>
      </c>
      <c r="E2004" s="1">
        <v>2</v>
      </c>
      <c r="F2004" s="1">
        <v>0</v>
      </c>
      <c r="G2004" s="1">
        <v>80</v>
      </c>
      <c r="H2004" s="1">
        <v>6</v>
      </c>
      <c r="I2004" s="1">
        <v>0</v>
      </c>
      <c r="J2004" s="1">
        <v>4</v>
      </c>
      <c r="K2004" s="1">
        <v>0</v>
      </c>
      <c r="L2004" s="1">
        <v>0</v>
      </c>
      <c r="M2004" s="1">
        <v>0</v>
      </c>
      <c r="N2004" s="1">
        <v>1</v>
      </c>
      <c r="O2004" s="1">
        <v>1</v>
      </c>
      <c r="P2004" s="1">
        <v>0</v>
      </c>
      <c r="Q2004" s="1">
        <v>2</v>
      </c>
      <c r="R2004" s="1">
        <v>7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34</v>
      </c>
      <c r="AA2004" s="1" t="str" cm="1">
        <f t="array" ref="AA2004">_xlfn.IFS(AND(Z2004&lt;36, Z2004&gt;23), "24-35", AND(Z2004&lt;51, Z2004&gt;35),"36-50", AND(Z2004&lt;66, Z2004&gt;50), "51-66", Z2004&gt;65, "66+", TRUE, "?")</f>
        <v>24-35</v>
      </c>
      <c r="AB2004" s="1">
        <v>2437</v>
      </c>
      <c r="AC2004" s="1">
        <v>0</v>
      </c>
      <c r="AD2004" s="1">
        <v>0</v>
      </c>
      <c r="AE2004" s="1">
        <v>1</v>
      </c>
      <c r="AF2004" s="1">
        <v>0</v>
      </c>
      <c r="AG2004" s="1">
        <v>0</v>
      </c>
      <c r="AH2004" s="1">
        <v>0</v>
      </c>
      <c r="AI2004" s="1">
        <v>0</v>
      </c>
      <c r="AJ2004" s="1">
        <v>1</v>
      </c>
      <c r="AK2004" s="1">
        <v>0</v>
      </c>
      <c r="AL2004" s="1">
        <v>10</v>
      </c>
      <c r="AM2004" s="2">
        <v>42412</v>
      </c>
      <c r="AN2004" t="str">
        <f t="shared" si="63"/>
        <v>19485,10,0.000513215293815756,2,0,80,6,0,4,0,0,0,1,1,0,2,7,0,0,0,0,0,0,0,34,24-35,2437,0,0,1,0,0,0,0,1,0,10,42412</v>
      </c>
    </row>
    <row r="2005" spans="1:40" ht="13" hidden="1" x14ac:dyDescent="0.15">
      <c r="A2005">
        <v>1211</v>
      </c>
      <c r="B2005" s="1">
        <v>42997</v>
      </c>
      <c r="C2005" s="1">
        <v>10</v>
      </c>
      <c r="D2005" s="4">
        <f t="shared" si="62"/>
        <v>2.3257436565341769E-4</v>
      </c>
      <c r="E2005" s="1">
        <v>1</v>
      </c>
      <c r="F2005" s="1">
        <v>1</v>
      </c>
      <c r="G2005" s="1">
        <v>91</v>
      </c>
      <c r="H2005" s="1">
        <v>4</v>
      </c>
      <c r="I2005" s="1">
        <v>0</v>
      </c>
      <c r="J2005" s="1">
        <v>5</v>
      </c>
      <c r="K2005" s="1">
        <v>0</v>
      </c>
      <c r="L2005" s="1">
        <v>1</v>
      </c>
      <c r="M2005" s="1">
        <v>5</v>
      </c>
      <c r="N2005" s="1">
        <v>1</v>
      </c>
      <c r="O2005" s="1">
        <v>1</v>
      </c>
      <c r="P2005" s="1">
        <v>0</v>
      </c>
      <c r="Q2005" s="1">
        <v>2</v>
      </c>
      <c r="R2005" s="1">
        <v>7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43</v>
      </c>
      <c r="AA2005" s="1" t="str" cm="1">
        <f t="array" ref="AA2005">_xlfn.IFS(AND(Z2005&lt;36, Z2005&gt;23), "24-35", AND(Z2005&lt;51, Z2005&gt;35),"36-50", AND(Z2005&lt;66, Z2005&gt;50), "51-66", Z2005&gt;65, "66+", TRUE, "?")</f>
        <v>36-50</v>
      </c>
      <c r="AB2005" s="1">
        <v>2363</v>
      </c>
      <c r="AC2005" s="1">
        <v>0</v>
      </c>
      <c r="AD2005" s="1">
        <v>0</v>
      </c>
      <c r="AE2005" s="1">
        <v>1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1</v>
      </c>
      <c r="AL2005" s="1">
        <v>5</v>
      </c>
      <c r="AM2005" s="2">
        <v>42486</v>
      </c>
      <c r="AN2005" t="str">
        <f t="shared" si="63"/>
        <v>42997,10,0.000232574365653418,1,1,91,4,0,5,0,1,5,1,1,0,2,7,0,0,0,0,0,0,0,43,36-50,2363,0,0,1,0,0,0,0,0,1,5,42486</v>
      </c>
    </row>
    <row r="2006" spans="1:40" ht="13" hidden="1" x14ac:dyDescent="0.15">
      <c r="A2006">
        <v>71</v>
      </c>
      <c r="B2006" s="1">
        <v>26326</v>
      </c>
      <c r="C2006" s="1">
        <v>9</v>
      </c>
      <c r="D2006" s="4">
        <f t="shared" si="62"/>
        <v>3.4186735546607914E-4</v>
      </c>
      <c r="E2006" s="1">
        <v>0</v>
      </c>
      <c r="F2006" s="1">
        <v>0</v>
      </c>
      <c r="G2006" s="1">
        <v>12</v>
      </c>
      <c r="H2006" s="1">
        <v>1</v>
      </c>
      <c r="I2006" s="1">
        <v>0</v>
      </c>
      <c r="J2006" s="1">
        <v>5</v>
      </c>
      <c r="K2006" s="1">
        <v>0</v>
      </c>
      <c r="L2006" s="1">
        <v>3</v>
      </c>
      <c r="M2006" s="1">
        <v>9</v>
      </c>
      <c r="N2006" s="1">
        <v>1</v>
      </c>
      <c r="O2006" s="1">
        <v>0</v>
      </c>
      <c r="P2006" s="1">
        <v>0</v>
      </c>
      <c r="Q2006" s="1">
        <v>3</v>
      </c>
      <c r="R2006" s="1">
        <v>3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1</v>
      </c>
      <c r="Y2006" s="1">
        <v>0</v>
      </c>
      <c r="Z2006" s="1">
        <v>44</v>
      </c>
      <c r="AA2006" s="1" t="str" cm="1">
        <f t="array" ref="AA2006">_xlfn.IFS(AND(Z2006&lt;36, Z2006&gt;23), "24-35", AND(Z2006&lt;51, Z2006&gt;35),"36-50", AND(Z2006&lt;66, Z2006&gt;50), "51-66", Z2006&gt;65, "66+", TRUE, "?")</f>
        <v>36-50</v>
      </c>
      <c r="AB2006" s="1">
        <v>2457</v>
      </c>
      <c r="AC2006" s="1">
        <v>0</v>
      </c>
      <c r="AD2006" s="1">
        <v>0</v>
      </c>
      <c r="AE2006" s="1">
        <v>0</v>
      </c>
      <c r="AF2006" s="1">
        <v>1</v>
      </c>
      <c r="AG2006" s="1">
        <v>0</v>
      </c>
      <c r="AH2006" s="1">
        <v>1</v>
      </c>
      <c r="AI2006" s="1">
        <v>0</v>
      </c>
      <c r="AJ2006" s="1">
        <v>0</v>
      </c>
      <c r="AK2006" s="1">
        <v>0</v>
      </c>
      <c r="AL2006" s="1">
        <v>0</v>
      </c>
      <c r="AM2006" s="2">
        <v>42392</v>
      </c>
      <c r="AN2006" t="str">
        <f t="shared" si="63"/>
        <v>26326,9,0.000341867355466079,0,0,12,1,0,5,0,3,9,1,0,0,3,3,0,0,0,0,0,1,0,44,36-50,2457,0,0,0,1,0,1,0,0,0,0,42392</v>
      </c>
    </row>
    <row r="2007" spans="1:40" ht="13" hidden="1" x14ac:dyDescent="0.15">
      <c r="A2007">
        <v>163</v>
      </c>
      <c r="B2007" s="1">
        <v>38285</v>
      </c>
      <c r="C2007" s="1">
        <v>9</v>
      </c>
      <c r="D2007" s="4">
        <f t="shared" si="62"/>
        <v>2.350790126681468E-4</v>
      </c>
      <c r="E2007" s="1">
        <v>2</v>
      </c>
      <c r="F2007" s="1">
        <v>1</v>
      </c>
      <c r="G2007" s="1">
        <v>96</v>
      </c>
      <c r="H2007" s="1">
        <v>2</v>
      </c>
      <c r="I2007" s="1">
        <v>0</v>
      </c>
      <c r="J2007" s="1">
        <v>5</v>
      </c>
      <c r="K2007" s="1">
        <v>2</v>
      </c>
      <c r="L2007" s="1">
        <v>0</v>
      </c>
      <c r="M2007" s="1">
        <v>1</v>
      </c>
      <c r="N2007" s="1">
        <v>1</v>
      </c>
      <c r="O2007" s="1">
        <v>0</v>
      </c>
      <c r="P2007" s="1">
        <v>0</v>
      </c>
      <c r="Q2007" s="1">
        <v>3</v>
      </c>
      <c r="R2007" s="1">
        <v>2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61</v>
      </c>
      <c r="AA2007" s="1" t="str" cm="1">
        <f t="array" ref="AA2007">_xlfn.IFS(AND(Z2007&lt;36, Z2007&gt;23), "24-35", AND(Z2007&lt;51, Z2007&gt;35),"36-50", AND(Z2007&lt;66, Z2007&gt;50), "51-66", Z2007&gt;65, "66+", TRUE, "?")</f>
        <v>51-66</v>
      </c>
      <c r="AB2007" s="1">
        <v>2164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1</v>
      </c>
      <c r="AJ2007" s="1">
        <v>0</v>
      </c>
      <c r="AK2007" s="1">
        <v>0</v>
      </c>
      <c r="AL2007" s="1">
        <v>8</v>
      </c>
      <c r="AM2007" s="2">
        <v>42685</v>
      </c>
      <c r="AN2007" t="str">
        <f t="shared" si="63"/>
        <v>38285,9,0.000235079012668147,2,1,96,2,0,5,2,0,1,1,0,0,3,2,0,0,0,0,0,0,0,61,51-66,2164,0,0,0,1,0,0,1,0,0,8,42685</v>
      </c>
    </row>
    <row r="2008" spans="1:40" ht="13" hidden="1" x14ac:dyDescent="0.15">
      <c r="A2008">
        <v>394</v>
      </c>
      <c r="B2008" s="1">
        <v>18492</v>
      </c>
      <c r="C2008" s="1">
        <v>9</v>
      </c>
      <c r="D2008" s="4">
        <f t="shared" si="62"/>
        <v>4.8669695003244649E-4</v>
      </c>
      <c r="E2008" s="1">
        <v>1</v>
      </c>
      <c r="F2008" s="1">
        <v>0</v>
      </c>
      <c r="G2008" s="1">
        <v>75</v>
      </c>
      <c r="H2008" s="1">
        <v>2</v>
      </c>
      <c r="I2008" s="1">
        <v>2</v>
      </c>
      <c r="J2008" s="1">
        <v>2</v>
      </c>
      <c r="K2008" s="1">
        <v>2</v>
      </c>
      <c r="L2008" s="1">
        <v>1</v>
      </c>
      <c r="M2008" s="1">
        <v>1</v>
      </c>
      <c r="N2008" s="1">
        <v>1</v>
      </c>
      <c r="O2008" s="1">
        <v>1</v>
      </c>
      <c r="P2008" s="1">
        <v>0</v>
      </c>
      <c r="Q2008" s="1">
        <v>2</v>
      </c>
      <c r="R2008" s="1">
        <v>8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38</v>
      </c>
      <c r="AA2008" s="1" t="str" cm="1">
        <f t="array" ref="AA2008">_xlfn.IFS(AND(Z2008&lt;36, Z2008&gt;23), "24-35", AND(Z2008&lt;51, Z2008&gt;35),"36-50", AND(Z2008&lt;66, Z2008&gt;50), "51-66", Z2008&gt;65, "66+", TRUE, "?")</f>
        <v>36-50</v>
      </c>
      <c r="AB2008" s="1">
        <v>2183</v>
      </c>
      <c r="AC2008" s="1">
        <v>0</v>
      </c>
      <c r="AD2008" s="1">
        <v>0</v>
      </c>
      <c r="AE2008" s="1">
        <v>0</v>
      </c>
      <c r="AF2008" s="1">
        <v>1</v>
      </c>
      <c r="AG2008" s="1">
        <v>0</v>
      </c>
      <c r="AH2008" s="1">
        <v>0</v>
      </c>
      <c r="AI2008" s="1">
        <v>0</v>
      </c>
      <c r="AJ2008" s="1">
        <v>1</v>
      </c>
      <c r="AK2008" s="1">
        <v>0</v>
      </c>
      <c r="AL2008" s="1">
        <v>8</v>
      </c>
      <c r="AM2008" s="2">
        <v>42666</v>
      </c>
      <c r="AN2008" t="str">
        <f t="shared" si="63"/>
        <v>18492,9,0.000486696950032446,1,0,75,2,2,2,2,1,1,1,1,0,2,8,0,0,0,0,0,0,0,38,36-50,2183,0,0,0,1,0,0,0,1,0,8,42666</v>
      </c>
    </row>
    <row r="2009" spans="1:40" ht="13" hidden="1" x14ac:dyDescent="0.15">
      <c r="A2009">
        <v>1171</v>
      </c>
      <c r="B2009" s="1">
        <v>20427</v>
      </c>
      <c r="C2009" s="1">
        <v>9</v>
      </c>
      <c r="D2009" s="4">
        <f t="shared" si="62"/>
        <v>4.4059333235423704E-4</v>
      </c>
      <c r="E2009" s="1">
        <v>1</v>
      </c>
      <c r="F2009" s="1">
        <v>0</v>
      </c>
      <c r="G2009" s="1">
        <v>63</v>
      </c>
      <c r="H2009" s="1">
        <v>5</v>
      </c>
      <c r="I2009" s="1">
        <v>0</v>
      </c>
      <c r="J2009" s="1">
        <v>4</v>
      </c>
      <c r="K2009" s="1">
        <v>0</v>
      </c>
      <c r="L2009" s="1">
        <v>0</v>
      </c>
      <c r="M2009" s="1">
        <v>1</v>
      </c>
      <c r="N2009" s="1">
        <v>1</v>
      </c>
      <c r="O2009" s="1">
        <v>1</v>
      </c>
      <c r="P2009" s="1">
        <v>0</v>
      </c>
      <c r="Q2009" s="1">
        <v>2</v>
      </c>
      <c r="R2009" s="1">
        <v>8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47</v>
      </c>
      <c r="AA2009" s="1" t="str" cm="1">
        <f t="array" ref="AA2009">_xlfn.IFS(AND(Z2009&lt;36, Z2009&gt;23), "24-35", AND(Z2009&lt;51, Z2009&gt;35),"36-50", AND(Z2009&lt;66, Z2009&gt;50), "51-66", Z2009&gt;65, "66+", TRUE, "?")</f>
        <v>36-50</v>
      </c>
      <c r="AB2009" s="1">
        <v>2256</v>
      </c>
      <c r="AC2009" s="1">
        <v>0</v>
      </c>
      <c r="AD2009" s="1">
        <v>0</v>
      </c>
      <c r="AE2009" s="1">
        <v>0</v>
      </c>
      <c r="AF2009" s="1">
        <v>1</v>
      </c>
      <c r="AG2009" s="1">
        <v>0</v>
      </c>
      <c r="AH2009" s="1">
        <v>0</v>
      </c>
      <c r="AI2009" s="1">
        <v>0</v>
      </c>
      <c r="AJ2009" s="1">
        <v>0</v>
      </c>
      <c r="AK2009" s="1">
        <v>1</v>
      </c>
      <c r="AL2009" s="1">
        <v>8</v>
      </c>
      <c r="AM2009" s="2">
        <v>42593</v>
      </c>
      <c r="AN2009" t="str">
        <f t="shared" si="63"/>
        <v>20427,9,0.000440593332354237,1,0,63,5,0,4,0,0,1,1,1,0,2,8,0,0,0,0,0,0,0,47,36-50,2256,0,0,0,1,0,0,0,0,1,8,42593</v>
      </c>
    </row>
    <row r="2010" spans="1:40" ht="13" hidden="1" x14ac:dyDescent="0.15">
      <c r="A2010">
        <v>1543</v>
      </c>
      <c r="B2010" s="1">
        <v>23536</v>
      </c>
      <c r="C2010" s="1">
        <v>9</v>
      </c>
      <c r="D2010" s="4">
        <f t="shared" si="62"/>
        <v>3.823929299796057E-4</v>
      </c>
      <c r="E2010" s="1">
        <v>1</v>
      </c>
      <c r="F2010" s="1">
        <v>0</v>
      </c>
      <c r="G2010" s="1">
        <v>53</v>
      </c>
      <c r="H2010" s="1">
        <v>6</v>
      </c>
      <c r="I2010" s="1">
        <v>0</v>
      </c>
      <c r="J2010" s="1">
        <v>3</v>
      </c>
      <c r="K2010" s="1">
        <v>0</v>
      </c>
      <c r="L2010" s="1">
        <v>0</v>
      </c>
      <c r="M2010" s="1">
        <v>1</v>
      </c>
      <c r="N2010" s="1">
        <v>1</v>
      </c>
      <c r="O2010" s="1">
        <v>0</v>
      </c>
      <c r="P2010" s="1">
        <v>0</v>
      </c>
      <c r="Q2010" s="1">
        <v>3</v>
      </c>
      <c r="R2010" s="1">
        <v>3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37</v>
      </c>
      <c r="AA2010" s="1" t="str" cm="1">
        <f t="array" ref="AA2010">_xlfn.IFS(AND(Z2010&lt;36, Z2010&gt;23), "24-35", AND(Z2010&lt;51, Z2010&gt;35),"36-50", AND(Z2010&lt;66, Z2010&gt;50), "51-66", Z2010&gt;65, "66+", TRUE, "?")</f>
        <v>36-50</v>
      </c>
      <c r="AB2010" s="1">
        <v>2184</v>
      </c>
      <c r="AC2010" s="1">
        <v>0</v>
      </c>
      <c r="AD2010" s="1">
        <v>1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1</v>
      </c>
      <c r="AL2010" s="1">
        <v>8</v>
      </c>
      <c r="AM2010" s="2">
        <v>42665</v>
      </c>
      <c r="AN2010" t="str">
        <f t="shared" si="63"/>
        <v>23536,9,0.000382392929979606,1,0,53,6,0,3,0,0,1,1,0,0,3,3,0,0,0,0,0,0,0,37,36-50,2184,0,1,0,0,0,0,0,0,1,8,42665</v>
      </c>
    </row>
    <row r="2011" spans="1:40" ht="13" hidden="1" x14ac:dyDescent="0.15">
      <c r="A2011">
        <v>1577</v>
      </c>
      <c r="B2011" s="1">
        <v>17688</v>
      </c>
      <c r="C2011" s="1">
        <v>9</v>
      </c>
      <c r="D2011" s="4">
        <f t="shared" si="62"/>
        <v>5.088195386702849E-4</v>
      </c>
      <c r="E2011" s="1">
        <v>1</v>
      </c>
      <c r="F2011" s="1">
        <v>0</v>
      </c>
      <c r="G2011" s="1">
        <v>82</v>
      </c>
      <c r="H2011" s="1">
        <v>2</v>
      </c>
      <c r="I2011" s="1">
        <v>2</v>
      </c>
      <c r="J2011" s="1">
        <v>1</v>
      </c>
      <c r="K2011" s="1">
        <v>3</v>
      </c>
      <c r="L2011" s="1">
        <v>1</v>
      </c>
      <c r="M2011" s="1">
        <v>2</v>
      </c>
      <c r="N2011" s="1">
        <v>1</v>
      </c>
      <c r="O2011" s="1">
        <v>1</v>
      </c>
      <c r="P2011" s="1">
        <v>0</v>
      </c>
      <c r="Q2011" s="1">
        <v>2</v>
      </c>
      <c r="R2011" s="1">
        <v>8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1</v>
      </c>
      <c r="Y2011" s="1">
        <v>0</v>
      </c>
      <c r="Z2011" s="1">
        <v>41</v>
      </c>
      <c r="AA2011" s="1" t="str" cm="1">
        <f t="array" ref="AA2011">_xlfn.IFS(AND(Z2011&lt;36, Z2011&gt;23), "24-35", AND(Z2011&lt;51, Z2011&gt;35),"36-50", AND(Z2011&lt;66, Z2011&gt;50), "51-66", Z2011&gt;65, "66+", TRUE, "?")</f>
        <v>36-50</v>
      </c>
      <c r="AB2011" s="1">
        <v>2691</v>
      </c>
      <c r="AC2011" s="1">
        <v>0</v>
      </c>
      <c r="AD2011" s="1">
        <v>1</v>
      </c>
      <c r="AE2011" s="1">
        <v>0</v>
      </c>
      <c r="AF2011" s="1">
        <v>0</v>
      </c>
      <c r="AG2011" s="1">
        <v>0</v>
      </c>
      <c r="AH2011" s="1">
        <v>0</v>
      </c>
      <c r="AI2011" s="1">
        <v>1</v>
      </c>
      <c r="AJ2011" s="1">
        <v>0</v>
      </c>
      <c r="AK2011" s="1">
        <v>0</v>
      </c>
      <c r="AL2011" s="1">
        <v>7</v>
      </c>
      <c r="AM2011" s="2">
        <v>42158</v>
      </c>
      <c r="AN2011" t="str">
        <f t="shared" si="63"/>
        <v>17688,9,0.000508819538670285,1,0,82,2,2,1,3,1,2,1,1,0,2,8,0,0,0,0,0,1,0,41,36-50,2691,0,1,0,0,0,0,1,0,0,7,42158</v>
      </c>
    </row>
    <row r="2012" spans="1:40" ht="13" hidden="1" x14ac:dyDescent="0.15">
      <c r="A2012">
        <v>147</v>
      </c>
      <c r="B2012" s="1">
        <v>30523</v>
      </c>
      <c r="C2012" s="1">
        <v>8</v>
      </c>
      <c r="D2012" s="4">
        <f t="shared" si="62"/>
        <v>2.6209743472135769E-4</v>
      </c>
      <c r="E2012" s="1">
        <v>2</v>
      </c>
      <c r="F2012" s="1">
        <v>1</v>
      </c>
      <c r="G2012" s="1">
        <v>0</v>
      </c>
      <c r="H2012" s="1">
        <v>5</v>
      </c>
      <c r="I2012" s="1">
        <v>0</v>
      </c>
      <c r="J2012" s="1">
        <v>3</v>
      </c>
      <c r="K2012" s="1">
        <v>0</v>
      </c>
      <c r="L2012" s="1">
        <v>0</v>
      </c>
      <c r="M2012" s="1">
        <v>5</v>
      </c>
      <c r="N2012" s="1">
        <v>1</v>
      </c>
      <c r="O2012" s="1">
        <v>1</v>
      </c>
      <c r="P2012" s="1">
        <v>0</v>
      </c>
      <c r="Q2012" s="1">
        <v>2</v>
      </c>
      <c r="R2012" s="1">
        <v>7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62</v>
      </c>
      <c r="AA2012" s="1" t="str" cm="1">
        <f t="array" ref="AA2012">_xlfn.IFS(AND(Z2012&lt;36, Z2012&gt;23), "24-35", AND(Z2012&lt;51, Z2012&gt;35),"36-50", AND(Z2012&lt;66, Z2012&gt;50), "51-66", Z2012&gt;65, "66+", TRUE, "?")</f>
        <v>51-66</v>
      </c>
      <c r="AB2012" s="1">
        <v>2522</v>
      </c>
      <c r="AC2012" s="1">
        <v>0</v>
      </c>
      <c r="AD2012" s="1">
        <v>0</v>
      </c>
      <c r="AE2012" s="1">
        <v>1</v>
      </c>
      <c r="AF2012" s="1">
        <v>0</v>
      </c>
      <c r="AG2012" s="1">
        <v>0</v>
      </c>
      <c r="AH2012" s="1">
        <v>0</v>
      </c>
      <c r="AI2012" s="1">
        <v>0</v>
      </c>
      <c r="AJ2012" s="1">
        <v>1</v>
      </c>
      <c r="AK2012" s="1">
        <v>0</v>
      </c>
      <c r="AL2012" s="1">
        <v>3</v>
      </c>
      <c r="AM2012" s="2">
        <v>42327</v>
      </c>
      <c r="AN2012" t="str">
        <f t="shared" si="63"/>
        <v>30523,8,0.000262097434721358,2,1,0,5,0,3,0,0,5,1,1,0,2,7,0,0,0,0,0,0,0,62,51-66,2522,0,0,1,0,0,0,0,1,0,3,42327</v>
      </c>
    </row>
    <row r="2013" spans="1:40" ht="13" hidden="1" x14ac:dyDescent="0.15">
      <c r="A2013">
        <v>1099</v>
      </c>
      <c r="B2013" s="1">
        <v>14421</v>
      </c>
      <c r="C2013" s="1">
        <v>8</v>
      </c>
      <c r="D2013" s="4">
        <f t="shared" si="62"/>
        <v>5.5474655016989115E-4</v>
      </c>
      <c r="E2013" s="1">
        <v>0</v>
      </c>
      <c r="F2013" s="1">
        <v>0</v>
      </c>
      <c r="G2013" s="1">
        <v>81</v>
      </c>
      <c r="H2013" s="1">
        <v>0</v>
      </c>
      <c r="I2013" s="1">
        <v>0</v>
      </c>
      <c r="J2013" s="1">
        <v>2</v>
      </c>
      <c r="K2013" s="1">
        <v>3</v>
      </c>
      <c r="L2013" s="1">
        <v>3</v>
      </c>
      <c r="M2013" s="1">
        <v>8</v>
      </c>
      <c r="N2013" s="1">
        <v>1</v>
      </c>
      <c r="O2013" s="1">
        <v>1</v>
      </c>
      <c r="P2013" s="1">
        <v>0</v>
      </c>
      <c r="Q2013" s="1">
        <v>2</v>
      </c>
      <c r="R2013" s="1">
        <v>5</v>
      </c>
      <c r="S2013" s="1">
        <v>0</v>
      </c>
      <c r="T2013" s="1">
        <v>0</v>
      </c>
      <c r="U2013" s="1">
        <v>1</v>
      </c>
      <c r="V2013" s="1">
        <v>0</v>
      </c>
      <c r="W2013" s="1">
        <v>0</v>
      </c>
      <c r="X2013" s="1">
        <v>0</v>
      </c>
      <c r="Y2013" s="1">
        <v>0</v>
      </c>
      <c r="Z2013" s="1">
        <v>24</v>
      </c>
      <c r="AA2013" s="1" t="str" cm="1">
        <f t="array" ref="AA2013">_xlfn.IFS(AND(Z2013&lt;36, Z2013&gt;23), "24-35", AND(Z2013&lt;51, Z2013&gt;35),"36-50", AND(Z2013&lt;66, Z2013&gt;50), "51-66", Z2013&gt;65, "66+", TRUE, "?")</f>
        <v>24-35</v>
      </c>
      <c r="AB2013" s="1">
        <v>2291</v>
      </c>
      <c r="AC2013" s="1">
        <v>0</v>
      </c>
      <c r="AD2013" s="1">
        <v>1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2">
        <v>42558</v>
      </c>
      <c r="AN2013" t="str">
        <f t="shared" si="63"/>
        <v>14421,8,0.000554746550169891,0,0,81,0,0,2,3,3,8,1,1,0,2,5,0,0,1,0,0,0,0,24,24-35,2291,0,1,0,0,0,0,0,0,0,0,42558</v>
      </c>
    </row>
    <row r="2014" spans="1:40" ht="13" hidden="1" x14ac:dyDescent="0.15">
      <c r="A2014">
        <v>1321</v>
      </c>
      <c r="B2014" s="1">
        <v>34578</v>
      </c>
      <c r="C2014" s="1">
        <v>8</v>
      </c>
      <c r="D2014" s="4">
        <f t="shared" si="62"/>
        <v>2.3136098097055932E-4</v>
      </c>
      <c r="E2014" s="1">
        <v>2</v>
      </c>
      <c r="F2014" s="1">
        <v>1</v>
      </c>
      <c r="G2014" s="1">
        <v>1</v>
      </c>
      <c r="H2014" s="1">
        <v>7</v>
      </c>
      <c r="I2014" s="1">
        <v>0</v>
      </c>
      <c r="J2014" s="1">
        <v>1</v>
      </c>
      <c r="K2014" s="1">
        <v>0</v>
      </c>
      <c r="L2014" s="1">
        <v>0</v>
      </c>
      <c r="M2014" s="1">
        <v>0</v>
      </c>
      <c r="N2014" s="1">
        <v>1</v>
      </c>
      <c r="O2014" s="1">
        <v>1</v>
      </c>
      <c r="P2014" s="1">
        <v>0</v>
      </c>
      <c r="Q2014" s="1">
        <v>2</v>
      </c>
      <c r="R2014" s="1">
        <v>6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48</v>
      </c>
      <c r="AA2014" s="1" t="str" cm="1">
        <f t="array" ref="AA2014">_xlfn.IFS(AND(Z2014&lt;36, Z2014&gt;23), "24-35", AND(Z2014&lt;51, Z2014&gt;35),"36-50", AND(Z2014&lt;66, Z2014&gt;50), "51-66", Z2014&gt;65, "66+", TRUE, "?")</f>
        <v>36-50</v>
      </c>
      <c r="AB2014" s="1">
        <v>2238</v>
      </c>
      <c r="AC2014" s="1">
        <v>0</v>
      </c>
      <c r="AD2014" s="1">
        <v>0</v>
      </c>
      <c r="AE2014" s="1">
        <v>0</v>
      </c>
      <c r="AF2014" s="1">
        <v>1</v>
      </c>
      <c r="AG2014" s="1">
        <v>0</v>
      </c>
      <c r="AH2014" s="1">
        <v>0</v>
      </c>
      <c r="AI2014" s="1">
        <v>0</v>
      </c>
      <c r="AJ2014" s="1">
        <v>0</v>
      </c>
      <c r="AK2014" s="1">
        <v>1</v>
      </c>
      <c r="AL2014" s="1">
        <v>8</v>
      </c>
      <c r="AM2014" s="2">
        <v>42611</v>
      </c>
      <c r="AN2014" t="str">
        <f t="shared" si="63"/>
        <v>34578,8,0.000231360980970559,2,1,1,7,0,1,0,0,0,1,1,0,2,6,0,0,0,0,0,0,0,48,36-50,2238,0,0,0,1,0,0,0,0,1,8,42611</v>
      </c>
    </row>
    <row r="2015" spans="1:40" ht="13" hidden="1" x14ac:dyDescent="0.15">
      <c r="A2015">
        <v>1657</v>
      </c>
      <c r="B2015" s="1">
        <v>32583</v>
      </c>
      <c r="C2015" s="1">
        <v>8</v>
      </c>
      <c r="D2015" s="4">
        <f t="shared" si="62"/>
        <v>2.4552680845839857E-4</v>
      </c>
      <c r="E2015" s="1">
        <v>1</v>
      </c>
      <c r="F2015" s="1">
        <v>1</v>
      </c>
      <c r="G2015" s="1">
        <v>10</v>
      </c>
      <c r="H2015" s="1">
        <v>5</v>
      </c>
      <c r="I2015" s="1">
        <v>0</v>
      </c>
      <c r="J2015" s="1">
        <v>3</v>
      </c>
      <c r="K2015" s="1">
        <v>0</v>
      </c>
      <c r="L2015" s="1">
        <v>0</v>
      </c>
      <c r="M2015" s="1">
        <v>1</v>
      </c>
      <c r="N2015" s="1">
        <v>1</v>
      </c>
      <c r="O2015" s="1">
        <v>1</v>
      </c>
      <c r="P2015" s="1">
        <v>0</v>
      </c>
      <c r="Q2015" s="1">
        <v>2</v>
      </c>
      <c r="R2015" s="1">
        <v>7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59</v>
      </c>
      <c r="AA2015" s="1" t="str" cm="1">
        <f t="array" ref="AA2015">_xlfn.IFS(AND(Z2015&lt;36, Z2015&gt;23), "24-35", AND(Z2015&lt;51, Z2015&gt;35),"36-50", AND(Z2015&lt;66, Z2015&gt;50), "51-66", Z2015&gt;65, "66+", TRUE, "?")</f>
        <v>51-66</v>
      </c>
      <c r="AB2015" s="1">
        <v>2173</v>
      </c>
      <c r="AC2015" s="1">
        <v>0</v>
      </c>
      <c r="AD2015" s="1">
        <v>0</v>
      </c>
      <c r="AE2015" s="1">
        <v>0</v>
      </c>
      <c r="AF2015" s="1">
        <v>1</v>
      </c>
      <c r="AG2015" s="1">
        <v>0</v>
      </c>
      <c r="AH2015" s="1">
        <v>0</v>
      </c>
      <c r="AI2015" s="1">
        <v>0</v>
      </c>
      <c r="AJ2015" s="1">
        <v>0</v>
      </c>
      <c r="AK2015" s="1">
        <v>1</v>
      </c>
      <c r="AL2015" s="1">
        <v>7</v>
      </c>
      <c r="AM2015" s="2">
        <v>42676</v>
      </c>
      <c r="AN2015" t="str">
        <f t="shared" si="63"/>
        <v>32583,8,0.000245526808458399,1,1,10,5,0,3,0,0,1,1,1,0,2,7,0,0,0,0,0,0,0,59,51-66,2173,0,0,0,1,0,0,0,0,1,7,42676</v>
      </c>
    </row>
    <row r="2016" spans="1:40" ht="13" hidden="1" x14ac:dyDescent="0.15">
      <c r="A2016">
        <v>1683</v>
      </c>
      <c r="B2016" s="1">
        <v>4023</v>
      </c>
      <c r="C2016" s="1">
        <v>8</v>
      </c>
      <c r="D2016" s="4">
        <f t="shared" si="62"/>
        <v>1.9885657469550086E-3</v>
      </c>
      <c r="E2016" s="1">
        <v>1</v>
      </c>
      <c r="F2016" s="1">
        <v>1</v>
      </c>
      <c r="G2016" s="1">
        <v>29</v>
      </c>
      <c r="H2016" s="1">
        <v>5</v>
      </c>
      <c r="I2016" s="1">
        <v>0</v>
      </c>
      <c r="J2016" s="1">
        <v>1</v>
      </c>
      <c r="K2016" s="1">
        <v>1</v>
      </c>
      <c r="L2016" s="1">
        <v>1</v>
      </c>
      <c r="M2016" s="1">
        <v>1</v>
      </c>
      <c r="N2016" s="1">
        <v>15</v>
      </c>
      <c r="O2016" s="1">
        <v>0</v>
      </c>
      <c r="P2016" s="1">
        <v>0</v>
      </c>
      <c r="Q2016" s="1">
        <v>0</v>
      </c>
      <c r="R2016" s="1">
        <v>19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57</v>
      </c>
      <c r="AA2016" s="1" t="str" cm="1">
        <f t="array" ref="AA2016">_xlfn.IFS(AND(Z2016&lt;36, Z2016&gt;23), "24-35", AND(Z2016&lt;51, Z2016&gt;35),"36-50", AND(Z2016&lt;66, Z2016&gt;50), "51-66", Z2016&gt;65, "66+", TRUE, "?")</f>
        <v>51-66</v>
      </c>
      <c r="AB2016" s="1">
        <v>2165</v>
      </c>
      <c r="AC2016" s="1">
        <v>0</v>
      </c>
      <c r="AD2016" s="1">
        <v>1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1</v>
      </c>
      <c r="AL2016" s="1">
        <v>7</v>
      </c>
      <c r="AM2016" s="2">
        <v>42684</v>
      </c>
      <c r="AN2016" t="str">
        <f t="shared" si="63"/>
        <v>4023,8,0.00198856574695501,1,1,29,5,0,1,1,1,1,15,0,0,0,19,0,0,0,0,0,0,0,57,51-66,2165,0,1,0,0,0,0,0,0,1,7,42684</v>
      </c>
    </row>
    <row r="2017" spans="1:40" ht="13" hidden="1" x14ac:dyDescent="0.15">
      <c r="A2017">
        <v>1698</v>
      </c>
      <c r="B2017" s="1">
        <v>11448</v>
      </c>
      <c r="C2017" s="1">
        <v>8</v>
      </c>
      <c r="D2017" s="4">
        <f t="shared" si="62"/>
        <v>6.9881201956673651E-4</v>
      </c>
      <c r="E2017" s="1">
        <v>0</v>
      </c>
      <c r="F2017" s="1">
        <v>0</v>
      </c>
      <c r="G2017" s="1">
        <v>16</v>
      </c>
      <c r="H2017" s="1">
        <v>0</v>
      </c>
      <c r="I2017" s="1">
        <v>0</v>
      </c>
      <c r="J2017" s="1">
        <v>0</v>
      </c>
      <c r="K2017" s="1">
        <v>6</v>
      </c>
      <c r="L2017" s="1">
        <v>2</v>
      </c>
      <c r="M2017" s="1">
        <v>6</v>
      </c>
      <c r="N2017" s="1">
        <v>1</v>
      </c>
      <c r="O2017" s="1">
        <v>1</v>
      </c>
      <c r="P2017" s="1">
        <v>0</v>
      </c>
      <c r="Q2017" s="1">
        <v>2</v>
      </c>
      <c r="R2017" s="1">
        <v>6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45</v>
      </c>
      <c r="AA2017" s="1" t="str" cm="1">
        <f t="array" ref="AA2017">_xlfn.IFS(AND(Z2017&lt;36, Z2017&gt;23), "24-35", AND(Z2017&lt;51, Z2017&gt;35),"36-50", AND(Z2017&lt;66, Z2017&gt;50), "51-66", Z2017&gt;65, "66+", TRUE, "?")</f>
        <v>36-50</v>
      </c>
      <c r="AB2017" s="1">
        <v>2355</v>
      </c>
      <c r="AC2017" s="1">
        <v>1</v>
      </c>
      <c r="AD2017" s="1">
        <v>0</v>
      </c>
      <c r="AE2017" s="1">
        <v>0</v>
      </c>
      <c r="AF2017" s="1">
        <v>0</v>
      </c>
      <c r="AG2017" s="1">
        <v>0</v>
      </c>
      <c r="AH2017" s="1">
        <v>1</v>
      </c>
      <c r="AI2017" s="1">
        <v>0</v>
      </c>
      <c r="AJ2017" s="1">
        <v>0</v>
      </c>
      <c r="AK2017" s="1">
        <v>0</v>
      </c>
      <c r="AL2017" s="1">
        <v>2</v>
      </c>
      <c r="AM2017" s="2">
        <v>42494</v>
      </c>
      <c r="AN2017" t="str">
        <f t="shared" si="63"/>
        <v>11448,8,0.000698812019566737,0,0,16,0,0,0,6,2,6,1,1,0,2,6,0,0,0,0,0,0,0,45,36-50,2355,1,0,0,0,0,1,0,0,0,2,42494</v>
      </c>
    </row>
    <row r="2018" spans="1:40" ht="13" hidden="1" x14ac:dyDescent="0.15">
      <c r="A2018">
        <v>1923</v>
      </c>
      <c r="B2018" s="1">
        <v>25176</v>
      </c>
      <c r="C2018" s="1">
        <v>8</v>
      </c>
      <c r="D2018" s="4">
        <f t="shared" si="62"/>
        <v>3.1776294884016526E-4</v>
      </c>
      <c r="E2018" s="1">
        <v>1</v>
      </c>
      <c r="F2018" s="1">
        <v>1</v>
      </c>
      <c r="G2018" s="1">
        <v>79</v>
      </c>
      <c r="H2018" s="1">
        <v>4</v>
      </c>
      <c r="I2018" s="1">
        <v>0</v>
      </c>
      <c r="J2018" s="1">
        <v>4</v>
      </c>
      <c r="K2018" s="1">
        <v>0</v>
      </c>
      <c r="L2018" s="1">
        <v>0</v>
      </c>
      <c r="M2018" s="1">
        <v>5</v>
      </c>
      <c r="N2018" s="1">
        <v>1</v>
      </c>
      <c r="O2018" s="1">
        <v>1</v>
      </c>
      <c r="P2018" s="1">
        <v>0</v>
      </c>
      <c r="Q2018" s="1">
        <v>2</v>
      </c>
      <c r="R2018" s="1">
        <v>7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44</v>
      </c>
      <c r="AA2018" s="1" t="str" cm="1">
        <f t="array" ref="AA2018">_xlfn.IFS(AND(Z2018&lt;36, Z2018&gt;23), "24-35", AND(Z2018&lt;51, Z2018&gt;35),"36-50", AND(Z2018&lt;66, Z2018&gt;50), "51-66", Z2018&gt;65, "66+", TRUE, "?")</f>
        <v>36-50</v>
      </c>
      <c r="AB2018" s="1">
        <v>2482</v>
      </c>
      <c r="AC2018" s="1">
        <v>0</v>
      </c>
      <c r="AD2018" s="1">
        <v>0</v>
      </c>
      <c r="AE2018" s="1">
        <v>0</v>
      </c>
      <c r="AF2018" s="1">
        <v>1</v>
      </c>
      <c r="AG2018" s="1">
        <v>0</v>
      </c>
      <c r="AH2018" s="1">
        <v>1</v>
      </c>
      <c r="AI2018" s="1">
        <v>0</v>
      </c>
      <c r="AJ2018" s="1">
        <v>0</v>
      </c>
      <c r="AK2018" s="1">
        <v>0</v>
      </c>
      <c r="AL2018" s="1">
        <v>3</v>
      </c>
      <c r="AM2018" s="2">
        <v>42367</v>
      </c>
      <c r="AN2018" t="str">
        <f t="shared" si="63"/>
        <v>25176,8,0.000317762948840165,1,1,79,4,0,4,0,0,5,1,1,0,2,7,0,0,0,0,0,0,0,44,36-50,2482,0,0,0,1,0,1,0,0,0,3,42367</v>
      </c>
    </row>
    <row r="2019" spans="1:40" ht="13" hidden="1" x14ac:dyDescent="0.15">
      <c r="A2019">
        <v>1168</v>
      </c>
      <c r="B2019" s="1">
        <v>1730</v>
      </c>
      <c r="C2019" s="1">
        <v>7</v>
      </c>
      <c r="D2019" s="4">
        <f t="shared" si="62"/>
        <v>4.0462427745664737E-3</v>
      </c>
      <c r="E2019" s="1">
        <v>0</v>
      </c>
      <c r="F2019" s="1">
        <v>0</v>
      </c>
      <c r="G2019" s="1">
        <v>65</v>
      </c>
      <c r="H2019" s="1">
        <v>1</v>
      </c>
      <c r="I2019" s="1">
        <v>1</v>
      </c>
      <c r="J2019" s="1">
        <v>3</v>
      </c>
      <c r="K2019" s="1">
        <v>1</v>
      </c>
      <c r="L2019" s="1">
        <v>1</v>
      </c>
      <c r="M2019" s="1">
        <v>1</v>
      </c>
      <c r="N2019" s="1">
        <v>15</v>
      </c>
      <c r="O2019" s="1">
        <v>0</v>
      </c>
      <c r="P2019" s="1">
        <v>0</v>
      </c>
      <c r="Q2019" s="1">
        <v>0</v>
      </c>
      <c r="R2019" s="1">
        <v>20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49</v>
      </c>
      <c r="AA2019" s="1" t="str" cm="1">
        <f t="array" ref="AA2019">_xlfn.IFS(AND(Z2019&lt;36, Z2019&gt;23), "24-35", AND(Z2019&lt;51, Z2019&gt;35),"36-50", AND(Z2019&lt;66, Z2019&gt;50), "51-66", Z2019&gt;65, "66+", TRUE, "?")</f>
        <v>36-50</v>
      </c>
      <c r="AB2019" s="1">
        <v>2201</v>
      </c>
      <c r="AC2019" s="1">
        <v>1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1</v>
      </c>
      <c r="AJ2019" s="1">
        <v>0</v>
      </c>
      <c r="AK2019" s="1">
        <v>0</v>
      </c>
      <c r="AL2019" s="1">
        <v>6</v>
      </c>
      <c r="AM2019" s="2">
        <v>42648</v>
      </c>
      <c r="AN2019" t="str">
        <f t="shared" si="63"/>
        <v>1730,7,0.00404624277456647,0,0,65,1,1,3,1,1,1,15,0,0,0,20,0,0,0,0,0,0,0,49,36-50,2201,1,0,0,0,0,0,1,0,0,6,42648</v>
      </c>
    </row>
    <row r="2020" spans="1:40" ht="13" hidden="1" x14ac:dyDescent="0.15">
      <c r="A2020">
        <v>1929</v>
      </c>
      <c r="B2020" s="1">
        <v>33590</v>
      </c>
      <c r="C2020" s="1">
        <v>6</v>
      </c>
      <c r="D2020" s="4">
        <f t="shared" si="62"/>
        <v>1.7862459065197975E-4</v>
      </c>
      <c r="E2020" s="1">
        <v>2</v>
      </c>
      <c r="F2020" s="1">
        <v>1</v>
      </c>
      <c r="G2020" s="1">
        <v>65</v>
      </c>
      <c r="H2020" s="1">
        <v>4</v>
      </c>
      <c r="I2020" s="1">
        <v>0</v>
      </c>
      <c r="J2020" s="1">
        <v>2</v>
      </c>
      <c r="K2020" s="1">
        <v>0</v>
      </c>
      <c r="L2020" s="1">
        <v>0</v>
      </c>
      <c r="M2020" s="1">
        <v>2</v>
      </c>
      <c r="N2020" s="1">
        <v>1</v>
      </c>
      <c r="O2020" s="1">
        <v>1</v>
      </c>
      <c r="P2020" s="1">
        <v>0</v>
      </c>
      <c r="Q2020" s="1">
        <v>2</v>
      </c>
      <c r="R2020" s="1">
        <v>7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46</v>
      </c>
      <c r="AA2020" s="1" t="str" cm="1">
        <f t="array" ref="AA2020">_xlfn.IFS(AND(Z2020&lt;36, Z2020&gt;23), "24-35", AND(Z2020&lt;51, Z2020&gt;35),"36-50", AND(Z2020&lt;66, Z2020&gt;50), "51-66", Z2020&gt;65, "66+", TRUE, "?")</f>
        <v>36-50</v>
      </c>
      <c r="AB2020" s="1">
        <v>2397</v>
      </c>
      <c r="AC2020" s="1">
        <v>0</v>
      </c>
      <c r="AD2020" s="1">
        <v>0</v>
      </c>
      <c r="AE2020" s="1">
        <v>0</v>
      </c>
      <c r="AF2020" s="1">
        <v>1</v>
      </c>
      <c r="AG2020" s="1">
        <v>0</v>
      </c>
      <c r="AH2020" s="1">
        <v>0</v>
      </c>
      <c r="AI2020" s="1">
        <v>1</v>
      </c>
      <c r="AJ2020" s="1">
        <v>0</v>
      </c>
      <c r="AK2020" s="1">
        <v>0</v>
      </c>
      <c r="AL2020" s="1">
        <v>4</v>
      </c>
      <c r="AM2020" s="2">
        <v>42452</v>
      </c>
      <c r="AN2020" t="str">
        <f t="shared" si="63"/>
        <v>33590,6,0.00017862459065198,2,1,65,4,0,2,0,0,2,1,1,0,2,7,0,0,0,0,0,0,0,46,36-50,2397,0,0,0,1,0,0,1,0,0,4,42452</v>
      </c>
    </row>
    <row r="2021" spans="1:40" ht="13" hidden="1" x14ac:dyDescent="0.15">
      <c r="A2021">
        <v>923</v>
      </c>
      <c r="B2021" s="1">
        <v>4861</v>
      </c>
      <c r="C2021" s="1">
        <v>5</v>
      </c>
      <c r="D2021" s="4">
        <f t="shared" si="62"/>
        <v>1.0285949393128986E-3</v>
      </c>
      <c r="E2021" s="1">
        <v>0</v>
      </c>
      <c r="F2021" s="1">
        <v>0</v>
      </c>
      <c r="G2021" s="1">
        <v>20</v>
      </c>
      <c r="H2021" s="1">
        <v>2</v>
      </c>
      <c r="I2021" s="1">
        <v>1</v>
      </c>
      <c r="J2021" s="1">
        <v>1</v>
      </c>
      <c r="K2021" s="1">
        <v>1</v>
      </c>
      <c r="L2021" s="1">
        <v>0</v>
      </c>
      <c r="M2021" s="1">
        <v>1</v>
      </c>
      <c r="N2021" s="1">
        <v>0</v>
      </c>
      <c r="O2021" s="1">
        <v>0</v>
      </c>
      <c r="P2021" s="1">
        <v>0</v>
      </c>
      <c r="Q2021" s="1">
        <v>0</v>
      </c>
      <c r="R2021" s="1">
        <v>14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55</v>
      </c>
      <c r="AA2021" s="1" t="str" cm="1">
        <f t="array" ref="AA2021">_xlfn.IFS(AND(Z2021&lt;36, Z2021&gt;23), "24-35", AND(Z2021&lt;51, Z2021&gt;35),"36-50", AND(Z2021&lt;66, Z2021&gt;50), "51-66", Z2021&gt;65, "66+", TRUE, "?")</f>
        <v>51-66</v>
      </c>
      <c r="AB2021" s="1">
        <v>2166</v>
      </c>
      <c r="AC2021" s="1">
        <v>1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1</v>
      </c>
      <c r="AJ2021" s="1">
        <v>0</v>
      </c>
      <c r="AK2021" s="1">
        <v>0</v>
      </c>
      <c r="AL2021" s="1">
        <v>4</v>
      </c>
      <c r="AM2021" s="2">
        <v>42683</v>
      </c>
      <c r="AN2021" t="str">
        <f t="shared" si="63"/>
        <v>4861,5,0.0010285949393129,0,0,20,2,1,1,1,0,1,0,0,0,0,14,0,0,0,0,0,0,0,55,51-66,2166,1,0,0,0,0,0,1,0,0,4,42683</v>
      </c>
    </row>
    <row r="2022" spans="1:40" ht="13" hidden="1" x14ac:dyDescent="0.15">
      <c r="A2022">
        <v>1409</v>
      </c>
      <c r="B2022" s="1">
        <v>3502</v>
      </c>
      <c r="C2022" s="1">
        <v>4</v>
      </c>
      <c r="D2022" s="4">
        <f t="shared" si="62"/>
        <v>1.1422044545973729E-3</v>
      </c>
      <c r="E2022" s="1">
        <v>1</v>
      </c>
      <c r="F2022" s="1">
        <v>0</v>
      </c>
      <c r="G2022" s="1">
        <v>56</v>
      </c>
      <c r="H2022" s="1">
        <v>2</v>
      </c>
      <c r="I2022" s="1">
        <v>1</v>
      </c>
      <c r="J2022" s="1">
        <v>1</v>
      </c>
      <c r="K2022" s="1">
        <v>0</v>
      </c>
      <c r="L2022" s="1">
        <v>0</v>
      </c>
      <c r="M2022" s="1">
        <v>1</v>
      </c>
      <c r="N2022" s="1">
        <v>0</v>
      </c>
      <c r="O2022" s="1">
        <v>0</v>
      </c>
      <c r="P2022" s="1">
        <v>0</v>
      </c>
      <c r="Q2022" s="1">
        <v>0</v>
      </c>
      <c r="R2022" s="1">
        <v>14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47</v>
      </c>
      <c r="AA2022" s="1" t="str" cm="1">
        <f t="array" ref="AA2022">_xlfn.IFS(AND(Z2022&lt;36, Z2022&gt;23), "24-35", AND(Z2022&lt;51, Z2022&gt;35),"36-50", AND(Z2022&lt;66, Z2022&gt;50), "51-66", Z2022&gt;65, "66+", TRUE, "?")</f>
        <v>36-50</v>
      </c>
      <c r="AB2022" s="1">
        <v>2601</v>
      </c>
      <c r="AC2022" s="1">
        <v>0</v>
      </c>
      <c r="AD2022" s="1">
        <v>0</v>
      </c>
      <c r="AE2022" s="1">
        <v>1</v>
      </c>
      <c r="AF2022" s="1">
        <v>0</v>
      </c>
      <c r="AG2022" s="1">
        <v>0</v>
      </c>
      <c r="AH2022" s="1">
        <v>0</v>
      </c>
      <c r="AI2022" s="1">
        <v>1</v>
      </c>
      <c r="AJ2022" s="1">
        <v>0</v>
      </c>
      <c r="AK2022" s="1">
        <v>0</v>
      </c>
      <c r="AL2022" s="1">
        <v>3</v>
      </c>
      <c r="AM2022" s="2">
        <v>42248</v>
      </c>
      <c r="AN2022" t="str">
        <f t="shared" si="63"/>
        <v>3502,4,0.00114220445459737,1,0,56,2,1,1,0,0,1,0,0,0,0,14,0,0,0,0,0,0,0,47,36-50,2601,0,0,1,0,0,0,1,0,0,3,42248</v>
      </c>
    </row>
    <row r="2023" spans="1:40" ht="13" x14ac:dyDescent="0.15"/>
    <row r="2024" spans="1:40" ht="13" x14ac:dyDescent="0.15"/>
    <row r="2025" spans="1:40" ht="13" x14ac:dyDescent="0.15"/>
    <row r="2026" spans="1:40" ht="13" x14ac:dyDescent="0.15"/>
    <row r="2027" spans="1:40" ht="13" x14ac:dyDescent="0.15"/>
    <row r="2028" spans="1:40" ht="13" x14ac:dyDescent="0.15"/>
    <row r="2029" spans="1:40" ht="13" x14ac:dyDescent="0.15"/>
    <row r="2030" spans="1:40" ht="13" x14ac:dyDescent="0.15"/>
    <row r="2031" spans="1:40" ht="13" x14ac:dyDescent="0.15"/>
    <row r="2032" spans="1:40" ht="13" x14ac:dyDescent="0.15"/>
    <row r="2033" ht="13" x14ac:dyDescent="0.15"/>
    <row r="2034" ht="13" x14ac:dyDescent="0.15"/>
    <row r="2035" ht="13" x14ac:dyDescent="0.15"/>
    <row r="2036" ht="13" x14ac:dyDescent="0.15"/>
    <row r="2037" ht="13" x14ac:dyDescent="0.15"/>
    <row r="2038" ht="13" x14ac:dyDescent="0.15"/>
    <row r="2039" ht="13" x14ac:dyDescent="0.15"/>
    <row r="2040" ht="13" x14ac:dyDescent="0.15"/>
    <row r="2041" ht="13" x14ac:dyDescent="0.15"/>
    <row r="2042" ht="13" x14ac:dyDescent="0.15"/>
    <row r="2043" ht="13" x14ac:dyDescent="0.15"/>
    <row r="2044" ht="13" x14ac:dyDescent="0.15"/>
    <row r="2045" ht="13" x14ac:dyDescent="0.15"/>
    <row r="2046" ht="13" x14ac:dyDescent="0.15"/>
    <row r="2047" ht="13" x14ac:dyDescent="0.15"/>
    <row r="2048" ht="13" x14ac:dyDescent="0.15"/>
    <row r="2049" ht="13" x14ac:dyDescent="0.15"/>
    <row r="2050" ht="13" x14ac:dyDescent="0.15"/>
    <row r="2051" ht="13" x14ac:dyDescent="0.15"/>
    <row r="2052" ht="13" x14ac:dyDescent="0.15"/>
    <row r="2053" ht="13" x14ac:dyDescent="0.15"/>
    <row r="2054" ht="13" x14ac:dyDescent="0.15"/>
    <row r="2055" ht="13" x14ac:dyDescent="0.15"/>
    <row r="2056" ht="13" x14ac:dyDescent="0.15"/>
    <row r="2057" ht="13" x14ac:dyDescent="0.15"/>
    <row r="2058" ht="13" x14ac:dyDescent="0.15"/>
    <row r="2059" ht="13" x14ac:dyDescent="0.15"/>
    <row r="2060" ht="13" x14ac:dyDescent="0.15"/>
    <row r="2061" ht="13" x14ac:dyDescent="0.15"/>
    <row r="2062" ht="13" x14ac:dyDescent="0.15"/>
    <row r="2063" ht="13" x14ac:dyDescent="0.15"/>
    <row r="2064" ht="13" x14ac:dyDescent="0.15"/>
    <row r="2065" ht="13" x14ac:dyDescent="0.15"/>
    <row r="2066" ht="13" x14ac:dyDescent="0.15"/>
    <row r="2067" ht="13" x14ac:dyDescent="0.15"/>
    <row r="2068" ht="13" x14ac:dyDescent="0.15"/>
    <row r="2069" ht="13" x14ac:dyDescent="0.15"/>
    <row r="2070" ht="13" x14ac:dyDescent="0.15"/>
    <row r="2071" ht="13" x14ac:dyDescent="0.15"/>
    <row r="2072" ht="13" x14ac:dyDescent="0.15"/>
    <row r="2073" ht="13" x14ac:dyDescent="0.15"/>
    <row r="2074" ht="13" x14ac:dyDescent="0.15"/>
    <row r="2075" ht="13" x14ac:dyDescent="0.15"/>
    <row r="2076" ht="13" x14ac:dyDescent="0.15"/>
    <row r="2077" ht="13" x14ac:dyDescent="0.15"/>
    <row r="2078" ht="13" x14ac:dyDescent="0.15"/>
    <row r="2079" ht="13" x14ac:dyDescent="0.15"/>
    <row r="2080" ht="13" x14ac:dyDescent="0.15"/>
    <row r="2081" ht="13" x14ac:dyDescent="0.15"/>
    <row r="2082" ht="13" x14ac:dyDescent="0.15"/>
    <row r="2083" ht="13" x14ac:dyDescent="0.15"/>
    <row r="2084" ht="13" x14ac:dyDescent="0.15"/>
    <row r="2085" ht="13" x14ac:dyDescent="0.15"/>
    <row r="2086" ht="13" x14ac:dyDescent="0.15"/>
    <row r="2087" ht="13" x14ac:dyDescent="0.15"/>
    <row r="2088" ht="13" x14ac:dyDescent="0.15"/>
    <row r="2089" ht="13" x14ac:dyDescent="0.15"/>
    <row r="2090" ht="13" x14ac:dyDescent="0.15"/>
    <row r="2091" ht="13" x14ac:dyDescent="0.15"/>
    <row r="2092" ht="13" x14ac:dyDescent="0.15"/>
    <row r="2093" ht="13" x14ac:dyDescent="0.15"/>
    <row r="2094" ht="13" x14ac:dyDescent="0.15"/>
    <row r="2095" ht="13" x14ac:dyDescent="0.15"/>
    <row r="2096" ht="13" x14ac:dyDescent="0.15"/>
    <row r="2097" ht="13" x14ac:dyDescent="0.15"/>
    <row r="2098" ht="13" x14ac:dyDescent="0.15"/>
    <row r="2099" ht="13" x14ac:dyDescent="0.15"/>
    <row r="2100" ht="13" x14ac:dyDescent="0.15"/>
    <row r="2101" ht="13" x14ac:dyDescent="0.15"/>
    <row r="2102" ht="13" x14ac:dyDescent="0.15"/>
    <row r="2103" ht="13" x14ac:dyDescent="0.15"/>
    <row r="2104" ht="13" x14ac:dyDescent="0.15"/>
    <row r="2105" ht="13" x14ac:dyDescent="0.15"/>
    <row r="2106" ht="13" x14ac:dyDescent="0.15"/>
    <row r="2107" ht="13" x14ac:dyDescent="0.15"/>
    <row r="2108" ht="13" x14ac:dyDescent="0.15"/>
    <row r="2109" ht="13" x14ac:dyDescent="0.15"/>
    <row r="2110" ht="13" x14ac:dyDescent="0.15"/>
    <row r="2111" ht="13" x14ac:dyDescent="0.15"/>
    <row r="2112" ht="13" x14ac:dyDescent="0.15"/>
    <row r="2113" ht="13" x14ac:dyDescent="0.15"/>
    <row r="2114" ht="13" x14ac:dyDescent="0.15"/>
    <row r="2115" ht="13" x14ac:dyDescent="0.15"/>
    <row r="2116" ht="13" x14ac:dyDescent="0.15"/>
    <row r="2117" ht="13" x14ac:dyDescent="0.15"/>
    <row r="2118" ht="13" x14ac:dyDescent="0.15"/>
    <row r="2119" ht="13" x14ac:dyDescent="0.15"/>
    <row r="2120" ht="13" x14ac:dyDescent="0.15"/>
    <row r="2121" ht="13" x14ac:dyDescent="0.15"/>
    <row r="2122" ht="13" x14ac:dyDescent="0.15"/>
    <row r="2123" ht="13" x14ac:dyDescent="0.15"/>
    <row r="2124" ht="13" x14ac:dyDescent="0.15"/>
    <row r="2125" ht="13" x14ac:dyDescent="0.15"/>
    <row r="2126" ht="13" x14ac:dyDescent="0.15"/>
    <row r="2127" ht="13" x14ac:dyDescent="0.15"/>
    <row r="2128" ht="13" x14ac:dyDescent="0.15"/>
    <row r="2129" ht="13" x14ac:dyDescent="0.15"/>
    <row r="2130" ht="13" x14ac:dyDescent="0.15"/>
    <row r="2131" ht="13" x14ac:dyDescent="0.15"/>
    <row r="2132" ht="13" x14ac:dyDescent="0.15"/>
    <row r="2133" ht="13" x14ac:dyDescent="0.15"/>
    <row r="2134" ht="13" x14ac:dyDescent="0.15"/>
    <row r="2135" ht="13" x14ac:dyDescent="0.15"/>
    <row r="2136" ht="13" x14ac:dyDescent="0.15"/>
    <row r="2137" ht="13" x14ac:dyDescent="0.15"/>
    <row r="2138" ht="13" x14ac:dyDescent="0.15"/>
    <row r="2139" ht="13" x14ac:dyDescent="0.15"/>
    <row r="2140" ht="13" x14ac:dyDescent="0.15"/>
    <row r="2141" ht="13" x14ac:dyDescent="0.15"/>
    <row r="2142" ht="13" x14ac:dyDescent="0.15"/>
    <row r="2143" ht="13" x14ac:dyDescent="0.15"/>
    <row r="2144" ht="13" x14ac:dyDescent="0.15"/>
    <row r="2145" ht="13" x14ac:dyDescent="0.15"/>
    <row r="2146" ht="13" x14ac:dyDescent="0.15"/>
    <row r="2147" ht="13" x14ac:dyDescent="0.15"/>
    <row r="2148" ht="13" x14ac:dyDescent="0.15"/>
    <row r="2149" ht="13" x14ac:dyDescent="0.15"/>
    <row r="2150" ht="13" x14ac:dyDescent="0.15"/>
    <row r="2151" ht="13" x14ac:dyDescent="0.15"/>
    <row r="2152" ht="13" x14ac:dyDescent="0.15"/>
    <row r="2153" ht="13" x14ac:dyDescent="0.15"/>
    <row r="2154" ht="13" x14ac:dyDescent="0.15"/>
    <row r="2155" ht="13" x14ac:dyDescent="0.15"/>
    <row r="2156" ht="13" x14ac:dyDescent="0.15"/>
    <row r="2157" ht="13" x14ac:dyDescent="0.15"/>
    <row r="2158" ht="13" x14ac:dyDescent="0.15"/>
    <row r="2159" ht="13" x14ac:dyDescent="0.15"/>
    <row r="2160" ht="13" x14ac:dyDescent="0.15"/>
    <row r="2161" ht="13" x14ac:dyDescent="0.15"/>
    <row r="2162" ht="13" x14ac:dyDescent="0.15"/>
    <row r="2163" ht="13" x14ac:dyDescent="0.15"/>
    <row r="2164" ht="13" x14ac:dyDescent="0.15"/>
    <row r="2165" ht="13" x14ac:dyDescent="0.15"/>
    <row r="2166" ht="13" x14ac:dyDescent="0.15"/>
    <row r="2167" ht="13" x14ac:dyDescent="0.15"/>
    <row r="2168" ht="13" x14ac:dyDescent="0.15"/>
    <row r="2169" ht="13" x14ac:dyDescent="0.15"/>
    <row r="2170" ht="13" x14ac:dyDescent="0.15"/>
    <row r="2171" ht="13" x14ac:dyDescent="0.15"/>
    <row r="2172" ht="13" x14ac:dyDescent="0.15"/>
    <row r="2173" ht="13" x14ac:dyDescent="0.15"/>
    <row r="2174" ht="13" x14ac:dyDescent="0.15"/>
    <row r="2175" ht="13" x14ac:dyDescent="0.15"/>
    <row r="2176" ht="13" x14ac:dyDescent="0.15"/>
    <row r="2177" ht="13" x14ac:dyDescent="0.15"/>
    <row r="2178" ht="13" x14ac:dyDescent="0.15"/>
    <row r="2179" ht="13" x14ac:dyDescent="0.15"/>
    <row r="2180" ht="13" x14ac:dyDescent="0.15"/>
    <row r="2181" ht="13" x14ac:dyDescent="0.15"/>
    <row r="2182" ht="13" x14ac:dyDescent="0.15"/>
    <row r="2183" ht="13" x14ac:dyDescent="0.15"/>
    <row r="2184" ht="13" x14ac:dyDescent="0.15"/>
    <row r="2185" ht="13" x14ac:dyDescent="0.15"/>
    <row r="2186" ht="13" x14ac:dyDescent="0.15"/>
    <row r="2187" ht="13" x14ac:dyDescent="0.15"/>
    <row r="2188" ht="13" x14ac:dyDescent="0.15"/>
    <row r="2189" ht="13" x14ac:dyDescent="0.15"/>
    <row r="2190" ht="13" x14ac:dyDescent="0.15"/>
    <row r="2191" ht="13" x14ac:dyDescent="0.15"/>
    <row r="2192" ht="13" x14ac:dyDescent="0.15"/>
    <row r="2193" ht="13" x14ac:dyDescent="0.15"/>
    <row r="2194" ht="13" x14ac:dyDescent="0.15"/>
    <row r="2195" ht="13" x14ac:dyDescent="0.15"/>
    <row r="2196" ht="13" x14ac:dyDescent="0.15"/>
    <row r="2197" ht="13" x14ac:dyDescent="0.15"/>
    <row r="2198" ht="13" x14ac:dyDescent="0.15"/>
    <row r="2199" ht="13" x14ac:dyDescent="0.15"/>
    <row r="2200" ht="13" x14ac:dyDescent="0.15"/>
    <row r="2201" ht="13" x14ac:dyDescent="0.15"/>
    <row r="2202" ht="13" x14ac:dyDescent="0.15"/>
    <row r="2203" ht="13" x14ac:dyDescent="0.15"/>
    <row r="2204" ht="13" x14ac:dyDescent="0.15"/>
    <row r="2205" ht="13" x14ac:dyDescent="0.15"/>
  </sheetData>
  <autoFilter ref="A1:AN2022" xr:uid="{00000000-0001-0000-0000-000000000000}">
    <filterColumn colId="24">
      <filters>
        <filter val="1"/>
      </filters>
    </filterColumn>
    <sortState xmlns:xlrd2="http://schemas.microsoft.com/office/spreadsheetml/2017/richdata2" ref="A2:AN2022">
      <sortCondition descending="1" ref="C1:C2022"/>
    </sortState>
  </autoFilter>
  <conditionalFormatting sqref="AN1:AN2022 AN2207:AN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E486-8B45-4FA0-9E8D-E223AF39C08C}">
  <dimension ref="A1:B2022"/>
  <sheetViews>
    <sheetView tabSelected="1" workbookViewId="0">
      <selection activeCell="M36" sqref="M36"/>
    </sheetView>
  </sheetViews>
  <sheetFormatPr baseColWidth="10" defaultColWidth="8.83203125" defaultRowHeight="13" x14ac:dyDescent="0.15"/>
  <sheetData>
    <row r="1" spans="1:2" x14ac:dyDescent="0.15">
      <c r="A1" s="1" t="s">
        <v>1</v>
      </c>
      <c r="B1" s="1" t="s">
        <v>2</v>
      </c>
    </row>
    <row r="2" spans="1:2" x14ac:dyDescent="0.15">
      <c r="A2" s="1">
        <v>87679</v>
      </c>
      <c r="B2" s="1">
        <v>2491</v>
      </c>
    </row>
    <row r="3" spans="1:2" x14ac:dyDescent="0.15">
      <c r="A3" s="1">
        <v>90638</v>
      </c>
      <c r="B3" s="1">
        <v>2429</v>
      </c>
    </row>
    <row r="4" spans="1:2" x14ac:dyDescent="0.15">
      <c r="A4" s="1">
        <v>90638</v>
      </c>
      <c r="B4" s="1">
        <v>2429</v>
      </c>
    </row>
    <row r="5" spans="1:2" x14ac:dyDescent="0.15">
      <c r="A5" s="1">
        <v>93790</v>
      </c>
      <c r="B5" s="1">
        <v>2304</v>
      </c>
    </row>
    <row r="6" spans="1:2" x14ac:dyDescent="0.15">
      <c r="A6" s="1">
        <v>75759</v>
      </c>
      <c r="B6" s="1">
        <v>2304</v>
      </c>
    </row>
    <row r="7" spans="1:2" x14ac:dyDescent="0.15">
      <c r="A7" s="1">
        <v>69098</v>
      </c>
      <c r="B7" s="1">
        <v>2262</v>
      </c>
    </row>
    <row r="8" spans="1:2" x14ac:dyDescent="0.15">
      <c r="A8" s="1">
        <v>90226</v>
      </c>
      <c r="B8" s="1">
        <v>2244</v>
      </c>
    </row>
    <row r="9" spans="1:2" x14ac:dyDescent="0.15">
      <c r="A9" s="1">
        <v>80360</v>
      </c>
      <c r="B9" s="1">
        <v>2188</v>
      </c>
    </row>
    <row r="10" spans="1:2" x14ac:dyDescent="0.15">
      <c r="A10" s="1">
        <v>91712</v>
      </c>
      <c r="B10" s="1">
        <v>2169</v>
      </c>
    </row>
    <row r="11" spans="1:2" x14ac:dyDescent="0.15">
      <c r="A11" s="1">
        <v>75825</v>
      </c>
      <c r="B11" s="1">
        <v>2158</v>
      </c>
    </row>
    <row r="12" spans="1:2" x14ac:dyDescent="0.15">
      <c r="A12" s="1">
        <v>82657</v>
      </c>
      <c r="B12" s="1">
        <v>2157</v>
      </c>
    </row>
    <row r="13" spans="1:2" x14ac:dyDescent="0.15">
      <c r="A13" s="1">
        <v>76653</v>
      </c>
      <c r="B13" s="1">
        <v>2153</v>
      </c>
    </row>
    <row r="14" spans="1:2" x14ac:dyDescent="0.15">
      <c r="A14" s="1">
        <v>83151</v>
      </c>
      <c r="B14" s="1">
        <v>2136</v>
      </c>
    </row>
    <row r="15" spans="1:2" x14ac:dyDescent="0.15">
      <c r="A15" s="1">
        <v>94384</v>
      </c>
      <c r="B15" s="1">
        <v>2130</v>
      </c>
    </row>
    <row r="16" spans="1:2" x14ac:dyDescent="0.15">
      <c r="A16" s="1">
        <v>77632</v>
      </c>
      <c r="B16" s="1">
        <v>2105</v>
      </c>
    </row>
    <row r="17" spans="1:2" x14ac:dyDescent="0.15">
      <c r="A17" s="1">
        <v>93027</v>
      </c>
      <c r="B17" s="1">
        <v>2098</v>
      </c>
    </row>
    <row r="18" spans="1:2" x14ac:dyDescent="0.15">
      <c r="A18" s="1">
        <v>72335</v>
      </c>
      <c r="B18" s="1">
        <v>2092</v>
      </c>
    </row>
    <row r="19" spans="1:2" x14ac:dyDescent="0.15">
      <c r="A19" s="1">
        <v>78618</v>
      </c>
      <c r="B19" s="1">
        <v>2092</v>
      </c>
    </row>
    <row r="20" spans="1:2" x14ac:dyDescent="0.15">
      <c r="A20" s="1">
        <v>86857</v>
      </c>
      <c r="B20" s="1">
        <v>2074</v>
      </c>
    </row>
    <row r="21" spans="1:2" x14ac:dyDescent="0.15">
      <c r="A21" s="1">
        <v>82326</v>
      </c>
      <c r="B21" s="1">
        <v>2074</v>
      </c>
    </row>
    <row r="22" spans="1:2" x14ac:dyDescent="0.15">
      <c r="A22" s="1">
        <v>73455</v>
      </c>
      <c r="B22" s="1">
        <v>2068</v>
      </c>
    </row>
    <row r="23" spans="1:2" x14ac:dyDescent="0.15">
      <c r="A23" s="1">
        <v>94642</v>
      </c>
      <c r="B23" s="1">
        <v>2068</v>
      </c>
    </row>
    <row r="24" spans="1:2" x14ac:dyDescent="0.15">
      <c r="A24" s="1">
        <v>92163</v>
      </c>
      <c r="B24" s="1">
        <v>2066</v>
      </c>
    </row>
    <row r="25" spans="1:2" x14ac:dyDescent="0.15">
      <c r="A25" s="1">
        <v>81169</v>
      </c>
      <c r="B25" s="1">
        <v>2062</v>
      </c>
    </row>
    <row r="26" spans="1:2" x14ac:dyDescent="0.15">
      <c r="A26" s="1">
        <v>92859</v>
      </c>
      <c r="B26" s="1">
        <v>2057</v>
      </c>
    </row>
    <row r="27" spans="1:2" x14ac:dyDescent="0.15">
      <c r="A27" s="1">
        <v>83512</v>
      </c>
      <c r="B27" s="1">
        <v>2056</v>
      </c>
    </row>
    <row r="28" spans="1:2" x14ac:dyDescent="0.15">
      <c r="A28" s="1">
        <v>80141</v>
      </c>
      <c r="B28" s="1">
        <v>2051</v>
      </c>
    </row>
    <row r="29" spans="1:2" x14ac:dyDescent="0.15">
      <c r="A29" s="1">
        <v>77568</v>
      </c>
      <c r="B29" s="1">
        <v>2036</v>
      </c>
    </row>
    <row r="30" spans="1:2" x14ac:dyDescent="0.15">
      <c r="A30" s="1">
        <v>92491</v>
      </c>
      <c r="B30" s="1">
        <v>2012</v>
      </c>
    </row>
    <row r="31" spans="1:2" x14ac:dyDescent="0.15">
      <c r="A31" s="1">
        <v>88347</v>
      </c>
      <c r="B31" s="1">
        <v>1998</v>
      </c>
    </row>
    <row r="32" spans="1:2" x14ac:dyDescent="0.15">
      <c r="A32" s="1">
        <v>89572</v>
      </c>
      <c r="B32" s="1">
        <v>1995</v>
      </c>
    </row>
    <row r="33" spans="1:2" x14ac:dyDescent="0.15">
      <c r="A33" s="1">
        <v>74918</v>
      </c>
      <c r="B33" s="1">
        <v>1988</v>
      </c>
    </row>
    <row r="34" spans="1:2" x14ac:dyDescent="0.15">
      <c r="A34" s="1">
        <v>82332</v>
      </c>
      <c r="B34" s="1">
        <v>1987</v>
      </c>
    </row>
    <row r="35" spans="1:2" x14ac:dyDescent="0.15">
      <c r="A35" s="1">
        <v>72903</v>
      </c>
      <c r="B35" s="1">
        <v>1974</v>
      </c>
    </row>
    <row r="36" spans="1:2" x14ac:dyDescent="0.15">
      <c r="A36" s="1">
        <v>98777</v>
      </c>
      <c r="B36" s="1">
        <v>1970</v>
      </c>
    </row>
    <row r="37" spans="1:2" x14ac:dyDescent="0.15">
      <c r="A37" s="1">
        <v>95529</v>
      </c>
      <c r="B37" s="1">
        <v>1966</v>
      </c>
    </row>
    <row r="38" spans="1:2" x14ac:dyDescent="0.15">
      <c r="A38" s="1">
        <v>68743</v>
      </c>
      <c r="B38" s="1">
        <v>1959</v>
      </c>
    </row>
    <row r="39" spans="1:2" x14ac:dyDescent="0.15">
      <c r="A39" s="1">
        <v>78952</v>
      </c>
      <c r="B39" s="1">
        <v>1958</v>
      </c>
    </row>
    <row r="40" spans="1:2" x14ac:dyDescent="0.15">
      <c r="A40" s="1">
        <v>75345</v>
      </c>
      <c r="B40" s="1">
        <v>1954</v>
      </c>
    </row>
    <row r="41" spans="1:2" x14ac:dyDescent="0.15">
      <c r="A41" s="1">
        <v>67546</v>
      </c>
      <c r="B41" s="1">
        <v>1954</v>
      </c>
    </row>
    <row r="42" spans="1:2" x14ac:dyDescent="0.15">
      <c r="A42" s="1">
        <v>91700</v>
      </c>
      <c r="B42" s="1">
        <v>1949</v>
      </c>
    </row>
    <row r="43" spans="1:2" x14ac:dyDescent="0.15">
      <c r="A43" s="1">
        <v>72309</v>
      </c>
      <c r="B43" s="1">
        <v>1931</v>
      </c>
    </row>
    <row r="44" spans="1:2" x14ac:dyDescent="0.15">
      <c r="A44" s="1">
        <v>87771</v>
      </c>
      <c r="B44" s="1">
        <v>1924</v>
      </c>
    </row>
    <row r="45" spans="1:2" x14ac:dyDescent="0.15">
      <c r="A45" s="1">
        <v>96876</v>
      </c>
      <c r="B45" s="1">
        <v>1920</v>
      </c>
    </row>
    <row r="46" spans="1:2" x14ac:dyDescent="0.15">
      <c r="A46" s="1">
        <v>85844</v>
      </c>
      <c r="B46" s="1">
        <v>1920</v>
      </c>
    </row>
    <row r="47" spans="1:2" x14ac:dyDescent="0.15">
      <c r="A47" s="1">
        <v>84169</v>
      </c>
      <c r="B47" s="1">
        <v>1919</v>
      </c>
    </row>
    <row r="48" spans="1:2" x14ac:dyDescent="0.15">
      <c r="A48" s="1">
        <v>88420</v>
      </c>
      <c r="B48" s="1">
        <v>1916</v>
      </c>
    </row>
    <row r="49" spans="1:2" x14ac:dyDescent="0.15">
      <c r="A49" s="1">
        <v>79174</v>
      </c>
      <c r="B49" s="1">
        <v>1914</v>
      </c>
    </row>
    <row r="50" spans="1:2" x14ac:dyDescent="0.15">
      <c r="A50" s="1">
        <v>72968</v>
      </c>
      <c r="B50" s="1">
        <v>1903</v>
      </c>
    </row>
    <row r="51" spans="1:2" x14ac:dyDescent="0.15">
      <c r="A51" s="1">
        <v>80184</v>
      </c>
      <c r="B51" s="1">
        <v>1902</v>
      </c>
    </row>
    <row r="52" spans="1:2" x14ac:dyDescent="0.15">
      <c r="A52" s="1">
        <v>80695</v>
      </c>
      <c r="B52" s="1">
        <v>1900</v>
      </c>
    </row>
    <row r="53" spans="1:2" x14ac:dyDescent="0.15">
      <c r="A53" s="1">
        <v>82576</v>
      </c>
      <c r="B53" s="1">
        <v>1892</v>
      </c>
    </row>
    <row r="54" spans="1:2" x14ac:dyDescent="0.15">
      <c r="A54" s="1">
        <v>78687</v>
      </c>
      <c r="B54" s="1">
        <v>1889</v>
      </c>
    </row>
    <row r="55" spans="1:2" x14ac:dyDescent="0.15">
      <c r="A55" s="1">
        <v>82072</v>
      </c>
      <c r="B55" s="1">
        <v>1889</v>
      </c>
    </row>
    <row r="56" spans="1:2" x14ac:dyDescent="0.15">
      <c r="A56" s="1">
        <v>74116</v>
      </c>
      <c r="B56" s="1">
        <v>1886</v>
      </c>
    </row>
    <row r="57" spans="1:2" x14ac:dyDescent="0.15">
      <c r="A57" s="1">
        <v>75702</v>
      </c>
      <c r="B57" s="1">
        <v>1884</v>
      </c>
    </row>
    <row r="58" spans="1:2" x14ac:dyDescent="0.15">
      <c r="A58" s="1">
        <v>95169</v>
      </c>
      <c r="B58" s="1">
        <v>1881</v>
      </c>
    </row>
    <row r="59" spans="1:2" x14ac:dyDescent="0.15">
      <c r="A59" s="1">
        <v>90273</v>
      </c>
      <c r="B59" s="1">
        <v>1880</v>
      </c>
    </row>
    <row r="60" spans="1:2" x14ac:dyDescent="0.15">
      <c r="A60" s="1">
        <v>81205</v>
      </c>
      <c r="B60" s="1">
        <v>1879</v>
      </c>
    </row>
    <row r="61" spans="1:2" x14ac:dyDescent="0.15">
      <c r="A61" s="1">
        <v>75251</v>
      </c>
      <c r="B61" s="1">
        <v>1872</v>
      </c>
    </row>
    <row r="62" spans="1:2" x14ac:dyDescent="0.15">
      <c r="A62" s="1">
        <v>85606</v>
      </c>
      <c r="B62" s="1">
        <v>1872</v>
      </c>
    </row>
    <row r="63" spans="1:2" x14ac:dyDescent="0.15">
      <c r="A63" s="1">
        <v>82170</v>
      </c>
      <c r="B63" s="1">
        <v>1871</v>
      </c>
    </row>
    <row r="64" spans="1:2" x14ac:dyDescent="0.15">
      <c r="A64" s="1">
        <v>89120</v>
      </c>
      <c r="B64" s="1">
        <v>1869</v>
      </c>
    </row>
    <row r="65" spans="1:2" x14ac:dyDescent="0.15">
      <c r="A65" s="1">
        <v>87188</v>
      </c>
      <c r="B65" s="1">
        <v>1868</v>
      </c>
    </row>
    <row r="66" spans="1:2" x14ac:dyDescent="0.15">
      <c r="A66" s="1">
        <v>81929</v>
      </c>
      <c r="B66" s="1">
        <v>1868</v>
      </c>
    </row>
    <row r="67" spans="1:2" x14ac:dyDescent="0.15">
      <c r="A67" s="1">
        <v>83829</v>
      </c>
      <c r="B67" s="1">
        <v>1835</v>
      </c>
    </row>
    <row r="68" spans="1:2" x14ac:dyDescent="0.15">
      <c r="A68" s="1">
        <v>80427</v>
      </c>
      <c r="B68" s="1">
        <v>1809</v>
      </c>
    </row>
    <row r="69" spans="1:2" x14ac:dyDescent="0.15">
      <c r="A69" s="1">
        <v>70971</v>
      </c>
      <c r="B69" s="1">
        <v>1808</v>
      </c>
    </row>
    <row r="70" spans="1:2" x14ac:dyDescent="0.15">
      <c r="A70" s="1">
        <v>82333</v>
      </c>
      <c r="B70" s="1">
        <v>1805</v>
      </c>
    </row>
    <row r="71" spans="1:2" x14ac:dyDescent="0.15">
      <c r="A71" s="1">
        <v>76998</v>
      </c>
      <c r="B71" s="1">
        <v>1803</v>
      </c>
    </row>
    <row r="72" spans="1:2" x14ac:dyDescent="0.15">
      <c r="A72" s="1">
        <v>78642</v>
      </c>
      <c r="B72" s="1">
        <v>1799</v>
      </c>
    </row>
    <row r="73" spans="1:2" x14ac:dyDescent="0.15">
      <c r="A73" s="1">
        <v>81574</v>
      </c>
      <c r="B73" s="1">
        <v>1798</v>
      </c>
    </row>
    <row r="74" spans="1:2" x14ac:dyDescent="0.15">
      <c r="A74" s="1">
        <v>70643</v>
      </c>
      <c r="B74" s="1">
        <v>1795</v>
      </c>
    </row>
    <row r="75" spans="1:2" x14ac:dyDescent="0.15">
      <c r="A75" s="1">
        <v>67536</v>
      </c>
      <c r="B75" s="1">
        <v>1794</v>
      </c>
    </row>
    <row r="76" spans="1:2" x14ac:dyDescent="0.15">
      <c r="A76" s="1">
        <v>78427</v>
      </c>
      <c r="B76" s="1">
        <v>1792</v>
      </c>
    </row>
    <row r="77" spans="1:2" x14ac:dyDescent="0.15">
      <c r="A77" s="1">
        <v>76412</v>
      </c>
      <c r="B77" s="1">
        <v>1791</v>
      </c>
    </row>
    <row r="78" spans="1:2" x14ac:dyDescent="0.15">
      <c r="A78" s="1">
        <v>82347</v>
      </c>
      <c r="B78" s="1">
        <v>1790</v>
      </c>
    </row>
    <row r="79" spans="1:2" x14ac:dyDescent="0.15">
      <c r="A79" s="1">
        <v>82347</v>
      </c>
      <c r="B79" s="1">
        <v>1790</v>
      </c>
    </row>
    <row r="80" spans="1:2" x14ac:dyDescent="0.15">
      <c r="A80" s="1">
        <v>81380</v>
      </c>
      <c r="B80" s="1">
        <v>1790</v>
      </c>
    </row>
    <row r="81" spans="1:2" x14ac:dyDescent="0.15">
      <c r="A81" s="1">
        <v>71964</v>
      </c>
      <c r="B81" s="1">
        <v>1784</v>
      </c>
    </row>
    <row r="82" spans="1:2" x14ac:dyDescent="0.15">
      <c r="A82" s="1">
        <v>74985</v>
      </c>
      <c r="B82" s="1">
        <v>1783</v>
      </c>
    </row>
    <row r="83" spans="1:2" x14ac:dyDescent="0.15">
      <c r="A83" s="1">
        <v>92344</v>
      </c>
      <c r="B83" s="1">
        <v>1780</v>
      </c>
    </row>
    <row r="84" spans="1:2" x14ac:dyDescent="0.15">
      <c r="A84" s="1">
        <v>61839</v>
      </c>
      <c r="B84" s="1">
        <v>1775</v>
      </c>
    </row>
    <row r="85" spans="1:2" x14ac:dyDescent="0.15">
      <c r="A85" s="1">
        <v>82384</v>
      </c>
      <c r="B85" s="1">
        <v>1767</v>
      </c>
    </row>
    <row r="86" spans="1:2" x14ac:dyDescent="0.15">
      <c r="A86" s="1">
        <v>73450</v>
      </c>
      <c r="B86" s="1">
        <v>1767</v>
      </c>
    </row>
    <row r="87" spans="1:2" x14ac:dyDescent="0.15">
      <c r="A87" s="1">
        <v>92910</v>
      </c>
      <c r="B87" s="1">
        <v>1762</v>
      </c>
    </row>
    <row r="88" spans="1:2" x14ac:dyDescent="0.15">
      <c r="A88" s="1">
        <v>63159</v>
      </c>
      <c r="B88" s="1">
        <v>1760</v>
      </c>
    </row>
    <row r="89" spans="1:2" x14ac:dyDescent="0.15">
      <c r="A89" s="1">
        <v>72066</v>
      </c>
      <c r="B89" s="1">
        <v>1758</v>
      </c>
    </row>
    <row r="90" spans="1:2" x14ac:dyDescent="0.15">
      <c r="A90" s="1">
        <v>85683</v>
      </c>
      <c r="B90" s="1">
        <v>1738</v>
      </c>
    </row>
    <row r="91" spans="1:2" x14ac:dyDescent="0.15">
      <c r="A91" s="1">
        <v>79930</v>
      </c>
      <c r="B91" s="1">
        <v>1736</v>
      </c>
    </row>
    <row r="92" spans="1:2" x14ac:dyDescent="0.15">
      <c r="A92" s="1">
        <v>68126</v>
      </c>
      <c r="B92" s="1">
        <v>1734</v>
      </c>
    </row>
    <row r="93" spans="1:2" x14ac:dyDescent="0.15">
      <c r="A93" s="1">
        <v>2447</v>
      </c>
      <c r="B93" s="1">
        <v>1729</v>
      </c>
    </row>
    <row r="94" spans="1:2" x14ac:dyDescent="0.15">
      <c r="A94" s="1">
        <v>90687</v>
      </c>
      <c r="B94" s="1">
        <v>1728</v>
      </c>
    </row>
    <row r="95" spans="1:2" x14ac:dyDescent="0.15">
      <c r="A95" s="1">
        <v>83033</v>
      </c>
      <c r="B95" s="1">
        <v>1728</v>
      </c>
    </row>
    <row r="96" spans="1:2" x14ac:dyDescent="0.15">
      <c r="A96" s="1">
        <v>70123</v>
      </c>
      <c r="B96" s="1">
        <v>1727</v>
      </c>
    </row>
    <row r="97" spans="1:2" x14ac:dyDescent="0.15">
      <c r="A97" s="1">
        <v>75261</v>
      </c>
      <c r="B97" s="1">
        <v>1726</v>
      </c>
    </row>
    <row r="98" spans="1:2" x14ac:dyDescent="0.15">
      <c r="A98" s="1">
        <v>83145</v>
      </c>
      <c r="B98" s="1">
        <v>1719</v>
      </c>
    </row>
    <row r="99" spans="1:2" x14ac:dyDescent="0.15">
      <c r="A99" s="1">
        <v>82497</v>
      </c>
      <c r="B99" s="1">
        <v>1716</v>
      </c>
    </row>
    <row r="100" spans="1:2" x14ac:dyDescent="0.15">
      <c r="A100" s="1">
        <v>80952</v>
      </c>
      <c r="B100" s="1">
        <v>1713</v>
      </c>
    </row>
    <row r="101" spans="1:2" x14ac:dyDescent="0.15">
      <c r="A101" s="1">
        <v>78579</v>
      </c>
      <c r="B101" s="1">
        <v>1713</v>
      </c>
    </row>
    <row r="102" spans="1:2" x14ac:dyDescent="0.15">
      <c r="A102" s="1">
        <v>79607</v>
      </c>
      <c r="B102" s="1">
        <v>1707</v>
      </c>
    </row>
    <row r="103" spans="1:2" x14ac:dyDescent="0.15">
      <c r="A103" s="1">
        <v>77598</v>
      </c>
      <c r="B103" s="1">
        <v>1702</v>
      </c>
    </row>
    <row r="104" spans="1:2" x14ac:dyDescent="0.15">
      <c r="A104" s="1">
        <v>72025</v>
      </c>
      <c r="B104" s="1">
        <v>1699</v>
      </c>
    </row>
    <row r="105" spans="1:2" x14ac:dyDescent="0.15">
      <c r="A105" s="1">
        <v>72190</v>
      </c>
      <c r="B105" s="1">
        <v>1698</v>
      </c>
    </row>
    <row r="106" spans="1:2" x14ac:dyDescent="0.15">
      <c r="A106" s="1">
        <v>92955</v>
      </c>
      <c r="B106" s="1">
        <v>1694</v>
      </c>
    </row>
    <row r="107" spans="1:2" x14ac:dyDescent="0.15">
      <c r="A107" s="1">
        <v>90765</v>
      </c>
      <c r="B107" s="1">
        <v>1691</v>
      </c>
    </row>
    <row r="108" spans="1:2" x14ac:dyDescent="0.15">
      <c r="A108" s="1">
        <v>74485</v>
      </c>
      <c r="B108" s="1">
        <v>1685</v>
      </c>
    </row>
    <row r="109" spans="1:2" x14ac:dyDescent="0.15">
      <c r="A109" s="1">
        <v>77870</v>
      </c>
      <c r="B109" s="1">
        <v>1682</v>
      </c>
    </row>
    <row r="110" spans="1:2" x14ac:dyDescent="0.15">
      <c r="A110" s="1">
        <v>76005</v>
      </c>
      <c r="B110" s="1">
        <v>1682</v>
      </c>
    </row>
    <row r="111" spans="1:2" x14ac:dyDescent="0.15">
      <c r="A111" s="1">
        <v>90300</v>
      </c>
      <c r="B111" s="1">
        <v>1681</v>
      </c>
    </row>
    <row r="112" spans="1:2" x14ac:dyDescent="0.15">
      <c r="A112" s="1">
        <v>74214</v>
      </c>
      <c r="B112" s="1">
        <v>1678</v>
      </c>
    </row>
    <row r="113" spans="1:2" x14ac:dyDescent="0.15">
      <c r="A113" s="1">
        <v>72025</v>
      </c>
      <c r="B113" s="1">
        <v>1677</v>
      </c>
    </row>
    <row r="114" spans="1:2" x14ac:dyDescent="0.15">
      <c r="A114" s="1">
        <v>64176</v>
      </c>
      <c r="B114" s="1">
        <v>1677</v>
      </c>
    </row>
    <row r="115" spans="1:2" x14ac:dyDescent="0.15">
      <c r="A115" s="1">
        <v>94472</v>
      </c>
      <c r="B115" s="1">
        <v>1675</v>
      </c>
    </row>
    <row r="116" spans="1:2" x14ac:dyDescent="0.15">
      <c r="A116" s="1">
        <v>70356</v>
      </c>
      <c r="B116" s="1">
        <v>1673</v>
      </c>
    </row>
    <row r="117" spans="1:2" x14ac:dyDescent="0.15">
      <c r="A117" s="1">
        <v>84618</v>
      </c>
      <c r="B117" s="1">
        <v>1672</v>
      </c>
    </row>
    <row r="118" spans="1:2" x14ac:dyDescent="0.15">
      <c r="A118" s="1">
        <v>84865</v>
      </c>
      <c r="B118" s="1">
        <v>1672</v>
      </c>
    </row>
    <row r="119" spans="1:2" x14ac:dyDescent="0.15">
      <c r="A119" s="1">
        <v>78789</v>
      </c>
      <c r="B119" s="1">
        <v>1671</v>
      </c>
    </row>
    <row r="120" spans="1:2" x14ac:dyDescent="0.15">
      <c r="A120" s="1">
        <v>86979</v>
      </c>
      <c r="B120" s="1">
        <v>1667</v>
      </c>
    </row>
    <row r="121" spans="1:2" x14ac:dyDescent="0.15">
      <c r="A121" s="1">
        <v>77610</v>
      </c>
      <c r="B121" s="1">
        <v>1664</v>
      </c>
    </row>
    <row r="122" spans="1:2" x14ac:dyDescent="0.15">
      <c r="A122" s="1">
        <v>79143</v>
      </c>
      <c r="B122" s="1">
        <v>1661</v>
      </c>
    </row>
    <row r="123" spans="1:2" x14ac:dyDescent="0.15">
      <c r="A123" s="1">
        <v>70503</v>
      </c>
      <c r="B123" s="1">
        <v>1661</v>
      </c>
    </row>
    <row r="124" spans="1:2" x14ac:dyDescent="0.15">
      <c r="A124" s="1">
        <v>79908</v>
      </c>
      <c r="B124" s="1">
        <v>1661</v>
      </c>
    </row>
    <row r="125" spans="1:2" x14ac:dyDescent="0.15">
      <c r="A125" s="1">
        <v>69209</v>
      </c>
      <c r="B125" s="1">
        <v>1654</v>
      </c>
    </row>
    <row r="126" spans="1:2" x14ac:dyDescent="0.15">
      <c r="A126" s="1">
        <v>91249</v>
      </c>
      <c r="B126" s="1">
        <v>1649</v>
      </c>
    </row>
    <row r="127" spans="1:2" x14ac:dyDescent="0.15">
      <c r="A127" s="1">
        <v>64509</v>
      </c>
      <c r="B127" s="1">
        <v>1645</v>
      </c>
    </row>
    <row r="128" spans="1:2" x14ac:dyDescent="0.15">
      <c r="A128" s="1">
        <v>80812</v>
      </c>
      <c r="B128" s="1">
        <v>1644</v>
      </c>
    </row>
    <row r="129" spans="1:2" x14ac:dyDescent="0.15">
      <c r="A129" s="1">
        <v>79800</v>
      </c>
      <c r="B129" s="1">
        <v>1643</v>
      </c>
    </row>
    <row r="130" spans="1:2" x14ac:dyDescent="0.15">
      <c r="A130" s="1">
        <v>78569</v>
      </c>
      <c r="B130" s="1">
        <v>1641</v>
      </c>
    </row>
    <row r="131" spans="1:2" x14ac:dyDescent="0.15">
      <c r="A131" s="1">
        <v>74637</v>
      </c>
      <c r="B131" s="1">
        <v>1634</v>
      </c>
    </row>
    <row r="132" spans="1:2" x14ac:dyDescent="0.15">
      <c r="A132" s="1">
        <v>75794</v>
      </c>
      <c r="B132" s="1">
        <v>1634</v>
      </c>
    </row>
    <row r="133" spans="1:2" x14ac:dyDescent="0.15">
      <c r="A133" s="1">
        <v>89616</v>
      </c>
      <c r="B133" s="1">
        <v>1629</v>
      </c>
    </row>
    <row r="134" spans="1:2" x14ac:dyDescent="0.15">
      <c r="A134" s="1">
        <v>86358</v>
      </c>
      <c r="B134" s="1">
        <v>1627</v>
      </c>
    </row>
    <row r="135" spans="1:2" x14ac:dyDescent="0.15">
      <c r="A135" s="1">
        <v>68462</v>
      </c>
      <c r="B135" s="1">
        <v>1622</v>
      </c>
    </row>
    <row r="136" spans="1:2" x14ac:dyDescent="0.15">
      <c r="A136" s="1">
        <v>68281</v>
      </c>
      <c r="B136" s="1">
        <v>1614</v>
      </c>
    </row>
    <row r="137" spans="1:2" x14ac:dyDescent="0.15">
      <c r="A137" s="1">
        <v>64497</v>
      </c>
      <c r="B137" s="1">
        <v>1612</v>
      </c>
    </row>
    <row r="138" spans="1:2" x14ac:dyDescent="0.15">
      <c r="A138" s="1">
        <v>80134</v>
      </c>
      <c r="B138" s="1">
        <v>1610</v>
      </c>
    </row>
    <row r="139" spans="1:2" x14ac:dyDescent="0.15">
      <c r="A139" s="1">
        <v>74004</v>
      </c>
      <c r="B139" s="1">
        <v>1610</v>
      </c>
    </row>
    <row r="140" spans="1:2" x14ac:dyDescent="0.15">
      <c r="A140" s="1">
        <v>82571</v>
      </c>
      <c r="B140" s="1">
        <v>1607</v>
      </c>
    </row>
    <row r="141" spans="1:2" x14ac:dyDescent="0.15">
      <c r="A141" s="1">
        <v>76995</v>
      </c>
      <c r="B141" s="1">
        <v>1606</v>
      </c>
    </row>
    <row r="142" spans="1:2" x14ac:dyDescent="0.15">
      <c r="A142" s="1">
        <v>71670</v>
      </c>
      <c r="B142" s="1">
        <v>1606</v>
      </c>
    </row>
    <row r="143" spans="1:2" x14ac:dyDescent="0.15">
      <c r="A143" s="1">
        <v>90933</v>
      </c>
      <c r="B143" s="1">
        <v>1606</v>
      </c>
    </row>
    <row r="144" spans="1:2" x14ac:dyDescent="0.15">
      <c r="A144" s="1">
        <v>90247</v>
      </c>
      <c r="B144" s="1">
        <v>1605</v>
      </c>
    </row>
    <row r="145" spans="1:2" x14ac:dyDescent="0.15">
      <c r="A145" s="1">
        <v>93404</v>
      </c>
      <c r="B145" s="1">
        <v>1601</v>
      </c>
    </row>
    <row r="146" spans="1:2" x14ac:dyDescent="0.15">
      <c r="A146" s="1">
        <v>79419</v>
      </c>
      <c r="B146" s="1">
        <v>1600</v>
      </c>
    </row>
    <row r="147" spans="1:2" x14ac:dyDescent="0.15">
      <c r="A147" s="1">
        <v>83790</v>
      </c>
      <c r="B147" s="1">
        <v>1599</v>
      </c>
    </row>
    <row r="148" spans="1:2" x14ac:dyDescent="0.15">
      <c r="A148" s="1">
        <v>73705</v>
      </c>
      <c r="B148" s="1">
        <v>1588</v>
      </c>
    </row>
    <row r="149" spans="1:2" x14ac:dyDescent="0.15">
      <c r="A149" s="1">
        <v>61416</v>
      </c>
      <c r="B149" s="1">
        <v>1587</v>
      </c>
    </row>
    <row r="150" spans="1:2" x14ac:dyDescent="0.15">
      <c r="A150" s="1">
        <v>71128</v>
      </c>
      <c r="B150" s="1">
        <v>1584</v>
      </c>
    </row>
    <row r="151" spans="1:2" x14ac:dyDescent="0.15">
      <c r="A151" s="1">
        <v>78331</v>
      </c>
      <c r="B151" s="1">
        <v>1577</v>
      </c>
    </row>
    <row r="152" spans="1:2" x14ac:dyDescent="0.15">
      <c r="A152" s="1">
        <v>90369</v>
      </c>
      <c r="B152" s="1">
        <v>1571</v>
      </c>
    </row>
    <row r="153" spans="1:2" x14ac:dyDescent="0.15">
      <c r="A153" s="1">
        <v>80398</v>
      </c>
      <c r="B153" s="1">
        <v>1571</v>
      </c>
    </row>
    <row r="154" spans="1:2" x14ac:dyDescent="0.15">
      <c r="A154" s="1">
        <v>88325</v>
      </c>
      <c r="B154" s="1">
        <v>1570</v>
      </c>
    </row>
    <row r="155" spans="1:2" x14ac:dyDescent="0.15">
      <c r="A155" s="1">
        <v>74068</v>
      </c>
      <c r="B155" s="1">
        <v>1566</v>
      </c>
    </row>
    <row r="156" spans="1:2" x14ac:dyDescent="0.15">
      <c r="A156" s="1">
        <v>73926</v>
      </c>
      <c r="B156" s="1">
        <v>1565</v>
      </c>
    </row>
    <row r="157" spans="1:2" x14ac:dyDescent="0.15">
      <c r="A157" s="1">
        <v>81975</v>
      </c>
      <c r="B157" s="1">
        <v>1561</v>
      </c>
    </row>
    <row r="158" spans="1:2" x14ac:dyDescent="0.15">
      <c r="A158" s="1">
        <v>69084</v>
      </c>
      <c r="B158" s="1">
        <v>1556</v>
      </c>
    </row>
    <row r="159" spans="1:2" x14ac:dyDescent="0.15">
      <c r="A159" s="1">
        <v>84906</v>
      </c>
      <c r="B159" s="1">
        <v>1555</v>
      </c>
    </row>
    <row r="160" spans="1:2" x14ac:dyDescent="0.15">
      <c r="A160" s="1">
        <v>85620</v>
      </c>
      <c r="B160" s="1">
        <v>1554</v>
      </c>
    </row>
    <row r="161" spans="1:2" x14ac:dyDescent="0.15">
      <c r="A161" s="1">
        <v>68682</v>
      </c>
      <c r="B161" s="1">
        <v>1553</v>
      </c>
    </row>
    <row r="162" spans="1:2" x14ac:dyDescent="0.15">
      <c r="A162" s="1">
        <v>83003</v>
      </c>
      <c r="B162" s="1">
        <v>1552</v>
      </c>
    </row>
    <row r="163" spans="1:2" x14ac:dyDescent="0.15">
      <c r="A163" s="1">
        <v>62847</v>
      </c>
      <c r="B163" s="1">
        <v>1551</v>
      </c>
    </row>
    <row r="164" spans="1:2" x14ac:dyDescent="0.15">
      <c r="A164" s="1">
        <v>73538</v>
      </c>
      <c r="B164" s="1">
        <v>1551</v>
      </c>
    </row>
    <row r="165" spans="1:2" x14ac:dyDescent="0.15">
      <c r="A165" s="1">
        <v>86610</v>
      </c>
      <c r="B165" s="1">
        <v>1550</v>
      </c>
    </row>
    <row r="166" spans="1:2" x14ac:dyDescent="0.15">
      <c r="A166" s="1">
        <v>70300</v>
      </c>
      <c r="B166" s="1">
        <v>1550</v>
      </c>
    </row>
    <row r="167" spans="1:2" x14ac:dyDescent="0.15">
      <c r="A167" s="1">
        <v>80067</v>
      </c>
      <c r="B167" s="1">
        <v>1549</v>
      </c>
    </row>
    <row r="168" spans="1:2" x14ac:dyDescent="0.15">
      <c r="A168" s="1">
        <v>80573</v>
      </c>
      <c r="B168" s="1">
        <v>1549</v>
      </c>
    </row>
    <row r="169" spans="1:2" x14ac:dyDescent="0.15">
      <c r="A169" s="1">
        <v>60896</v>
      </c>
      <c r="B169" s="1">
        <v>1548</v>
      </c>
    </row>
    <row r="170" spans="1:2" x14ac:dyDescent="0.15">
      <c r="A170" s="1">
        <v>64260</v>
      </c>
      <c r="B170" s="1">
        <v>1544</v>
      </c>
    </row>
    <row r="171" spans="1:2" x14ac:dyDescent="0.15">
      <c r="A171" s="1">
        <v>78353</v>
      </c>
      <c r="B171" s="1">
        <v>1542</v>
      </c>
    </row>
    <row r="172" spans="1:2" x14ac:dyDescent="0.15">
      <c r="A172" s="1">
        <v>80739</v>
      </c>
      <c r="B172" s="1">
        <v>1541</v>
      </c>
    </row>
    <row r="173" spans="1:2" x14ac:dyDescent="0.15">
      <c r="A173" s="1">
        <v>84117</v>
      </c>
      <c r="B173" s="1">
        <v>1540</v>
      </c>
    </row>
    <row r="174" spans="1:2" x14ac:dyDescent="0.15">
      <c r="A174" s="1">
        <v>64140</v>
      </c>
      <c r="B174" s="1">
        <v>1535</v>
      </c>
    </row>
    <row r="175" spans="1:2" x14ac:dyDescent="0.15">
      <c r="A175" s="1">
        <v>81741</v>
      </c>
      <c r="B175" s="1">
        <v>1534</v>
      </c>
    </row>
    <row r="176" spans="1:2" x14ac:dyDescent="0.15">
      <c r="A176" s="1">
        <v>58138</v>
      </c>
      <c r="B176" s="1">
        <v>1529</v>
      </c>
    </row>
    <row r="177" spans="1:2" x14ac:dyDescent="0.15">
      <c r="A177" s="1">
        <v>96843</v>
      </c>
      <c r="B177" s="1">
        <v>1527</v>
      </c>
    </row>
    <row r="178" spans="1:2" x14ac:dyDescent="0.15">
      <c r="A178" s="1">
        <v>105471</v>
      </c>
      <c r="B178" s="1">
        <v>1517</v>
      </c>
    </row>
    <row r="179" spans="1:2" x14ac:dyDescent="0.15">
      <c r="A179" s="1">
        <v>76467</v>
      </c>
      <c r="B179" s="1">
        <v>1517</v>
      </c>
    </row>
    <row r="180" spans="1:2" x14ac:dyDescent="0.15">
      <c r="A180" s="1">
        <v>83917</v>
      </c>
      <c r="B180" s="1">
        <v>1508</v>
      </c>
    </row>
    <row r="181" spans="1:2" x14ac:dyDescent="0.15">
      <c r="A181" s="1">
        <v>70116</v>
      </c>
      <c r="B181" s="1">
        <v>1507</v>
      </c>
    </row>
    <row r="182" spans="1:2" x14ac:dyDescent="0.15">
      <c r="A182" s="1">
        <v>81843</v>
      </c>
      <c r="B182" s="1">
        <v>1505</v>
      </c>
    </row>
    <row r="183" spans="1:2" x14ac:dyDescent="0.15">
      <c r="A183" s="1">
        <v>83528</v>
      </c>
      <c r="B183" s="1">
        <v>1503</v>
      </c>
    </row>
    <row r="184" spans="1:2" x14ac:dyDescent="0.15">
      <c r="A184" s="1">
        <v>77766</v>
      </c>
      <c r="B184" s="1">
        <v>1502</v>
      </c>
    </row>
    <row r="185" spans="1:2" x14ac:dyDescent="0.15">
      <c r="A185" s="1">
        <v>68655</v>
      </c>
      <c r="B185" s="1">
        <v>1500</v>
      </c>
    </row>
    <row r="186" spans="1:2" x14ac:dyDescent="0.15">
      <c r="A186" s="1">
        <v>48192</v>
      </c>
      <c r="B186" s="1">
        <v>1497</v>
      </c>
    </row>
    <row r="187" spans="1:2" x14ac:dyDescent="0.15">
      <c r="A187" s="1">
        <v>64857</v>
      </c>
      <c r="B187" s="1">
        <v>1497</v>
      </c>
    </row>
    <row r="188" spans="1:2" x14ac:dyDescent="0.15">
      <c r="A188" s="1">
        <v>70893</v>
      </c>
      <c r="B188" s="1">
        <v>1494</v>
      </c>
    </row>
    <row r="189" spans="1:2" x14ac:dyDescent="0.15">
      <c r="A189" s="1">
        <v>75437</v>
      </c>
      <c r="B189" s="1">
        <v>1493</v>
      </c>
    </row>
    <row r="190" spans="1:2" x14ac:dyDescent="0.15">
      <c r="A190" s="1">
        <v>69969</v>
      </c>
      <c r="B190" s="1">
        <v>1492</v>
      </c>
    </row>
    <row r="191" spans="1:2" x14ac:dyDescent="0.15">
      <c r="A191" s="1">
        <v>74859</v>
      </c>
      <c r="B191" s="1">
        <v>1492</v>
      </c>
    </row>
    <row r="192" spans="1:2" x14ac:dyDescent="0.15">
      <c r="A192" s="1">
        <v>70044</v>
      </c>
      <c r="B192" s="1">
        <v>1490</v>
      </c>
    </row>
    <row r="193" spans="1:2" x14ac:dyDescent="0.15">
      <c r="A193" s="1">
        <v>74854</v>
      </c>
      <c r="B193" s="1">
        <v>1489</v>
      </c>
    </row>
    <row r="194" spans="1:2" x14ac:dyDescent="0.15">
      <c r="A194" s="1">
        <v>69267</v>
      </c>
      <c r="B194" s="1">
        <v>1489</v>
      </c>
    </row>
    <row r="195" spans="1:2" x14ac:dyDescent="0.15">
      <c r="A195" s="1">
        <v>81051</v>
      </c>
      <c r="B195" s="1">
        <v>1487</v>
      </c>
    </row>
    <row r="196" spans="1:2" x14ac:dyDescent="0.15">
      <c r="A196" s="1">
        <v>57333</v>
      </c>
      <c r="B196" s="1">
        <v>1486</v>
      </c>
    </row>
    <row r="197" spans="1:2" x14ac:dyDescent="0.15">
      <c r="A197" s="1">
        <v>70440</v>
      </c>
      <c r="B197" s="1">
        <v>1484</v>
      </c>
    </row>
    <row r="198" spans="1:2" x14ac:dyDescent="0.15">
      <c r="A198" s="1">
        <v>62981</v>
      </c>
      <c r="B198" s="1">
        <v>1482</v>
      </c>
    </row>
    <row r="199" spans="1:2" x14ac:dyDescent="0.15">
      <c r="A199" s="1">
        <v>82014</v>
      </c>
      <c r="B199" s="1">
        <v>1480</v>
      </c>
    </row>
    <row r="200" spans="1:2" x14ac:dyDescent="0.15">
      <c r="A200" s="1">
        <v>73454</v>
      </c>
      <c r="B200" s="1">
        <v>1476</v>
      </c>
    </row>
    <row r="201" spans="1:2" x14ac:dyDescent="0.15">
      <c r="A201" s="1">
        <v>79823</v>
      </c>
      <c r="B201" s="1">
        <v>1475</v>
      </c>
    </row>
    <row r="202" spans="1:2" x14ac:dyDescent="0.15">
      <c r="A202" s="1">
        <v>72828</v>
      </c>
      <c r="B202" s="1">
        <v>1473</v>
      </c>
    </row>
    <row r="203" spans="1:2" x14ac:dyDescent="0.15">
      <c r="A203" s="1">
        <v>66465</v>
      </c>
      <c r="B203" s="1">
        <v>1471</v>
      </c>
    </row>
    <row r="204" spans="1:2" x14ac:dyDescent="0.15">
      <c r="A204" s="1">
        <v>76542</v>
      </c>
      <c r="B204" s="1">
        <v>1469</v>
      </c>
    </row>
    <row r="205" spans="1:2" x14ac:dyDescent="0.15">
      <c r="A205" s="1">
        <v>77520</v>
      </c>
      <c r="B205" s="1">
        <v>1468</v>
      </c>
    </row>
    <row r="206" spans="1:2" x14ac:dyDescent="0.15">
      <c r="A206" s="1">
        <v>91820</v>
      </c>
      <c r="B206" s="1">
        <v>1467</v>
      </c>
    </row>
    <row r="207" spans="1:2" x14ac:dyDescent="0.15">
      <c r="A207" s="1">
        <v>69930</v>
      </c>
      <c r="B207" s="1">
        <v>1466</v>
      </c>
    </row>
    <row r="208" spans="1:2" x14ac:dyDescent="0.15">
      <c r="A208" s="1">
        <v>57036</v>
      </c>
      <c r="B208" s="1">
        <v>1466</v>
      </c>
    </row>
    <row r="209" spans="1:2" x14ac:dyDescent="0.15">
      <c r="A209" s="1">
        <v>73892</v>
      </c>
      <c r="B209" s="1">
        <v>1464</v>
      </c>
    </row>
    <row r="210" spans="1:2" x14ac:dyDescent="0.15">
      <c r="A210" s="1">
        <v>65176</v>
      </c>
      <c r="B210" s="1">
        <v>1461</v>
      </c>
    </row>
    <row r="211" spans="1:2" x14ac:dyDescent="0.15">
      <c r="A211" s="1">
        <v>69109</v>
      </c>
      <c r="B211" s="1">
        <v>1460</v>
      </c>
    </row>
    <row r="212" spans="1:2" x14ac:dyDescent="0.15">
      <c r="A212" s="1">
        <v>79946</v>
      </c>
      <c r="B212" s="1">
        <v>1450</v>
      </c>
    </row>
    <row r="213" spans="1:2" x14ac:dyDescent="0.15">
      <c r="A213" s="1">
        <v>73687</v>
      </c>
      <c r="B213" s="1">
        <v>1446</v>
      </c>
    </row>
    <row r="214" spans="1:2" x14ac:dyDescent="0.15">
      <c r="A214" s="1">
        <v>81702</v>
      </c>
      <c r="B214" s="1">
        <v>1446</v>
      </c>
    </row>
    <row r="215" spans="1:2" x14ac:dyDescent="0.15">
      <c r="A215" s="1">
        <v>79529</v>
      </c>
      <c r="B215" s="1">
        <v>1441</v>
      </c>
    </row>
    <row r="216" spans="1:2" x14ac:dyDescent="0.15">
      <c r="A216" s="1">
        <v>74538</v>
      </c>
      <c r="B216" s="1">
        <v>1433</v>
      </c>
    </row>
    <row r="217" spans="1:2" x14ac:dyDescent="0.15">
      <c r="A217" s="1">
        <v>63207</v>
      </c>
      <c r="B217" s="1">
        <v>1432</v>
      </c>
    </row>
    <row r="218" spans="1:2" x14ac:dyDescent="0.15">
      <c r="A218" s="1">
        <v>89694</v>
      </c>
      <c r="B218" s="1">
        <v>1430</v>
      </c>
    </row>
    <row r="219" spans="1:2" x14ac:dyDescent="0.15">
      <c r="A219" s="1">
        <v>67419</v>
      </c>
      <c r="B219" s="1">
        <v>1429</v>
      </c>
    </row>
    <row r="220" spans="1:2" x14ac:dyDescent="0.15">
      <c r="A220" s="1">
        <v>71706</v>
      </c>
      <c r="B220" s="1">
        <v>1429</v>
      </c>
    </row>
    <row r="221" spans="1:2" x14ac:dyDescent="0.15">
      <c r="A221" s="1">
        <v>80995</v>
      </c>
      <c r="B221" s="1">
        <v>1426</v>
      </c>
    </row>
    <row r="222" spans="1:2" x14ac:dyDescent="0.15">
      <c r="A222" s="1">
        <v>78420</v>
      </c>
      <c r="B222" s="1">
        <v>1425</v>
      </c>
    </row>
    <row r="223" spans="1:2" x14ac:dyDescent="0.15">
      <c r="A223" s="1">
        <v>68142</v>
      </c>
      <c r="B223" s="1">
        <v>1422</v>
      </c>
    </row>
    <row r="224" spans="1:2" x14ac:dyDescent="0.15">
      <c r="A224" s="1">
        <v>67369</v>
      </c>
      <c r="B224" s="1">
        <v>1419</v>
      </c>
    </row>
    <row r="225" spans="1:2" x14ac:dyDescent="0.15">
      <c r="A225" s="1">
        <v>72217</v>
      </c>
      <c r="B225" s="1">
        <v>1419</v>
      </c>
    </row>
    <row r="226" spans="1:2" x14ac:dyDescent="0.15">
      <c r="A226" s="1">
        <v>83443</v>
      </c>
      <c r="B226" s="1">
        <v>1413</v>
      </c>
    </row>
    <row r="227" spans="1:2" x14ac:dyDescent="0.15">
      <c r="A227" s="1">
        <v>86429</v>
      </c>
      <c r="B227" s="1">
        <v>1412</v>
      </c>
    </row>
    <row r="228" spans="1:2" x14ac:dyDescent="0.15">
      <c r="A228" s="1">
        <v>75693</v>
      </c>
      <c r="B228" s="1">
        <v>1412</v>
      </c>
    </row>
    <row r="229" spans="1:2" x14ac:dyDescent="0.15">
      <c r="A229" s="1">
        <v>63120</v>
      </c>
      <c r="B229" s="1">
        <v>1408</v>
      </c>
    </row>
    <row r="230" spans="1:2" x14ac:dyDescent="0.15">
      <c r="A230" s="1">
        <v>71819</v>
      </c>
      <c r="B230" s="1">
        <v>1406</v>
      </c>
    </row>
    <row r="231" spans="1:2" x14ac:dyDescent="0.15">
      <c r="A231" s="1">
        <v>80617</v>
      </c>
      <c r="B231" s="1">
        <v>1403</v>
      </c>
    </row>
    <row r="232" spans="1:2" x14ac:dyDescent="0.15">
      <c r="A232" s="1">
        <v>80589</v>
      </c>
      <c r="B232" s="1">
        <v>1402</v>
      </c>
    </row>
    <row r="233" spans="1:2" x14ac:dyDescent="0.15">
      <c r="A233" s="1">
        <v>73356</v>
      </c>
      <c r="B233" s="1">
        <v>1400</v>
      </c>
    </row>
    <row r="234" spans="1:2" x14ac:dyDescent="0.15">
      <c r="A234" s="1">
        <v>72258</v>
      </c>
      <c r="B234" s="1">
        <v>1391</v>
      </c>
    </row>
    <row r="235" spans="1:2" x14ac:dyDescent="0.15">
      <c r="A235" s="1">
        <v>78285</v>
      </c>
      <c r="B235" s="1">
        <v>1387</v>
      </c>
    </row>
    <row r="236" spans="1:2" x14ac:dyDescent="0.15">
      <c r="A236" s="1">
        <v>72504</v>
      </c>
      <c r="B236" s="1">
        <v>1384</v>
      </c>
    </row>
    <row r="237" spans="1:2" x14ac:dyDescent="0.15">
      <c r="A237" s="1">
        <v>63684</v>
      </c>
      <c r="B237" s="1">
        <v>1384</v>
      </c>
    </row>
    <row r="238" spans="1:2" x14ac:dyDescent="0.15">
      <c r="A238" s="1">
        <v>83844</v>
      </c>
      <c r="B238" s="1">
        <v>1383</v>
      </c>
    </row>
    <row r="239" spans="1:2" x14ac:dyDescent="0.15">
      <c r="A239" s="1">
        <v>67384</v>
      </c>
      <c r="B239" s="1">
        <v>1383</v>
      </c>
    </row>
    <row r="240" spans="1:2" x14ac:dyDescent="0.15">
      <c r="A240" s="1">
        <v>82582</v>
      </c>
      <c r="B240" s="1">
        <v>1376</v>
      </c>
    </row>
    <row r="241" spans="1:2" x14ac:dyDescent="0.15">
      <c r="A241" s="1">
        <v>72643</v>
      </c>
      <c r="B241" s="1">
        <v>1376</v>
      </c>
    </row>
    <row r="242" spans="1:2" x14ac:dyDescent="0.15">
      <c r="A242" s="1">
        <v>76445</v>
      </c>
      <c r="B242" s="1">
        <v>1375</v>
      </c>
    </row>
    <row r="243" spans="1:2" x14ac:dyDescent="0.15">
      <c r="A243" s="1">
        <v>69016</v>
      </c>
      <c r="B243" s="1">
        <v>1372</v>
      </c>
    </row>
    <row r="244" spans="1:2" x14ac:dyDescent="0.15">
      <c r="A244" s="1">
        <v>82584</v>
      </c>
      <c r="B244" s="1">
        <v>1367</v>
      </c>
    </row>
    <row r="245" spans="1:2" x14ac:dyDescent="0.15">
      <c r="A245" s="1">
        <v>76618</v>
      </c>
      <c r="B245" s="1">
        <v>1364</v>
      </c>
    </row>
    <row r="246" spans="1:2" x14ac:dyDescent="0.15">
      <c r="A246" s="1">
        <v>69520</v>
      </c>
      <c r="B246" s="1">
        <v>1362</v>
      </c>
    </row>
    <row r="247" spans="1:2" x14ac:dyDescent="0.15">
      <c r="A247" s="1">
        <v>75507</v>
      </c>
      <c r="B247" s="1">
        <v>1360</v>
      </c>
    </row>
    <row r="248" spans="1:2" x14ac:dyDescent="0.15">
      <c r="A248" s="1">
        <v>91065</v>
      </c>
      <c r="B248" s="1">
        <v>1360</v>
      </c>
    </row>
    <row r="249" spans="1:2" x14ac:dyDescent="0.15">
      <c r="A249" s="1">
        <v>75777</v>
      </c>
      <c r="B249" s="1">
        <v>1358</v>
      </c>
    </row>
    <row r="250" spans="1:2" x14ac:dyDescent="0.15">
      <c r="A250" s="1">
        <v>85738</v>
      </c>
      <c r="B250" s="1">
        <v>1358</v>
      </c>
    </row>
    <row r="251" spans="1:2" x14ac:dyDescent="0.15">
      <c r="A251" s="1">
        <v>49667</v>
      </c>
      <c r="B251" s="1">
        <v>1357</v>
      </c>
    </row>
    <row r="252" spans="1:2" x14ac:dyDescent="0.15">
      <c r="A252" s="1">
        <v>79410</v>
      </c>
      <c r="B252" s="1">
        <v>1357</v>
      </c>
    </row>
    <row r="253" spans="1:2" x14ac:dyDescent="0.15">
      <c r="A253" s="1">
        <v>73803</v>
      </c>
      <c r="B253" s="1">
        <v>1354</v>
      </c>
    </row>
    <row r="254" spans="1:2" x14ac:dyDescent="0.15">
      <c r="A254" s="1">
        <v>80134</v>
      </c>
      <c r="B254" s="1">
        <v>1352</v>
      </c>
    </row>
    <row r="255" spans="1:2" x14ac:dyDescent="0.15">
      <c r="A255" s="1">
        <v>71952</v>
      </c>
      <c r="B255" s="1">
        <v>1350</v>
      </c>
    </row>
    <row r="256" spans="1:2" x14ac:dyDescent="0.15">
      <c r="A256" s="1">
        <v>82427</v>
      </c>
      <c r="B256" s="1">
        <v>1349</v>
      </c>
    </row>
    <row r="257" spans="1:2" x14ac:dyDescent="0.15">
      <c r="A257" s="1">
        <v>72159</v>
      </c>
      <c r="B257" s="1">
        <v>1348</v>
      </c>
    </row>
    <row r="258" spans="1:2" x14ac:dyDescent="0.15">
      <c r="A258" s="1">
        <v>81246</v>
      </c>
      <c r="B258" s="1">
        <v>1342</v>
      </c>
    </row>
    <row r="259" spans="1:2" x14ac:dyDescent="0.15">
      <c r="A259" s="1">
        <v>69372</v>
      </c>
      <c r="B259" s="1">
        <v>1339</v>
      </c>
    </row>
    <row r="260" spans="1:2" x14ac:dyDescent="0.15">
      <c r="A260" s="1">
        <v>68397</v>
      </c>
      <c r="B260" s="1">
        <v>1336</v>
      </c>
    </row>
    <row r="261" spans="1:2" x14ac:dyDescent="0.15">
      <c r="A261" s="1">
        <v>55951</v>
      </c>
      <c r="B261" s="1">
        <v>1334</v>
      </c>
    </row>
    <row r="262" spans="1:2" x14ac:dyDescent="0.15">
      <c r="A262" s="1">
        <v>80395</v>
      </c>
      <c r="B262" s="1">
        <v>1332</v>
      </c>
    </row>
    <row r="263" spans="1:2" x14ac:dyDescent="0.15">
      <c r="A263" s="1">
        <v>90842</v>
      </c>
      <c r="B263" s="1">
        <v>1331</v>
      </c>
    </row>
    <row r="264" spans="1:2" x14ac:dyDescent="0.15">
      <c r="A264" s="1">
        <v>85485</v>
      </c>
      <c r="B264" s="1">
        <v>1329</v>
      </c>
    </row>
    <row r="265" spans="1:2" x14ac:dyDescent="0.15">
      <c r="A265" s="1">
        <v>76045</v>
      </c>
      <c r="B265" s="1">
        <v>1323</v>
      </c>
    </row>
    <row r="266" spans="1:2" x14ac:dyDescent="0.15">
      <c r="A266" s="1">
        <v>76140</v>
      </c>
      <c r="B266" s="1">
        <v>1322</v>
      </c>
    </row>
    <row r="267" spans="1:2" x14ac:dyDescent="0.15">
      <c r="A267" s="1">
        <v>77845</v>
      </c>
      <c r="B267" s="1">
        <v>1320</v>
      </c>
    </row>
    <row r="268" spans="1:2" x14ac:dyDescent="0.15">
      <c r="A268" s="1">
        <v>65819</v>
      </c>
      <c r="B268" s="1">
        <v>1320</v>
      </c>
    </row>
    <row r="269" spans="1:2" x14ac:dyDescent="0.15">
      <c r="A269" s="1">
        <v>79530</v>
      </c>
      <c r="B269" s="1">
        <v>1319</v>
      </c>
    </row>
    <row r="270" spans="1:2" x14ac:dyDescent="0.15">
      <c r="A270" s="1">
        <v>75027</v>
      </c>
      <c r="B270" s="1">
        <v>1313</v>
      </c>
    </row>
    <row r="271" spans="1:2" x14ac:dyDescent="0.15">
      <c r="A271" s="1">
        <v>69882</v>
      </c>
      <c r="B271" s="1">
        <v>1313</v>
      </c>
    </row>
    <row r="272" spans="1:2" x14ac:dyDescent="0.15">
      <c r="A272" s="1">
        <v>72905</v>
      </c>
      <c r="B272" s="1">
        <v>1312</v>
      </c>
    </row>
    <row r="273" spans="1:2" x14ac:dyDescent="0.15">
      <c r="A273" s="1">
        <v>64590</v>
      </c>
      <c r="B273" s="1">
        <v>1308</v>
      </c>
    </row>
    <row r="274" spans="1:2" x14ac:dyDescent="0.15">
      <c r="A274" s="1">
        <v>78939</v>
      </c>
      <c r="B274" s="1">
        <v>1302</v>
      </c>
    </row>
    <row r="275" spans="1:2" x14ac:dyDescent="0.15">
      <c r="A275" s="1">
        <v>79456</v>
      </c>
      <c r="B275" s="1">
        <v>1302</v>
      </c>
    </row>
    <row r="276" spans="1:2" x14ac:dyDescent="0.15">
      <c r="A276" s="1">
        <v>78041</v>
      </c>
      <c r="B276" s="1">
        <v>1302</v>
      </c>
    </row>
    <row r="277" spans="1:2" x14ac:dyDescent="0.15">
      <c r="A277" s="1">
        <v>85696</v>
      </c>
      <c r="B277" s="1">
        <v>1301</v>
      </c>
    </row>
    <row r="278" spans="1:2" x14ac:dyDescent="0.15">
      <c r="A278" s="1">
        <v>76068</v>
      </c>
      <c r="B278" s="1">
        <v>1300</v>
      </c>
    </row>
    <row r="279" spans="1:2" x14ac:dyDescent="0.15">
      <c r="A279" s="1">
        <v>61456</v>
      </c>
      <c r="B279" s="1">
        <v>1299</v>
      </c>
    </row>
    <row r="280" spans="1:2" x14ac:dyDescent="0.15">
      <c r="A280" s="1">
        <v>83257</v>
      </c>
      <c r="B280" s="1">
        <v>1298</v>
      </c>
    </row>
    <row r="281" spans="1:2" x14ac:dyDescent="0.15">
      <c r="A281" s="1">
        <v>81795</v>
      </c>
      <c r="B281" s="1">
        <v>1294</v>
      </c>
    </row>
    <row r="282" spans="1:2" x14ac:dyDescent="0.15">
      <c r="A282" s="1">
        <v>80011</v>
      </c>
      <c r="B282" s="1">
        <v>1293</v>
      </c>
    </row>
    <row r="283" spans="1:2" x14ac:dyDescent="0.15">
      <c r="A283" s="1">
        <v>64355</v>
      </c>
      <c r="B283" s="1">
        <v>1292</v>
      </c>
    </row>
    <row r="284" spans="1:2" x14ac:dyDescent="0.15">
      <c r="A284" s="1">
        <v>83273</v>
      </c>
      <c r="B284" s="1">
        <v>1290</v>
      </c>
    </row>
    <row r="285" spans="1:2" x14ac:dyDescent="0.15">
      <c r="A285" s="1">
        <v>66582</v>
      </c>
      <c r="B285" s="1">
        <v>1288</v>
      </c>
    </row>
    <row r="286" spans="1:2" x14ac:dyDescent="0.15">
      <c r="A286" s="1">
        <v>70924</v>
      </c>
      <c r="B286" s="1">
        <v>1287</v>
      </c>
    </row>
    <row r="287" spans="1:2" x14ac:dyDescent="0.15">
      <c r="A287" s="1">
        <v>70713</v>
      </c>
      <c r="B287" s="1">
        <v>1287</v>
      </c>
    </row>
    <row r="288" spans="1:2" x14ac:dyDescent="0.15">
      <c r="A288" s="1">
        <v>82733</v>
      </c>
      <c r="B288" s="1">
        <v>1285</v>
      </c>
    </row>
    <row r="289" spans="1:2" x14ac:dyDescent="0.15">
      <c r="A289" s="1">
        <v>62859</v>
      </c>
      <c r="B289" s="1">
        <v>1282</v>
      </c>
    </row>
    <row r="290" spans="1:2" x14ac:dyDescent="0.15">
      <c r="A290" s="1">
        <v>82122</v>
      </c>
      <c r="B290" s="1">
        <v>1282</v>
      </c>
    </row>
    <row r="291" spans="1:2" x14ac:dyDescent="0.15">
      <c r="A291" s="1">
        <v>72550</v>
      </c>
      <c r="B291" s="1">
        <v>1281</v>
      </c>
    </row>
    <row r="292" spans="1:2" x14ac:dyDescent="0.15">
      <c r="A292" s="1">
        <v>74165</v>
      </c>
      <c r="B292" s="1">
        <v>1281</v>
      </c>
    </row>
    <row r="293" spans="1:2" x14ac:dyDescent="0.15">
      <c r="A293" s="1">
        <v>77863</v>
      </c>
      <c r="B293" s="1">
        <v>1279</v>
      </c>
    </row>
    <row r="294" spans="1:2" x14ac:dyDescent="0.15">
      <c r="A294" s="1">
        <v>68487</v>
      </c>
      <c r="B294" s="1">
        <v>1277</v>
      </c>
    </row>
    <row r="295" spans="1:2" x14ac:dyDescent="0.15">
      <c r="A295" s="1">
        <v>70638</v>
      </c>
      <c r="B295" s="1">
        <v>1271</v>
      </c>
    </row>
    <row r="296" spans="1:2" x14ac:dyDescent="0.15">
      <c r="A296" s="1">
        <v>63810</v>
      </c>
      <c r="B296" s="1">
        <v>1270</v>
      </c>
    </row>
    <row r="297" spans="1:2" x14ac:dyDescent="0.15">
      <c r="A297" s="1">
        <v>82800</v>
      </c>
      <c r="B297" s="1">
        <v>1270</v>
      </c>
    </row>
    <row r="298" spans="1:2" x14ac:dyDescent="0.15">
      <c r="A298" s="1">
        <v>65220</v>
      </c>
      <c r="B298" s="1">
        <v>1270</v>
      </c>
    </row>
    <row r="299" spans="1:2" x14ac:dyDescent="0.15">
      <c r="A299" s="1">
        <v>60000</v>
      </c>
      <c r="B299" s="1">
        <v>1265</v>
      </c>
    </row>
    <row r="300" spans="1:2" x14ac:dyDescent="0.15">
      <c r="A300" s="1">
        <v>78394</v>
      </c>
      <c r="B300" s="1">
        <v>1262</v>
      </c>
    </row>
    <row r="301" spans="1:2" x14ac:dyDescent="0.15">
      <c r="A301" s="1">
        <v>86111</v>
      </c>
      <c r="B301" s="1">
        <v>1259</v>
      </c>
    </row>
    <row r="302" spans="1:2" x14ac:dyDescent="0.15">
      <c r="A302" s="1">
        <v>80144</v>
      </c>
      <c r="B302" s="1">
        <v>1259</v>
      </c>
    </row>
    <row r="303" spans="1:2" x14ac:dyDescent="0.15">
      <c r="A303" s="1">
        <v>66664</v>
      </c>
      <c r="B303" s="1">
        <v>1257</v>
      </c>
    </row>
    <row r="304" spans="1:2" x14ac:dyDescent="0.15">
      <c r="A304" s="1">
        <v>63972</v>
      </c>
      <c r="B304" s="1">
        <v>1257</v>
      </c>
    </row>
    <row r="305" spans="1:2" x14ac:dyDescent="0.15">
      <c r="A305" s="1">
        <v>80124</v>
      </c>
      <c r="B305" s="1">
        <v>1254</v>
      </c>
    </row>
    <row r="306" spans="1:2" x14ac:dyDescent="0.15">
      <c r="A306" s="1">
        <v>87171</v>
      </c>
      <c r="B306" s="1">
        <v>1254</v>
      </c>
    </row>
    <row r="307" spans="1:2" x14ac:dyDescent="0.15">
      <c r="A307" s="1">
        <v>70617</v>
      </c>
      <c r="B307" s="1">
        <v>1253</v>
      </c>
    </row>
    <row r="308" spans="1:2" x14ac:dyDescent="0.15">
      <c r="A308" s="1">
        <v>67430</v>
      </c>
      <c r="B308" s="1">
        <v>1243</v>
      </c>
    </row>
    <row r="309" spans="1:2" x14ac:dyDescent="0.15">
      <c r="A309" s="1">
        <v>66991</v>
      </c>
      <c r="B309" s="1">
        <v>1241</v>
      </c>
    </row>
    <row r="310" spans="1:2" x14ac:dyDescent="0.15">
      <c r="A310" s="1">
        <v>62882</v>
      </c>
      <c r="B310" s="1">
        <v>1241</v>
      </c>
    </row>
    <row r="311" spans="1:2" x14ac:dyDescent="0.15">
      <c r="A311" s="1">
        <v>90000</v>
      </c>
      <c r="B311" s="1">
        <v>1238</v>
      </c>
    </row>
    <row r="312" spans="1:2" x14ac:dyDescent="0.15">
      <c r="A312" s="1">
        <v>78499</v>
      </c>
      <c r="B312" s="1">
        <v>1237</v>
      </c>
    </row>
    <row r="313" spans="1:2" x14ac:dyDescent="0.15">
      <c r="A313" s="1">
        <v>88194</v>
      </c>
      <c r="B313" s="1">
        <v>1236</v>
      </c>
    </row>
    <row r="314" spans="1:2" x14ac:dyDescent="0.15">
      <c r="A314" s="1">
        <v>92556</v>
      </c>
      <c r="B314" s="1">
        <v>1235</v>
      </c>
    </row>
    <row r="315" spans="1:2" x14ac:dyDescent="0.15">
      <c r="A315" s="1">
        <v>64325</v>
      </c>
      <c r="B315" s="1">
        <v>1234</v>
      </c>
    </row>
    <row r="316" spans="1:2" x14ac:dyDescent="0.15">
      <c r="A316" s="1">
        <v>61787</v>
      </c>
      <c r="B316" s="1">
        <v>1234</v>
      </c>
    </row>
    <row r="317" spans="1:2" x14ac:dyDescent="0.15">
      <c r="A317" s="1">
        <v>68092</v>
      </c>
      <c r="B317" s="1">
        <v>1233</v>
      </c>
    </row>
    <row r="318" spans="1:2" x14ac:dyDescent="0.15">
      <c r="A318" s="1">
        <v>71626</v>
      </c>
      <c r="B318" s="1">
        <v>1233</v>
      </c>
    </row>
    <row r="319" spans="1:2" x14ac:dyDescent="0.15">
      <c r="A319" s="1">
        <v>71434</v>
      </c>
      <c r="B319" s="1">
        <v>1232</v>
      </c>
    </row>
    <row r="320" spans="1:2" x14ac:dyDescent="0.15">
      <c r="A320" s="1">
        <v>75865</v>
      </c>
      <c r="B320" s="1">
        <v>1230</v>
      </c>
    </row>
    <row r="321" spans="1:2" x14ac:dyDescent="0.15">
      <c r="A321" s="1">
        <v>71466</v>
      </c>
      <c r="B321" s="1">
        <v>1230</v>
      </c>
    </row>
    <row r="322" spans="1:2" x14ac:dyDescent="0.15">
      <c r="A322" s="1">
        <v>75114</v>
      </c>
      <c r="B322" s="1">
        <v>1229</v>
      </c>
    </row>
    <row r="323" spans="1:2" x14ac:dyDescent="0.15">
      <c r="A323" s="1">
        <v>64849</v>
      </c>
      <c r="B323" s="1">
        <v>1228</v>
      </c>
    </row>
    <row r="324" spans="1:2" x14ac:dyDescent="0.15">
      <c r="A324" s="1">
        <v>80872</v>
      </c>
      <c r="B324" s="1">
        <v>1228</v>
      </c>
    </row>
    <row r="325" spans="1:2" x14ac:dyDescent="0.15">
      <c r="A325" s="1">
        <v>78128</v>
      </c>
      <c r="B325" s="1">
        <v>1228</v>
      </c>
    </row>
    <row r="326" spans="1:2" x14ac:dyDescent="0.15">
      <c r="A326" s="1">
        <v>66303</v>
      </c>
      <c r="B326" s="1">
        <v>1226</v>
      </c>
    </row>
    <row r="327" spans="1:2" x14ac:dyDescent="0.15">
      <c r="A327" s="1">
        <v>79593</v>
      </c>
      <c r="B327" s="1">
        <v>1221</v>
      </c>
    </row>
    <row r="328" spans="1:2" x14ac:dyDescent="0.15">
      <c r="A328" s="1">
        <v>66426</v>
      </c>
      <c r="B328" s="1">
        <v>1220</v>
      </c>
    </row>
    <row r="329" spans="1:2" x14ac:dyDescent="0.15">
      <c r="A329" s="1">
        <v>56981</v>
      </c>
      <c r="B329" s="1">
        <v>1217</v>
      </c>
    </row>
    <row r="330" spans="1:2" x14ac:dyDescent="0.15">
      <c r="A330" s="1">
        <v>51563</v>
      </c>
      <c r="B330" s="1">
        <v>1214</v>
      </c>
    </row>
    <row r="331" spans="1:2" x14ac:dyDescent="0.15">
      <c r="A331" s="1">
        <v>62220</v>
      </c>
      <c r="B331" s="1">
        <v>1214</v>
      </c>
    </row>
    <row r="332" spans="1:2" x14ac:dyDescent="0.15">
      <c r="A332" s="1">
        <v>84574</v>
      </c>
      <c r="B332" s="1">
        <v>1212</v>
      </c>
    </row>
    <row r="333" spans="1:2" x14ac:dyDescent="0.15">
      <c r="A333" s="1">
        <v>71022</v>
      </c>
      <c r="B333" s="1">
        <v>1211</v>
      </c>
    </row>
    <row r="334" spans="1:2" x14ac:dyDescent="0.15">
      <c r="A334" s="1">
        <v>54959</v>
      </c>
      <c r="B334" s="1">
        <v>1208</v>
      </c>
    </row>
    <row r="335" spans="1:2" x14ac:dyDescent="0.15">
      <c r="A335" s="1">
        <v>58656</v>
      </c>
      <c r="B335" s="1">
        <v>1208</v>
      </c>
    </row>
    <row r="336" spans="1:2" x14ac:dyDescent="0.15">
      <c r="A336" s="1">
        <v>83837</v>
      </c>
      <c r="B336" s="1">
        <v>1207</v>
      </c>
    </row>
    <row r="337" spans="1:2" x14ac:dyDescent="0.15">
      <c r="A337" s="1">
        <v>64504</v>
      </c>
      <c r="B337" s="1">
        <v>1206</v>
      </c>
    </row>
    <row r="338" spans="1:2" x14ac:dyDescent="0.15">
      <c r="A338" s="1">
        <v>61996</v>
      </c>
      <c r="B338" s="1">
        <v>1206</v>
      </c>
    </row>
    <row r="339" spans="1:2" x14ac:dyDescent="0.15">
      <c r="A339" s="1">
        <v>81300</v>
      </c>
      <c r="B339" s="1">
        <v>1205</v>
      </c>
    </row>
    <row r="340" spans="1:2" x14ac:dyDescent="0.15">
      <c r="A340" s="1">
        <v>74290</v>
      </c>
      <c r="B340" s="1">
        <v>1205</v>
      </c>
    </row>
    <row r="341" spans="1:2" x14ac:dyDescent="0.15">
      <c r="A341" s="1">
        <v>75922</v>
      </c>
      <c r="B341" s="1">
        <v>1203</v>
      </c>
    </row>
    <row r="342" spans="1:2" x14ac:dyDescent="0.15">
      <c r="A342" s="1">
        <v>75032</v>
      </c>
      <c r="B342" s="1">
        <v>1203</v>
      </c>
    </row>
    <row r="343" spans="1:2" x14ac:dyDescent="0.15">
      <c r="A343" s="1">
        <v>79689</v>
      </c>
      <c r="B343" s="1">
        <v>1194</v>
      </c>
    </row>
    <row r="344" spans="1:2" x14ac:dyDescent="0.15">
      <c r="A344" s="1">
        <v>72228</v>
      </c>
      <c r="B344" s="1">
        <v>1194</v>
      </c>
    </row>
    <row r="345" spans="1:2" x14ac:dyDescent="0.15">
      <c r="A345" s="1">
        <v>72071</v>
      </c>
      <c r="B345" s="1">
        <v>1188</v>
      </c>
    </row>
    <row r="346" spans="1:2" x14ac:dyDescent="0.15">
      <c r="A346" s="1">
        <v>70321</v>
      </c>
      <c r="B346" s="1">
        <v>1185</v>
      </c>
    </row>
    <row r="347" spans="1:2" x14ac:dyDescent="0.15">
      <c r="A347" s="1">
        <v>80763</v>
      </c>
      <c r="B347" s="1">
        <v>1184</v>
      </c>
    </row>
    <row r="348" spans="1:2" x14ac:dyDescent="0.15">
      <c r="A348" s="1">
        <v>85072</v>
      </c>
      <c r="B348" s="1">
        <v>1182</v>
      </c>
    </row>
    <row r="349" spans="1:2" x14ac:dyDescent="0.15">
      <c r="A349" s="1">
        <v>102160</v>
      </c>
      <c r="B349" s="1">
        <v>1182</v>
      </c>
    </row>
    <row r="350" spans="1:2" x14ac:dyDescent="0.15">
      <c r="A350" s="1">
        <v>81044</v>
      </c>
      <c r="B350" s="1">
        <v>1182</v>
      </c>
    </row>
    <row r="351" spans="1:2" x14ac:dyDescent="0.15">
      <c r="A351" s="1">
        <v>66973</v>
      </c>
      <c r="B351" s="1">
        <v>1180</v>
      </c>
    </row>
    <row r="352" spans="1:2" x14ac:dyDescent="0.15">
      <c r="A352" s="1">
        <v>72282</v>
      </c>
      <c r="B352" s="1">
        <v>1178</v>
      </c>
    </row>
    <row r="353" spans="1:2" x14ac:dyDescent="0.15">
      <c r="A353" s="1">
        <v>68316</v>
      </c>
      <c r="B353" s="1">
        <v>1178</v>
      </c>
    </row>
    <row r="354" spans="1:2" x14ac:dyDescent="0.15">
      <c r="A354" s="1">
        <v>82032</v>
      </c>
      <c r="B354" s="1">
        <v>1177</v>
      </c>
    </row>
    <row r="355" spans="1:2" x14ac:dyDescent="0.15">
      <c r="A355" s="1">
        <v>65308</v>
      </c>
      <c r="B355" s="1">
        <v>1177</v>
      </c>
    </row>
    <row r="356" spans="1:2" x14ac:dyDescent="0.15">
      <c r="A356" s="1">
        <v>68657</v>
      </c>
      <c r="B356" s="1">
        <v>1174</v>
      </c>
    </row>
    <row r="357" spans="1:2" x14ac:dyDescent="0.15">
      <c r="A357" s="1">
        <v>80317</v>
      </c>
      <c r="B357" s="1">
        <v>1174</v>
      </c>
    </row>
    <row r="358" spans="1:2" x14ac:dyDescent="0.15">
      <c r="A358" s="1">
        <v>81168</v>
      </c>
      <c r="B358" s="1">
        <v>1171</v>
      </c>
    </row>
    <row r="359" spans="1:2" x14ac:dyDescent="0.15">
      <c r="A359" s="1">
        <v>80982</v>
      </c>
      <c r="B359" s="1">
        <v>1169</v>
      </c>
    </row>
    <row r="360" spans="1:2" x14ac:dyDescent="0.15">
      <c r="A360" s="1">
        <v>72099</v>
      </c>
      <c r="B360" s="1">
        <v>1166</v>
      </c>
    </row>
    <row r="361" spans="1:2" x14ac:dyDescent="0.15">
      <c r="A361" s="1">
        <v>67432</v>
      </c>
      <c r="B361" s="1">
        <v>1165</v>
      </c>
    </row>
    <row r="362" spans="1:2" x14ac:dyDescent="0.15">
      <c r="A362" s="1">
        <v>77027</v>
      </c>
      <c r="B362" s="1">
        <v>1164</v>
      </c>
    </row>
    <row r="363" spans="1:2" x14ac:dyDescent="0.15">
      <c r="A363" s="1">
        <v>67445</v>
      </c>
      <c r="B363" s="1">
        <v>1163</v>
      </c>
    </row>
    <row r="364" spans="1:2" x14ac:dyDescent="0.15">
      <c r="A364" s="1">
        <v>74250</v>
      </c>
      <c r="B364" s="1">
        <v>1158</v>
      </c>
    </row>
    <row r="365" spans="1:2" x14ac:dyDescent="0.15">
      <c r="A365" s="1">
        <v>86424</v>
      </c>
      <c r="B365" s="1">
        <v>1158</v>
      </c>
    </row>
    <row r="366" spans="1:2" x14ac:dyDescent="0.15">
      <c r="A366" s="1">
        <v>70792</v>
      </c>
      <c r="B366" s="1">
        <v>1158</v>
      </c>
    </row>
    <row r="367" spans="1:2" x14ac:dyDescent="0.15">
      <c r="A367" s="1">
        <v>62187</v>
      </c>
      <c r="B367" s="1">
        <v>1157</v>
      </c>
    </row>
    <row r="368" spans="1:2" x14ac:dyDescent="0.15">
      <c r="A368" s="1">
        <v>63887</v>
      </c>
      <c r="B368" s="1">
        <v>1153</v>
      </c>
    </row>
    <row r="369" spans="1:2" x14ac:dyDescent="0.15">
      <c r="A369" s="1">
        <v>84219</v>
      </c>
      <c r="B369" s="1">
        <v>1153</v>
      </c>
    </row>
    <row r="370" spans="1:2" x14ac:dyDescent="0.15">
      <c r="A370" s="1">
        <v>80950</v>
      </c>
      <c r="B370" s="1">
        <v>1150</v>
      </c>
    </row>
    <row r="371" spans="1:2" x14ac:dyDescent="0.15">
      <c r="A371" s="1">
        <v>63564</v>
      </c>
      <c r="B371" s="1">
        <v>1150</v>
      </c>
    </row>
    <row r="372" spans="1:2" x14ac:dyDescent="0.15">
      <c r="A372" s="1">
        <v>70091</v>
      </c>
      <c r="B372" s="1">
        <v>1150</v>
      </c>
    </row>
    <row r="373" spans="1:2" x14ac:dyDescent="0.15">
      <c r="A373" s="1">
        <v>71691</v>
      </c>
      <c r="B373" s="1">
        <v>1149</v>
      </c>
    </row>
    <row r="374" spans="1:2" x14ac:dyDescent="0.15">
      <c r="A374" s="1">
        <v>55212</v>
      </c>
      <c r="B374" s="1">
        <v>1148</v>
      </c>
    </row>
    <row r="375" spans="1:2" x14ac:dyDescent="0.15">
      <c r="A375" s="1">
        <v>77457</v>
      </c>
      <c r="B375" s="1">
        <v>1146</v>
      </c>
    </row>
    <row r="376" spans="1:2" x14ac:dyDescent="0.15">
      <c r="A376" s="1">
        <v>82716</v>
      </c>
      <c r="B376" s="1">
        <v>1145</v>
      </c>
    </row>
    <row r="377" spans="1:2" x14ac:dyDescent="0.15">
      <c r="A377" s="1">
        <v>70951</v>
      </c>
      <c r="B377" s="1">
        <v>1144</v>
      </c>
    </row>
    <row r="378" spans="1:2" x14ac:dyDescent="0.15">
      <c r="A378" s="1">
        <v>62845</v>
      </c>
      <c r="B378" s="1">
        <v>1144</v>
      </c>
    </row>
    <row r="379" spans="1:2" x14ac:dyDescent="0.15">
      <c r="A379" s="1">
        <v>62845</v>
      </c>
      <c r="B379" s="1">
        <v>1144</v>
      </c>
    </row>
    <row r="380" spans="1:2" x14ac:dyDescent="0.15">
      <c r="A380" s="1">
        <v>65169</v>
      </c>
      <c r="B380" s="1">
        <v>1143</v>
      </c>
    </row>
    <row r="381" spans="1:2" x14ac:dyDescent="0.15">
      <c r="A381" s="1">
        <v>61618</v>
      </c>
      <c r="B381" s="1">
        <v>1140</v>
      </c>
    </row>
    <row r="382" spans="1:2" x14ac:dyDescent="0.15">
      <c r="A382" s="1">
        <v>76773</v>
      </c>
      <c r="B382" s="1">
        <v>1140</v>
      </c>
    </row>
    <row r="383" spans="1:2" x14ac:dyDescent="0.15">
      <c r="A383" s="1">
        <v>66334</v>
      </c>
      <c r="B383" s="1">
        <v>1138</v>
      </c>
    </row>
    <row r="384" spans="1:2" x14ac:dyDescent="0.15">
      <c r="A384" s="1">
        <v>71107</v>
      </c>
      <c r="B384" s="1">
        <v>1132</v>
      </c>
    </row>
    <row r="385" spans="1:2" x14ac:dyDescent="0.15">
      <c r="A385" s="1">
        <v>75433</v>
      </c>
      <c r="B385" s="1">
        <v>1131</v>
      </c>
    </row>
    <row r="386" spans="1:2" x14ac:dyDescent="0.15">
      <c r="A386" s="1">
        <v>75484</v>
      </c>
      <c r="B386" s="1">
        <v>1125</v>
      </c>
    </row>
    <row r="387" spans="1:2" x14ac:dyDescent="0.15">
      <c r="A387" s="1">
        <v>60839</v>
      </c>
      <c r="B387" s="1">
        <v>1122</v>
      </c>
    </row>
    <row r="388" spans="1:2" x14ac:dyDescent="0.15">
      <c r="A388" s="1">
        <v>75702</v>
      </c>
      <c r="B388" s="1">
        <v>1118</v>
      </c>
    </row>
    <row r="389" spans="1:2" x14ac:dyDescent="0.15">
      <c r="A389" s="1">
        <v>70515</v>
      </c>
      <c r="B389" s="1">
        <v>1118</v>
      </c>
    </row>
    <row r="390" spans="1:2" x14ac:dyDescent="0.15">
      <c r="A390" s="1">
        <v>61014</v>
      </c>
      <c r="B390" s="1">
        <v>1118</v>
      </c>
    </row>
    <row r="391" spans="1:2" x14ac:dyDescent="0.15">
      <c r="A391" s="1">
        <v>71853</v>
      </c>
      <c r="B391" s="1">
        <v>1117</v>
      </c>
    </row>
    <row r="392" spans="1:2" x14ac:dyDescent="0.15">
      <c r="A392" s="1">
        <v>77226</v>
      </c>
      <c r="B392" s="1">
        <v>1117</v>
      </c>
    </row>
    <row r="393" spans="1:2" x14ac:dyDescent="0.15">
      <c r="A393" s="1">
        <v>72679</v>
      </c>
      <c r="B393" s="1">
        <v>1114</v>
      </c>
    </row>
    <row r="394" spans="1:2" x14ac:dyDescent="0.15">
      <c r="A394" s="1">
        <v>70038</v>
      </c>
      <c r="B394" s="1">
        <v>1114</v>
      </c>
    </row>
    <row r="395" spans="1:2" x14ac:dyDescent="0.15">
      <c r="A395" s="1">
        <v>77037</v>
      </c>
      <c r="B395" s="1">
        <v>1113</v>
      </c>
    </row>
    <row r="396" spans="1:2" x14ac:dyDescent="0.15">
      <c r="A396" s="1">
        <v>71855</v>
      </c>
      <c r="B396" s="1">
        <v>1113</v>
      </c>
    </row>
    <row r="397" spans="1:2" x14ac:dyDescent="0.15">
      <c r="A397" s="1">
        <v>85431</v>
      </c>
      <c r="B397" s="1">
        <v>1112</v>
      </c>
    </row>
    <row r="398" spans="1:2" x14ac:dyDescent="0.15">
      <c r="A398" s="1">
        <v>49118</v>
      </c>
      <c r="B398" s="1">
        <v>1110</v>
      </c>
    </row>
    <row r="399" spans="1:2" x14ac:dyDescent="0.15">
      <c r="A399" s="1">
        <v>73691</v>
      </c>
      <c r="B399" s="1">
        <v>1106</v>
      </c>
    </row>
    <row r="400" spans="1:2" x14ac:dyDescent="0.15">
      <c r="A400" s="1">
        <v>77343</v>
      </c>
      <c r="B400" s="1">
        <v>1103</v>
      </c>
    </row>
    <row r="401" spans="1:2" x14ac:dyDescent="0.15">
      <c r="A401" s="1">
        <v>53653</v>
      </c>
      <c r="B401" s="1">
        <v>1102</v>
      </c>
    </row>
    <row r="402" spans="1:2" x14ac:dyDescent="0.15">
      <c r="A402" s="1">
        <v>79632</v>
      </c>
      <c r="B402" s="1">
        <v>1101</v>
      </c>
    </row>
    <row r="403" spans="1:2" x14ac:dyDescent="0.15">
      <c r="A403" s="1">
        <v>71322</v>
      </c>
      <c r="B403" s="1">
        <v>1101</v>
      </c>
    </row>
    <row r="404" spans="1:2" x14ac:dyDescent="0.15">
      <c r="A404" s="1">
        <v>71604</v>
      </c>
      <c r="B404" s="1">
        <v>1099</v>
      </c>
    </row>
    <row r="405" spans="1:2" x14ac:dyDescent="0.15">
      <c r="A405" s="1">
        <v>86718</v>
      </c>
      <c r="B405" s="1">
        <v>1098</v>
      </c>
    </row>
    <row r="406" spans="1:2" x14ac:dyDescent="0.15">
      <c r="A406" s="1">
        <v>76842</v>
      </c>
      <c r="B406" s="1">
        <v>1098</v>
      </c>
    </row>
    <row r="407" spans="1:2" x14ac:dyDescent="0.15">
      <c r="A407" s="1">
        <v>72906</v>
      </c>
      <c r="B407" s="1">
        <v>1097</v>
      </c>
    </row>
    <row r="408" spans="1:2" x14ac:dyDescent="0.15">
      <c r="A408" s="1">
        <v>63693</v>
      </c>
      <c r="B408" s="1">
        <v>1096</v>
      </c>
    </row>
    <row r="409" spans="1:2" x14ac:dyDescent="0.15">
      <c r="A409" s="1">
        <v>77437</v>
      </c>
      <c r="B409" s="1">
        <v>1096</v>
      </c>
    </row>
    <row r="410" spans="1:2" x14ac:dyDescent="0.15">
      <c r="A410" s="1">
        <v>78093</v>
      </c>
      <c r="B410" s="1">
        <v>1095</v>
      </c>
    </row>
    <row r="411" spans="1:2" x14ac:dyDescent="0.15">
      <c r="A411" s="1">
        <v>61223</v>
      </c>
      <c r="B411" s="1">
        <v>1094</v>
      </c>
    </row>
    <row r="412" spans="1:2" x14ac:dyDescent="0.15">
      <c r="A412" s="1">
        <v>69508</v>
      </c>
      <c r="B412" s="1">
        <v>1092</v>
      </c>
    </row>
    <row r="413" spans="1:2" x14ac:dyDescent="0.15">
      <c r="A413" s="1">
        <v>65777</v>
      </c>
      <c r="B413" s="1">
        <v>1092</v>
      </c>
    </row>
    <row r="414" spans="1:2" x14ac:dyDescent="0.15">
      <c r="A414" s="1">
        <v>77972</v>
      </c>
      <c r="B414" s="1">
        <v>1089</v>
      </c>
    </row>
    <row r="415" spans="1:2" x14ac:dyDescent="0.15">
      <c r="A415" s="1">
        <v>82025</v>
      </c>
      <c r="B415" s="1">
        <v>1089</v>
      </c>
    </row>
    <row r="416" spans="1:2" x14ac:dyDescent="0.15">
      <c r="A416" s="1">
        <v>92533</v>
      </c>
      <c r="B416" s="1">
        <v>1089</v>
      </c>
    </row>
    <row r="417" spans="1:2" x14ac:dyDescent="0.15">
      <c r="A417" s="1">
        <v>83664</v>
      </c>
      <c r="B417" s="1">
        <v>1087</v>
      </c>
    </row>
    <row r="418" spans="1:2" x14ac:dyDescent="0.15">
      <c r="A418" s="1">
        <v>62745</v>
      </c>
      <c r="B418" s="1">
        <v>1085</v>
      </c>
    </row>
    <row r="419" spans="1:2" x14ac:dyDescent="0.15">
      <c r="A419" s="1">
        <v>63943</v>
      </c>
      <c r="B419" s="1">
        <v>1085</v>
      </c>
    </row>
    <row r="420" spans="1:2" x14ac:dyDescent="0.15">
      <c r="A420" s="1">
        <v>66636</v>
      </c>
      <c r="B420" s="1">
        <v>1084</v>
      </c>
    </row>
    <row r="421" spans="1:2" x14ac:dyDescent="0.15">
      <c r="A421" s="1">
        <v>63342</v>
      </c>
      <c r="B421" s="1">
        <v>1080</v>
      </c>
    </row>
    <row r="422" spans="1:2" x14ac:dyDescent="0.15">
      <c r="A422" s="1">
        <v>63342</v>
      </c>
      <c r="B422" s="1">
        <v>1080</v>
      </c>
    </row>
    <row r="423" spans="1:2" x14ac:dyDescent="0.15">
      <c r="A423" s="1">
        <v>64108</v>
      </c>
      <c r="B423" s="1">
        <v>1078</v>
      </c>
    </row>
    <row r="424" spans="1:2" x14ac:dyDescent="0.15">
      <c r="A424" s="1">
        <v>71969</v>
      </c>
      <c r="B424" s="1">
        <v>1076</v>
      </c>
    </row>
    <row r="425" spans="1:2" x14ac:dyDescent="0.15">
      <c r="A425" s="1">
        <v>81217</v>
      </c>
      <c r="B425" s="1">
        <v>1073</v>
      </c>
    </row>
    <row r="426" spans="1:2" x14ac:dyDescent="0.15">
      <c r="A426" s="1">
        <v>63033</v>
      </c>
      <c r="B426" s="1">
        <v>1072</v>
      </c>
    </row>
    <row r="427" spans="1:2" x14ac:dyDescent="0.15">
      <c r="A427" s="1">
        <v>87305</v>
      </c>
      <c r="B427" s="1">
        <v>1072</v>
      </c>
    </row>
    <row r="428" spans="1:2" x14ac:dyDescent="0.15">
      <c r="A428" s="1">
        <v>65706</v>
      </c>
      <c r="B428" s="1">
        <v>1070</v>
      </c>
    </row>
    <row r="429" spans="1:2" x14ac:dyDescent="0.15">
      <c r="A429" s="1">
        <v>75154</v>
      </c>
      <c r="B429" s="1">
        <v>1061</v>
      </c>
    </row>
    <row r="430" spans="1:2" x14ac:dyDescent="0.15">
      <c r="A430" s="1">
        <v>87195</v>
      </c>
      <c r="B430" s="1">
        <v>1059</v>
      </c>
    </row>
    <row r="431" spans="1:2" x14ac:dyDescent="0.15">
      <c r="A431" s="1">
        <v>81698</v>
      </c>
      <c r="B431" s="1">
        <v>1059</v>
      </c>
    </row>
    <row r="432" spans="1:2" x14ac:dyDescent="0.15">
      <c r="A432" s="1">
        <v>85693</v>
      </c>
      <c r="B432" s="1">
        <v>1058</v>
      </c>
    </row>
    <row r="433" spans="1:2" x14ac:dyDescent="0.15">
      <c r="A433" s="1">
        <v>63998</v>
      </c>
      <c r="B433" s="1">
        <v>1056</v>
      </c>
    </row>
    <row r="434" spans="1:2" x14ac:dyDescent="0.15">
      <c r="A434" s="1">
        <v>67786</v>
      </c>
      <c r="B434" s="1">
        <v>1054</v>
      </c>
    </row>
    <row r="435" spans="1:2" x14ac:dyDescent="0.15">
      <c r="A435" s="1">
        <v>70287</v>
      </c>
      <c r="B435" s="1">
        <v>1053</v>
      </c>
    </row>
    <row r="436" spans="1:2" x14ac:dyDescent="0.15">
      <c r="A436" s="1">
        <v>57136</v>
      </c>
      <c r="B436" s="1">
        <v>1052</v>
      </c>
    </row>
    <row r="437" spans="1:2" x14ac:dyDescent="0.15">
      <c r="A437" s="1">
        <v>68695</v>
      </c>
      <c r="B437" s="1">
        <v>1051</v>
      </c>
    </row>
    <row r="438" spans="1:2" x14ac:dyDescent="0.15">
      <c r="A438" s="1">
        <v>47111</v>
      </c>
      <c r="B438" s="1">
        <v>1051</v>
      </c>
    </row>
    <row r="439" spans="1:2" x14ac:dyDescent="0.15">
      <c r="A439" s="1">
        <v>75330</v>
      </c>
      <c r="B439" s="1">
        <v>1048</v>
      </c>
    </row>
    <row r="440" spans="1:2" x14ac:dyDescent="0.15">
      <c r="A440" s="1">
        <v>84196</v>
      </c>
      <c r="B440" s="1">
        <v>1047</v>
      </c>
    </row>
    <row r="441" spans="1:2" x14ac:dyDescent="0.15">
      <c r="A441" s="1">
        <v>81657</v>
      </c>
      <c r="B441" s="1">
        <v>1047</v>
      </c>
    </row>
    <row r="442" spans="1:2" x14ac:dyDescent="0.15">
      <c r="A442" s="1">
        <v>70666</v>
      </c>
      <c r="B442" s="1">
        <v>1046</v>
      </c>
    </row>
    <row r="443" spans="1:2" x14ac:dyDescent="0.15">
      <c r="A443" s="1">
        <v>74293</v>
      </c>
      <c r="B443" s="1">
        <v>1046</v>
      </c>
    </row>
    <row r="444" spans="1:2" x14ac:dyDescent="0.15">
      <c r="A444" s="1">
        <v>72354</v>
      </c>
      <c r="B444" s="1">
        <v>1046</v>
      </c>
    </row>
    <row r="445" spans="1:2" x14ac:dyDescent="0.15">
      <c r="A445" s="1">
        <v>78710</v>
      </c>
      <c r="B445" s="1">
        <v>1042</v>
      </c>
    </row>
    <row r="446" spans="1:2" x14ac:dyDescent="0.15">
      <c r="A446" s="1">
        <v>77583</v>
      </c>
      <c r="B446" s="1">
        <v>1041</v>
      </c>
    </row>
    <row r="447" spans="1:2" x14ac:dyDescent="0.15">
      <c r="A447" s="1">
        <v>59868</v>
      </c>
      <c r="B447" s="1">
        <v>1040</v>
      </c>
    </row>
    <row r="448" spans="1:2" x14ac:dyDescent="0.15">
      <c r="A448" s="1">
        <v>65846</v>
      </c>
      <c r="B448" s="1">
        <v>1039</v>
      </c>
    </row>
    <row r="449" spans="1:2" x14ac:dyDescent="0.15">
      <c r="A449" s="1">
        <v>59304</v>
      </c>
      <c r="B449" s="1">
        <v>1038</v>
      </c>
    </row>
    <row r="450" spans="1:2" x14ac:dyDescent="0.15">
      <c r="A450" s="1">
        <v>72460</v>
      </c>
      <c r="B450" s="1">
        <v>1037</v>
      </c>
    </row>
    <row r="451" spans="1:2" x14ac:dyDescent="0.15">
      <c r="A451" s="1">
        <v>59235</v>
      </c>
      <c r="B451" s="1">
        <v>1037</v>
      </c>
    </row>
    <row r="452" spans="1:2" x14ac:dyDescent="0.15">
      <c r="A452" s="1">
        <v>91172</v>
      </c>
      <c r="B452" s="1">
        <v>1036</v>
      </c>
    </row>
    <row r="453" spans="1:2" x14ac:dyDescent="0.15">
      <c r="A453" s="1">
        <v>76982</v>
      </c>
      <c r="B453" s="1">
        <v>1032</v>
      </c>
    </row>
    <row r="454" spans="1:2" x14ac:dyDescent="0.15">
      <c r="A454" s="1">
        <v>53374</v>
      </c>
      <c r="B454" s="1">
        <v>1030</v>
      </c>
    </row>
    <row r="455" spans="1:2" x14ac:dyDescent="0.15">
      <c r="A455" s="1">
        <v>57513</v>
      </c>
      <c r="B455" s="1">
        <v>1030</v>
      </c>
    </row>
    <row r="456" spans="1:2" x14ac:dyDescent="0.15">
      <c r="A456" s="1">
        <v>85710</v>
      </c>
      <c r="B456" s="1">
        <v>1029</v>
      </c>
    </row>
    <row r="457" spans="1:2" x14ac:dyDescent="0.15">
      <c r="A457" s="1">
        <v>69759</v>
      </c>
      <c r="B457" s="1">
        <v>1029</v>
      </c>
    </row>
    <row r="458" spans="1:2" x14ac:dyDescent="0.15">
      <c r="A458" s="1">
        <v>44802</v>
      </c>
      <c r="B458" s="1">
        <v>1029</v>
      </c>
    </row>
    <row r="459" spans="1:2" x14ac:dyDescent="0.15">
      <c r="A459" s="1">
        <v>63211</v>
      </c>
      <c r="B459" s="1">
        <v>1028</v>
      </c>
    </row>
    <row r="460" spans="1:2" x14ac:dyDescent="0.15">
      <c r="A460" s="1">
        <v>55914</v>
      </c>
      <c r="B460" s="1">
        <v>1028</v>
      </c>
    </row>
    <row r="461" spans="1:2" x14ac:dyDescent="0.15">
      <c r="A461" s="1">
        <v>60230</v>
      </c>
      <c r="B461" s="1">
        <v>1027</v>
      </c>
    </row>
    <row r="462" spans="1:2" x14ac:dyDescent="0.15">
      <c r="A462" s="1">
        <v>73059</v>
      </c>
      <c r="B462" s="1">
        <v>1024</v>
      </c>
    </row>
    <row r="463" spans="1:2" x14ac:dyDescent="0.15">
      <c r="A463" s="1">
        <v>52278</v>
      </c>
      <c r="B463" s="1">
        <v>1024</v>
      </c>
    </row>
    <row r="464" spans="1:2" x14ac:dyDescent="0.15">
      <c r="A464" s="1">
        <v>52278</v>
      </c>
      <c r="B464" s="1">
        <v>1024</v>
      </c>
    </row>
    <row r="465" spans="1:2" x14ac:dyDescent="0.15">
      <c r="A465" s="1">
        <v>66565</v>
      </c>
      <c r="B465" s="1">
        <v>1023</v>
      </c>
    </row>
    <row r="466" spans="1:2" x14ac:dyDescent="0.15">
      <c r="A466" s="1">
        <v>72117</v>
      </c>
      <c r="B466" s="1">
        <v>1023</v>
      </c>
    </row>
    <row r="467" spans="1:2" x14ac:dyDescent="0.15">
      <c r="A467" s="1">
        <v>46757</v>
      </c>
      <c r="B467" s="1">
        <v>1021</v>
      </c>
    </row>
    <row r="468" spans="1:2" x14ac:dyDescent="0.15">
      <c r="A468" s="1">
        <v>75276</v>
      </c>
      <c r="B468" s="1">
        <v>1019</v>
      </c>
    </row>
    <row r="469" spans="1:2" x14ac:dyDescent="0.15">
      <c r="A469" s="1">
        <v>58512</v>
      </c>
      <c r="B469" s="1">
        <v>1019</v>
      </c>
    </row>
    <row r="470" spans="1:2" x14ac:dyDescent="0.15">
      <c r="A470" s="1">
        <v>69805</v>
      </c>
      <c r="B470" s="1">
        <v>1018</v>
      </c>
    </row>
    <row r="471" spans="1:2" x14ac:dyDescent="0.15">
      <c r="A471" s="1">
        <v>82504</v>
      </c>
      <c r="B471" s="1">
        <v>1012</v>
      </c>
    </row>
    <row r="472" spans="1:2" x14ac:dyDescent="0.15">
      <c r="A472" s="1">
        <v>51537</v>
      </c>
      <c r="B472" s="1">
        <v>1011</v>
      </c>
    </row>
    <row r="473" spans="1:2" x14ac:dyDescent="0.15">
      <c r="A473" s="1">
        <v>58710</v>
      </c>
      <c r="B473" s="1">
        <v>1011</v>
      </c>
    </row>
    <row r="474" spans="1:2" x14ac:dyDescent="0.15">
      <c r="A474" s="1">
        <v>56715</v>
      </c>
      <c r="B474" s="1">
        <v>1011</v>
      </c>
    </row>
    <row r="475" spans="1:2" x14ac:dyDescent="0.15">
      <c r="A475" s="1">
        <v>60474</v>
      </c>
      <c r="B475" s="1">
        <v>1010</v>
      </c>
    </row>
    <row r="476" spans="1:2" x14ac:dyDescent="0.15">
      <c r="A476" s="1">
        <v>59184</v>
      </c>
      <c r="B476" s="1">
        <v>1006</v>
      </c>
    </row>
    <row r="477" spans="1:2" x14ac:dyDescent="0.15">
      <c r="A477" s="1">
        <v>65487</v>
      </c>
      <c r="B477" s="1">
        <v>1006</v>
      </c>
    </row>
    <row r="478" spans="1:2" x14ac:dyDescent="0.15">
      <c r="A478" s="1">
        <v>65487</v>
      </c>
      <c r="B478" s="1">
        <v>1006</v>
      </c>
    </row>
    <row r="479" spans="1:2" x14ac:dyDescent="0.15">
      <c r="A479" s="1">
        <v>57072</v>
      </c>
      <c r="B479" s="1">
        <v>1004</v>
      </c>
    </row>
    <row r="480" spans="1:2" x14ac:dyDescent="0.15">
      <c r="A480" s="1">
        <v>65104</v>
      </c>
      <c r="B480" s="1">
        <v>1003</v>
      </c>
    </row>
    <row r="481" spans="1:2" x14ac:dyDescent="0.15">
      <c r="A481" s="1">
        <v>65104</v>
      </c>
      <c r="B481" s="1">
        <v>1003</v>
      </c>
    </row>
    <row r="482" spans="1:2" x14ac:dyDescent="0.15">
      <c r="A482" s="1">
        <v>62000</v>
      </c>
      <c r="B482" s="1">
        <v>1000</v>
      </c>
    </row>
    <row r="483" spans="1:2" x14ac:dyDescent="0.15">
      <c r="A483" s="1">
        <v>65492</v>
      </c>
      <c r="B483" s="1">
        <v>998</v>
      </c>
    </row>
    <row r="484" spans="1:2" x14ac:dyDescent="0.15">
      <c r="A484" s="1">
        <v>78416</v>
      </c>
      <c r="B484" s="1">
        <v>996</v>
      </c>
    </row>
    <row r="485" spans="1:2" x14ac:dyDescent="0.15">
      <c r="A485" s="1">
        <v>66951</v>
      </c>
      <c r="B485" s="1">
        <v>993</v>
      </c>
    </row>
    <row r="486" spans="1:2" x14ac:dyDescent="0.15">
      <c r="A486" s="1">
        <v>69932</v>
      </c>
      <c r="B486" s="1">
        <v>992</v>
      </c>
    </row>
    <row r="487" spans="1:2" x14ac:dyDescent="0.15">
      <c r="A487" s="1">
        <v>46772</v>
      </c>
      <c r="B487" s="1">
        <v>991</v>
      </c>
    </row>
    <row r="488" spans="1:2" x14ac:dyDescent="0.15">
      <c r="A488" s="1">
        <v>77044</v>
      </c>
      <c r="B488" s="1">
        <v>989</v>
      </c>
    </row>
    <row r="489" spans="1:2" x14ac:dyDescent="0.15">
      <c r="A489" s="1">
        <v>67309</v>
      </c>
      <c r="B489" s="1">
        <v>987</v>
      </c>
    </row>
    <row r="490" spans="1:2" x14ac:dyDescent="0.15">
      <c r="A490" s="1">
        <v>77382</v>
      </c>
      <c r="B490" s="1">
        <v>987</v>
      </c>
    </row>
    <row r="491" spans="1:2" x14ac:dyDescent="0.15">
      <c r="A491" s="1">
        <v>80336</v>
      </c>
      <c r="B491" s="1">
        <v>986</v>
      </c>
    </row>
    <row r="492" spans="1:2" x14ac:dyDescent="0.15">
      <c r="A492" s="1">
        <v>71847</v>
      </c>
      <c r="B492" s="1">
        <v>982</v>
      </c>
    </row>
    <row r="493" spans="1:2" x14ac:dyDescent="0.15">
      <c r="A493" s="1">
        <v>69702</v>
      </c>
      <c r="B493" s="1">
        <v>982</v>
      </c>
    </row>
    <row r="494" spans="1:2" x14ac:dyDescent="0.15">
      <c r="A494" s="1">
        <v>69476</v>
      </c>
      <c r="B494" s="1">
        <v>977</v>
      </c>
    </row>
    <row r="495" spans="1:2" x14ac:dyDescent="0.15">
      <c r="A495" s="1">
        <v>67911</v>
      </c>
      <c r="B495" s="1">
        <v>976</v>
      </c>
    </row>
    <row r="496" spans="1:2" x14ac:dyDescent="0.15">
      <c r="A496" s="1">
        <v>64831</v>
      </c>
      <c r="B496" s="1">
        <v>976</v>
      </c>
    </row>
    <row r="497" spans="1:2" x14ac:dyDescent="0.15">
      <c r="A497" s="1">
        <v>73113</v>
      </c>
      <c r="B497" s="1">
        <v>973</v>
      </c>
    </row>
    <row r="498" spans="1:2" x14ac:dyDescent="0.15">
      <c r="A498" s="1">
        <v>84835</v>
      </c>
      <c r="B498" s="1">
        <v>972</v>
      </c>
    </row>
    <row r="499" spans="1:2" x14ac:dyDescent="0.15">
      <c r="A499" s="1">
        <v>64961</v>
      </c>
      <c r="B499" s="1">
        <v>971</v>
      </c>
    </row>
    <row r="500" spans="1:2" x14ac:dyDescent="0.15">
      <c r="A500" s="1">
        <v>79244</v>
      </c>
      <c r="B500" s="1">
        <v>971</v>
      </c>
    </row>
    <row r="501" spans="1:2" x14ac:dyDescent="0.15">
      <c r="A501" s="1">
        <v>78468</v>
      </c>
      <c r="B501" s="1">
        <v>970</v>
      </c>
    </row>
    <row r="502" spans="1:2" x14ac:dyDescent="0.15">
      <c r="A502" s="1">
        <v>63285</v>
      </c>
      <c r="B502" s="1">
        <v>969</v>
      </c>
    </row>
    <row r="503" spans="1:2" x14ac:dyDescent="0.15">
      <c r="A503" s="1">
        <v>101970</v>
      </c>
      <c r="B503" s="1">
        <v>967</v>
      </c>
    </row>
    <row r="504" spans="1:2" x14ac:dyDescent="0.15">
      <c r="A504" s="1">
        <v>70647</v>
      </c>
      <c r="B504" s="1">
        <v>965</v>
      </c>
    </row>
    <row r="505" spans="1:2" x14ac:dyDescent="0.15">
      <c r="A505" s="1">
        <v>71965</v>
      </c>
      <c r="B505" s="1">
        <v>965</v>
      </c>
    </row>
    <row r="506" spans="1:2" x14ac:dyDescent="0.15">
      <c r="A506" s="1">
        <v>56796</v>
      </c>
      <c r="B506" s="1">
        <v>964</v>
      </c>
    </row>
    <row r="507" spans="1:2" x14ac:dyDescent="0.15">
      <c r="A507" s="1">
        <v>102692</v>
      </c>
      <c r="B507" s="1">
        <v>964</v>
      </c>
    </row>
    <row r="508" spans="1:2" x14ac:dyDescent="0.15">
      <c r="A508" s="1">
        <v>65991</v>
      </c>
      <c r="B508" s="1">
        <v>962</v>
      </c>
    </row>
    <row r="509" spans="1:2" x14ac:dyDescent="0.15">
      <c r="A509" s="1">
        <v>67433</v>
      </c>
      <c r="B509" s="1">
        <v>962</v>
      </c>
    </row>
    <row r="510" spans="1:2" x14ac:dyDescent="0.15">
      <c r="A510" s="1">
        <v>65148</v>
      </c>
      <c r="B510" s="1">
        <v>962</v>
      </c>
    </row>
    <row r="511" spans="1:2" x14ac:dyDescent="0.15">
      <c r="A511" s="1">
        <v>81698</v>
      </c>
      <c r="B511" s="1">
        <v>961</v>
      </c>
    </row>
    <row r="512" spans="1:2" x14ac:dyDescent="0.15">
      <c r="A512" s="1">
        <v>55956</v>
      </c>
      <c r="B512" s="1">
        <v>961</v>
      </c>
    </row>
    <row r="513" spans="1:2" x14ac:dyDescent="0.15">
      <c r="A513" s="1">
        <v>67716</v>
      </c>
      <c r="B513" s="1">
        <v>960</v>
      </c>
    </row>
    <row r="514" spans="1:2" x14ac:dyDescent="0.15">
      <c r="A514" s="1">
        <v>82460</v>
      </c>
      <c r="B514" s="1">
        <v>959</v>
      </c>
    </row>
    <row r="515" spans="1:2" x14ac:dyDescent="0.15">
      <c r="A515" s="1">
        <v>62450</v>
      </c>
      <c r="B515" s="1">
        <v>957</v>
      </c>
    </row>
    <row r="516" spans="1:2" x14ac:dyDescent="0.15">
      <c r="A516" s="1">
        <v>68148</v>
      </c>
      <c r="B516" s="1">
        <v>957</v>
      </c>
    </row>
    <row r="517" spans="1:2" x14ac:dyDescent="0.15">
      <c r="A517" s="1">
        <v>74806</v>
      </c>
      <c r="B517" s="1">
        <v>956</v>
      </c>
    </row>
    <row r="518" spans="1:2" x14ac:dyDescent="0.15">
      <c r="A518" s="1">
        <v>55686</v>
      </c>
      <c r="B518" s="1">
        <v>956</v>
      </c>
    </row>
    <row r="519" spans="1:2" x14ac:dyDescent="0.15">
      <c r="A519" s="1">
        <v>66476</v>
      </c>
      <c r="B519" s="1">
        <v>956</v>
      </c>
    </row>
    <row r="520" spans="1:2" x14ac:dyDescent="0.15">
      <c r="A520" s="1">
        <v>65196</v>
      </c>
      <c r="B520" s="1">
        <v>955</v>
      </c>
    </row>
    <row r="521" spans="1:2" x14ac:dyDescent="0.15">
      <c r="A521" s="1">
        <v>75236</v>
      </c>
      <c r="B521" s="1">
        <v>954</v>
      </c>
    </row>
    <row r="522" spans="1:2" x14ac:dyDescent="0.15">
      <c r="A522" s="1">
        <v>65106</v>
      </c>
      <c r="B522" s="1">
        <v>954</v>
      </c>
    </row>
    <row r="523" spans="1:2" x14ac:dyDescent="0.15">
      <c r="A523" s="1">
        <v>58607</v>
      </c>
      <c r="B523" s="1">
        <v>953</v>
      </c>
    </row>
    <row r="524" spans="1:2" x14ac:dyDescent="0.15">
      <c r="A524" s="1">
        <v>75283</v>
      </c>
      <c r="B524" s="1">
        <v>953</v>
      </c>
    </row>
    <row r="525" spans="1:2" x14ac:dyDescent="0.15">
      <c r="A525" s="1">
        <v>52973</v>
      </c>
      <c r="B525" s="1">
        <v>953</v>
      </c>
    </row>
    <row r="526" spans="1:2" x14ac:dyDescent="0.15">
      <c r="A526" s="1">
        <v>52614</v>
      </c>
      <c r="B526" s="1">
        <v>952</v>
      </c>
    </row>
    <row r="527" spans="1:2" x14ac:dyDescent="0.15">
      <c r="A527" s="1">
        <v>84953</v>
      </c>
      <c r="B527" s="1">
        <v>952</v>
      </c>
    </row>
    <row r="528" spans="1:2" x14ac:dyDescent="0.15">
      <c r="A528" s="1">
        <v>60491</v>
      </c>
      <c r="B528" s="1">
        <v>952</v>
      </c>
    </row>
    <row r="529" spans="1:2" x14ac:dyDescent="0.15">
      <c r="A529" s="1">
        <v>61074</v>
      </c>
      <c r="B529" s="1">
        <v>950</v>
      </c>
    </row>
    <row r="530" spans="1:2" x14ac:dyDescent="0.15">
      <c r="A530" s="1">
        <v>80685</v>
      </c>
      <c r="B530" s="1">
        <v>950</v>
      </c>
    </row>
    <row r="531" spans="1:2" x14ac:dyDescent="0.15">
      <c r="A531" s="1">
        <v>75072</v>
      </c>
      <c r="B531" s="1">
        <v>948</v>
      </c>
    </row>
    <row r="532" spans="1:2" x14ac:dyDescent="0.15">
      <c r="A532" s="1">
        <v>67893</v>
      </c>
      <c r="B532" s="1">
        <v>948</v>
      </c>
    </row>
    <row r="533" spans="1:2" x14ac:dyDescent="0.15">
      <c r="A533" s="1">
        <v>61010</v>
      </c>
      <c r="B533" s="1">
        <v>945</v>
      </c>
    </row>
    <row r="534" spans="1:2" x14ac:dyDescent="0.15">
      <c r="A534" s="1">
        <v>70596</v>
      </c>
      <c r="B534" s="1">
        <v>942</v>
      </c>
    </row>
    <row r="535" spans="1:2" x14ac:dyDescent="0.15">
      <c r="A535" s="1">
        <v>94871</v>
      </c>
      <c r="B535" s="1">
        <v>934</v>
      </c>
    </row>
    <row r="536" spans="1:2" x14ac:dyDescent="0.15">
      <c r="A536" s="1">
        <v>71796</v>
      </c>
      <c r="B536" s="1">
        <v>928</v>
      </c>
    </row>
    <row r="537" spans="1:2" x14ac:dyDescent="0.15">
      <c r="A537" s="1">
        <v>62820</v>
      </c>
      <c r="B537" s="1">
        <v>923</v>
      </c>
    </row>
    <row r="538" spans="1:2" x14ac:dyDescent="0.15">
      <c r="A538" s="1">
        <v>70053</v>
      </c>
      <c r="B538" s="1">
        <v>923</v>
      </c>
    </row>
    <row r="539" spans="1:2" x14ac:dyDescent="0.15">
      <c r="A539" s="1">
        <v>58350</v>
      </c>
      <c r="B539" s="1">
        <v>921</v>
      </c>
    </row>
    <row r="540" spans="1:2" x14ac:dyDescent="0.15">
      <c r="A540" s="1">
        <v>57304</v>
      </c>
      <c r="B540" s="1">
        <v>920</v>
      </c>
    </row>
    <row r="541" spans="1:2" x14ac:dyDescent="0.15">
      <c r="A541" s="1">
        <v>83715</v>
      </c>
      <c r="B541" s="1">
        <v>918</v>
      </c>
    </row>
    <row r="542" spans="1:2" x14ac:dyDescent="0.15">
      <c r="A542" s="1">
        <v>63855</v>
      </c>
      <c r="B542" s="1">
        <v>917</v>
      </c>
    </row>
    <row r="543" spans="1:2" x14ac:dyDescent="0.15">
      <c r="A543" s="1">
        <v>52513</v>
      </c>
      <c r="B543" s="1">
        <v>917</v>
      </c>
    </row>
    <row r="544" spans="1:2" x14ac:dyDescent="0.15">
      <c r="A544" s="1">
        <v>65665</v>
      </c>
      <c r="B544" s="1">
        <v>916</v>
      </c>
    </row>
    <row r="545" spans="1:2" x14ac:dyDescent="0.15">
      <c r="A545" s="1">
        <v>71163</v>
      </c>
      <c r="B545" s="1">
        <v>916</v>
      </c>
    </row>
    <row r="546" spans="1:2" x14ac:dyDescent="0.15">
      <c r="A546" s="1">
        <v>67131</v>
      </c>
      <c r="B546" s="1">
        <v>914</v>
      </c>
    </row>
    <row r="547" spans="1:2" x14ac:dyDescent="0.15">
      <c r="A547" s="1">
        <v>58330</v>
      </c>
      <c r="B547" s="1">
        <v>913</v>
      </c>
    </row>
    <row r="548" spans="1:2" x14ac:dyDescent="0.15">
      <c r="A548" s="1">
        <v>87000</v>
      </c>
      <c r="B548" s="1">
        <v>912</v>
      </c>
    </row>
    <row r="549" spans="1:2" x14ac:dyDescent="0.15">
      <c r="A549" s="1">
        <v>52203</v>
      </c>
      <c r="B549" s="1">
        <v>911</v>
      </c>
    </row>
    <row r="550" spans="1:2" x14ac:dyDescent="0.15">
      <c r="A550" s="1">
        <v>74881</v>
      </c>
      <c r="B550" s="1">
        <v>910</v>
      </c>
    </row>
    <row r="551" spans="1:2" x14ac:dyDescent="0.15">
      <c r="A551" s="1">
        <v>65488</v>
      </c>
      <c r="B551" s="1">
        <v>909</v>
      </c>
    </row>
    <row r="552" spans="1:2" x14ac:dyDescent="0.15">
      <c r="A552" s="1">
        <v>78075</v>
      </c>
      <c r="B552" s="1">
        <v>908</v>
      </c>
    </row>
    <row r="553" spans="1:2" x14ac:dyDescent="0.15">
      <c r="A553" s="1">
        <v>78931</v>
      </c>
      <c r="B553" s="1">
        <v>908</v>
      </c>
    </row>
    <row r="554" spans="1:2" x14ac:dyDescent="0.15">
      <c r="A554" s="1">
        <v>70886</v>
      </c>
      <c r="B554" s="1">
        <v>907</v>
      </c>
    </row>
    <row r="555" spans="1:2" x14ac:dyDescent="0.15">
      <c r="A555" s="1">
        <v>72298</v>
      </c>
      <c r="B555" s="1">
        <v>904</v>
      </c>
    </row>
    <row r="556" spans="1:2" x14ac:dyDescent="0.15">
      <c r="A556" s="1">
        <v>64950</v>
      </c>
      <c r="B556" s="1">
        <v>903</v>
      </c>
    </row>
    <row r="557" spans="1:2" x14ac:dyDescent="0.15">
      <c r="A557" s="1">
        <v>71391</v>
      </c>
      <c r="B557" s="1">
        <v>902</v>
      </c>
    </row>
    <row r="558" spans="1:2" x14ac:dyDescent="0.15">
      <c r="A558" s="1">
        <v>56775</v>
      </c>
      <c r="B558" s="1">
        <v>902</v>
      </c>
    </row>
    <row r="559" spans="1:2" x14ac:dyDescent="0.15">
      <c r="A559" s="1">
        <v>63206</v>
      </c>
      <c r="B559" s="1">
        <v>902</v>
      </c>
    </row>
    <row r="560" spans="1:2" x14ac:dyDescent="0.15">
      <c r="A560" s="1">
        <v>69063</v>
      </c>
      <c r="B560" s="1">
        <v>902</v>
      </c>
    </row>
    <row r="561" spans="1:2" x14ac:dyDescent="0.15">
      <c r="A561" s="1">
        <v>70179</v>
      </c>
      <c r="B561" s="1">
        <v>901</v>
      </c>
    </row>
    <row r="562" spans="1:2" x14ac:dyDescent="0.15">
      <c r="A562" s="1">
        <v>61064</v>
      </c>
      <c r="B562" s="1">
        <v>900</v>
      </c>
    </row>
    <row r="563" spans="1:2" x14ac:dyDescent="0.15">
      <c r="A563" s="1">
        <v>71232</v>
      </c>
      <c r="B563" s="1">
        <v>900</v>
      </c>
    </row>
    <row r="564" spans="1:2" x14ac:dyDescent="0.15">
      <c r="A564" s="1">
        <v>56937</v>
      </c>
      <c r="B564" s="1">
        <v>898</v>
      </c>
    </row>
    <row r="565" spans="1:2" x14ac:dyDescent="0.15">
      <c r="A565" s="1">
        <v>55260</v>
      </c>
      <c r="B565" s="1">
        <v>897</v>
      </c>
    </row>
    <row r="566" spans="1:2" x14ac:dyDescent="0.15">
      <c r="A566" s="1">
        <v>79734</v>
      </c>
      <c r="B566" s="1">
        <v>897</v>
      </c>
    </row>
    <row r="567" spans="1:2" x14ac:dyDescent="0.15">
      <c r="A567" s="1">
        <v>76320</v>
      </c>
      <c r="B567" s="1">
        <v>897</v>
      </c>
    </row>
    <row r="568" spans="1:2" x14ac:dyDescent="0.15">
      <c r="A568" s="1">
        <v>44953</v>
      </c>
      <c r="B568" s="1">
        <v>897</v>
      </c>
    </row>
    <row r="569" spans="1:2" x14ac:dyDescent="0.15">
      <c r="A569" s="1">
        <v>69283</v>
      </c>
      <c r="B569" s="1">
        <v>896</v>
      </c>
    </row>
    <row r="570" spans="1:2" x14ac:dyDescent="0.15">
      <c r="A570" s="1">
        <v>60161</v>
      </c>
      <c r="B570" s="1">
        <v>894</v>
      </c>
    </row>
    <row r="571" spans="1:2" x14ac:dyDescent="0.15">
      <c r="A571" s="1">
        <v>59666</v>
      </c>
      <c r="B571" s="1">
        <v>894</v>
      </c>
    </row>
    <row r="572" spans="1:2" x14ac:dyDescent="0.15">
      <c r="A572" s="1">
        <v>68117</v>
      </c>
      <c r="B572" s="1">
        <v>894</v>
      </c>
    </row>
    <row r="573" spans="1:2" x14ac:dyDescent="0.15">
      <c r="A573" s="1">
        <v>54693</v>
      </c>
      <c r="B573" s="1">
        <v>894</v>
      </c>
    </row>
    <row r="574" spans="1:2" x14ac:dyDescent="0.15">
      <c r="A574" s="1">
        <v>77142</v>
      </c>
      <c r="B574" s="1">
        <v>893</v>
      </c>
    </row>
    <row r="575" spans="1:2" x14ac:dyDescent="0.15">
      <c r="A575" s="1">
        <v>66835</v>
      </c>
      <c r="B575" s="1">
        <v>892</v>
      </c>
    </row>
    <row r="576" spans="1:2" x14ac:dyDescent="0.15">
      <c r="A576" s="1">
        <v>65073</v>
      </c>
      <c r="B576" s="1">
        <v>892</v>
      </c>
    </row>
    <row r="577" spans="1:2" x14ac:dyDescent="0.15">
      <c r="A577" s="1">
        <v>62568</v>
      </c>
      <c r="B577" s="1">
        <v>892</v>
      </c>
    </row>
    <row r="578" spans="1:2" x14ac:dyDescent="0.15">
      <c r="A578" s="1">
        <v>59462</v>
      </c>
      <c r="B578" s="1">
        <v>892</v>
      </c>
    </row>
    <row r="579" spans="1:2" x14ac:dyDescent="0.15">
      <c r="A579" s="1">
        <v>77298</v>
      </c>
      <c r="B579" s="1">
        <v>890</v>
      </c>
    </row>
    <row r="580" spans="1:2" x14ac:dyDescent="0.15">
      <c r="A580" s="1">
        <v>53103</v>
      </c>
      <c r="B580" s="1">
        <v>890</v>
      </c>
    </row>
    <row r="581" spans="1:2" x14ac:dyDescent="0.15">
      <c r="A581" s="1">
        <v>53858</v>
      </c>
      <c r="B581" s="1">
        <v>889</v>
      </c>
    </row>
    <row r="582" spans="1:2" x14ac:dyDescent="0.15">
      <c r="A582" s="1">
        <v>67023</v>
      </c>
      <c r="B582" s="1">
        <v>889</v>
      </c>
    </row>
    <row r="583" spans="1:2" x14ac:dyDescent="0.15">
      <c r="A583" s="1">
        <v>66731</v>
      </c>
      <c r="B583" s="1">
        <v>888</v>
      </c>
    </row>
    <row r="584" spans="1:2" x14ac:dyDescent="0.15">
      <c r="A584" s="1">
        <v>67381</v>
      </c>
      <c r="B584" s="1">
        <v>887</v>
      </c>
    </row>
    <row r="585" spans="1:2" x14ac:dyDescent="0.15">
      <c r="A585" s="1">
        <v>67046</v>
      </c>
      <c r="B585" s="1">
        <v>886</v>
      </c>
    </row>
    <row r="586" spans="1:2" x14ac:dyDescent="0.15">
      <c r="A586" s="1">
        <v>63404</v>
      </c>
      <c r="B586" s="1">
        <v>885</v>
      </c>
    </row>
    <row r="587" spans="1:2" x14ac:dyDescent="0.15">
      <c r="A587" s="1">
        <v>67605</v>
      </c>
      <c r="B587" s="1">
        <v>884</v>
      </c>
    </row>
    <row r="588" spans="1:2" x14ac:dyDescent="0.15">
      <c r="A588" s="1">
        <v>56242</v>
      </c>
      <c r="B588" s="1">
        <v>883</v>
      </c>
    </row>
    <row r="589" spans="1:2" x14ac:dyDescent="0.15">
      <c r="A589" s="1">
        <v>57912</v>
      </c>
      <c r="B589" s="1">
        <v>881</v>
      </c>
    </row>
    <row r="590" spans="1:2" x14ac:dyDescent="0.15">
      <c r="A590" s="1">
        <v>67353</v>
      </c>
      <c r="B590" s="1">
        <v>878</v>
      </c>
    </row>
    <row r="591" spans="1:2" x14ac:dyDescent="0.15">
      <c r="A591" s="1">
        <v>78825</v>
      </c>
      <c r="B591" s="1">
        <v>877</v>
      </c>
    </row>
    <row r="592" spans="1:2" x14ac:dyDescent="0.15">
      <c r="A592" s="1">
        <v>75012</v>
      </c>
      <c r="B592" s="1">
        <v>876</v>
      </c>
    </row>
    <row r="593" spans="1:2" x14ac:dyDescent="0.15">
      <c r="A593" s="1">
        <v>72635</v>
      </c>
      <c r="B593" s="1">
        <v>874</v>
      </c>
    </row>
    <row r="594" spans="1:2" x14ac:dyDescent="0.15">
      <c r="A594" s="1">
        <v>52845</v>
      </c>
      <c r="B594" s="1">
        <v>872</v>
      </c>
    </row>
    <row r="595" spans="1:2" x14ac:dyDescent="0.15">
      <c r="A595" s="1">
        <v>81320</v>
      </c>
      <c r="B595" s="1">
        <v>871</v>
      </c>
    </row>
    <row r="596" spans="1:2" x14ac:dyDescent="0.15">
      <c r="A596" s="1">
        <v>69867</v>
      </c>
      <c r="B596" s="1">
        <v>871</v>
      </c>
    </row>
    <row r="597" spans="1:2" x14ac:dyDescent="0.15">
      <c r="A597" s="1">
        <v>76234</v>
      </c>
      <c r="B597" s="1">
        <v>866</v>
      </c>
    </row>
    <row r="598" spans="1:2" x14ac:dyDescent="0.15">
      <c r="A598" s="1">
        <v>72940</v>
      </c>
      <c r="B598" s="1">
        <v>865</v>
      </c>
    </row>
    <row r="599" spans="1:2" x14ac:dyDescent="0.15">
      <c r="A599" s="1">
        <v>72570</v>
      </c>
      <c r="B599" s="1">
        <v>865</v>
      </c>
    </row>
    <row r="600" spans="1:2" x14ac:dyDescent="0.15">
      <c r="A600" s="1">
        <v>82224</v>
      </c>
      <c r="B600" s="1">
        <v>862</v>
      </c>
    </row>
    <row r="601" spans="1:2" x14ac:dyDescent="0.15">
      <c r="A601" s="1">
        <v>48948</v>
      </c>
      <c r="B601" s="1">
        <v>860</v>
      </c>
    </row>
    <row r="602" spans="1:2" x14ac:dyDescent="0.15">
      <c r="A602" s="1">
        <v>61209</v>
      </c>
      <c r="B602" s="1">
        <v>858</v>
      </c>
    </row>
    <row r="603" spans="1:2" x14ac:dyDescent="0.15">
      <c r="A603" s="1">
        <v>75278</v>
      </c>
      <c r="B603" s="1">
        <v>856</v>
      </c>
    </row>
    <row r="604" spans="1:2" x14ac:dyDescent="0.15">
      <c r="A604" s="1">
        <v>62503</v>
      </c>
      <c r="B604" s="1">
        <v>856</v>
      </c>
    </row>
    <row r="605" spans="1:2" x14ac:dyDescent="0.15">
      <c r="A605" s="1">
        <v>60152</v>
      </c>
      <c r="B605" s="1">
        <v>852</v>
      </c>
    </row>
    <row r="606" spans="1:2" x14ac:dyDescent="0.15">
      <c r="A606" s="1">
        <v>70379</v>
      </c>
      <c r="B606" s="1">
        <v>852</v>
      </c>
    </row>
    <row r="607" spans="1:2" x14ac:dyDescent="0.15">
      <c r="A607" s="1">
        <v>79205</v>
      </c>
      <c r="B607" s="1">
        <v>851</v>
      </c>
    </row>
    <row r="608" spans="1:2" x14ac:dyDescent="0.15">
      <c r="A608" s="1">
        <v>74268</v>
      </c>
      <c r="B608" s="1">
        <v>851</v>
      </c>
    </row>
    <row r="609" spans="1:2" x14ac:dyDescent="0.15">
      <c r="A609" s="1">
        <v>66294</v>
      </c>
      <c r="B609" s="1">
        <v>850</v>
      </c>
    </row>
    <row r="610" spans="1:2" x14ac:dyDescent="0.15">
      <c r="A610" s="1">
        <v>61346</v>
      </c>
      <c r="B610" s="1">
        <v>847</v>
      </c>
    </row>
    <row r="611" spans="1:2" x14ac:dyDescent="0.15">
      <c r="A611" s="1">
        <v>63381</v>
      </c>
      <c r="B611" s="1">
        <v>846</v>
      </c>
    </row>
    <row r="612" spans="1:2" x14ac:dyDescent="0.15">
      <c r="A612" s="1">
        <v>52413</v>
      </c>
      <c r="B612" s="1">
        <v>845</v>
      </c>
    </row>
    <row r="613" spans="1:2" x14ac:dyDescent="0.15">
      <c r="A613" s="1">
        <v>48240</v>
      </c>
      <c r="B613" s="1">
        <v>841</v>
      </c>
    </row>
    <row r="614" spans="1:2" x14ac:dyDescent="0.15">
      <c r="A614" s="1">
        <v>54233</v>
      </c>
      <c r="B614" s="1">
        <v>839</v>
      </c>
    </row>
    <row r="615" spans="1:2" x14ac:dyDescent="0.15">
      <c r="A615" s="1">
        <v>68352</v>
      </c>
      <c r="B615" s="1">
        <v>838</v>
      </c>
    </row>
    <row r="616" spans="1:2" x14ac:dyDescent="0.15">
      <c r="A616" s="1">
        <v>62772</v>
      </c>
      <c r="B616" s="1">
        <v>838</v>
      </c>
    </row>
    <row r="617" spans="1:2" x14ac:dyDescent="0.15">
      <c r="A617" s="1">
        <v>55250</v>
      </c>
      <c r="B617" s="1">
        <v>837</v>
      </c>
    </row>
    <row r="618" spans="1:2" x14ac:dyDescent="0.15">
      <c r="A618" s="1">
        <v>64892</v>
      </c>
      <c r="B618" s="1">
        <v>837</v>
      </c>
    </row>
    <row r="619" spans="1:2" x14ac:dyDescent="0.15">
      <c r="A619" s="1">
        <v>61314</v>
      </c>
      <c r="B619" s="1">
        <v>836</v>
      </c>
    </row>
    <row r="620" spans="1:2" x14ac:dyDescent="0.15">
      <c r="A620" s="1">
        <v>57959</v>
      </c>
      <c r="B620" s="1">
        <v>835</v>
      </c>
    </row>
    <row r="621" spans="1:2" x14ac:dyDescent="0.15">
      <c r="A621" s="1">
        <v>79803</v>
      </c>
      <c r="B621" s="1">
        <v>835</v>
      </c>
    </row>
    <row r="622" spans="1:2" x14ac:dyDescent="0.15">
      <c r="A622" s="1">
        <v>76081</v>
      </c>
      <c r="B622" s="1">
        <v>833</v>
      </c>
    </row>
    <row r="623" spans="1:2" x14ac:dyDescent="0.15">
      <c r="A623" s="1">
        <v>76624</v>
      </c>
      <c r="B623" s="1">
        <v>833</v>
      </c>
    </row>
    <row r="624" spans="1:2" x14ac:dyDescent="0.15">
      <c r="A624" s="1">
        <v>49269</v>
      </c>
      <c r="B624" s="1">
        <v>832</v>
      </c>
    </row>
    <row r="625" spans="1:2" x14ac:dyDescent="0.15">
      <c r="A625" s="1">
        <v>49912</v>
      </c>
      <c r="B625" s="1">
        <v>832</v>
      </c>
    </row>
    <row r="626" spans="1:2" x14ac:dyDescent="0.15">
      <c r="A626" s="1">
        <v>52852</v>
      </c>
      <c r="B626" s="1">
        <v>832</v>
      </c>
    </row>
    <row r="627" spans="1:2" x14ac:dyDescent="0.15">
      <c r="A627" s="1">
        <v>59809</v>
      </c>
      <c r="B627" s="1">
        <v>828</v>
      </c>
    </row>
    <row r="628" spans="1:2" x14ac:dyDescent="0.15">
      <c r="A628" s="1">
        <v>76630</v>
      </c>
      <c r="B628" s="1">
        <v>828</v>
      </c>
    </row>
    <row r="629" spans="1:2" x14ac:dyDescent="0.15">
      <c r="A629" s="1">
        <v>71113</v>
      </c>
      <c r="B629" s="1">
        <v>827</v>
      </c>
    </row>
    <row r="630" spans="1:2" x14ac:dyDescent="0.15">
      <c r="A630" s="1">
        <v>60597</v>
      </c>
      <c r="B630" s="1">
        <v>827</v>
      </c>
    </row>
    <row r="631" spans="1:2" x14ac:dyDescent="0.15">
      <c r="A631" s="1">
        <v>69661</v>
      </c>
      <c r="B631" s="1">
        <v>826</v>
      </c>
    </row>
    <row r="632" spans="1:2" x14ac:dyDescent="0.15">
      <c r="A632" s="1">
        <v>53977</v>
      </c>
      <c r="B632" s="1">
        <v>825</v>
      </c>
    </row>
    <row r="633" spans="1:2" x14ac:dyDescent="0.15">
      <c r="A633" s="1">
        <v>69674</v>
      </c>
      <c r="B633" s="1">
        <v>821</v>
      </c>
    </row>
    <row r="634" spans="1:2" x14ac:dyDescent="0.15">
      <c r="A634" s="1">
        <v>60934</v>
      </c>
      <c r="B634" s="1">
        <v>819</v>
      </c>
    </row>
    <row r="635" spans="1:2" x14ac:dyDescent="0.15">
      <c r="A635" s="1">
        <v>66825</v>
      </c>
      <c r="B635" s="1">
        <v>818</v>
      </c>
    </row>
    <row r="636" spans="1:2" x14ac:dyDescent="0.15">
      <c r="A636" s="1">
        <v>79941</v>
      </c>
      <c r="B636" s="1">
        <v>810</v>
      </c>
    </row>
    <row r="637" spans="1:2" x14ac:dyDescent="0.15">
      <c r="A637" s="1">
        <v>64191</v>
      </c>
      <c r="B637" s="1">
        <v>810</v>
      </c>
    </row>
    <row r="638" spans="1:2" x14ac:dyDescent="0.15">
      <c r="A638" s="1">
        <v>75315</v>
      </c>
      <c r="B638" s="1">
        <v>810</v>
      </c>
    </row>
    <row r="639" spans="1:2" x14ac:dyDescent="0.15">
      <c r="A639" s="1">
        <v>34445</v>
      </c>
      <c r="B639" s="1">
        <v>809</v>
      </c>
    </row>
    <row r="640" spans="1:2" x14ac:dyDescent="0.15">
      <c r="A640" s="1">
        <v>69627</v>
      </c>
      <c r="B640" s="1">
        <v>808</v>
      </c>
    </row>
    <row r="641" spans="1:2" x14ac:dyDescent="0.15">
      <c r="A641" s="1">
        <v>89058</v>
      </c>
      <c r="B641" s="1">
        <v>807</v>
      </c>
    </row>
    <row r="642" spans="1:2" x14ac:dyDescent="0.15">
      <c r="A642" s="1">
        <v>62204</v>
      </c>
      <c r="B642" s="1">
        <v>807</v>
      </c>
    </row>
    <row r="643" spans="1:2" x14ac:dyDescent="0.15">
      <c r="A643" s="1">
        <v>62466</v>
      </c>
      <c r="B643" s="1">
        <v>806</v>
      </c>
    </row>
    <row r="644" spans="1:2" x14ac:dyDescent="0.15">
      <c r="A644" s="1">
        <v>55434</v>
      </c>
      <c r="B644" s="1">
        <v>806</v>
      </c>
    </row>
    <row r="645" spans="1:2" x14ac:dyDescent="0.15">
      <c r="A645" s="1">
        <v>70165</v>
      </c>
      <c r="B645" s="1">
        <v>804</v>
      </c>
    </row>
    <row r="646" spans="1:2" x14ac:dyDescent="0.15">
      <c r="A646" s="1">
        <v>77882</v>
      </c>
      <c r="B646" s="1">
        <v>803</v>
      </c>
    </row>
    <row r="647" spans="1:2" x14ac:dyDescent="0.15">
      <c r="A647" s="1">
        <v>69755</v>
      </c>
      <c r="B647" s="1">
        <v>801</v>
      </c>
    </row>
    <row r="648" spans="1:2" x14ac:dyDescent="0.15">
      <c r="A648" s="1">
        <v>75903</v>
      </c>
      <c r="B648" s="1">
        <v>801</v>
      </c>
    </row>
    <row r="649" spans="1:2" x14ac:dyDescent="0.15">
      <c r="A649" s="1">
        <v>83891</v>
      </c>
      <c r="B649" s="1">
        <v>801</v>
      </c>
    </row>
    <row r="650" spans="1:2" x14ac:dyDescent="0.15">
      <c r="A650" s="1">
        <v>60554</v>
      </c>
      <c r="B650" s="1">
        <v>796</v>
      </c>
    </row>
    <row r="651" spans="1:2" x14ac:dyDescent="0.15">
      <c r="A651" s="1">
        <v>60714</v>
      </c>
      <c r="B651" s="1">
        <v>795</v>
      </c>
    </row>
    <row r="652" spans="1:2" x14ac:dyDescent="0.15">
      <c r="A652" s="1">
        <v>73807</v>
      </c>
      <c r="B652" s="1">
        <v>795</v>
      </c>
    </row>
    <row r="653" spans="1:2" x14ac:dyDescent="0.15">
      <c r="A653" s="1">
        <v>52750</v>
      </c>
      <c r="B653" s="1">
        <v>791</v>
      </c>
    </row>
    <row r="654" spans="1:2" x14ac:dyDescent="0.15">
      <c r="A654" s="1">
        <v>64722</v>
      </c>
      <c r="B654" s="1">
        <v>790</v>
      </c>
    </row>
    <row r="655" spans="1:2" x14ac:dyDescent="0.15">
      <c r="A655" s="1">
        <v>76532</v>
      </c>
      <c r="B655" s="1">
        <v>790</v>
      </c>
    </row>
    <row r="656" spans="1:2" x14ac:dyDescent="0.15">
      <c r="A656" s="1">
        <v>65569</v>
      </c>
      <c r="B656" s="1">
        <v>789</v>
      </c>
    </row>
    <row r="657" spans="1:2" x14ac:dyDescent="0.15">
      <c r="A657" s="1">
        <v>74716</v>
      </c>
      <c r="B657" s="1">
        <v>789</v>
      </c>
    </row>
    <row r="658" spans="1:2" x14ac:dyDescent="0.15">
      <c r="A658" s="1">
        <v>68627</v>
      </c>
      <c r="B658" s="1">
        <v>787</v>
      </c>
    </row>
    <row r="659" spans="1:2" x14ac:dyDescent="0.15">
      <c r="A659" s="1">
        <v>62670</v>
      </c>
      <c r="B659" s="1">
        <v>787</v>
      </c>
    </row>
    <row r="660" spans="1:2" x14ac:dyDescent="0.15">
      <c r="A660" s="1">
        <v>74805</v>
      </c>
      <c r="B660" s="1">
        <v>783</v>
      </c>
    </row>
    <row r="661" spans="1:2" x14ac:dyDescent="0.15">
      <c r="A661" s="1">
        <v>69389</v>
      </c>
      <c r="B661" s="1">
        <v>782</v>
      </c>
    </row>
    <row r="662" spans="1:2" x14ac:dyDescent="0.15">
      <c r="A662" s="1">
        <v>69245</v>
      </c>
      <c r="B662" s="1">
        <v>782</v>
      </c>
    </row>
    <row r="663" spans="1:2" x14ac:dyDescent="0.15">
      <c r="A663" s="1">
        <v>60894</v>
      </c>
      <c r="B663" s="1">
        <v>778</v>
      </c>
    </row>
    <row r="664" spans="1:2" x14ac:dyDescent="0.15">
      <c r="A664" s="1">
        <v>65031</v>
      </c>
      <c r="B664" s="1">
        <v>777</v>
      </c>
    </row>
    <row r="665" spans="1:2" x14ac:dyDescent="0.15">
      <c r="A665" s="1">
        <v>63841</v>
      </c>
      <c r="B665" s="1">
        <v>777</v>
      </c>
    </row>
    <row r="666" spans="1:2" x14ac:dyDescent="0.15">
      <c r="A666" s="1">
        <v>55759</v>
      </c>
      <c r="B666" s="1">
        <v>777</v>
      </c>
    </row>
    <row r="667" spans="1:2" x14ac:dyDescent="0.15">
      <c r="A667" s="1">
        <v>58086</v>
      </c>
      <c r="B667" s="1">
        <v>777</v>
      </c>
    </row>
    <row r="668" spans="1:2" x14ac:dyDescent="0.15">
      <c r="A668" s="1">
        <v>54356</v>
      </c>
      <c r="B668" s="1">
        <v>775</v>
      </c>
    </row>
    <row r="669" spans="1:2" x14ac:dyDescent="0.15">
      <c r="A669" s="1">
        <v>68118</v>
      </c>
      <c r="B669" s="1">
        <v>774</v>
      </c>
    </row>
    <row r="670" spans="1:2" x14ac:dyDescent="0.15">
      <c r="A670" s="1">
        <v>59601</v>
      </c>
      <c r="B670" s="1">
        <v>774</v>
      </c>
    </row>
    <row r="671" spans="1:2" x14ac:dyDescent="0.15">
      <c r="A671" s="1">
        <v>63915</v>
      </c>
      <c r="B671" s="1">
        <v>774</v>
      </c>
    </row>
    <row r="672" spans="1:2" x14ac:dyDescent="0.15">
      <c r="A672" s="1">
        <v>58308</v>
      </c>
      <c r="B672" s="1">
        <v>770</v>
      </c>
    </row>
    <row r="673" spans="1:2" x14ac:dyDescent="0.15">
      <c r="A673" s="1">
        <v>55424</v>
      </c>
      <c r="B673" s="1">
        <v>770</v>
      </c>
    </row>
    <row r="674" spans="1:2" x14ac:dyDescent="0.15">
      <c r="A674" s="1">
        <v>88097</v>
      </c>
      <c r="B674" s="1">
        <v>769</v>
      </c>
    </row>
    <row r="675" spans="1:2" x14ac:dyDescent="0.15">
      <c r="A675" s="1">
        <v>56534</v>
      </c>
      <c r="B675" s="1">
        <v>769</v>
      </c>
    </row>
    <row r="676" spans="1:2" x14ac:dyDescent="0.15">
      <c r="A676" s="1">
        <v>65333</v>
      </c>
      <c r="B676" s="1">
        <v>768</v>
      </c>
    </row>
    <row r="677" spans="1:2" x14ac:dyDescent="0.15">
      <c r="A677" s="1">
        <v>82623</v>
      </c>
      <c r="B677" s="1">
        <v>767</v>
      </c>
    </row>
    <row r="678" spans="1:2" x14ac:dyDescent="0.15">
      <c r="A678" s="1">
        <v>75774</v>
      </c>
      <c r="B678" s="1">
        <v>767</v>
      </c>
    </row>
    <row r="679" spans="1:2" x14ac:dyDescent="0.15">
      <c r="A679" s="1">
        <v>61284</v>
      </c>
      <c r="B679" s="1">
        <v>766</v>
      </c>
    </row>
    <row r="680" spans="1:2" x14ac:dyDescent="0.15">
      <c r="A680" s="1">
        <v>63246</v>
      </c>
      <c r="B680" s="1">
        <v>765</v>
      </c>
    </row>
    <row r="681" spans="1:2" x14ac:dyDescent="0.15">
      <c r="A681" s="1">
        <v>66313</v>
      </c>
      <c r="B681" s="1">
        <v>763</v>
      </c>
    </row>
    <row r="682" spans="1:2" x14ac:dyDescent="0.15">
      <c r="A682" s="1">
        <v>51983</v>
      </c>
      <c r="B682" s="1">
        <v>763</v>
      </c>
    </row>
    <row r="683" spans="1:2" x14ac:dyDescent="0.15">
      <c r="A683" s="1">
        <v>62061</v>
      </c>
      <c r="B683" s="1">
        <v>762</v>
      </c>
    </row>
    <row r="684" spans="1:2" x14ac:dyDescent="0.15">
      <c r="A684" s="1">
        <v>71499</v>
      </c>
      <c r="B684" s="1">
        <v>758</v>
      </c>
    </row>
    <row r="685" spans="1:2" x14ac:dyDescent="0.15">
      <c r="A685" s="1">
        <v>69719</v>
      </c>
      <c r="B685" s="1">
        <v>758</v>
      </c>
    </row>
    <row r="686" spans="1:2" x14ac:dyDescent="0.15">
      <c r="A686" s="1">
        <v>66375</v>
      </c>
      <c r="B686" s="1">
        <v>757</v>
      </c>
    </row>
    <row r="687" spans="1:2" x14ac:dyDescent="0.15">
      <c r="A687" s="1">
        <v>78497</v>
      </c>
      <c r="B687" s="1">
        <v>755</v>
      </c>
    </row>
    <row r="688" spans="1:2" x14ac:dyDescent="0.15">
      <c r="A688" s="1">
        <v>79865</v>
      </c>
      <c r="B688" s="1">
        <v>754</v>
      </c>
    </row>
    <row r="689" spans="1:2" x14ac:dyDescent="0.15">
      <c r="A689" s="1">
        <v>67087</v>
      </c>
      <c r="B689" s="1">
        <v>751</v>
      </c>
    </row>
    <row r="690" spans="1:2" x14ac:dyDescent="0.15">
      <c r="A690" s="1">
        <v>77297</v>
      </c>
      <c r="B690" s="1">
        <v>748</v>
      </c>
    </row>
    <row r="691" spans="1:2" x14ac:dyDescent="0.15">
      <c r="A691" s="1">
        <v>96547</v>
      </c>
      <c r="B691" s="1">
        <v>747</v>
      </c>
    </row>
    <row r="692" spans="1:2" x14ac:dyDescent="0.15">
      <c r="A692" s="1">
        <v>70566</v>
      </c>
      <c r="B692" s="1">
        <v>736</v>
      </c>
    </row>
    <row r="693" spans="1:2" x14ac:dyDescent="0.15">
      <c r="A693" s="1">
        <v>64449</v>
      </c>
      <c r="B693" s="1">
        <v>735</v>
      </c>
    </row>
    <row r="694" spans="1:2" x14ac:dyDescent="0.15">
      <c r="A694" s="1">
        <v>71613</v>
      </c>
      <c r="B694" s="1">
        <v>734</v>
      </c>
    </row>
    <row r="695" spans="1:2" x14ac:dyDescent="0.15">
      <c r="A695" s="1">
        <v>69901</v>
      </c>
      <c r="B695" s="1">
        <v>733</v>
      </c>
    </row>
    <row r="696" spans="1:2" x14ac:dyDescent="0.15">
      <c r="A696" s="1">
        <v>70421</v>
      </c>
      <c r="B696" s="1">
        <v>732</v>
      </c>
    </row>
    <row r="697" spans="1:2" x14ac:dyDescent="0.15">
      <c r="A697" s="1">
        <v>64474</v>
      </c>
      <c r="B697" s="1">
        <v>730</v>
      </c>
    </row>
    <row r="698" spans="1:2" x14ac:dyDescent="0.15">
      <c r="A698" s="1">
        <v>83151</v>
      </c>
      <c r="B698" s="1">
        <v>729</v>
      </c>
    </row>
    <row r="699" spans="1:2" x14ac:dyDescent="0.15">
      <c r="A699" s="1">
        <v>58684</v>
      </c>
      <c r="B699" s="1">
        <v>728</v>
      </c>
    </row>
    <row r="700" spans="1:2" x14ac:dyDescent="0.15">
      <c r="A700" s="1">
        <v>86580</v>
      </c>
      <c r="B700" s="1">
        <v>726</v>
      </c>
    </row>
    <row r="701" spans="1:2" x14ac:dyDescent="0.15">
      <c r="A701" s="1">
        <v>65275</v>
      </c>
      <c r="B701" s="1">
        <v>725</v>
      </c>
    </row>
    <row r="702" spans="1:2" x14ac:dyDescent="0.15">
      <c r="A702" s="1">
        <v>67225</v>
      </c>
      <c r="B702" s="1">
        <v>725</v>
      </c>
    </row>
    <row r="703" spans="1:2" x14ac:dyDescent="0.15">
      <c r="A703" s="1">
        <v>50898</v>
      </c>
      <c r="B703" s="1">
        <v>724</v>
      </c>
    </row>
    <row r="704" spans="1:2" x14ac:dyDescent="0.15">
      <c r="A704" s="1">
        <v>57811</v>
      </c>
      <c r="B704" s="1">
        <v>724</v>
      </c>
    </row>
    <row r="705" spans="1:2" x14ac:dyDescent="0.15">
      <c r="A705" s="1">
        <v>70932</v>
      </c>
      <c r="B705" s="1">
        <v>724</v>
      </c>
    </row>
    <row r="706" spans="1:2" x14ac:dyDescent="0.15">
      <c r="A706" s="1">
        <v>58482</v>
      </c>
      <c r="B706" s="1">
        <v>724</v>
      </c>
    </row>
    <row r="707" spans="1:2" x14ac:dyDescent="0.15">
      <c r="A707" s="1">
        <v>49505</v>
      </c>
      <c r="B707" s="1">
        <v>723</v>
      </c>
    </row>
    <row r="708" spans="1:2" x14ac:dyDescent="0.15">
      <c r="A708" s="1">
        <v>58582</v>
      </c>
      <c r="B708" s="1">
        <v>721</v>
      </c>
    </row>
    <row r="709" spans="1:2" x14ac:dyDescent="0.15">
      <c r="A709" s="1">
        <v>62807</v>
      </c>
      <c r="B709" s="1">
        <v>720</v>
      </c>
    </row>
    <row r="710" spans="1:2" x14ac:dyDescent="0.15">
      <c r="A710" s="1">
        <v>63967</v>
      </c>
      <c r="B710" s="1">
        <v>720</v>
      </c>
    </row>
    <row r="711" spans="1:2" x14ac:dyDescent="0.15">
      <c r="A711" s="1">
        <v>67272</v>
      </c>
      <c r="B711" s="1">
        <v>719</v>
      </c>
    </row>
    <row r="712" spans="1:2" x14ac:dyDescent="0.15">
      <c r="A712" s="1">
        <v>61823</v>
      </c>
      <c r="B712" s="1">
        <v>715</v>
      </c>
    </row>
    <row r="713" spans="1:2" x14ac:dyDescent="0.15">
      <c r="A713" s="1">
        <v>80910</v>
      </c>
      <c r="B713" s="1">
        <v>715</v>
      </c>
    </row>
    <row r="714" spans="1:2" x14ac:dyDescent="0.15">
      <c r="A714" s="1">
        <v>60585</v>
      </c>
      <c r="B714" s="1">
        <v>715</v>
      </c>
    </row>
    <row r="715" spans="1:2" x14ac:dyDescent="0.15">
      <c r="A715" s="1">
        <v>59111</v>
      </c>
      <c r="B715" s="1">
        <v>714</v>
      </c>
    </row>
    <row r="716" spans="1:2" x14ac:dyDescent="0.15">
      <c r="A716" s="1">
        <v>44511</v>
      </c>
      <c r="B716" s="1">
        <v>713</v>
      </c>
    </row>
    <row r="717" spans="1:2" x14ac:dyDescent="0.15">
      <c r="A717" s="1">
        <v>65685</v>
      </c>
      <c r="B717" s="1">
        <v>712</v>
      </c>
    </row>
    <row r="718" spans="1:2" x14ac:dyDescent="0.15">
      <c r="A718" s="1">
        <v>58597</v>
      </c>
      <c r="B718" s="1">
        <v>712</v>
      </c>
    </row>
    <row r="719" spans="1:2" x14ac:dyDescent="0.15">
      <c r="A719" s="1">
        <v>65814</v>
      </c>
      <c r="B719" s="1">
        <v>712</v>
      </c>
    </row>
    <row r="720" spans="1:2" x14ac:dyDescent="0.15">
      <c r="A720" s="1">
        <v>59925</v>
      </c>
      <c r="B720" s="1">
        <v>710</v>
      </c>
    </row>
    <row r="721" spans="1:2" x14ac:dyDescent="0.15">
      <c r="A721" s="1">
        <v>70777</v>
      </c>
      <c r="B721" s="1">
        <v>709</v>
      </c>
    </row>
    <row r="722" spans="1:2" x14ac:dyDescent="0.15">
      <c r="A722" s="1">
        <v>86037</v>
      </c>
      <c r="B722" s="1">
        <v>708</v>
      </c>
    </row>
    <row r="723" spans="1:2" x14ac:dyDescent="0.15">
      <c r="A723" s="1">
        <v>82017</v>
      </c>
      <c r="B723" s="1">
        <v>706</v>
      </c>
    </row>
    <row r="724" spans="1:2" x14ac:dyDescent="0.15">
      <c r="A724" s="1">
        <v>61671</v>
      </c>
      <c r="B724" s="1">
        <v>704</v>
      </c>
    </row>
    <row r="725" spans="1:2" x14ac:dyDescent="0.15">
      <c r="A725" s="1">
        <v>65210</v>
      </c>
      <c r="B725" s="1">
        <v>703</v>
      </c>
    </row>
    <row r="726" spans="1:2" x14ac:dyDescent="0.15">
      <c r="A726" s="1">
        <v>62513</v>
      </c>
      <c r="B726" s="1">
        <v>702</v>
      </c>
    </row>
    <row r="727" spans="1:2" x14ac:dyDescent="0.15">
      <c r="A727" s="1">
        <v>81361</v>
      </c>
      <c r="B727" s="1">
        <v>702</v>
      </c>
    </row>
    <row r="728" spans="1:2" x14ac:dyDescent="0.15">
      <c r="A728" s="1">
        <v>71367</v>
      </c>
      <c r="B728" s="1">
        <v>702</v>
      </c>
    </row>
    <row r="729" spans="1:2" x14ac:dyDescent="0.15">
      <c r="A729" s="1">
        <v>81361</v>
      </c>
      <c r="B729" s="1">
        <v>702</v>
      </c>
    </row>
    <row r="730" spans="1:2" x14ac:dyDescent="0.15">
      <c r="A730" s="1">
        <v>55284</v>
      </c>
      <c r="B730" s="1">
        <v>701</v>
      </c>
    </row>
    <row r="731" spans="1:2" x14ac:dyDescent="0.15">
      <c r="A731" s="1">
        <v>77622</v>
      </c>
      <c r="B731" s="1">
        <v>700</v>
      </c>
    </row>
    <row r="732" spans="1:2" x14ac:dyDescent="0.15">
      <c r="A732" s="1">
        <v>58821</v>
      </c>
      <c r="B732" s="1">
        <v>700</v>
      </c>
    </row>
    <row r="733" spans="1:2" x14ac:dyDescent="0.15">
      <c r="A733" s="1">
        <v>78901</v>
      </c>
      <c r="B733" s="1">
        <v>700</v>
      </c>
    </row>
    <row r="734" spans="1:2" x14ac:dyDescent="0.15">
      <c r="A734" s="1">
        <v>59821</v>
      </c>
      <c r="B734" s="1">
        <v>699</v>
      </c>
    </row>
    <row r="735" spans="1:2" x14ac:dyDescent="0.15">
      <c r="A735" s="1">
        <v>73170</v>
      </c>
      <c r="B735" s="1">
        <v>694</v>
      </c>
    </row>
    <row r="736" spans="1:2" x14ac:dyDescent="0.15">
      <c r="A736" s="1">
        <v>64813</v>
      </c>
      <c r="B736" s="1">
        <v>693</v>
      </c>
    </row>
    <row r="737" spans="1:2" x14ac:dyDescent="0.15">
      <c r="A737" s="1">
        <v>62335</v>
      </c>
      <c r="B737" s="1">
        <v>682</v>
      </c>
    </row>
    <row r="738" spans="1:2" x14ac:dyDescent="0.15">
      <c r="A738" s="1">
        <v>71866</v>
      </c>
      <c r="B738" s="1">
        <v>682</v>
      </c>
    </row>
    <row r="739" spans="1:2" x14ac:dyDescent="0.15">
      <c r="A739" s="1">
        <v>54880</v>
      </c>
      <c r="B739" s="1">
        <v>677</v>
      </c>
    </row>
    <row r="740" spans="1:2" x14ac:dyDescent="0.15">
      <c r="A740" s="1">
        <v>58113</v>
      </c>
      <c r="B740" s="1">
        <v>674</v>
      </c>
    </row>
    <row r="741" spans="1:2" x14ac:dyDescent="0.15">
      <c r="A741" s="1">
        <v>55239</v>
      </c>
      <c r="B741" s="1">
        <v>673</v>
      </c>
    </row>
    <row r="742" spans="1:2" x14ac:dyDescent="0.15">
      <c r="A742" s="1">
        <v>61250</v>
      </c>
      <c r="B742" s="1">
        <v>671</v>
      </c>
    </row>
    <row r="743" spans="1:2" x14ac:dyDescent="0.15">
      <c r="A743" s="1">
        <v>51250</v>
      </c>
      <c r="B743" s="1">
        <v>670</v>
      </c>
    </row>
    <row r="744" spans="1:2" x14ac:dyDescent="0.15">
      <c r="A744" s="1">
        <v>52531</v>
      </c>
      <c r="B744" s="1">
        <v>669</v>
      </c>
    </row>
    <row r="745" spans="1:2" x14ac:dyDescent="0.15">
      <c r="A745" s="1">
        <v>72063</v>
      </c>
      <c r="B745" s="1">
        <v>668</v>
      </c>
    </row>
    <row r="746" spans="1:2" x14ac:dyDescent="0.15">
      <c r="A746" s="1">
        <v>66000</v>
      </c>
      <c r="B746" s="1">
        <v>666</v>
      </c>
    </row>
    <row r="747" spans="1:2" x14ac:dyDescent="0.15">
      <c r="A747" s="1">
        <v>44529</v>
      </c>
      <c r="B747" s="1">
        <v>665</v>
      </c>
    </row>
    <row r="748" spans="1:2" x14ac:dyDescent="0.15">
      <c r="A748" s="1">
        <v>55357</v>
      </c>
      <c r="B748" s="1">
        <v>663</v>
      </c>
    </row>
    <row r="749" spans="1:2" x14ac:dyDescent="0.15">
      <c r="A749" s="1">
        <v>64090</v>
      </c>
      <c r="B749" s="1">
        <v>662</v>
      </c>
    </row>
    <row r="750" spans="1:2" x14ac:dyDescent="0.15">
      <c r="A750" s="1">
        <v>53378</v>
      </c>
      <c r="B750" s="1">
        <v>661</v>
      </c>
    </row>
    <row r="751" spans="1:2" x14ac:dyDescent="0.15">
      <c r="A751" s="1">
        <v>57731</v>
      </c>
      <c r="B751" s="1">
        <v>660</v>
      </c>
    </row>
    <row r="752" spans="1:2" x14ac:dyDescent="0.15">
      <c r="A752" s="1">
        <v>60200</v>
      </c>
      <c r="B752" s="1">
        <v>659</v>
      </c>
    </row>
    <row r="753" spans="1:2" x14ac:dyDescent="0.15">
      <c r="A753" s="1">
        <v>65295</v>
      </c>
      <c r="B753" s="1">
        <v>658</v>
      </c>
    </row>
    <row r="754" spans="1:2" x14ac:dyDescent="0.15">
      <c r="A754" s="1">
        <v>62694</v>
      </c>
      <c r="B754" s="1">
        <v>658</v>
      </c>
    </row>
    <row r="755" spans="1:2" x14ac:dyDescent="0.15">
      <c r="A755" s="1">
        <v>55614</v>
      </c>
      <c r="B755" s="1">
        <v>656</v>
      </c>
    </row>
    <row r="756" spans="1:2" x14ac:dyDescent="0.15">
      <c r="A756" s="1">
        <v>50965</v>
      </c>
      <c r="B756" s="1">
        <v>656</v>
      </c>
    </row>
    <row r="757" spans="1:2" x14ac:dyDescent="0.15">
      <c r="A757" s="1">
        <v>89891</v>
      </c>
      <c r="B757" s="1">
        <v>653</v>
      </c>
    </row>
    <row r="758" spans="1:2" x14ac:dyDescent="0.15">
      <c r="A758" s="1">
        <v>54450</v>
      </c>
      <c r="B758" s="1">
        <v>652</v>
      </c>
    </row>
    <row r="759" spans="1:2" x14ac:dyDescent="0.15">
      <c r="A759" s="1">
        <v>57642</v>
      </c>
      <c r="B759" s="1">
        <v>652</v>
      </c>
    </row>
    <row r="760" spans="1:2" x14ac:dyDescent="0.15">
      <c r="A760" s="1">
        <v>59432</v>
      </c>
      <c r="B760" s="1">
        <v>651</v>
      </c>
    </row>
    <row r="761" spans="1:2" x14ac:dyDescent="0.15">
      <c r="A761" s="1">
        <v>69401</v>
      </c>
      <c r="B761" s="1">
        <v>651</v>
      </c>
    </row>
    <row r="762" spans="1:2" x14ac:dyDescent="0.15">
      <c r="A762" s="1">
        <v>65695</v>
      </c>
      <c r="B762" s="1">
        <v>650</v>
      </c>
    </row>
    <row r="763" spans="1:2" x14ac:dyDescent="0.15">
      <c r="A763" s="1">
        <v>54108</v>
      </c>
      <c r="B763" s="1">
        <v>650</v>
      </c>
    </row>
    <row r="764" spans="1:2" x14ac:dyDescent="0.15">
      <c r="A764" s="1">
        <v>77376</v>
      </c>
      <c r="B764" s="1">
        <v>649</v>
      </c>
    </row>
    <row r="765" spans="1:2" x14ac:dyDescent="0.15">
      <c r="A765" s="1">
        <v>55012</v>
      </c>
      <c r="B765" s="1">
        <v>647</v>
      </c>
    </row>
    <row r="766" spans="1:2" x14ac:dyDescent="0.15">
      <c r="A766" s="1">
        <v>60093</v>
      </c>
      <c r="B766" s="1">
        <v>645</v>
      </c>
    </row>
    <row r="767" spans="1:2" x14ac:dyDescent="0.15">
      <c r="A767" s="1">
        <v>60631</v>
      </c>
      <c r="B767" s="1">
        <v>642</v>
      </c>
    </row>
    <row r="768" spans="1:2" x14ac:dyDescent="0.15">
      <c r="A768" s="1">
        <v>56046</v>
      </c>
      <c r="B768" s="1">
        <v>641</v>
      </c>
    </row>
    <row r="769" spans="1:2" x14ac:dyDescent="0.15">
      <c r="A769" s="1">
        <v>56320</v>
      </c>
      <c r="B769" s="1">
        <v>619</v>
      </c>
    </row>
    <row r="770" spans="1:2" x14ac:dyDescent="0.15">
      <c r="A770" s="1">
        <v>42000</v>
      </c>
      <c r="B770" s="1">
        <v>618</v>
      </c>
    </row>
    <row r="771" spans="1:2" x14ac:dyDescent="0.15">
      <c r="A771" s="1">
        <v>33051</v>
      </c>
      <c r="B771" s="1">
        <v>616</v>
      </c>
    </row>
    <row r="772" spans="1:2" x14ac:dyDescent="0.15">
      <c r="A772" s="1">
        <v>42564</v>
      </c>
      <c r="B772" s="1">
        <v>615</v>
      </c>
    </row>
    <row r="773" spans="1:2" x14ac:dyDescent="0.15">
      <c r="A773" s="1">
        <v>60689</v>
      </c>
      <c r="B773" s="1">
        <v>615</v>
      </c>
    </row>
    <row r="774" spans="1:2" x14ac:dyDescent="0.15">
      <c r="A774" s="1">
        <v>44010</v>
      </c>
      <c r="B774" s="1">
        <v>614</v>
      </c>
    </row>
    <row r="775" spans="1:2" x14ac:dyDescent="0.15">
      <c r="A775" s="1">
        <v>56129</v>
      </c>
      <c r="B775" s="1">
        <v>612</v>
      </c>
    </row>
    <row r="776" spans="1:2" x14ac:dyDescent="0.15">
      <c r="A776" s="1">
        <v>66033</v>
      </c>
      <c r="B776" s="1">
        <v>612</v>
      </c>
    </row>
    <row r="777" spans="1:2" x14ac:dyDescent="0.15">
      <c r="A777" s="1">
        <v>77353</v>
      </c>
      <c r="B777" s="1">
        <v>611</v>
      </c>
    </row>
    <row r="778" spans="1:2" x14ac:dyDescent="0.15">
      <c r="A778" s="1">
        <v>66476</v>
      </c>
      <c r="B778" s="1">
        <v>611</v>
      </c>
    </row>
    <row r="779" spans="1:2" x14ac:dyDescent="0.15">
      <c r="A779" s="1">
        <v>53700</v>
      </c>
      <c r="B779" s="1">
        <v>611</v>
      </c>
    </row>
    <row r="780" spans="1:2" x14ac:dyDescent="0.15">
      <c r="A780" s="1">
        <v>54058</v>
      </c>
      <c r="B780" s="1">
        <v>608</v>
      </c>
    </row>
    <row r="781" spans="1:2" x14ac:dyDescent="0.15">
      <c r="A781" s="1">
        <v>57957</v>
      </c>
      <c r="B781" s="1">
        <v>608</v>
      </c>
    </row>
    <row r="782" spans="1:2" x14ac:dyDescent="0.15">
      <c r="A782" s="1">
        <v>45938</v>
      </c>
      <c r="B782" s="1">
        <v>607</v>
      </c>
    </row>
    <row r="783" spans="1:2" x14ac:dyDescent="0.15">
      <c r="A783" s="1">
        <v>43185</v>
      </c>
      <c r="B783" s="1">
        <v>607</v>
      </c>
    </row>
    <row r="784" spans="1:2" x14ac:dyDescent="0.15">
      <c r="A784" s="1">
        <v>66653</v>
      </c>
      <c r="B784" s="1">
        <v>606</v>
      </c>
    </row>
    <row r="785" spans="1:2" x14ac:dyDescent="0.15">
      <c r="A785" s="1">
        <v>75127</v>
      </c>
      <c r="B785" s="1">
        <v>606</v>
      </c>
    </row>
    <row r="786" spans="1:2" x14ac:dyDescent="0.15">
      <c r="A786" s="1">
        <v>47025</v>
      </c>
      <c r="B786" s="1">
        <v>606</v>
      </c>
    </row>
    <row r="787" spans="1:2" x14ac:dyDescent="0.15">
      <c r="A787" s="1">
        <v>56067</v>
      </c>
      <c r="B787" s="1">
        <v>605</v>
      </c>
    </row>
    <row r="788" spans="1:2" x14ac:dyDescent="0.15">
      <c r="A788" s="1">
        <v>62159</v>
      </c>
      <c r="B788" s="1">
        <v>605</v>
      </c>
    </row>
    <row r="789" spans="1:2" x14ac:dyDescent="0.15">
      <c r="A789" s="1">
        <v>77981</v>
      </c>
      <c r="B789" s="1">
        <v>604</v>
      </c>
    </row>
    <row r="790" spans="1:2" x14ac:dyDescent="0.15">
      <c r="A790" s="1">
        <v>64795</v>
      </c>
      <c r="B790" s="1">
        <v>603</v>
      </c>
    </row>
    <row r="791" spans="1:2" x14ac:dyDescent="0.15">
      <c r="A791" s="1">
        <v>67680</v>
      </c>
      <c r="B791" s="1">
        <v>600</v>
      </c>
    </row>
    <row r="792" spans="1:2" x14ac:dyDescent="0.15">
      <c r="A792" s="1">
        <v>61794</v>
      </c>
      <c r="B792" s="1">
        <v>600</v>
      </c>
    </row>
    <row r="793" spans="1:2" x14ac:dyDescent="0.15">
      <c r="A793" s="1">
        <v>63777</v>
      </c>
      <c r="B793" s="1">
        <v>600</v>
      </c>
    </row>
    <row r="794" spans="1:2" x14ac:dyDescent="0.15">
      <c r="A794" s="1">
        <v>49476</v>
      </c>
      <c r="B794" s="1">
        <v>599</v>
      </c>
    </row>
    <row r="795" spans="1:2" x14ac:dyDescent="0.15">
      <c r="A795" s="1">
        <v>54753</v>
      </c>
      <c r="B795" s="1">
        <v>597</v>
      </c>
    </row>
    <row r="796" spans="1:2" x14ac:dyDescent="0.15">
      <c r="A796" s="1">
        <v>60208</v>
      </c>
      <c r="B796" s="1">
        <v>597</v>
      </c>
    </row>
    <row r="797" spans="1:2" x14ac:dyDescent="0.15">
      <c r="A797" s="1">
        <v>55517</v>
      </c>
      <c r="B797" s="1">
        <v>597</v>
      </c>
    </row>
    <row r="798" spans="1:2" x14ac:dyDescent="0.15">
      <c r="A798" s="1">
        <v>73448</v>
      </c>
      <c r="B798" s="1">
        <v>595</v>
      </c>
    </row>
    <row r="799" spans="1:2" x14ac:dyDescent="0.15">
      <c r="A799" s="1">
        <v>62187</v>
      </c>
      <c r="B799" s="1">
        <v>595</v>
      </c>
    </row>
    <row r="800" spans="1:2" x14ac:dyDescent="0.15">
      <c r="A800" s="1">
        <v>62710</v>
      </c>
      <c r="B800" s="1">
        <v>595</v>
      </c>
    </row>
    <row r="801" spans="1:2" x14ac:dyDescent="0.15">
      <c r="A801" s="1">
        <v>57867</v>
      </c>
      <c r="B801" s="1">
        <v>595</v>
      </c>
    </row>
    <row r="802" spans="1:2" x14ac:dyDescent="0.15">
      <c r="A802" s="1">
        <v>79761</v>
      </c>
      <c r="B802" s="1">
        <v>594</v>
      </c>
    </row>
    <row r="803" spans="1:2" x14ac:dyDescent="0.15">
      <c r="A803" s="1">
        <v>56253</v>
      </c>
      <c r="B803" s="1">
        <v>592</v>
      </c>
    </row>
    <row r="804" spans="1:2" x14ac:dyDescent="0.15">
      <c r="A804" s="1">
        <v>61331</v>
      </c>
      <c r="B804" s="1">
        <v>591</v>
      </c>
    </row>
    <row r="805" spans="1:2" x14ac:dyDescent="0.15">
      <c r="A805" s="1">
        <v>71427</v>
      </c>
      <c r="B805" s="1">
        <v>591</v>
      </c>
    </row>
    <row r="806" spans="1:2" x14ac:dyDescent="0.15">
      <c r="A806" s="1">
        <v>56628</v>
      </c>
      <c r="B806" s="1">
        <v>590</v>
      </c>
    </row>
    <row r="807" spans="1:2" x14ac:dyDescent="0.15">
      <c r="A807" s="1">
        <v>40464</v>
      </c>
      <c r="B807" s="1">
        <v>589</v>
      </c>
    </row>
    <row r="808" spans="1:2" x14ac:dyDescent="0.15">
      <c r="A808" s="1">
        <v>49090</v>
      </c>
      <c r="B808" s="1">
        <v>588</v>
      </c>
    </row>
    <row r="809" spans="1:2" x14ac:dyDescent="0.15">
      <c r="A809" s="1">
        <v>74190</v>
      </c>
      <c r="B809" s="1">
        <v>577</v>
      </c>
    </row>
    <row r="810" spans="1:2" x14ac:dyDescent="0.15">
      <c r="A810" s="1">
        <v>65704</v>
      </c>
      <c r="B810" s="1">
        <v>571</v>
      </c>
    </row>
    <row r="811" spans="1:2" x14ac:dyDescent="0.15">
      <c r="A811" s="1">
        <v>55635</v>
      </c>
      <c r="B811" s="1">
        <v>563</v>
      </c>
    </row>
    <row r="812" spans="1:2" x14ac:dyDescent="0.15">
      <c r="A812" s="1">
        <v>62905</v>
      </c>
      <c r="B812" s="1">
        <v>563</v>
      </c>
    </row>
    <row r="813" spans="1:2" x14ac:dyDescent="0.15">
      <c r="A813" s="1">
        <v>76800</v>
      </c>
      <c r="B813" s="1">
        <v>560</v>
      </c>
    </row>
    <row r="814" spans="1:2" x14ac:dyDescent="0.15">
      <c r="A814" s="1">
        <v>50334</v>
      </c>
      <c r="B814" s="1">
        <v>560</v>
      </c>
    </row>
    <row r="815" spans="1:2" x14ac:dyDescent="0.15">
      <c r="A815" s="1">
        <v>61872</v>
      </c>
      <c r="B815" s="1">
        <v>557</v>
      </c>
    </row>
    <row r="816" spans="1:2" x14ac:dyDescent="0.15">
      <c r="A816" s="1">
        <v>50002</v>
      </c>
      <c r="B816" s="1">
        <v>556</v>
      </c>
    </row>
    <row r="817" spans="1:2" x14ac:dyDescent="0.15">
      <c r="A817" s="1">
        <v>54803</v>
      </c>
      <c r="B817" s="1">
        <v>551</v>
      </c>
    </row>
    <row r="818" spans="1:2" x14ac:dyDescent="0.15">
      <c r="A818" s="1">
        <v>58275</v>
      </c>
      <c r="B818" s="1">
        <v>551</v>
      </c>
    </row>
    <row r="819" spans="1:2" x14ac:dyDescent="0.15">
      <c r="A819" s="1">
        <v>57937</v>
      </c>
      <c r="B819" s="1">
        <v>550</v>
      </c>
    </row>
    <row r="820" spans="1:2" x14ac:dyDescent="0.15">
      <c r="A820" s="1">
        <v>57136</v>
      </c>
      <c r="B820" s="1">
        <v>550</v>
      </c>
    </row>
    <row r="821" spans="1:2" x14ac:dyDescent="0.15">
      <c r="A821" s="1">
        <v>57288</v>
      </c>
      <c r="B821" s="1">
        <v>548</v>
      </c>
    </row>
    <row r="822" spans="1:2" x14ac:dyDescent="0.15">
      <c r="A822" s="1">
        <v>79146</v>
      </c>
      <c r="B822" s="1">
        <v>548</v>
      </c>
    </row>
    <row r="823" spans="1:2" x14ac:dyDescent="0.15">
      <c r="A823" s="1">
        <v>64713</v>
      </c>
      <c r="B823" s="1">
        <v>548</v>
      </c>
    </row>
    <row r="824" spans="1:2" x14ac:dyDescent="0.15">
      <c r="A824" s="1">
        <v>58398</v>
      </c>
      <c r="B824" s="1">
        <v>547</v>
      </c>
    </row>
    <row r="825" spans="1:2" x14ac:dyDescent="0.15">
      <c r="A825" s="1">
        <v>69263</v>
      </c>
      <c r="B825" s="1">
        <v>547</v>
      </c>
    </row>
    <row r="826" spans="1:2" x14ac:dyDescent="0.15">
      <c r="A826" s="1">
        <v>42021</v>
      </c>
      <c r="B826" s="1">
        <v>546</v>
      </c>
    </row>
    <row r="827" spans="1:2" x14ac:dyDescent="0.15">
      <c r="A827" s="1">
        <v>65463</v>
      </c>
      <c r="B827" s="1">
        <v>546</v>
      </c>
    </row>
    <row r="828" spans="1:2" x14ac:dyDescent="0.15">
      <c r="A828" s="1">
        <v>64866</v>
      </c>
      <c r="B828" s="1">
        <v>546</v>
      </c>
    </row>
    <row r="829" spans="1:2" x14ac:dyDescent="0.15">
      <c r="A829" s="1">
        <v>61467</v>
      </c>
      <c r="B829" s="1">
        <v>545</v>
      </c>
    </row>
    <row r="830" spans="1:2" x14ac:dyDescent="0.15">
      <c r="A830" s="1">
        <v>69096</v>
      </c>
      <c r="B830" s="1">
        <v>544</v>
      </c>
    </row>
    <row r="831" spans="1:2" x14ac:dyDescent="0.15">
      <c r="A831" s="1">
        <v>49767</v>
      </c>
      <c r="B831" s="1">
        <v>543</v>
      </c>
    </row>
    <row r="832" spans="1:2" x14ac:dyDescent="0.15">
      <c r="A832" s="1">
        <v>56337</v>
      </c>
      <c r="B832" s="1">
        <v>542</v>
      </c>
    </row>
    <row r="833" spans="1:2" x14ac:dyDescent="0.15">
      <c r="A833" s="1">
        <v>42720</v>
      </c>
      <c r="B833" s="1">
        <v>542</v>
      </c>
    </row>
    <row r="834" spans="1:2" x14ac:dyDescent="0.15">
      <c r="A834" s="1">
        <v>57183</v>
      </c>
      <c r="B834" s="1">
        <v>540</v>
      </c>
    </row>
    <row r="835" spans="1:2" x14ac:dyDescent="0.15">
      <c r="A835" s="1">
        <v>57091</v>
      </c>
      <c r="B835" s="1">
        <v>540</v>
      </c>
    </row>
    <row r="836" spans="1:2" x14ac:dyDescent="0.15">
      <c r="A836" s="1">
        <v>65324</v>
      </c>
      <c r="B836" s="1">
        <v>539</v>
      </c>
    </row>
    <row r="837" spans="1:2" x14ac:dyDescent="0.15">
      <c r="A837" s="1">
        <v>50725</v>
      </c>
      <c r="B837" s="1">
        <v>538</v>
      </c>
    </row>
    <row r="838" spans="1:2" x14ac:dyDescent="0.15">
      <c r="A838" s="1">
        <v>53790</v>
      </c>
      <c r="B838" s="1">
        <v>537</v>
      </c>
    </row>
    <row r="839" spans="1:2" x14ac:dyDescent="0.15">
      <c r="A839" s="1">
        <v>56386</v>
      </c>
      <c r="B839" s="1">
        <v>537</v>
      </c>
    </row>
    <row r="840" spans="1:2" x14ac:dyDescent="0.15">
      <c r="A840" s="1">
        <v>75342</v>
      </c>
      <c r="B840" s="1">
        <v>537</v>
      </c>
    </row>
    <row r="841" spans="1:2" x14ac:dyDescent="0.15">
      <c r="A841" s="1">
        <v>44325</v>
      </c>
      <c r="B841" s="1">
        <v>537</v>
      </c>
    </row>
    <row r="842" spans="1:2" x14ac:dyDescent="0.15">
      <c r="A842" s="1">
        <v>64100</v>
      </c>
      <c r="B842" s="1">
        <v>536</v>
      </c>
    </row>
    <row r="843" spans="1:2" x14ac:dyDescent="0.15">
      <c r="A843" s="1">
        <v>52597</v>
      </c>
      <c r="B843" s="1">
        <v>536</v>
      </c>
    </row>
    <row r="844" spans="1:2" x14ac:dyDescent="0.15">
      <c r="A844" s="1">
        <v>48789</v>
      </c>
      <c r="B844" s="1">
        <v>535</v>
      </c>
    </row>
    <row r="845" spans="1:2" x14ac:dyDescent="0.15">
      <c r="A845" s="1">
        <v>56575</v>
      </c>
      <c r="B845" s="1">
        <v>532</v>
      </c>
    </row>
    <row r="846" spans="1:2" x14ac:dyDescent="0.15">
      <c r="A846" s="1">
        <v>47703</v>
      </c>
      <c r="B846" s="1">
        <v>532</v>
      </c>
    </row>
    <row r="847" spans="1:2" x14ac:dyDescent="0.15">
      <c r="A847" s="1">
        <v>47916</v>
      </c>
      <c r="B847" s="1">
        <v>531</v>
      </c>
    </row>
    <row r="848" spans="1:2" x14ac:dyDescent="0.15">
      <c r="A848" s="1">
        <v>32632</v>
      </c>
      <c r="B848" s="1">
        <v>523</v>
      </c>
    </row>
    <row r="849" spans="1:2" x14ac:dyDescent="0.15">
      <c r="A849" s="1">
        <v>38410</v>
      </c>
      <c r="B849" s="1">
        <v>520</v>
      </c>
    </row>
    <row r="850" spans="1:2" x14ac:dyDescent="0.15">
      <c r="A850" s="1">
        <v>41003</v>
      </c>
      <c r="B850" s="1">
        <v>513</v>
      </c>
    </row>
    <row r="851" spans="1:2" x14ac:dyDescent="0.15">
      <c r="A851" s="1">
        <v>56939</v>
      </c>
      <c r="B851" s="1">
        <v>512</v>
      </c>
    </row>
    <row r="852" spans="1:2" x14ac:dyDescent="0.15">
      <c r="A852" s="1">
        <v>65748</v>
      </c>
      <c r="B852" s="1">
        <v>511</v>
      </c>
    </row>
    <row r="853" spans="1:2" x14ac:dyDescent="0.15">
      <c r="A853" s="1">
        <v>51195</v>
      </c>
      <c r="B853" s="1">
        <v>506</v>
      </c>
    </row>
    <row r="854" spans="1:2" x14ac:dyDescent="0.15">
      <c r="A854" s="1">
        <v>53230</v>
      </c>
      <c r="B854" s="1">
        <v>503</v>
      </c>
    </row>
    <row r="855" spans="1:2" x14ac:dyDescent="0.15">
      <c r="A855" s="1">
        <v>22507</v>
      </c>
      <c r="B855" s="1">
        <v>502</v>
      </c>
    </row>
    <row r="856" spans="1:2" x14ac:dyDescent="0.15">
      <c r="A856" s="1">
        <v>58554</v>
      </c>
      <c r="B856" s="1">
        <v>498</v>
      </c>
    </row>
    <row r="857" spans="1:2" x14ac:dyDescent="0.15">
      <c r="A857" s="1">
        <v>66373</v>
      </c>
      <c r="B857" s="1">
        <v>497</v>
      </c>
    </row>
    <row r="858" spans="1:2" x14ac:dyDescent="0.15">
      <c r="A858" s="1">
        <v>46014</v>
      </c>
      <c r="B858" s="1">
        <v>497</v>
      </c>
    </row>
    <row r="859" spans="1:2" x14ac:dyDescent="0.15">
      <c r="A859" s="1">
        <v>42835</v>
      </c>
      <c r="B859" s="1">
        <v>497</v>
      </c>
    </row>
    <row r="860" spans="1:2" x14ac:dyDescent="0.15">
      <c r="A860" s="1">
        <v>65526</v>
      </c>
      <c r="B860" s="1">
        <v>497</v>
      </c>
    </row>
    <row r="861" spans="1:2" x14ac:dyDescent="0.15">
      <c r="A861" s="1">
        <v>69142</v>
      </c>
      <c r="B861" s="1">
        <v>496</v>
      </c>
    </row>
    <row r="862" spans="1:2" x14ac:dyDescent="0.15">
      <c r="A862" s="1">
        <v>61559</v>
      </c>
      <c r="B862" s="1">
        <v>496</v>
      </c>
    </row>
    <row r="863" spans="1:2" x14ac:dyDescent="0.15">
      <c r="A863" s="1">
        <v>46049</v>
      </c>
      <c r="B863" s="1">
        <v>496</v>
      </c>
    </row>
    <row r="864" spans="1:2" x14ac:dyDescent="0.15">
      <c r="A864" s="1">
        <v>54591</v>
      </c>
      <c r="B864" s="1">
        <v>495</v>
      </c>
    </row>
    <row r="865" spans="1:2" x14ac:dyDescent="0.15">
      <c r="A865" s="1">
        <v>55842</v>
      </c>
      <c r="B865" s="1">
        <v>494</v>
      </c>
    </row>
    <row r="866" spans="1:2" x14ac:dyDescent="0.15">
      <c r="A866" s="1">
        <v>86836</v>
      </c>
      <c r="B866" s="1">
        <v>494</v>
      </c>
    </row>
    <row r="867" spans="1:2" x14ac:dyDescent="0.15">
      <c r="A867" s="1">
        <v>41769</v>
      </c>
      <c r="B867" s="1">
        <v>494</v>
      </c>
    </row>
    <row r="868" spans="1:2" x14ac:dyDescent="0.15">
      <c r="A868" s="1">
        <v>65486</v>
      </c>
      <c r="B868" s="1">
        <v>493</v>
      </c>
    </row>
    <row r="869" spans="1:2" x14ac:dyDescent="0.15">
      <c r="A869" s="1">
        <v>59292</v>
      </c>
      <c r="B869" s="1">
        <v>493</v>
      </c>
    </row>
    <row r="870" spans="1:2" x14ac:dyDescent="0.15">
      <c r="A870" s="1">
        <v>42387</v>
      </c>
      <c r="B870" s="1">
        <v>493</v>
      </c>
    </row>
    <row r="871" spans="1:2" x14ac:dyDescent="0.15">
      <c r="A871" s="1">
        <v>60504</v>
      </c>
      <c r="B871" s="1">
        <v>492</v>
      </c>
    </row>
    <row r="872" spans="1:2" x14ac:dyDescent="0.15">
      <c r="A872" s="1">
        <v>57091</v>
      </c>
      <c r="B872" s="1">
        <v>492</v>
      </c>
    </row>
    <row r="873" spans="1:2" x14ac:dyDescent="0.15">
      <c r="A873" s="1">
        <v>61286</v>
      </c>
      <c r="B873" s="1">
        <v>491</v>
      </c>
    </row>
    <row r="874" spans="1:2" x14ac:dyDescent="0.15">
      <c r="A874" s="1">
        <v>59247</v>
      </c>
      <c r="B874" s="1">
        <v>491</v>
      </c>
    </row>
    <row r="875" spans="1:2" x14ac:dyDescent="0.15">
      <c r="A875" s="1">
        <v>65968</v>
      </c>
      <c r="B875" s="1">
        <v>491</v>
      </c>
    </row>
    <row r="876" spans="1:2" x14ac:dyDescent="0.15">
      <c r="A876" s="1">
        <v>50387</v>
      </c>
      <c r="B876" s="1">
        <v>491</v>
      </c>
    </row>
    <row r="877" spans="1:2" x14ac:dyDescent="0.15">
      <c r="A877" s="1">
        <v>43783</v>
      </c>
      <c r="B877" s="1">
        <v>490</v>
      </c>
    </row>
    <row r="878" spans="1:2" x14ac:dyDescent="0.15">
      <c r="A878" s="1">
        <v>59594</v>
      </c>
      <c r="B878" s="1">
        <v>490</v>
      </c>
    </row>
    <row r="879" spans="1:2" x14ac:dyDescent="0.15">
      <c r="A879" s="1">
        <v>78028</v>
      </c>
      <c r="B879" s="1">
        <v>490</v>
      </c>
    </row>
    <row r="880" spans="1:2" x14ac:dyDescent="0.15">
      <c r="A880" s="1">
        <v>50611</v>
      </c>
      <c r="B880" s="1">
        <v>489</v>
      </c>
    </row>
    <row r="881" spans="1:2" x14ac:dyDescent="0.15">
      <c r="A881" s="1">
        <v>50611</v>
      </c>
      <c r="B881" s="1">
        <v>489</v>
      </c>
    </row>
    <row r="882" spans="1:2" x14ac:dyDescent="0.15">
      <c r="A882" s="1">
        <v>53843</v>
      </c>
      <c r="B882" s="1">
        <v>489</v>
      </c>
    </row>
    <row r="883" spans="1:2" x14ac:dyDescent="0.15">
      <c r="A883" s="1">
        <v>50437</v>
      </c>
      <c r="B883" s="1">
        <v>486</v>
      </c>
    </row>
    <row r="884" spans="1:2" x14ac:dyDescent="0.15">
      <c r="A884" s="1">
        <v>61180</v>
      </c>
      <c r="B884" s="1">
        <v>486</v>
      </c>
    </row>
    <row r="885" spans="1:2" x14ac:dyDescent="0.15">
      <c r="A885" s="1">
        <v>70337</v>
      </c>
      <c r="B885" s="1">
        <v>485</v>
      </c>
    </row>
    <row r="886" spans="1:2" x14ac:dyDescent="0.15">
      <c r="A886" s="1">
        <v>48070</v>
      </c>
      <c r="B886" s="1">
        <v>485</v>
      </c>
    </row>
    <row r="887" spans="1:2" x14ac:dyDescent="0.15">
      <c r="A887" s="1">
        <v>57954</v>
      </c>
      <c r="B887" s="1">
        <v>484</v>
      </c>
    </row>
    <row r="888" spans="1:2" x14ac:dyDescent="0.15">
      <c r="A888" s="1">
        <v>54006</v>
      </c>
      <c r="B888" s="1">
        <v>484</v>
      </c>
    </row>
    <row r="889" spans="1:2" x14ac:dyDescent="0.15">
      <c r="A889" s="1">
        <v>60482</v>
      </c>
      <c r="B889" s="1">
        <v>483</v>
      </c>
    </row>
    <row r="890" spans="1:2" x14ac:dyDescent="0.15">
      <c r="A890" s="1">
        <v>43974</v>
      </c>
      <c r="B890" s="1">
        <v>479</v>
      </c>
    </row>
    <row r="891" spans="1:2" x14ac:dyDescent="0.15">
      <c r="A891" s="1">
        <v>55954</v>
      </c>
      <c r="B891" s="1">
        <v>475</v>
      </c>
    </row>
    <row r="892" spans="1:2" x14ac:dyDescent="0.15">
      <c r="A892" s="1">
        <v>47682</v>
      </c>
      <c r="B892" s="1">
        <v>460</v>
      </c>
    </row>
    <row r="893" spans="1:2" x14ac:dyDescent="0.15">
      <c r="A893" s="1">
        <v>59052</v>
      </c>
      <c r="B893" s="1">
        <v>460</v>
      </c>
    </row>
    <row r="894" spans="1:2" x14ac:dyDescent="0.15">
      <c r="A894" s="1">
        <v>32727</v>
      </c>
      <c r="B894" s="1">
        <v>459</v>
      </c>
    </row>
    <row r="895" spans="1:2" x14ac:dyDescent="0.15">
      <c r="A895" s="1">
        <v>36550</v>
      </c>
      <c r="B895" s="1">
        <v>457</v>
      </c>
    </row>
    <row r="896" spans="1:2" x14ac:dyDescent="0.15">
      <c r="A896" s="1">
        <v>66886</v>
      </c>
      <c r="B896" s="1">
        <v>453</v>
      </c>
    </row>
    <row r="897" spans="1:2" x14ac:dyDescent="0.15">
      <c r="A897" s="1">
        <v>56559</v>
      </c>
      <c r="B897" s="1">
        <v>453</v>
      </c>
    </row>
    <row r="898" spans="1:2" x14ac:dyDescent="0.15">
      <c r="A898" s="1">
        <v>36130</v>
      </c>
      <c r="B898" s="1">
        <v>451</v>
      </c>
    </row>
    <row r="899" spans="1:2" x14ac:dyDescent="0.15">
      <c r="A899" s="1">
        <v>61798</v>
      </c>
      <c r="B899" s="1">
        <v>450</v>
      </c>
    </row>
    <row r="900" spans="1:2" x14ac:dyDescent="0.15">
      <c r="A900" s="1">
        <v>58025</v>
      </c>
      <c r="B900" s="1">
        <v>448</v>
      </c>
    </row>
    <row r="901" spans="1:2" x14ac:dyDescent="0.15">
      <c r="A901" s="1">
        <v>65747</v>
      </c>
      <c r="B901" s="1">
        <v>447</v>
      </c>
    </row>
    <row r="902" spans="1:2" x14ac:dyDescent="0.15">
      <c r="A902" s="1">
        <v>54998</v>
      </c>
      <c r="B902" s="1">
        <v>447</v>
      </c>
    </row>
    <row r="903" spans="1:2" x14ac:dyDescent="0.15">
      <c r="A903" s="1">
        <v>59354</v>
      </c>
      <c r="B903" s="1">
        <v>446</v>
      </c>
    </row>
    <row r="904" spans="1:2" x14ac:dyDescent="0.15">
      <c r="A904" s="1">
        <v>57705</v>
      </c>
      <c r="B904" s="1">
        <v>446</v>
      </c>
    </row>
    <row r="905" spans="1:2" x14ac:dyDescent="0.15">
      <c r="A905" s="1">
        <v>51529</v>
      </c>
      <c r="B905" s="1">
        <v>445</v>
      </c>
    </row>
    <row r="906" spans="1:2" x14ac:dyDescent="0.15">
      <c r="A906" s="1">
        <v>51518</v>
      </c>
      <c r="B906" s="1">
        <v>445</v>
      </c>
    </row>
    <row r="907" spans="1:2" x14ac:dyDescent="0.15">
      <c r="A907" s="1">
        <v>54386</v>
      </c>
      <c r="B907" s="1">
        <v>445</v>
      </c>
    </row>
    <row r="908" spans="1:2" x14ac:dyDescent="0.15">
      <c r="A908" s="1">
        <v>57537</v>
      </c>
      <c r="B908" s="1">
        <v>445</v>
      </c>
    </row>
    <row r="909" spans="1:2" x14ac:dyDescent="0.15">
      <c r="A909" s="1">
        <v>50729</v>
      </c>
      <c r="B909" s="1">
        <v>444</v>
      </c>
    </row>
    <row r="910" spans="1:2" x14ac:dyDescent="0.15">
      <c r="A910" s="1">
        <v>53863</v>
      </c>
      <c r="B910" s="1">
        <v>443</v>
      </c>
    </row>
    <row r="911" spans="1:2" x14ac:dyDescent="0.15">
      <c r="A911" s="1">
        <v>84460</v>
      </c>
      <c r="B911" s="1">
        <v>442</v>
      </c>
    </row>
    <row r="912" spans="1:2" x14ac:dyDescent="0.15">
      <c r="A912" s="1">
        <v>55521</v>
      </c>
      <c r="B912" s="1">
        <v>442</v>
      </c>
    </row>
    <row r="913" spans="1:2" x14ac:dyDescent="0.15">
      <c r="A913" s="1">
        <v>55593</v>
      </c>
      <c r="B913" s="1">
        <v>440</v>
      </c>
    </row>
    <row r="914" spans="1:2" x14ac:dyDescent="0.15">
      <c r="A914" s="1">
        <v>62010</v>
      </c>
      <c r="B914" s="1">
        <v>438</v>
      </c>
    </row>
    <row r="915" spans="1:2" x14ac:dyDescent="0.15">
      <c r="A915" s="1">
        <v>39767</v>
      </c>
      <c r="B915" s="1">
        <v>438</v>
      </c>
    </row>
    <row r="916" spans="1:2" x14ac:dyDescent="0.15">
      <c r="A916" s="1">
        <v>52413</v>
      </c>
      <c r="B916" s="1">
        <v>438</v>
      </c>
    </row>
    <row r="917" spans="1:2" x14ac:dyDescent="0.15">
      <c r="A917" s="1">
        <v>53593</v>
      </c>
      <c r="B917" s="1">
        <v>437</v>
      </c>
    </row>
    <row r="918" spans="1:2" x14ac:dyDescent="0.15">
      <c r="A918" s="1">
        <v>49681</v>
      </c>
      <c r="B918" s="1">
        <v>437</v>
      </c>
    </row>
    <row r="919" spans="1:2" x14ac:dyDescent="0.15">
      <c r="A919" s="1">
        <v>57045</v>
      </c>
      <c r="B919" s="1">
        <v>437</v>
      </c>
    </row>
    <row r="920" spans="1:2" x14ac:dyDescent="0.15">
      <c r="A920" s="1">
        <v>64014</v>
      </c>
      <c r="B920" s="1">
        <v>436</v>
      </c>
    </row>
    <row r="921" spans="1:2" x14ac:dyDescent="0.15">
      <c r="A921" s="1">
        <v>50664</v>
      </c>
      <c r="B921" s="1">
        <v>435</v>
      </c>
    </row>
    <row r="922" spans="1:2" x14ac:dyDescent="0.15">
      <c r="A922" s="1">
        <v>51569</v>
      </c>
      <c r="B922" s="1">
        <v>433</v>
      </c>
    </row>
    <row r="923" spans="1:2" x14ac:dyDescent="0.15">
      <c r="A923" s="1">
        <v>49094</v>
      </c>
      <c r="B923" s="1">
        <v>433</v>
      </c>
    </row>
    <row r="924" spans="1:2" x14ac:dyDescent="0.15">
      <c r="A924" s="1">
        <v>65370</v>
      </c>
      <c r="B924" s="1">
        <v>432</v>
      </c>
    </row>
    <row r="925" spans="1:2" x14ac:dyDescent="0.15">
      <c r="A925" s="1">
        <v>55801</v>
      </c>
      <c r="B925" s="1">
        <v>432</v>
      </c>
    </row>
    <row r="926" spans="1:2" x14ac:dyDescent="0.15">
      <c r="A926" s="1">
        <v>51479</v>
      </c>
      <c r="B926" s="1">
        <v>429</v>
      </c>
    </row>
    <row r="927" spans="1:2" x14ac:dyDescent="0.15">
      <c r="A927" s="1">
        <v>46374</v>
      </c>
      <c r="B927" s="1">
        <v>429</v>
      </c>
    </row>
    <row r="928" spans="1:2" x14ac:dyDescent="0.15">
      <c r="A928" s="1">
        <v>41039</v>
      </c>
      <c r="B928" s="1">
        <v>422</v>
      </c>
    </row>
    <row r="929" spans="1:2" x14ac:dyDescent="0.15">
      <c r="A929" s="1">
        <v>70829</v>
      </c>
      <c r="B929" s="1">
        <v>408</v>
      </c>
    </row>
    <row r="930" spans="1:2" x14ac:dyDescent="0.15">
      <c r="A930" s="1">
        <v>58293</v>
      </c>
      <c r="B930" s="1">
        <v>407</v>
      </c>
    </row>
    <row r="931" spans="1:2" x14ac:dyDescent="0.15">
      <c r="A931" s="1">
        <v>50353</v>
      </c>
      <c r="B931" s="1">
        <v>407</v>
      </c>
    </row>
    <row r="932" spans="1:2" x14ac:dyDescent="0.15">
      <c r="A932" s="1">
        <v>62998</v>
      </c>
      <c r="B932" s="1">
        <v>405</v>
      </c>
    </row>
    <row r="933" spans="1:2" x14ac:dyDescent="0.15">
      <c r="A933" s="1">
        <v>59481</v>
      </c>
      <c r="B933" s="1">
        <v>403</v>
      </c>
    </row>
    <row r="934" spans="1:2" x14ac:dyDescent="0.15">
      <c r="A934" s="1">
        <v>50150</v>
      </c>
      <c r="B934" s="1">
        <v>399</v>
      </c>
    </row>
    <row r="935" spans="1:2" x14ac:dyDescent="0.15">
      <c r="A935" s="1">
        <v>37087</v>
      </c>
      <c r="B935" s="1">
        <v>398</v>
      </c>
    </row>
    <row r="936" spans="1:2" x14ac:dyDescent="0.15">
      <c r="A936" s="1">
        <v>61825</v>
      </c>
      <c r="B936" s="1">
        <v>397</v>
      </c>
    </row>
    <row r="937" spans="1:2" x14ac:dyDescent="0.15">
      <c r="A937" s="1">
        <v>53034</v>
      </c>
      <c r="B937" s="1">
        <v>397</v>
      </c>
    </row>
    <row r="938" spans="1:2" x14ac:dyDescent="0.15">
      <c r="A938" s="1">
        <v>65640</v>
      </c>
      <c r="B938" s="1">
        <v>395</v>
      </c>
    </row>
    <row r="939" spans="1:2" x14ac:dyDescent="0.15">
      <c r="A939" s="1">
        <v>59412</v>
      </c>
      <c r="B939" s="1">
        <v>395</v>
      </c>
    </row>
    <row r="940" spans="1:2" x14ac:dyDescent="0.15">
      <c r="A940" s="1">
        <v>62972</v>
      </c>
      <c r="B940" s="1">
        <v>395</v>
      </c>
    </row>
    <row r="941" spans="1:2" x14ac:dyDescent="0.15">
      <c r="A941" s="1">
        <v>55158</v>
      </c>
      <c r="B941" s="1">
        <v>395</v>
      </c>
    </row>
    <row r="942" spans="1:2" x14ac:dyDescent="0.15">
      <c r="A942" s="1">
        <v>62972</v>
      </c>
      <c r="B942" s="1">
        <v>395</v>
      </c>
    </row>
    <row r="943" spans="1:2" x14ac:dyDescent="0.15">
      <c r="A943" s="1">
        <v>47320</v>
      </c>
      <c r="B943" s="1">
        <v>395</v>
      </c>
    </row>
    <row r="944" spans="1:2" x14ac:dyDescent="0.15">
      <c r="A944" s="1">
        <v>62551</v>
      </c>
      <c r="B944" s="1">
        <v>394</v>
      </c>
    </row>
    <row r="945" spans="1:2" x14ac:dyDescent="0.15">
      <c r="A945" s="1">
        <v>51369</v>
      </c>
      <c r="B945" s="1">
        <v>394</v>
      </c>
    </row>
    <row r="946" spans="1:2" x14ac:dyDescent="0.15">
      <c r="A946" s="1">
        <v>37070</v>
      </c>
      <c r="B946" s="1">
        <v>394</v>
      </c>
    </row>
    <row r="947" spans="1:2" x14ac:dyDescent="0.15">
      <c r="A947" s="1">
        <v>37292</v>
      </c>
      <c r="B947" s="1">
        <v>394</v>
      </c>
    </row>
    <row r="948" spans="1:2" x14ac:dyDescent="0.15">
      <c r="A948" s="1">
        <v>45736</v>
      </c>
      <c r="B948" s="1">
        <v>394</v>
      </c>
    </row>
    <row r="949" spans="1:2" x14ac:dyDescent="0.15">
      <c r="A949" s="1">
        <v>41443</v>
      </c>
      <c r="B949" s="1">
        <v>393</v>
      </c>
    </row>
    <row r="950" spans="1:2" x14ac:dyDescent="0.15">
      <c r="A950" s="1">
        <v>55707</v>
      </c>
      <c r="B950" s="1">
        <v>393</v>
      </c>
    </row>
    <row r="951" spans="1:2" x14ac:dyDescent="0.15">
      <c r="A951" s="1">
        <v>62058</v>
      </c>
      <c r="B951" s="1">
        <v>392</v>
      </c>
    </row>
    <row r="952" spans="1:2" x14ac:dyDescent="0.15">
      <c r="A952" s="1">
        <v>57744</v>
      </c>
      <c r="B952" s="1">
        <v>392</v>
      </c>
    </row>
    <row r="953" spans="1:2" x14ac:dyDescent="0.15">
      <c r="A953" s="1">
        <v>58116</v>
      </c>
      <c r="B953" s="1">
        <v>392</v>
      </c>
    </row>
    <row r="954" spans="1:2" x14ac:dyDescent="0.15">
      <c r="A954" s="1">
        <v>66726</v>
      </c>
      <c r="B954" s="1">
        <v>391</v>
      </c>
    </row>
    <row r="955" spans="1:2" x14ac:dyDescent="0.15">
      <c r="A955" s="1">
        <v>60432</v>
      </c>
      <c r="B955" s="1">
        <v>390</v>
      </c>
    </row>
    <row r="956" spans="1:2" x14ac:dyDescent="0.15">
      <c r="A956" s="1">
        <v>32644</v>
      </c>
      <c r="B956" s="1">
        <v>390</v>
      </c>
    </row>
    <row r="957" spans="1:2" x14ac:dyDescent="0.15">
      <c r="A957" s="1">
        <v>54456</v>
      </c>
      <c r="B957" s="1">
        <v>389</v>
      </c>
    </row>
    <row r="958" spans="1:2" x14ac:dyDescent="0.15">
      <c r="A958" s="1">
        <v>38508</v>
      </c>
      <c r="B958" s="1">
        <v>389</v>
      </c>
    </row>
    <row r="959" spans="1:2" x14ac:dyDescent="0.15">
      <c r="A959" s="1">
        <v>47025</v>
      </c>
      <c r="B959" s="1">
        <v>389</v>
      </c>
    </row>
    <row r="960" spans="1:2" x14ac:dyDescent="0.15">
      <c r="A960" s="1">
        <v>56243</v>
      </c>
      <c r="B960" s="1">
        <v>389</v>
      </c>
    </row>
    <row r="961" spans="1:2" x14ac:dyDescent="0.15">
      <c r="A961" s="1">
        <v>53367</v>
      </c>
      <c r="B961" s="1">
        <v>389</v>
      </c>
    </row>
    <row r="962" spans="1:2" x14ac:dyDescent="0.15">
      <c r="A962" s="1">
        <v>53201</v>
      </c>
      <c r="B962" s="1">
        <v>388</v>
      </c>
    </row>
    <row r="963" spans="1:2" x14ac:dyDescent="0.15">
      <c r="A963" s="1">
        <v>71488</v>
      </c>
      <c r="B963" s="1">
        <v>387</v>
      </c>
    </row>
    <row r="964" spans="1:2" x14ac:dyDescent="0.15">
      <c r="A964" s="1">
        <v>46681</v>
      </c>
      <c r="B964" s="1">
        <v>387</v>
      </c>
    </row>
    <row r="965" spans="1:2" x14ac:dyDescent="0.15">
      <c r="A965" s="1">
        <v>41124</v>
      </c>
      <c r="B965" s="1">
        <v>387</v>
      </c>
    </row>
    <row r="966" spans="1:2" x14ac:dyDescent="0.15">
      <c r="A966" s="1">
        <v>57906</v>
      </c>
      <c r="B966" s="1">
        <v>386</v>
      </c>
    </row>
    <row r="967" spans="1:2" x14ac:dyDescent="0.15">
      <c r="A967" s="1">
        <v>43456</v>
      </c>
      <c r="B967" s="1">
        <v>386</v>
      </c>
    </row>
    <row r="968" spans="1:2" x14ac:dyDescent="0.15">
      <c r="A968" s="1">
        <v>42014</v>
      </c>
      <c r="B968" s="1">
        <v>386</v>
      </c>
    </row>
    <row r="969" spans="1:2" x14ac:dyDescent="0.15">
      <c r="A969" s="1">
        <v>73395</v>
      </c>
      <c r="B969" s="1">
        <v>386</v>
      </c>
    </row>
    <row r="970" spans="1:2" x14ac:dyDescent="0.15">
      <c r="A970" s="1">
        <v>56962</v>
      </c>
      <c r="B970" s="1">
        <v>385</v>
      </c>
    </row>
    <row r="971" spans="1:2" x14ac:dyDescent="0.15">
      <c r="A971" s="1">
        <v>47958</v>
      </c>
      <c r="B971" s="1">
        <v>385</v>
      </c>
    </row>
    <row r="972" spans="1:2" x14ac:dyDescent="0.15">
      <c r="A972" s="1">
        <v>43795</v>
      </c>
      <c r="B972" s="1">
        <v>385</v>
      </c>
    </row>
    <row r="973" spans="1:2" x14ac:dyDescent="0.15">
      <c r="A973" s="1">
        <v>65735</v>
      </c>
      <c r="B973" s="1">
        <v>384</v>
      </c>
    </row>
    <row r="974" spans="1:2" x14ac:dyDescent="0.15">
      <c r="A974" s="1">
        <v>40794</v>
      </c>
      <c r="B974" s="1">
        <v>384</v>
      </c>
    </row>
    <row r="975" spans="1:2" x14ac:dyDescent="0.15">
      <c r="A975" s="1">
        <v>58692</v>
      </c>
      <c r="B975" s="1">
        <v>384</v>
      </c>
    </row>
    <row r="976" spans="1:2" x14ac:dyDescent="0.15">
      <c r="A976" s="1">
        <v>59973</v>
      </c>
      <c r="B976" s="1">
        <v>382</v>
      </c>
    </row>
    <row r="977" spans="1:2" x14ac:dyDescent="0.15">
      <c r="A977" s="1">
        <v>65352</v>
      </c>
      <c r="B977" s="1">
        <v>382</v>
      </c>
    </row>
    <row r="978" spans="1:2" x14ac:dyDescent="0.15">
      <c r="A978" s="1">
        <v>48432</v>
      </c>
      <c r="B978" s="1">
        <v>382</v>
      </c>
    </row>
    <row r="979" spans="1:2" x14ac:dyDescent="0.15">
      <c r="A979" s="1">
        <v>48432</v>
      </c>
      <c r="B979" s="1">
        <v>382</v>
      </c>
    </row>
    <row r="980" spans="1:2" x14ac:dyDescent="0.15">
      <c r="A980" s="1">
        <v>49544</v>
      </c>
      <c r="B980" s="1">
        <v>381</v>
      </c>
    </row>
    <row r="981" spans="1:2" x14ac:dyDescent="0.15">
      <c r="A981" s="1">
        <v>58494</v>
      </c>
      <c r="B981" s="1">
        <v>377</v>
      </c>
    </row>
    <row r="982" spans="1:2" x14ac:dyDescent="0.15">
      <c r="A982" s="1">
        <v>57967</v>
      </c>
      <c r="B982" s="1">
        <v>377</v>
      </c>
    </row>
    <row r="983" spans="1:2" x14ac:dyDescent="0.15">
      <c r="A983" s="1">
        <v>31907</v>
      </c>
      <c r="B983" s="1">
        <v>375</v>
      </c>
    </row>
    <row r="984" spans="1:2" x14ac:dyDescent="0.15">
      <c r="A984" s="1">
        <v>72967</v>
      </c>
      <c r="B984" s="1">
        <v>372</v>
      </c>
    </row>
    <row r="985" spans="1:2" x14ac:dyDescent="0.15">
      <c r="A985" s="1">
        <v>46923</v>
      </c>
      <c r="B985" s="1">
        <v>363</v>
      </c>
    </row>
    <row r="986" spans="1:2" x14ac:dyDescent="0.15">
      <c r="A986" s="1">
        <v>53172</v>
      </c>
      <c r="B986" s="1">
        <v>361</v>
      </c>
    </row>
    <row r="987" spans="1:2" x14ac:dyDescent="0.15">
      <c r="A987" s="1">
        <v>55267</v>
      </c>
      <c r="B987" s="1">
        <v>360</v>
      </c>
    </row>
    <row r="988" spans="1:2" x14ac:dyDescent="0.15">
      <c r="A988" s="1">
        <v>47009</v>
      </c>
      <c r="B988" s="1">
        <v>358</v>
      </c>
    </row>
    <row r="989" spans="1:2" x14ac:dyDescent="0.15">
      <c r="A989" s="1">
        <v>42081</v>
      </c>
      <c r="B989" s="1">
        <v>355</v>
      </c>
    </row>
    <row r="990" spans="1:2" x14ac:dyDescent="0.15">
      <c r="A990" s="1">
        <v>50014</v>
      </c>
      <c r="B990" s="1">
        <v>354</v>
      </c>
    </row>
    <row r="991" spans="1:2" x14ac:dyDescent="0.15">
      <c r="A991" s="1">
        <v>60905</v>
      </c>
      <c r="B991" s="1">
        <v>354</v>
      </c>
    </row>
    <row r="992" spans="1:2" x14ac:dyDescent="0.15">
      <c r="A992" s="1">
        <v>40101</v>
      </c>
      <c r="B992" s="1">
        <v>353</v>
      </c>
    </row>
    <row r="993" spans="1:2" x14ac:dyDescent="0.15">
      <c r="A993" s="1">
        <v>24401</v>
      </c>
      <c r="B993" s="1">
        <v>352</v>
      </c>
    </row>
    <row r="994" spans="1:2" x14ac:dyDescent="0.15">
      <c r="A994" s="1">
        <v>54984</v>
      </c>
      <c r="B994" s="1">
        <v>352</v>
      </c>
    </row>
    <row r="995" spans="1:2" x14ac:dyDescent="0.15">
      <c r="A995" s="1">
        <v>66503</v>
      </c>
      <c r="B995" s="1">
        <v>351</v>
      </c>
    </row>
    <row r="996" spans="1:2" x14ac:dyDescent="0.15">
      <c r="A996" s="1">
        <v>37150</v>
      </c>
      <c r="B996" s="1">
        <v>351</v>
      </c>
    </row>
    <row r="997" spans="1:2" x14ac:dyDescent="0.15">
      <c r="A997" s="1">
        <v>49854</v>
      </c>
      <c r="B997" s="1">
        <v>350</v>
      </c>
    </row>
    <row r="998" spans="1:2" x14ac:dyDescent="0.15">
      <c r="A998" s="1">
        <v>46998</v>
      </c>
      <c r="B998" s="1">
        <v>350</v>
      </c>
    </row>
    <row r="999" spans="1:2" x14ac:dyDescent="0.15">
      <c r="A999" s="1">
        <v>41638</v>
      </c>
      <c r="B999" s="1">
        <v>350</v>
      </c>
    </row>
    <row r="1000" spans="1:2" x14ac:dyDescent="0.15">
      <c r="A1000" s="1">
        <v>45837</v>
      </c>
      <c r="B1000" s="1">
        <v>349</v>
      </c>
    </row>
    <row r="1001" spans="1:2" x14ac:dyDescent="0.15">
      <c r="A1001" s="1">
        <v>54730</v>
      </c>
      <c r="B1001" s="1">
        <v>349</v>
      </c>
    </row>
    <row r="1002" spans="1:2" x14ac:dyDescent="0.15">
      <c r="A1002" s="1">
        <v>49431</v>
      </c>
      <c r="B1002" s="1">
        <v>348</v>
      </c>
    </row>
    <row r="1003" spans="1:2" x14ac:dyDescent="0.15">
      <c r="A1003" s="1">
        <v>50501</v>
      </c>
      <c r="B1003" s="1">
        <v>348</v>
      </c>
    </row>
    <row r="1004" spans="1:2" x14ac:dyDescent="0.15">
      <c r="A1004" s="1">
        <v>52914</v>
      </c>
      <c r="B1004" s="1">
        <v>348</v>
      </c>
    </row>
    <row r="1005" spans="1:2" x14ac:dyDescent="0.15">
      <c r="A1005" s="1">
        <v>30538</v>
      </c>
      <c r="B1005" s="1">
        <v>347</v>
      </c>
    </row>
    <row r="1006" spans="1:2" x14ac:dyDescent="0.15">
      <c r="A1006" s="1">
        <v>62535</v>
      </c>
      <c r="B1006" s="1">
        <v>346</v>
      </c>
    </row>
    <row r="1007" spans="1:2" x14ac:dyDescent="0.15">
      <c r="A1007" s="1">
        <v>40689</v>
      </c>
      <c r="B1007" s="1">
        <v>345</v>
      </c>
    </row>
    <row r="1008" spans="1:2" x14ac:dyDescent="0.15">
      <c r="A1008" s="1">
        <v>44124</v>
      </c>
      <c r="B1008" s="1">
        <v>345</v>
      </c>
    </row>
    <row r="1009" spans="1:2" x14ac:dyDescent="0.15">
      <c r="A1009" s="1">
        <v>56181</v>
      </c>
      <c r="B1009" s="1">
        <v>345</v>
      </c>
    </row>
    <row r="1010" spans="1:2" x14ac:dyDescent="0.15">
      <c r="A1010" s="1">
        <v>67472</v>
      </c>
      <c r="B1010" s="1">
        <v>345</v>
      </c>
    </row>
    <row r="1011" spans="1:2" x14ac:dyDescent="0.15">
      <c r="A1011" s="1">
        <v>48904</v>
      </c>
      <c r="B1011" s="1">
        <v>344</v>
      </c>
    </row>
    <row r="1012" spans="1:2" x14ac:dyDescent="0.15">
      <c r="A1012" s="1">
        <v>40780</v>
      </c>
      <c r="B1012" s="1">
        <v>343</v>
      </c>
    </row>
    <row r="1013" spans="1:2" x14ac:dyDescent="0.15">
      <c r="A1013" s="1">
        <v>42213</v>
      </c>
      <c r="B1013" s="1">
        <v>343</v>
      </c>
    </row>
    <row r="1014" spans="1:2" x14ac:dyDescent="0.15">
      <c r="A1014" s="1">
        <v>39552</v>
      </c>
      <c r="B1014" s="1">
        <v>343</v>
      </c>
    </row>
    <row r="1015" spans="1:2" x14ac:dyDescent="0.15">
      <c r="A1015" s="1">
        <v>45906</v>
      </c>
      <c r="B1015" s="1">
        <v>342</v>
      </c>
    </row>
    <row r="1016" spans="1:2" x14ac:dyDescent="0.15">
      <c r="A1016" s="1">
        <v>46610</v>
      </c>
      <c r="B1016" s="1">
        <v>342</v>
      </c>
    </row>
    <row r="1017" spans="1:2" x14ac:dyDescent="0.15">
      <c r="A1017" s="1">
        <v>48920</v>
      </c>
      <c r="B1017" s="1">
        <v>341</v>
      </c>
    </row>
    <row r="1018" spans="1:2" x14ac:dyDescent="0.15">
      <c r="A1018" s="1">
        <v>36715</v>
      </c>
      <c r="B1018" s="1">
        <v>341</v>
      </c>
    </row>
    <row r="1019" spans="1:2" x14ac:dyDescent="0.15">
      <c r="A1019" s="1">
        <v>51651</v>
      </c>
      <c r="B1019" s="1">
        <v>341</v>
      </c>
    </row>
    <row r="1020" spans="1:2" x14ac:dyDescent="0.15">
      <c r="A1020" s="1">
        <v>49154</v>
      </c>
      <c r="B1020" s="1">
        <v>340</v>
      </c>
    </row>
    <row r="1021" spans="1:2" x14ac:dyDescent="0.15">
      <c r="A1021" s="1">
        <v>35416</v>
      </c>
      <c r="B1021" s="1">
        <v>339</v>
      </c>
    </row>
    <row r="1022" spans="1:2" x14ac:dyDescent="0.15">
      <c r="A1022" s="1">
        <v>43263</v>
      </c>
      <c r="B1022" s="1">
        <v>339</v>
      </c>
    </row>
    <row r="1023" spans="1:2" x14ac:dyDescent="0.15">
      <c r="A1023" s="1">
        <v>46344</v>
      </c>
      <c r="B1023" s="1">
        <v>338</v>
      </c>
    </row>
    <row r="1024" spans="1:2" x14ac:dyDescent="0.15">
      <c r="A1024" s="1">
        <v>50388</v>
      </c>
      <c r="B1024" s="1">
        <v>338</v>
      </c>
    </row>
    <row r="1025" spans="1:2" x14ac:dyDescent="0.15">
      <c r="A1025" s="1">
        <v>54111</v>
      </c>
      <c r="B1025" s="1">
        <v>338</v>
      </c>
    </row>
    <row r="1026" spans="1:2" x14ac:dyDescent="0.15">
      <c r="A1026" s="1">
        <v>50200</v>
      </c>
      <c r="B1026" s="1">
        <v>337</v>
      </c>
    </row>
    <row r="1027" spans="1:2" x14ac:dyDescent="0.15">
      <c r="A1027" s="1">
        <v>59754</v>
      </c>
      <c r="B1027" s="1">
        <v>336</v>
      </c>
    </row>
    <row r="1028" spans="1:2" x14ac:dyDescent="0.15">
      <c r="A1028" s="1">
        <v>46149</v>
      </c>
      <c r="B1028" s="1">
        <v>335</v>
      </c>
    </row>
    <row r="1029" spans="1:2" x14ac:dyDescent="0.15">
      <c r="A1029" s="1">
        <v>54210</v>
      </c>
      <c r="B1029" s="1">
        <v>322</v>
      </c>
    </row>
    <row r="1030" spans="1:2" x14ac:dyDescent="0.15">
      <c r="A1030" s="1">
        <v>48752</v>
      </c>
      <c r="B1030" s="1">
        <v>316</v>
      </c>
    </row>
    <row r="1031" spans="1:2" x14ac:dyDescent="0.15">
      <c r="A1031" s="1">
        <v>70545</v>
      </c>
      <c r="B1031" s="1">
        <v>313</v>
      </c>
    </row>
    <row r="1032" spans="1:2" x14ac:dyDescent="0.15">
      <c r="A1032" s="1">
        <v>57100</v>
      </c>
      <c r="B1032" s="1">
        <v>313</v>
      </c>
    </row>
    <row r="1033" spans="1:2" x14ac:dyDescent="0.15">
      <c r="A1033" s="1">
        <v>53253</v>
      </c>
      <c r="B1033" s="1">
        <v>311</v>
      </c>
    </row>
    <row r="1034" spans="1:2" x14ac:dyDescent="0.15">
      <c r="A1034" s="1">
        <v>45989</v>
      </c>
      <c r="B1034" s="1">
        <v>310</v>
      </c>
    </row>
    <row r="1035" spans="1:2" x14ac:dyDescent="0.15">
      <c r="A1035" s="1">
        <v>35196</v>
      </c>
      <c r="B1035" s="1">
        <v>310</v>
      </c>
    </row>
    <row r="1036" spans="1:2" x14ac:dyDescent="0.15">
      <c r="A1036" s="1">
        <v>35196</v>
      </c>
      <c r="B1036" s="1">
        <v>310</v>
      </c>
    </row>
    <row r="1037" spans="1:2" x14ac:dyDescent="0.15">
      <c r="A1037" s="1">
        <v>46692</v>
      </c>
      <c r="B1037" s="1">
        <v>309</v>
      </c>
    </row>
    <row r="1038" spans="1:2" x14ac:dyDescent="0.15">
      <c r="A1038" s="1">
        <v>51039</v>
      </c>
      <c r="B1038" s="1">
        <v>308</v>
      </c>
    </row>
    <row r="1039" spans="1:2" x14ac:dyDescent="0.15">
      <c r="A1039" s="1">
        <v>71322</v>
      </c>
      <c r="B1039" s="1">
        <v>308</v>
      </c>
    </row>
    <row r="1040" spans="1:2" x14ac:dyDescent="0.15">
      <c r="A1040" s="1">
        <v>48799</v>
      </c>
      <c r="B1040" s="1">
        <v>307</v>
      </c>
    </row>
    <row r="1041" spans="1:2" x14ac:dyDescent="0.15">
      <c r="A1041" s="1">
        <v>38988</v>
      </c>
      <c r="B1041" s="1">
        <v>306</v>
      </c>
    </row>
    <row r="1042" spans="1:2" x14ac:dyDescent="0.15">
      <c r="A1042" s="1">
        <v>66480</v>
      </c>
      <c r="B1042" s="1">
        <v>306</v>
      </c>
    </row>
    <row r="1043" spans="1:2" x14ac:dyDescent="0.15">
      <c r="A1043" s="1">
        <v>27683</v>
      </c>
      <c r="B1043" s="1">
        <v>306</v>
      </c>
    </row>
    <row r="1044" spans="1:2" x14ac:dyDescent="0.15">
      <c r="A1044" s="1">
        <v>38513</v>
      </c>
      <c r="B1044" s="1">
        <v>306</v>
      </c>
    </row>
    <row r="1045" spans="1:2" x14ac:dyDescent="0.15">
      <c r="A1045" s="1">
        <v>50127</v>
      </c>
      <c r="B1045" s="1">
        <v>305</v>
      </c>
    </row>
    <row r="1046" spans="1:2" x14ac:dyDescent="0.15">
      <c r="A1046" s="1">
        <v>36634</v>
      </c>
      <c r="B1046" s="1">
        <v>305</v>
      </c>
    </row>
    <row r="1047" spans="1:2" x14ac:dyDescent="0.15">
      <c r="A1047" s="1">
        <v>47352</v>
      </c>
      <c r="B1047" s="1">
        <v>304</v>
      </c>
    </row>
    <row r="1048" spans="1:2" x14ac:dyDescent="0.15">
      <c r="A1048" s="1">
        <v>42710</v>
      </c>
      <c r="B1048" s="1">
        <v>304</v>
      </c>
    </row>
    <row r="1049" spans="1:2" x14ac:dyDescent="0.15">
      <c r="A1049" s="1">
        <v>54237</v>
      </c>
      <c r="B1049" s="1">
        <v>304</v>
      </c>
    </row>
    <row r="1050" spans="1:2" x14ac:dyDescent="0.15">
      <c r="A1050" s="1">
        <v>51876</v>
      </c>
      <c r="B1050" s="1">
        <v>304</v>
      </c>
    </row>
    <row r="1051" spans="1:2" x14ac:dyDescent="0.15">
      <c r="A1051" s="1">
        <v>49967</v>
      </c>
      <c r="B1051" s="1">
        <v>303</v>
      </c>
    </row>
    <row r="1052" spans="1:2" x14ac:dyDescent="0.15">
      <c r="A1052" s="1">
        <v>51148</v>
      </c>
      <c r="B1052" s="1">
        <v>303</v>
      </c>
    </row>
    <row r="1053" spans="1:2" x14ac:dyDescent="0.15">
      <c r="A1053" s="1">
        <v>45183</v>
      </c>
      <c r="B1053" s="1">
        <v>303</v>
      </c>
    </row>
    <row r="1054" spans="1:2" x14ac:dyDescent="0.15">
      <c r="A1054" s="1">
        <v>49494</v>
      </c>
      <c r="B1054" s="1">
        <v>303</v>
      </c>
    </row>
    <row r="1055" spans="1:2" x14ac:dyDescent="0.15">
      <c r="A1055" s="1">
        <v>42607</v>
      </c>
      <c r="B1055" s="1">
        <v>303</v>
      </c>
    </row>
    <row r="1056" spans="1:2" x14ac:dyDescent="0.15">
      <c r="A1056" s="1">
        <v>34600</v>
      </c>
      <c r="B1056" s="1">
        <v>303</v>
      </c>
    </row>
    <row r="1057" spans="1:2" x14ac:dyDescent="0.15">
      <c r="A1057" s="1">
        <v>46734</v>
      </c>
      <c r="B1057" s="1">
        <v>301</v>
      </c>
    </row>
    <row r="1058" spans="1:2" x14ac:dyDescent="0.15">
      <c r="A1058" s="1">
        <v>42691</v>
      </c>
      <c r="B1058" s="1">
        <v>300</v>
      </c>
    </row>
    <row r="1059" spans="1:2" x14ac:dyDescent="0.15">
      <c r="A1059" s="1">
        <v>30522</v>
      </c>
      <c r="B1059" s="1">
        <v>300</v>
      </c>
    </row>
    <row r="1060" spans="1:2" x14ac:dyDescent="0.15">
      <c r="A1060" s="1">
        <v>62994</v>
      </c>
      <c r="B1060" s="1">
        <v>300</v>
      </c>
    </row>
    <row r="1061" spans="1:2" x14ac:dyDescent="0.15">
      <c r="A1061" s="1">
        <v>57420</v>
      </c>
      <c r="B1061" s="1">
        <v>298</v>
      </c>
    </row>
    <row r="1062" spans="1:2" x14ac:dyDescent="0.15">
      <c r="A1062" s="1">
        <v>51390</v>
      </c>
      <c r="B1062" s="1">
        <v>297</v>
      </c>
    </row>
    <row r="1063" spans="1:2" x14ac:dyDescent="0.15">
      <c r="A1063" s="1">
        <v>49669</v>
      </c>
      <c r="B1063" s="1">
        <v>297</v>
      </c>
    </row>
    <row r="1064" spans="1:2" x14ac:dyDescent="0.15">
      <c r="A1064" s="1">
        <v>45143</v>
      </c>
      <c r="B1064" s="1">
        <v>297</v>
      </c>
    </row>
    <row r="1065" spans="1:2" x14ac:dyDescent="0.15">
      <c r="A1065" s="1">
        <v>37774</v>
      </c>
      <c r="B1065" s="1">
        <v>297</v>
      </c>
    </row>
    <row r="1066" spans="1:2" x14ac:dyDescent="0.15">
      <c r="A1066" s="1">
        <v>45688</v>
      </c>
      <c r="B1066" s="1">
        <v>297</v>
      </c>
    </row>
    <row r="1067" spans="1:2" x14ac:dyDescent="0.15">
      <c r="A1067" s="1">
        <v>59354</v>
      </c>
      <c r="B1067" s="1">
        <v>296</v>
      </c>
    </row>
    <row r="1068" spans="1:2" x14ac:dyDescent="0.15">
      <c r="A1068" s="1">
        <v>46310</v>
      </c>
      <c r="B1068" s="1">
        <v>295</v>
      </c>
    </row>
    <row r="1069" spans="1:2" x14ac:dyDescent="0.15">
      <c r="A1069" s="1">
        <v>49678</v>
      </c>
      <c r="B1069" s="1">
        <v>295</v>
      </c>
    </row>
    <row r="1070" spans="1:2" x14ac:dyDescent="0.15">
      <c r="A1070" s="1">
        <v>63516</v>
      </c>
      <c r="B1070" s="1">
        <v>295</v>
      </c>
    </row>
    <row r="1071" spans="1:2" x14ac:dyDescent="0.15">
      <c r="A1071" s="1">
        <v>57100</v>
      </c>
      <c r="B1071" s="1">
        <v>294</v>
      </c>
    </row>
    <row r="1072" spans="1:2" x14ac:dyDescent="0.15">
      <c r="A1072" s="1">
        <v>46086</v>
      </c>
      <c r="B1072" s="1">
        <v>293</v>
      </c>
    </row>
    <row r="1073" spans="1:2" x14ac:dyDescent="0.15">
      <c r="A1073" s="1">
        <v>70844</v>
      </c>
      <c r="B1073" s="1">
        <v>292</v>
      </c>
    </row>
    <row r="1074" spans="1:2" x14ac:dyDescent="0.15">
      <c r="A1074" s="1">
        <v>36108</v>
      </c>
      <c r="B1074" s="1">
        <v>292</v>
      </c>
    </row>
    <row r="1075" spans="1:2" x14ac:dyDescent="0.15">
      <c r="A1075" s="1">
        <v>26997</v>
      </c>
      <c r="B1075" s="1">
        <v>290</v>
      </c>
    </row>
    <row r="1076" spans="1:2" x14ac:dyDescent="0.15">
      <c r="A1076" s="1">
        <v>37760</v>
      </c>
      <c r="B1076" s="1">
        <v>289</v>
      </c>
    </row>
    <row r="1077" spans="1:2" x14ac:dyDescent="0.15">
      <c r="A1077" s="1">
        <v>57107</v>
      </c>
      <c r="B1077" s="1">
        <v>279</v>
      </c>
    </row>
    <row r="1078" spans="1:2" x14ac:dyDescent="0.15">
      <c r="A1078" s="1">
        <v>49514</v>
      </c>
      <c r="B1078" s="1">
        <v>276</v>
      </c>
    </row>
    <row r="1079" spans="1:2" x14ac:dyDescent="0.15">
      <c r="A1079" s="1">
        <v>51373</v>
      </c>
      <c r="B1079" s="1">
        <v>276</v>
      </c>
    </row>
    <row r="1080" spans="1:2" x14ac:dyDescent="0.15">
      <c r="A1080" s="1">
        <v>38683</v>
      </c>
      <c r="B1080" s="1">
        <v>275</v>
      </c>
    </row>
    <row r="1081" spans="1:2" x14ac:dyDescent="0.15">
      <c r="A1081" s="1">
        <v>113734</v>
      </c>
      <c r="B1081" s="1">
        <v>274</v>
      </c>
    </row>
    <row r="1082" spans="1:2" x14ac:dyDescent="0.15">
      <c r="A1082" s="1">
        <v>36262</v>
      </c>
      <c r="B1082" s="1">
        <v>273</v>
      </c>
    </row>
    <row r="1083" spans="1:2" x14ac:dyDescent="0.15">
      <c r="A1083" s="1">
        <v>48721</v>
      </c>
      <c r="B1083" s="1">
        <v>272</v>
      </c>
    </row>
    <row r="1084" spans="1:2" x14ac:dyDescent="0.15">
      <c r="A1084" s="1">
        <v>51948</v>
      </c>
      <c r="B1084" s="1">
        <v>270</v>
      </c>
    </row>
    <row r="1085" spans="1:2" x14ac:dyDescent="0.15">
      <c r="A1085" s="1">
        <v>27421</v>
      </c>
      <c r="B1085" s="1">
        <v>269</v>
      </c>
    </row>
    <row r="1086" spans="1:2" x14ac:dyDescent="0.15">
      <c r="A1086" s="1">
        <v>28071</v>
      </c>
      <c r="B1086" s="1">
        <v>269</v>
      </c>
    </row>
    <row r="1087" spans="1:2" x14ac:dyDescent="0.15">
      <c r="A1087" s="1">
        <v>40059</v>
      </c>
      <c r="B1087" s="1">
        <v>269</v>
      </c>
    </row>
    <row r="1088" spans="1:2" x14ac:dyDescent="0.15">
      <c r="A1088" s="1">
        <v>59686</v>
      </c>
      <c r="B1088" s="1">
        <v>269</v>
      </c>
    </row>
    <row r="1089" spans="1:2" x14ac:dyDescent="0.15">
      <c r="A1089" s="1">
        <v>37040</v>
      </c>
      <c r="B1089" s="1">
        <v>268</v>
      </c>
    </row>
    <row r="1090" spans="1:2" x14ac:dyDescent="0.15">
      <c r="A1090" s="1">
        <v>44159</v>
      </c>
      <c r="B1090" s="1">
        <v>268</v>
      </c>
    </row>
    <row r="1091" spans="1:2" x14ac:dyDescent="0.15">
      <c r="A1091" s="1">
        <v>50300</v>
      </c>
      <c r="B1091" s="1">
        <v>265</v>
      </c>
    </row>
    <row r="1092" spans="1:2" x14ac:dyDescent="0.15">
      <c r="A1092" s="1">
        <v>36864</v>
      </c>
      <c r="B1092" s="1">
        <v>265</v>
      </c>
    </row>
    <row r="1093" spans="1:2" x14ac:dyDescent="0.15">
      <c r="A1093" s="1">
        <v>23331</v>
      </c>
      <c r="B1093" s="1">
        <v>264</v>
      </c>
    </row>
    <row r="1094" spans="1:2" x14ac:dyDescent="0.15">
      <c r="A1094" s="1">
        <v>67506</v>
      </c>
      <c r="B1094" s="1">
        <v>264</v>
      </c>
    </row>
    <row r="1095" spans="1:2" x14ac:dyDescent="0.15">
      <c r="A1095" s="1">
        <v>44989</v>
      </c>
      <c r="B1095" s="1">
        <v>263</v>
      </c>
    </row>
    <row r="1096" spans="1:2" x14ac:dyDescent="0.15">
      <c r="A1096" s="1">
        <v>39660</v>
      </c>
      <c r="B1096" s="1">
        <v>263</v>
      </c>
    </row>
    <row r="1097" spans="1:2" x14ac:dyDescent="0.15">
      <c r="A1097" s="1">
        <v>68805</v>
      </c>
      <c r="B1097" s="1">
        <v>263</v>
      </c>
    </row>
    <row r="1098" spans="1:2" x14ac:dyDescent="0.15">
      <c r="A1098" s="1">
        <v>65808</v>
      </c>
      <c r="B1098" s="1">
        <v>262</v>
      </c>
    </row>
    <row r="1099" spans="1:2" x14ac:dyDescent="0.15">
      <c r="A1099" s="1">
        <v>40049</v>
      </c>
      <c r="B1099" s="1">
        <v>262</v>
      </c>
    </row>
    <row r="1100" spans="1:2" x14ac:dyDescent="0.15">
      <c r="A1100" s="1">
        <v>59060</v>
      </c>
      <c r="B1100" s="1">
        <v>262</v>
      </c>
    </row>
    <row r="1101" spans="1:2" x14ac:dyDescent="0.15">
      <c r="A1101" s="1">
        <v>43057</v>
      </c>
      <c r="B1101" s="1">
        <v>261</v>
      </c>
    </row>
    <row r="1102" spans="1:2" x14ac:dyDescent="0.15">
      <c r="A1102" s="1">
        <v>44267</v>
      </c>
      <c r="B1102" s="1">
        <v>261</v>
      </c>
    </row>
    <row r="1103" spans="1:2" x14ac:dyDescent="0.15">
      <c r="A1103" s="1">
        <v>44375</v>
      </c>
      <c r="B1103" s="1">
        <v>260</v>
      </c>
    </row>
    <row r="1104" spans="1:2" x14ac:dyDescent="0.15">
      <c r="A1104" s="1">
        <v>33955</v>
      </c>
      <c r="B1104" s="1">
        <v>260</v>
      </c>
    </row>
    <row r="1105" spans="1:2" x14ac:dyDescent="0.15">
      <c r="A1105" s="1">
        <v>48195</v>
      </c>
      <c r="B1105" s="1">
        <v>260</v>
      </c>
    </row>
    <row r="1106" spans="1:2" x14ac:dyDescent="0.15">
      <c r="A1106" s="1">
        <v>64413</v>
      </c>
      <c r="B1106" s="1">
        <v>259</v>
      </c>
    </row>
    <row r="1107" spans="1:2" x14ac:dyDescent="0.15">
      <c r="A1107" s="1">
        <v>68274</v>
      </c>
      <c r="B1107" s="1">
        <v>259</v>
      </c>
    </row>
    <row r="1108" spans="1:2" x14ac:dyDescent="0.15">
      <c r="A1108" s="1">
        <v>52034</v>
      </c>
      <c r="B1108" s="1">
        <v>259</v>
      </c>
    </row>
    <row r="1109" spans="1:2" x14ac:dyDescent="0.15">
      <c r="A1109" s="1">
        <v>46610</v>
      </c>
      <c r="B1109" s="1">
        <v>259</v>
      </c>
    </row>
    <row r="1110" spans="1:2" x14ac:dyDescent="0.15">
      <c r="A1110" s="1">
        <v>52117</v>
      </c>
      <c r="B1110" s="1">
        <v>259</v>
      </c>
    </row>
    <row r="1111" spans="1:2" x14ac:dyDescent="0.15">
      <c r="A1111" s="1">
        <v>51267</v>
      </c>
      <c r="B1111" s="1">
        <v>258</v>
      </c>
    </row>
    <row r="1112" spans="1:2" x14ac:dyDescent="0.15">
      <c r="A1112" s="1">
        <v>49166</v>
      </c>
      <c r="B1112" s="1">
        <v>258</v>
      </c>
    </row>
    <row r="1113" spans="1:2" x14ac:dyDescent="0.15">
      <c r="A1113" s="1">
        <v>44602</v>
      </c>
      <c r="B1113" s="1">
        <v>258</v>
      </c>
    </row>
    <row r="1114" spans="1:2" x14ac:dyDescent="0.15">
      <c r="A1114" s="1">
        <v>36930</v>
      </c>
      <c r="B1114" s="1">
        <v>258</v>
      </c>
    </row>
    <row r="1115" spans="1:2" x14ac:dyDescent="0.15">
      <c r="A1115" s="1">
        <v>53083</v>
      </c>
      <c r="B1115" s="1">
        <v>258</v>
      </c>
    </row>
    <row r="1116" spans="1:2" x14ac:dyDescent="0.15">
      <c r="A1116" s="1">
        <v>49413</v>
      </c>
      <c r="B1116" s="1">
        <v>258</v>
      </c>
    </row>
    <row r="1117" spans="1:2" x14ac:dyDescent="0.15">
      <c r="A1117" s="1">
        <v>52332</v>
      </c>
      <c r="B1117" s="1">
        <v>257</v>
      </c>
    </row>
    <row r="1118" spans="1:2" x14ac:dyDescent="0.15">
      <c r="A1118" s="1">
        <v>53187</v>
      </c>
      <c r="B1118" s="1">
        <v>257</v>
      </c>
    </row>
    <row r="1119" spans="1:2" x14ac:dyDescent="0.15">
      <c r="A1119" s="1">
        <v>54222</v>
      </c>
      <c r="B1119" s="1">
        <v>257</v>
      </c>
    </row>
    <row r="1120" spans="1:2" x14ac:dyDescent="0.15">
      <c r="A1120" s="1">
        <v>28973</v>
      </c>
      <c r="B1120" s="1">
        <v>257</v>
      </c>
    </row>
    <row r="1121" spans="1:2" x14ac:dyDescent="0.15">
      <c r="A1121" s="1">
        <v>41551</v>
      </c>
      <c r="B1121" s="1">
        <v>256</v>
      </c>
    </row>
    <row r="1122" spans="1:2" x14ac:dyDescent="0.15">
      <c r="A1122" s="1">
        <v>45006</v>
      </c>
      <c r="B1122" s="1">
        <v>256</v>
      </c>
    </row>
    <row r="1123" spans="1:2" x14ac:dyDescent="0.15">
      <c r="A1123" s="1">
        <v>38201</v>
      </c>
      <c r="B1123" s="1">
        <v>256</v>
      </c>
    </row>
    <row r="1124" spans="1:2" x14ac:dyDescent="0.15">
      <c r="A1124" s="1">
        <v>61482</v>
      </c>
      <c r="B1124" s="1">
        <v>256</v>
      </c>
    </row>
    <row r="1125" spans="1:2" x14ac:dyDescent="0.15">
      <c r="A1125" s="1">
        <v>42557</v>
      </c>
      <c r="B1125" s="1">
        <v>255</v>
      </c>
    </row>
    <row r="1126" spans="1:2" x14ac:dyDescent="0.15">
      <c r="A1126" s="1">
        <v>43776</v>
      </c>
      <c r="B1126" s="1">
        <v>255</v>
      </c>
    </row>
    <row r="1127" spans="1:2" x14ac:dyDescent="0.15">
      <c r="A1127" s="1">
        <v>37929</v>
      </c>
      <c r="B1127" s="1">
        <v>255</v>
      </c>
    </row>
    <row r="1128" spans="1:2" x14ac:dyDescent="0.15">
      <c r="A1128" s="1">
        <v>47743</v>
      </c>
      <c r="B1128" s="1">
        <v>255</v>
      </c>
    </row>
    <row r="1129" spans="1:2" x14ac:dyDescent="0.15">
      <c r="A1129" s="1">
        <v>44377</v>
      </c>
      <c r="B1129" s="1">
        <v>254</v>
      </c>
    </row>
    <row r="1130" spans="1:2" x14ac:dyDescent="0.15">
      <c r="A1130" s="1">
        <v>45072</v>
      </c>
      <c r="B1130" s="1">
        <v>254</v>
      </c>
    </row>
    <row r="1131" spans="1:2" x14ac:dyDescent="0.15">
      <c r="A1131" s="1">
        <v>58917</v>
      </c>
      <c r="B1131" s="1">
        <v>254</v>
      </c>
    </row>
    <row r="1132" spans="1:2" x14ac:dyDescent="0.15">
      <c r="A1132" s="1">
        <v>53761</v>
      </c>
      <c r="B1132" s="1">
        <v>254</v>
      </c>
    </row>
    <row r="1133" spans="1:2" x14ac:dyDescent="0.15">
      <c r="A1133" s="1">
        <v>60544</v>
      </c>
      <c r="B1133" s="1">
        <v>254</v>
      </c>
    </row>
    <row r="1134" spans="1:2" x14ac:dyDescent="0.15">
      <c r="A1134" s="1">
        <v>42873</v>
      </c>
      <c r="B1134" s="1">
        <v>254</v>
      </c>
    </row>
    <row r="1135" spans="1:2" x14ac:dyDescent="0.15">
      <c r="A1135" s="1">
        <v>53312</v>
      </c>
      <c r="B1135" s="1">
        <v>253</v>
      </c>
    </row>
    <row r="1136" spans="1:2" x14ac:dyDescent="0.15">
      <c r="A1136" s="1">
        <v>30168</v>
      </c>
      <c r="B1136" s="1">
        <v>252</v>
      </c>
    </row>
    <row r="1137" spans="1:2" x14ac:dyDescent="0.15">
      <c r="A1137" s="1">
        <v>42586</v>
      </c>
      <c r="B1137" s="1">
        <v>252</v>
      </c>
    </row>
    <row r="1138" spans="1:2" x14ac:dyDescent="0.15">
      <c r="A1138" s="1">
        <v>46231</v>
      </c>
      <c r="B1138" s="1">
        <v>251</v>
      </c>
    </row>
    <row r="1139" spans="1:2" x14ac:dyDescent="0.15">
      <c r="A1139" s="1">
        <v>46097</v>
      </c>
      <c r="B1139" s="1">
        <v>233</v>
      </c>
    </row>
    <row r="1140" spans="1:2" x14ac:dyDescent="0.15">
      <c r="A1140" s="1">
        <v>30507</v>
      </c>
      <c r="B1140" s="1">
        <v>233</v>
      </c>
    </row>
    <row r="1141" spans="1:2" x14ac:dyDescent="0.15">
      <c r="A1141" s="1">
        <v>38620</v>
      </c>
      <c r="B1141" s="1">
        <v>229</v>
      </c>
    </row>
    <row r="1142" spans="1:2" x14ac:dyDescent="0.15">
      <c r="A1142" s="1">
        <v>50272</v>
      </c>
      <c r="B1142" s="1">
        <v>229</v>
      </c>
    </row>
    <row r="1143" spans="1:2" x14ac:dyDescent="0.15">
      <c r="A1143" s="1">
        <v>27573</v>
      </c>
      <c r="B1143" s="1">
        <v>229</v>
      </c>
    </row>
    <row r="1144" spans="1:2" x14ac:dyDescent="0.15">
      <c r="A1144" s="1">
        <v>26877</v>
      </c>
      <c r="B1144" s="1">
        <v>228</v>
      </c>
    </row>
    <row r="1145" spans="1:2" x14ac:dyDescent="0.15">
      <c r="A1145" s="1">
        <v>42670</v>
      </c>
      <c r="B1145" s="1">
        <v>226</v>
      </c>
    </row>
    <row r="1146" spans="1:2" x14ac:dyDescent="0.15">
      <c r="A1146" s="1">
        <v>57247</v>
      </c>
      <c r="B1146" s="1">
        <v>226</v>
      </c>
    </row>
    <row r="1147" spans="1:2" x14ac:dyDescent="0.15">
      <c r="A1147" s="1">
        <v>43462</v>
      </c>
      <c r="B1147" s="1">
        <v>225</v>
      </c>
    </row>
    <row r="1148" spans="1:2" x14ac:dyDescent="0.15">
      <c r="A1148" s="1">
        <v>52157</v>
      </c>
      <c r="B1148" s="1">
        <v>225</v>
      </c>
    </row>
    <row r="1149" spans="1:2" x14ac:dyDescent="0.15">
      <c r="A1149" s="1">
        <v>54165</v>
      </c>
      <c r="B1149" s="1">
        <v>225</v>
      </c>
    </row>
    <row r="1150" spans="1:2" x14ac:dyDescent="0.15">
      <c r="A1150" s="1">
        <v>46463</v>
      </c>
      <c r="B1150" s="1">
        <v>224</v>
      </c>
    </row>
    <row r="1151" spans="1:2" x14ac:dyDescent="0.15">
      <c r="A1151" s="1">
        <v>54197</v>
      </c>
      <c r="B1151" s="1">
        <v>224</v>
      </c>
    </row>
    <row r="1152" spans="1:2" x14ac:dyDescent="0.15">
      <c r="A1152" s="1">
        <v>43140</v>
      </c>
      <c r="B1152" s="1">
        <v>224</v>
      </c>
    </row>
    <row r="1153" spans="1:2" x14ac:dyDescent="0.15">
      <c r="A1153" s="1">
        <v>51766</v>
      </c>
      <c r="B1153" s="1">
        <v>224</v>
      </c>
    </row>
    <row r="1154" spans="1:2" x14ac:dyDescent="0.15">
      <c r="A1154" s="1">
        <v>54549</v>
      </c>
      <c r="B1154" s="1">
        <v>224</v>
      </c>
    </row>
    <row r="1155" spans="1:2" x14ac:dyDescent="0.15">
      <c r="A1155" s="1">
        <v>32233</v>
      </c>
      <c r="B1155" s="1">
        <v>224</v>
      </c>
    </row>
    <row r="1156" spans="1:2" x14ac:dyDescent="0.15">
      <c r="A1156" s="1">
        <v>54603</v>
      </c>
      <c r="B1156" s="1">
        <v>223</v>
      </c>
    </row>
    <row r="1157" spans="1:2" x14ac:dyDescent="0.15">
      <c r="A1157" s="1">
        <v>65316</v>
      </c>
      <c r="B1157" s="1">
        <v>222</v>
      </c>
    </row>
    <row r="1158" spans="1:2" x14ac:dyDescent="0.15">
      <c r="A1158" s="1">
        <v>46904</v>
      </c>
      <c r="B1158" s="1">
        <v>222</v>
      </c>
    </row>
    <row r="1159" spans="1:2" x14ac:dyDescent="0.15">
      <c r="A1159" s="1">
        <v>39747</v>
      </c>
      <c r="B1159" s="1">
        <v>221</v>
      </c>
    </row>
    <row r="1160" spans="1:2" x14ac:dyDescent="0.15">
      <c r="A1160" s="1">
        <v>47353</v>
      </c>
      <c r="B1160" s="1">
        <v>221</v>
      </c>
    </row>
    <row r="1161" spans="1:2" x14ac:dyDescent="0.15">
      <c r="A1161" s="1">
        <v>56721</v>
      </c>
      <c r="B1161" s="1">
        <v>221</v>
      </c>
    </row>
    <row r="1162" spans="1:2" x14ac:dyDescent="0.15">
      <c r="A1162" s="1">
        <v>69139</v>
      </c>
      <c r="B1162" s="1">
        <v>221</v>
      </c>
    </row>
    <row r="1163" spans="1:2" x14ac:dyDescent="0.15">
      <c r="A1163" s="1">
        <v>67267</v>
      </c>
      <c r="B1163" s="1">
        <v>221</v>
      </c>
    </row>
    <row r="1164" spans="1:2" x14ac:dyDescent="0.15">
      <c r="A1164" s="1">
        <v>47175</v>
      </c>
      <c r="B1164" s="1">
        <v>221</v>
      </c>
    </row>
    <row r="1165" spans="1:2" x14ac:dyDescent="0.15">
      <c r="A1165" s="1">
        <v>49160</v>
      </c>
      <c r="B1165" s="1">
        <v>221</v>
      </c>
    </row>
    <row r="1166" spans="1:2" x14ac:dyDescent="0.15">
      <c r="A1166" s="1">
        <v>57113</v>
      </c>
      <c r="B1166" s="1">
        <v>221</v>
      </c>
    </row>
    <row r="1167" spans="1:2" x14ac:dyDescent="0.15">
      <c r="A1167" s="1">
        <v>40590</v>
      </c>
      <c r="B1167" s="1">
        <v>221</v>
      </c>
    </row>
    <row r="1168" spans="1:2" x14ac:dyDescent="0.15">
      <c r="A1168" s="1">
        <v>57338</v>
      </c>
      <c r="B1168" s="1">
        <v>220</v>
      </c>
    </row>
    <row r="1169" spans="1:2" x14ac:dyDescent="0.15">
      <c r="A1169" s="1">
        <v>42731</v>
      </c>
      <c r="B1169" s="1">
        <v>220</v>
      </c>
    </row>
    <row r="1170" spans="1:2" x14ac:dyDescent="0.15">
      <c r="A1170" s="1">
        <v>54252</v>
      </c>
      <c r="B1170" s="1">
        <v>220</v>
      </c>
    </row>
    <row r="1171" spans="1:2" x14ac:dyDescent="0.15">
      <c r="A1171" s="1">
        <v>44551</v>
      </c>
      <c r="B1171" s="1">
        <v>219</v>
      </c>
    </row>
    <row r="1172" spans="1:2" x14ac:dyDescent="0.15">
      <c r="A1172" s="1">
        <v>34968</v>
      </c>
      <c r="B1172" s="1">
        <v>219</v>
      </c>
    </row>
    <row r="1173" spans="1:2" x14ac:dyDescent="0.15">
      <c r="A1173" s="1">
        <v>42207</v>
      </c>
      <c r="B1173" s="1">
        <v>219</v>
      </c>
    </row>
    <row r="1174" spans="1:2" x14ac:dyDescent="0.15">
      <c r="A1174" s="1">
        <v>48150</v>
      </c>
      <c r="B1174" s="1">
        <v>219</v>
      </c>
    </row>
    <row r="1175" spans="1:2" x14ac:dyDescent="0.15">
      <c r="A1175" s="1">
        <v>61905</v>
      </c>
      <c r="B1175" s="1">
        <v>218</v>
      </c>
    </row>
    <row r="1176" spans="1:2" x14ac:dyDescent="0.15">
      <c r="A1176" s="1">
        <v>54198</v>
      </c>
      <c r="B1176" s="1">
        <v>218</v>
      </c>
    </row>
    <row r="1177" spans="1:2" x14ac:dyDescent="0.15">
      <c r="A1177" s="1">
        <v>62499</v>
      </c>
      <c r="B1177" s="1">
        <v>218</v>
      </c>
    </row>
    <row r="1178" spans="1:2" x14ac:dyDescent="0.15">
      <c r="A1178" s="1">
        <v>53359</v>
      </c>
      <c r="B1178" s="1">
        <v>216</v>
      </c>
    </row>
    <row r="1179" spans="1:2" x14ac:dyDescent="0.15">
      <c r="A1179" s="1">
        <v>48178</v>
      </c>
      <c r="B1179" s="1">
        <v>216</v>
      </c>
    </row>
    <row r="1180" spans="1:2" x14ac:dyDescent="0.15">
      <c r="A1180" s="1">
        <v>55282</v>
      </c>
      <c r="B1180" s="1">
        <v>216</v>
      </c>
    </row>
    <row r="1181" spans="1:2" x14ac:dyDescent="0.15">
      <c r="A1181" s="1">
        <v>38946</v>
      </c>
      <c r="B1181" s="1">
        <v>216</v>
      </c>
    </row>
    <row r="1182" spans="1:2" x14ac:dyDescent="0.15">
      <c r="A1182" s="1">
        <v>50183</v>
      </c>
      <c r="B1182" s="1">
        <v>216</v>
      </c>
    </row>
    <row r="1183" spans="1:2" x14ac:dyDescent="0.15">
      <c r="A1183" s="1">
        <v>40344</v>
      </c>
      <c r="B1183" s="1">
        <v>216</v>
      </c>
    </row>
    <row r="1184" spans="1:2" x14ac:dyDescent="0.15">
      <c r="A1184" s="1">
        <v>38808</v>
      </c>
      <c r="B1184" s="1">
        <v>216</v>
      </c>
    </row>
    <row r="1185" spans="1:2" x14ac:dyDescent="0.15">
      <c r="A1185" s="1">
        <v>45207</v>
      </c>
      <c r="B1185" s="1">
        <v>213</v>
      </c>
    </row>
    <row r="1186" spans="1:2" x14ac:dyDescent="0.15">
      <c r="A1186" s="1">
        <v>41883</v>
      </c>
      <c r="B1186" s="1">
        <v>196</v>
      </c>
    </row>
    <row r="1187" spans="1:2" x14ac:dyDescent="0.15">
      <c r="A1187" s="1">
        <v>54414</v>
      </c>
      <c r="B1187" s="1">
        <v>193</v>
      </c>
    </row>
    <row r="1188" spans="1:2" x14ac:dyDescent="0.15">
      <c r="A1188" s="1">
        <v>28457</v>
      </c>
      <c r="B1188" s="1">
        <v>191</v>
      </c>
    </row>
    <row r="1189" spans="1:2" x14ac:dyDescent="0.15">
      <c r="A1189" s="1">
        <v>42315</v>
      </c>
      <c r="B1189" s="1">
        <v>190</v>
      </c>
    </row>
    <row r="1190" spans="1:2" x14ac:dyDescent="0.15">
      <c r="A1190" s="1">
        <v>34916</v>
      </c>
      <c r="B1190" s="1">
        <v>189</v>
      </c>
    </row>
    <row r="1191" spans="1:2" x14ac:dyDescent="0.15">
      <c r="A1191" s="1">
        <v>28769</v>
      </c>
      <c r="B1191" s="1">
        <v>188</v>
      </c>
    </row>
    <row r="1192" spans="1:2" x14ac:dyDescent="0.15">
      <c r="A1192" s="1">
        <v>34074</v>
      </c>
      <c r="B1192" s="1">
        <v>188</v>
      </c>
    </row>
    <row r="1193" spans="1:2" x14ac:dyDescent="0.15">
      <c r="A1193" s="1">
        <v>54178</v>
      </c>
      <c r="B1193" s="1">
        <v>187</v>
      </c>
    </row>
    <row r="1194" spans="1:2" x14ac:dyDescent="0.15">
      <c r="A1194" s="1">
        <v>45921</v>
      </c>
      <c r="B1194" s="1">
        <v>187</v>
      </c>
    </row>
    <row r="1195" spans="1:2" x14ac:dyDescent="0.15">
      <c r="A1195" s="1">
        <v>26490</v>
      </c>
      <c r="B1195" s="1">
        <v>185</v>
      </c>
    </row>
    <row r="1196" spans="1:2" x14ac:dyDescent="0.15">
      <c r="A1196" s="1">
        <v>51012</v>
      </c>
      <c r="B1196" s="1">
        <v>185</v>
      </c>
    </row>
    <row r="1197" spans="1:2" x14ac:dyDescent="0.15">
      <c r="A1197" s="1">
        <v>39665</v>
      </c>
      <c r="B1197" s="1">
        <v>185</v>
      </c>
    </row>
    <row r="1198" spans="1:2" x14ac:dyDescent="0.15">
      <c r="A1198" s="1">
        <v>48186</v>
      </c>
      <c r="B1198" s="1">
        <v>185</v>
      </c>
    </row>
    <row r="1199" spans="1:2" x14ac:dyDescent="0.15">
      <c r="A1199" s="1">
        <v>51650</v>
      </c>
      <c r="B1199" s="1">
        <v>184</v>
      </c>
    </row>
    <row r="1200" spans="1:2" x14ac:dyDescent="0.15">
      <c r="A1200" s="1">
        <v>46390</v>
      </c>
      <c r="B1200" s="1">
        <v>184</v>
      </c>
    </row>
    <row r="1201" spans="1:2" x14ac:dyDescent="0.15">
      <c r="A1201" s="1">
        <v>46053</v>
      </c>
      <c r="B1201" s="1">
        <v>184</v>
      </c>
    </row>
    <row r="1202" spans="1:2" x14ac:dyDescent="0.15">
      <c r="A1202" s="1">
        <v>46854</v>
      </c>
      <c r="B1202" s="1">
        <v>184</v>
      </c>
    </row>
    <row r="1203" spans="1:2" x14ac:dyDescent="0.15">
      <c r="A1203" s="1">
        <v>44911</v>
      </c>
      <c r="B1203" s="1">
        <v>184</v>
      </c>
    </row>
    <row r="1204" spans="1:2" x14ac:dyDescent="0.15">
      <c r="A1204" s="1">
        <v>48726</v>
      </c>
      <c r="B1204" s="1">
        <v>183</v>
      </c>
    </row>
    <row r="1205" spans="1:2" x14ac:dyDescent="0.15">
      <c r="A1205" s="1">
        <v>54137</v>
      </c>
      <c r="B1205" s="1">
        <v>183</v>
      </c>
    </row>
    <row r="1206" spans="1:2" x14ac:dyDescent="0.15">
      <c r="A1206" s="1">
        <v>30732</v>
      </c>
      <c r="B1206" s="1">
        <v>182</v>
      </c>
    </row>
    <row r="1207" spans="1:2" x14ac:dyDescent="0.15">
      <c r="A1207" s="1">
        <v>42618</v>
      </c>
      <c r="B1207" s="1">
        <v>182</v>
      </c>
    </row>
    <row r="1208" spans="1:2" x14ac:dyDescent="0.15">
      <c r="A1208" s="1">
        <v>43638</v>
      </c>
      <c r="B1208" s="1">
        <v>182</v>
      </c>
    </row>
    <row r="1209" spans="1:2" x14ac:dyDescent="0.15">
      <c r="A1209" s="1">
        <v>41335</v>
      </c>
      <c r="B1209" s="1">
        <v>182</v>
      </c>
    </row>
    <row r="1210" spans="1:2" x14ac:dyDescent="0.15">
      <c r="A1210" s="1">
        <v>44421</v>
      </c>
      <c r="B1210" s="1">
        <v>182</v>
      </c>
    </row>
    <row r="1211" spans="1:2" x14ac:dyDescent="0.15">
      <c r="A1211" s="1">
        <v>45579</v>
      </c>
      <c r="B1211" s="1">
        <v>182</v>
      </c>
    </row>
    <row r="1212" spans="1:2" x14ac:dyDescent="0.15">
      <c r="A1212" s="1">
        <v>44392</v>
      </c>
      <c r="B1212" s="1">
        <v>182</v>
      </c>
    </row>
    <row r="1213" spans="1:2" x14ac:dyDescent="0.15">
      <c r="A1213" s="1">
        <v>49980</v>
      </c>
      <c r="B1213" s="1">
        <v>181</v>
      </c>
    </row>
    <row r="1214" spans="1:2" x14ac:dyDescent="0.15">
      <c r="A1214" s="1">
        <v>51412</v>
      </c>
      <c r="B1214" s="1">
        <v>181</v>
      </c>
    </row>
    <row r="1215" spans="1:2" x14ac:dyDescent="0.15">
      <c r="A1215" s="1">
        <v>51315</v>
      </c>
      <c r="B1215" s="1">
        <v>181</v>
      </c>
    </row>
    <row r="1216" spans="1:2" x14ac:dyDescent="0.15">
      <c r="A1216" s="1">
        <v>41020</v>
      </c>
      <c r="B1216" s="1">
        <v>181</v>
      </c>
    </row>
    <row r="1217" spans="1:2" x14ac:dyDescent="0.15">
      <c r="A1217" s="1">
        <v>35893</v>
      </c>
      <c r="B1217" s="1">
        <v>181</v>
      </c>
    </row>
    <row r="1218" spans="1:2" x14ac:dyDescent="0.15">
      <c r="A1218" s="1">
        <v>49096</v>
      </c>
      <c r="B1218" s="1">
        <v>180</v>
      </c>
    </row>
    <row r="1219" spans="1:2" x14ac:dyDescent="0.15">
      <c r="A1219" s="1">
        <v>54690</v>
      </c>
      <c r="B1219" s="1">
        <v>180</v>
      </c>
    </row>
    <row r="1220" spans="1:2" x14ac:dyDescent="0.15">
      <c r="A1220" s="1">
        <v>43020</v>
      </c>
      <c r="B1220" s="1">
        <v>180</v>
      </c>
    </row>
    <row r="1221" spans="1:2" x14ac:dyDescent="0.15">
      <c r="A1221" s="1">
        <v>62637</v>
      </c>
      <c r="B1221" s="1">
        <v>180</v>
      </c>
    </row>
    <row r="1222" spans="1:2" x14ac:dyDescent="0.15">
      <c r="A1222" s="1">
        <v>35688</v>
      </c>
      <c r="B1222" s="1">
        <v>179</v>
      </c>
    </row>
    <row r="1223" spans="1:2" x14ac:dyDescent="0.15">
      <c r="A1223" s="1">
        <v>8028</v>
      </c>
      <c r="B1223" s="1">
        <v>176</v>
      </c>
    </row>
    <row r="1224" spans="1:2" x14ac:dyDescent="0.15">
      <c r="A1224" s="1">
        <v>42395</v>
      </c>
      <c r="B1224" s="1">
        <v>157</v>
      </c>
    </row>
    <row r="1225" spans="1:2" x14ac:dyDescent="0.15">
      <c r="A1225" s="1">
        <v>40442</v>
      </c>
      <c r="B1225" s="1">
        <v>156</v>
      </c>
    </row>
    <row r="1226" spans="1:2" x14ac:dyDescent="0.15">
      <c r="A1226" s="1">
        <v>24279</v>
      </c>
      <c r="B1226" s="1">
        <v>155</v>
      </c>
    </row>
    <row r="1227" spans="1:2" x14ac:dyDescent="0.15">
      <c r="A1227" s="1">
        <v>43824</v>
      </c>
      <c r="B1227" s="1">
        <v>154</v>
      </c>
    </row>
    <row r="1228" spans="1:2" x14ac:dyDescent="0.15">
      <c r="A1228" s="1">
        <v>34412</v>
      </c>
      <c r="B1228" s="1">
        <v>154</v>
      </c>
    </row>
    <row r="1229" spans="1:2" x14ac:dyDescent="0.15">
      <c r="A1229" s="1">
        <v>36145</v>
      </c>
      <c r="B1229" s="1">
        <v>154</v>
      </c>
    </row>
    <row r="1230" spans="1:2" x14ac:dyDescent="0.15">
      <c r="A1230" s="1">
        <v>38593</v>
      </c>
      <c r="B1230" s="1">
        <v>153</v>
      </c>
    </row>
    <row r="1231" spans="1:2" x14ac:dyDescent="0.15">
      <c r="A1231" s="1">
        <v>44051</v>
      </c>
      <c r="B1231" s="1">
        <v>153</v>
      </c>
    </row>
    <row r="1232" spans="1:2" x14ac:dyDescent="0.15">
      <c r="A1232" s="1">
        <v>39791</v>
      </c>
      <c r="B1232" s="1">
        <v>153</v>
      </c>
    </row>
    <row r="1233" spans="1:2" x14ac:dyDescent="0.15">
      <c r="A1233" s="1">
        <v>39146</v>
      </c>
      <c r="B1233" s="1">
        <v>153</v>
      </c>
    </row>
    <row r="1234" spans="1:2" x14ac:dyDescent="0.15">
      <c r="A1234" s="1">
        <v>56223</v>
      </c>
      <c r="B1234" s="1">
        <v>152</v>
      </c>
    </row>
    <row r="1235" spans="1:2" x14ac:dyDescent="0.15">
      <c r="A1235" s="1">
        <v>51287</v>
      </c>
      <c r="B1235" s="1">
        <v>152</v>
      </c>
    </row>
    <row r="1236" spans="1:2" x14ac:dyDescent="0.15">
      <c r="A1236" s="1">
        <v>54809</v>
      </c>
      <c r="B1236" s="1">
        <v>152</v>
      </c>
    </row>
    <row r="1237" spans="1:2" x14ac:dyDescent="0.15">
      <c r="A1237" s="1">
        <v>45503</v>
      </c>
      <c r="B1237" s="1">
        <v>152</v>
      </c>
    </row>
    <row r="1238" spans="1:2" x14ac:dyDescent="0.15">
      <c r="A1238" s="1">
        <v>55761</v>
      </c>
      <c r="B1238" s="1">
        <v>152</v>
      </c>
    </row>
    <row r="1239" spans="1:2" x14ac:dyDescent="0.15">
      <c r="A1239" s="1">
        <v>54809</v>
      </c>
      <c r="B1239" s="1">
        <v>152</v>
      </c>
    </row>
    <row r="1240" spans="1:2" x14ac:dyDescent="0.15">
      <c r="A1240" s="1">
        <v>47808</v>
      </c>
      <c r="B1240" s="1">
        <v>152</v>
      </c>
    </row>
    <row r="1241" spans="1:2" x14ac:dyDescent="0.15">
      <c r="A1241" s="1">
        <v>32313</v>
      </c>
      <c r="B1241" s="1">
        <v>152</v>
      </c>
    </row>
    <row r="1242" spans="1:2" x14ac:dyDescent="0.15">
      <c r="A1242" s="1">
        <v>31497</v>
      </c>
      <c r="B1242" s="1">
        <v>151</v>
      </c>
    </row>
    <row r="1243" spans="1:2" x14ac:dyDescent="0.15">
      <c r="A1243" s="1">
        <v>34380</v>
      </c>
      <c r="B1243" s="1">
        <v>151</v>
      </c>
    </row>
    <row r="1244" spans="1:2" x14ac:dyDescent="0.15">
      <c r="A1244" s="1">
        <v>52869</v>
      </c>
      <c r="B1244" s="1">
        <v>151</v>
      </c>
    </row>
    <row r="1245" spans="1:2" x14ac:dyDescent="0.15">
      <c r="A1245" s="1">
        <v>39763</v>
      </c>
      <c r="B1245" s="1">
        <v>151</v>
      </c>
    </row>
    <row r="1246" spans="1:2" x14ac:dyDescent="0.15">
      <c r="A1246" s="1">
        <v>51141</v>
      </c>
      <c r="B1246" s="1">
        <v>151</v>
      </c>
    </row>
    <row r="1247" spans="1:2" x14ac:dyDescent="0.15">
      <c r="A1247" s="1">
        <v>53154</v>
      </c>
      <c r="B1247" s="1">
        <v>151</v>
      </c>
    </row>
    <row r="1248" spans="1:2" x14ac:dyDescent="0.15">
      <c r="A1248" s="1">
        <v>42011</v>
      </c>
      <c r="B1248" s="1">
        <v>150</v>
      </c>
    </row>
    <row r="1249" spans="1:2" x14ac:dyDescent="0.15">
      <c r="A1249" s="1">
        <v>61278</v>
      </c>
      <c r="B1249" s="1">
        <v>150</v>
      </c>
    </row>
    <row r="1250" spans="1:2" x14ac:dyDescent="0.15">
      <c r="A1250" s="1">
        <v>62307</v>
      </c>
      <c r="B1250" s="1">
        <v>150</v>
      </c>
    </row>
    <row r="1251" spans="1:2" x14ac:dyDescent="0.15">
      <c r="A1251" s="1">
        <v>60033</v>
      </c>
      <c r="B1251" s="1">
        <v>150</v>
      </c>
    </row>
    <row r="1252" spans="1:2" x14ac:dyDescent="0.15">
      <c r="A1252" s="1">
        <v>38175</v>
      </c>
      <c r="B1252" s="1">
        <v>150</v>
      </c>
    </row>
    <row r="1253" spans="1:2" x14ac:dyDescent="0.15">
      <c r="A1253" s="1">
        <v>35641</v>
      </c>
      <c r="B1253" s="1">
        <v>150</v>
      </c>
    </row>
    <row r="1254" spans="1:2" x14ac:dyDescent="0.15">
      <c r="A1254" s="1">
        <v>29999</v>
      </c>
      <c r="B1254" s="1">
        <v>149</v>
      </c>
    </row>
    <row r="1255" spans="1:2" x14ac:dyDescent="0.15">
      <c r="A1255" s="1">
        <v>54342</v>
      </c>
      <c r="B1255" s="1">
        <v>149</v>
      </c>
    </row>
    <row r="1256" spans="1:2" x14ac:dyDescent="0.15">
      <c r="A1256" s="1">
        <v>43300</v>
      </c>
      <c r="B1256" s="1">
        <v>149</v>
      </c>
    </row>
    <row r="1257" spans="1:2" x14ac:dyDescent="0.15">
      <c r="A1257" s="1">
        <v>21888</v>
      </c>
      <c r="B1257" s="1">
        <v>149</v>
      </c>
    </row>
    <row r="1258" spans="1:2" x14ac:dyDescent="0.15">
      <c r="A1258" s="1">
        <v>59385</v>
      </c>
      <c r="B1258" s="1">
        <v>149</v>
      </c>
    </row>
    <row r="1259" spans="1:2" x14ac:dyDescent="0.15">
      <c r="A1259" s="1">
        <v>24570</v>
      </c>
      <c r="B1259" s="1">
        <v>149</v>
      </c>
    </row>
    <row r="1260" spans="1:2" x14ac:dyDescent="0.15">
      <c r="A1260" s="1">
        <v>41713</v>
      </c>
      <c r="B1260" s="1">
        <v>149</v>
      </c>
    </row>
    <row r="1261" spans="1:2" x14ac:dyDescent="0.15">
      <c r="A1261" s="1">
        <v>29760</v>
      </c>
      <c r="B1261" s="1">
        <v>148</v>
      </c>
    </row>
    <row r="1262" spans="1:2" x14ac:dyDescent="0.15">
      <c r="A1262" s="1">
        <v>55375</v>
      </c>
      <c r="B1262" s="1">
        <v>148</v>
      </c>
    </row>
    <row r="1263" spans="1:2" x14ac:dyDescent="0.15">
      <c r="A1263" s="1">
        <v>33629</v>
      </c>
      <c r="B1263" s="1">
        <v>148</v>
      </c>
    </row>
    <row r="1264" spans="1:2" x14ac:dyDescent="0.15">
      <c r="A1264" s="1">
        <v>46734</v>
      </c>
      <c r="B1264" s="1">
        <v>147</v>
      </c>
    </row>
    <row r="1265" spans="1:2" x14ac:dyDescent="0.15">
      <c r="A1265" s="1">
        <v>40233</v>
      </c>
      <c r="B1265" s="1">
        <v>147</v>
      </c>
    </row>
    <row r="1266" spans="1:2" x14ac:dyDescent="0.15">
      <c r="A1266" s="1">
        <v>37716</v>
      </c>
      <c r="B1266" s="1">
        <v>147</v>
      </c>
    </row>
    <row r="1267" spans="1:2" x14ac:dyDescent="0.15">
      <c r="A1267" s="1">
        <v>33454</v>
      </c>
      <c r="B1267" s="1">
        <v>146</v>
      </c>
    </row>
    <row r="1268" spans="1:2" x14ac:dyDescent="0.15">
      <c r="A1268" s="1">
        <v>36138</v>
      </c>
      <c r="B1268" s="1">
        <v>146</v>
      </c>
    </row>
    <row r="1269" spans="1:2" x14ac:dyDescent="0.15">
      <c r="A1269" s="1">
        <v>44213</v>
      </c>
      <c r="B1269" s="1">
        <v>145</v>
      </c>
    </row>
    <row r="1270" spans="1:2" x14ac:dyDescent="0.15">
      <c r="A1270" s="1">
        <v>50616</v>
      </c>
      <c r="B1270" s="1">
        <v>145</v>
      </c>
    </row>
    <row r="1271" spans="1:2" x14ac:dyDescent="0.15">
      <c r="A1271" s="1">
        <v>42373</v>
      </c>
      <c r="B1271" s="1">
        <v>144</v>
      </c>
    </row>
    <row r="1272" spans="1:2" x14ac:dyDescent="0.15">
      <c r="A1272" s="1">
        <v>27803</v>
      </c>
      <c r="B1272" s="1">
        <v>127</v>
      </c>
    </row>
    <row r="1273" spans="1:2" x14ac:dyDescent="0.15">
      <c r="A1273" s="1">
        <v>48526</v>
      </c>
      <c r="B1273" s="1">
        <v>126</v>
      </c>
    </row>
    <row r="1274" spans="1:2" x14ac:dyDescent="0.15">
      <c r="A1274" s="1">
        <v>6835</v>
      </c>
      <c r="B1274" s="1">
        <v>125</v>
      </c>
    </row>
    <row r="1275" spans="1:2" x14ac:dyDescent="0.15">
      <c r="A1275" s="1">
        <v>46524</v>
      </c>
      <c r="B1275" s="1">
        <v>125</v>
      </c>
    </row>
    <row r="1276" spans="1:2" x14ac:dyDescent="0.15">
      <c r="A1276" s="1">
        <v>25545</v>
      </c>
      <c r="B1276" s="1">
        <v>125</v>
      </c>
    </row>
    <row r="1277" spans="1:2" x14ac:dyDescent="0.15">
      <c r="A1277" s="1">
        <v>7144</v>
      </c>
      <c r="B1277" s="1">
        <v>125</v>
      </c>
    </row>
    <row r="1278" spans="1:2" x14ac:dyDescent="0.15">
      <c r="A1278" s="1">
        <v>22669</v>
      </c>
      <c r="B1278" s="1">
        <v>125</v>
      </c>
    </row>
    <row r="1279" spans="1:2" x14ac:dyDescent="0.15">
      <c r="A1279" s="1">
        <v>47850</v>
      </c>
      <c r="B1279" s="1">
        <v>124</v>
      </c>
    </row>
    <row r="1280" spans="1:2" x14ac:dyDescent="0.15">
      <c r="A1280" s="1">
        <v>38361</v>
      </c>
      <c r="B1280" s="1">
        <v>123</v>
      </c>
    </row>
    <row r="1281" spans="1:2" x14ac:dyDescent="0.15">
      <c r="A1281" s="1">
        <v>34838</v>
      </c>
      <c r="B1281" s="1">
        <v>123</v>
      </c>
    </row>
    <row r="1282" spans="1:2" x14ac:dyDescent="0.15">
      <c r="A1282" s="1">
        <v>45203</v>
      </c>
      <c r="B1282" s="1">
        <v>123</v>
      </c>
    </row>
    <row r="1283" spans="1:2" x14ac:dyDescent="0.15">
      <c r="A1283" s="1">
        <v>43322</v>
      </c>
      <c r="B1283" s="1">
        <v>123</v>
      </c>
    </row>
    <row r="1284" spans="1:2" x14ac:dyDescent="0.15">
      <c r="A1284" s="1">
        <v>46891</v>
      </c>
      <c r="B1284" s="1">
        <v>122</v>
      </c>
    </row>
    <row r="1285" spans="1:2" x14ac:dyDescent="0.15">
      <c r="A1285" s="1">
        <v>39898</v>
      </c>
      <c r="B1285" s="1">
        <v>122</v>
      </c>
    </row>
    <row r="1286" spans="1:2" x14ac:dyDescent="0.15">
      <c r="A1286" s="1">
        <v>56551</v>
      </c>
      <c r="B1286" s="1">
        <v>122</v>
      </c>
    </row>
    <row r="1287" spans="1:2" x14ac:dyDescent="0.15">
      <c r="A1287" s="1">
        <v>38360</v>
      </c>
      <c r="B1287" s="1">
        <v>121</v>
      </c>
    </row>
    <row r="1288" spans="1:2" x14ac:dyDescent="0.15">
      <c r="A1288" s="1">
        <v>50447</v>
      </c>
      <c r="B1288" s="1">
        <v>121</v>
      </c>
    </row>
    <row r="1289" spans="1:2" x14ac:dyDescent="0.15">
      <c r="A1289" s="1">
        <v>41411</v>
      </c>
      <c r="B1289" s="1">
        <v>121</v>
      </c>
    </row>
    <row r="1290" spans="1:2" x14ac:dyDescent="0.15">
      <c r="A1290" s="1">
        <v>50520</v>
      </c>
      <c r="B1290" s="1">
        <v>121</v>
      </c>
    </row>
    <row r="1291" spans="1:2" x14ac:dyDescent="0.15">
      <c r="A1291" s="1">
        <v>17117</v>
      </c>
      <c r="B1291" s="1">
        <v>121</v>
      </c>
    </row>
    <row r="1292" spans="1:2" x14ac:dyDescent="0.15">
      <c r="A1292" s="1">
        <v>39190</v>
      </c>
      <c r="B1292" s="1">
        <v>121</v>
      </c>
    </row>
    <row r="1293" spans="1:2" x14ac:dyDescent="0.15">
      <c r="A1293" s="1">
        <v>36957</v>
      </c>
      <c r="B1293" s="1">
        <v>121</v>
      </c>
    </row>
    <row r="1294" spans="1:2" x14ac:dyDescent="0.15">
      <c r="A1294" s="1">
        <v>34529</v>
      </c>
      <c r="B1294" s="1">
        <v>121</v>
      </c>
    </row>
    <row r="1295" spans="1:2" x14ac:dyDescent="0.15">
      <c r="A1295" s="1">
        <v>22419</v>
      </c>
      <c r="B1295" s="1">
        <v>120</v>
      </c>
    </row>
    <row r="1296" spans="1:2" x14ac:dyDescent="0.15">
      <c r="A1296" s="1">
        <v>61923</v>
      </c>
      <c r="B1296" s="1">
        <v>120</v>
      </c>
    </row>
    <row r="1297" spans="1:2" x14ac:dyDescent="0.15">
      <c r="A1297" s="1">
        <v>39922</v>
      </c>
      <c r="B1297" s="1">
        <v>120</v>
      </c>
    </row>
    <row r="1298" spans="1:2" x14ac:dyDescent="0.15">
      <c r="A1298" s="1">
        <v>36317</v>
      </c>
      <c r="B1298" s="1">
        <v>120</v>
      </c>
    </row>
    <row r="1299" spans="1:2" x14ac:dyDescent="0.15">
      <c r="A1299" s="1">
        <v>45576</v>
      </c>
      <c r="B1299" s="1">
        <v>120</v>
      </c>
    </row>
    <row r="1300" spans="1:2" x14ac:dyDescent="0.15">
      <c r="A1300" s="1">
        <v>42160</v>
      </c>
      <c r="B1300" s="1">
        <v>120</v>
      </c>
    </row>
    <row r="1301" spans="1:2" x14ac:dyDescent="0.15">
      <c r="A1301" s="1">
        <v>48877</v>
      </c>
      <c r="B1301" s="1">
        <v>120</v>
      </c>
    </row>
    <row r="1302" spans="1:2" x14ac:dyDescent="0.15">
      <c r="A1302" s="1">
        <v>49605</v>
      </c>
      <c r="B1302" s="1">
        <v>119</v>
      </c>
    </row>
    <row r="1303" spans="1:2" x14ac:dyDescent="0.15">
      <c r="A1303" s="1">
        <v>20180</v>
      </c>
      <c r="B1303" s="1">
        <v>119</v>
      </c>
    </row>
    <row r="1304" spans="1:2" x14ac:dyDescent="0.15">
      <c r="A1304" s="1">
        <v>33168</v>
      </c>
      <c r="B1304" s="1">
        <v>119</v>
      </c>
    </row>
    <row r="1305" spans="1:2" x14ac:dyDescent="0.15">
      <c r="A1305" s="1">
        <v>31605</v>
      </c>
      <c r="B1305" s="1">
        <v>119</v>
      </c>
    </row>
    <row r="1306" spans="1:2" x14ac:dyDescent="0.15">
      <c r="A1306" s="1">
        <v>55249</v>
      </c>
      <c r="B1306" s="1">
        <v>119</v>
      </c>
    </row>
    <row r="1307" spans="1:2" x14ac:dyDescent="0.15">
      <c r="A1307" s="1">
        <v>33316</v>
      </c>
      <c r="B1307" s="1">
        <v>119</v>
      </c>
    </row>
    <row r="1308" spans="1:2" x14ac:dyDescent="0.15">
      <c r="A1308" s="1">
        <v>42473</v>
      </c>
      <c r="B1308" s="1">
        <v>119</v>
      </c>
    </row>
    <row r="1309" spans="1:2" x14ac:dyDescent="0.15">
      <c r="A1309" s="1">
        <v>38557</v>
      </c>
      <c r="B1309" s="1">
        <v>118</v>
      </c>
    </row>
    <row r="1310" spans="1:2" x14ac:dyDescent="0.15">
      <c r="A1310" s="1">
        <v>36443</v>
      </c>
      <c r="B1310" s="1">
        <v>118</v>
      </c>
    </row>
    <row r="1311" spans="1:2" x14ac:dyDescent="0.15">
      <c r="A1311" s="1">
        <v>42162</v>
      </c>
      <c r="B1311" s="1">
        <v>118</v>
      </c>
    </row>
    <row r="1312" spans="1:2" x14ac:dyDescent="0.15">
      <c r="A1312" s="1">
        <v>40887</v>
      </c>
      <c r="B1312" s="1">
        <v>118</v>
      </c>
    </row>
    <row r="1313" spans="1:2" x14ac:dyDescent="0.15">
      <c r="A1313" s="1">
        <v>30983</v>
      </c>
      <c r="B1313" s="1">
        <v>118</v>
      </c>
    </row>
    <row r="1314" spans="1:2" x14ac:dyDescent="0.15">
      <c r="A1314" s="1">
        <v>58646</v>
      </c>
      <c r="B1314" s="1">
        <v>118</v>
      </c>
    </row>
    <row r="1315" spans="1:2" x14ac:dyDescent="0.15">
      <c r="A1315" s="1">
        <v>23477</v>
      </c>
      <c r="B1315" s="1">
        <v>118</v>
      </c>
    </row>
    <row r="1316" spans="1:2" x14ac:dyDescent="0.15">
      <c r="A1316" s="1">
        <v>37509</v>
      </c>
      <c r="B1316" s="1">
        <v>118</v>
      </c>
    </row>
    <row r="1317" spans="1:2" x14ac:dyDescent="0.15">
      <c r="A1317" s="1">
        <v>40548</v>
      </c>
      <c r="B1317" s="1">
        <v>117</v>
      </c>
    </row>
    <row r="1318" spans="1:2" x14ac:dyDescent="0.15">
      <c r="A1318" s="1">
        <v>32011</v>
      </c>
      <c r="B1318" s="1">
        <v>117</v>
      </c>
    </row>
    <row r="1319" spans="1:2" x14ac:dyDescent="0.15">
      <c r="A1319" s="1">
        <v>34935</v>
      </c>
      <c r="B1319" s="1">
        <v>117</v>
      </c>
    </row>
    <row r="1320" spans="1:2" x14ac:dyDescent="0.15">
      <c r="A1320" s="1">
        <v>57236</v>
      </c>
      <c r="B1320" s="1">
        <v>117</v>
      </c>
    </row>
    <row r="1321" spans="1:2" x14ac:dyDescent="0.15">
      <c r="A1321" s="1">
        <v>36947</v>
      </c>
      <c r="B1321" s="1">
        <v>117</v>
      </c>
    </row>
    <row r="1322" spans="1:2" x14ac:dyDescent="0.15">
      <c r="A1322" s="1">
        <v>51717</v>
      </c>
      <c r="B1322" s="1">
        <v>117</v>
      </c>
    </row>
    <row r="1323" spans="1:2" x14ac:dyDescent="0.15">
      <c r="A1323" s="1">
        <v>23228</v>
      </c>
      <c r="B1323" s="1">
        <v>116</v>
      </c>
    </row>
    <row r="1324" spans="1:2" x14ac:dyDescent="0.15">
      <c r="A1324" s="1">
        <v>49187</v>
      </c>
      <c r="B1324" s="1">
        <v>116</v>
      </c>
    </row>
    <row r="1325" spans="1:2" x14ac:dyDescent="0.15">
      <c r="A1325" s="1">
        <v>43641</v>
      </c>
      <c r="B1325" s="1">
        <v>116</v>
      </c>
    </row>
    <row r="1326" spans="1:2" x14ac:dyDescent="0.15">
      <c r="A1326" s="1">
        <v>52854</v>
      </c>
      <c r="B1326" s="1">
        <v>116</v>
      </c>
    </row>
    <row r="1327" spans="1:2" x14ac:dyDescent="0.15">
      <c r="A1327" s="1">
        <v>29435</v>
      </c>
      <c r="B1327" s="1">
        <v>116</v>
      </c>
    </row>
    <row r="1328" spans="1:2" x14ac:dyDescent="0.15">
      <c r="A1328" s="1">
        <v>43586</v>
      </c>
      <c r="B1328" s="1">
        <v>116</v>
      </c>
    </row>
    <row r="1329" spans="1:2" x14ac:dyDescent="0.15">
      <c r="A1329" s="1">
        <v>49618</v>
      </c>
      <c r="B1329" s="1">
        <v>115</v>
      </c>
    </row>
    <row r="1330" spans="1:2" x14ac:dyDescent="0.15">
      <c r="A1330" s="1">
        <v>35876</v>
      </c>
      <c r="B1330" s="1">
        <v>115</v>
      </c>
    </row>
    <row r="1331" spans="1:2" x14ac:dyDescent="0.15">
      <c r="A1331" s="1">
        <v>38097</v>
      </c>
      <c r="B1331" s="1">
        <v>115</v>
      </c>
    </row>
    <row r="1332" spans="1:2" x14ac:dyDescent="0.15">
      <c r="A1332" s="1">
        <v>6560</v>
      </c>
      <c r="B1332" s="1">
        <v>111</v>
      </c>
    </row>
    <row r="1333" spans="1:2" x14ac:dyDescent="0.15">
      <c r="A1333" s="1">
        <v>45204</v>
      </c>
      <c r="B1333" s="1">
        <v>96</v>
      </c>
    </row>
    <row r="1334" spans="1:2" x14ac:dyDescent="0.15">
      <c r="A1334" s="1">
        <v>34487</v>
      </c>
      <c r="B1334" s="1">
        <v>95</v>
      </c>
    </row>
    <row r="1335" spans="1:2" x14ac:dyDescent="0.15">
      <c r="A1335" s="1">
        <v>33812</v>
      </c>
      <c r="B1335" s="1">
        <v>94</v>
      </c>
    </row>
    <row r="1336" spans="1:2" x14ac:dyDescent="0.15">
      <c r="A1336" s="1">
        <v>42767</v>
      </c>
      <c r="B1336" s="1">
        <v>93</v>
      </c>
    </row>
    <row r="1337" spans="1:2" x14ac:dyDescent="0.15">
      <c r="A1337" s="1">
        <v>33585</v>
      </c>
      <c r="B1337" s="1">
        <v>93</v>
      </c>
    </row>
    <row r="1338" spans="1:2" x14ac:dyDescent="0.15">
      <c r="A1338" s="1">
        <v>35322</v>
      </c>
      <c r="B1338" s="1">
        <v>93</v>
      </c>
    </row>
    <row r="1339" spans="1:2" x14ac:dyDescent="0.15">
      <c r="A1339" s="1">
        <v>22979</v>
      </c>
      <c r="B1339" s="1">
        <v>93</v>
      </c>
    </row>
    <row r="1340" spans="1:2" x14ac:dyDescent="0.15">
      <c r="A1340" s="1">
        <v>42192</v>
      </c>
      <c r="B1340" s="1">
        <v>93</v>
      </c>
    </row>
    <row r="1341" spans="1:2" x14ac:dyDescent="0.15">
      <c r="A1341" s="1">
        <v>41850</v>
      </c>
      <c r="B1341" s="1">
        <v>92</v>
      </c>
    </row>
    <row r="1342" spans="1:2" x14ac:dyDescent="0.15">
      <c r="A1342" s="1">
        <v>46107</v>
      </c>
      <c r="B1342" s="1">
        <v>92</v>
      </c>
    </row>
    <row r="1343" spans="1:2" x14ac:dyDescent="0.15">
      <c r="A1343" s="1">
        <v>27038</v>
      </c>
      <c r="B1343" s="1">
        <v>92</v>
      </c>
    </row>
    <row r="1344" spans="1:2" x14ac:dyDescent="0.15">
      <c r="A1344" s="1">
        <v>38823</v>
      </c>
      <c r="B1344" s="1">
        <v>91</v>
      </c>
    </row>
    <row r="1345" spans="1:2" x14ac:dyDescent="0.15">
      <c r="A1345" s="1">
        <v>27450</v>
      </c>
      <c r="B1345" s="1">
        <v>91</v>
      </c>
    </row>
    <row r="1346" spans="1:2" x14ac:dyDescent="0.15">
      <c r="A1346" s="1">
        <v>34053</v>
      </c>
      <c r="B1346" s="1">
        <v>91</v>
      </c>
    </row>
    <row r="1347" spans="1:2" x14ac:dyDescent="0.15">
      <c r="A1347" s="1">
        <v>28087</v>
      </c>
      <c r="B1347" s="1">
        <v>91</v>
      </c>
    </row>
    <row r="1348" spans="1:2" x14ac:dyDescent="0.15">
      <c r="A1348" s="1">
        <v>57530</v>
      </c>
      <c r="B1348" s="1">
        <v>91</v>
      </c>
    </row>
    <row r="1349" spans="1:2" x14ac:dyDescent="0.15">
      <c r="A1349" s="1">
        <v>34213</v>
      </c>
      <c r="B1349" s="1">
        <v>91</v>
      </c>
    </row>
    <row r="1350" spans="1:2" x14ac:dyDescent="0.15">
      <c r="A1350" s="1">
        <v>33762</v>
      </c>
      <c r="B1350" s="1">
        <v>90</v>
      </c>
    </row>
    <row r="1351" spans="1:2" x14ac:dyDescent="0.15">
      <c r="A1351" s="1">
        <v>46377</v>
      </c>
      <c r="B1351" s="1">
        <v>90</v>
      </c>
    </row>
    <row r="1352" spans="1:2" x14ac:dyDescent="0.15">
      <c r="A1352" s="1">
        <v>59041</v>
      </c>
      <c r="B1352" s="1">
        <v>90</v>
      </c>
    </row>
    <row r="1353" spans="1:2" x14ac:dyDescent="0.15">
      <c r="A1353" s="1">
        <v>50523</v>
      </c>
      <c r="B1353" s="1">
        <v>90</v>
      </c>
    </row>
    <row r="1354" spans="1:2" x14ac:dyDescent="0.15">
      <c r="A1354" s="1">
        <v>42523</v>
      </c>
      <c r="B1354" s="1">
        <v>90</v>
      </c>
    </row>
    <row r="1355" spans="1:2" x14ac:dyDescent="0.15">
      <c r="A1355" s="1">
        <v>29236</v>
      </c>
      <c r="B1355" s="1">
        <v>90</v>
      </c>
    </row>
    <row r="1356" spans="1:2" x14ac:dyDescent="0.15">
      <c r="A1356" s="1">
        <v>58217</v>
      </c>
      <c r="B1356" s="1">
        <v>90</v>
      </c>
    </row>
    <row r="1357" spans="1:2" x14ac:dyDescent="0.15">
      <c r="A1357" s="1">
        <v>47570</v>
      </c>
      <c r="B1357" s="1">
        <v>90</v>
      </c>
    </row>
    <row r="1358" spans="1:2" x14ac:dyDescent="0.15">
      <c r="A1358" s="1">
        <v>25509</v>
      </c>
      <c r="B1358" s="1">
        <v>90</v>
      </c>
    </row>
    <row r="1359" spans="1:2" x14ac:dyDescent="0.15">
      <c r="A1359" s="1">
        <v>61917</v>
      </c>
      <c r="B1359" s="1">
        <v>90</v>
      </c>
    </row>
    <row r="1360" spans="1:2" x14ac:dyDescent="0.15">
      <c r="A1360" s="1">
        <v>23478</v>
      </c>
      <c r="B1360" s="1">
        <v>90</v>
      </c>
    </row>
    <row r="1361" spans="1:2" x14ac:dyDescent="0.15">
      <c r="A1361" s="1">
        <v>33378</v>
      </c>
      <c r="B1361" s="1">
        <v>89</v>
      </c>
    </row>
    <row r="1362" spans="1:2" x14ac:dyDescent="0.15">
      <c r="A1362" s="1">
        <v>42386</v>
      </c>
      <c r="B1362" s="1">
        <v>89</v>
      </c>
    </row>
    <row r="1363" spans="1:2" x14ac:dyDescent="0.15">
      <c r="A1363" s="1">
        <v>50737</v>
      </c>
      <c r="B1363" s="1">
        <v>89</v>
      </c>
    </row>
    <row r="1364" spans="1:2" x14ac:dyDescent="0.15">
      <c r="A1364" s="1">
        <v>44931</v>
      </c>
      <c r="B1364" s="1">
        <v>89</v>
      </c>
    </row>
    <row r="1365" spans="1:2" x14ac:dyDescent="0.15">
      <c r="A1365" s="1">
        <v>40800</v>
      </c>
      <c r="B1365" s="1">
        <v>89</v>
      </c>
    </row>
    <row r="1366" spans="1:2" x14ac:dyDescent="0.15">
      <c r="A1366" s="1">
        <v>44322</v>
      </c>
      <c r="B1366" s="1">
        <v>89</v>
      </c>
    </row>
    <row r="1367" spans="1:2" x14ac:dyDescent="0.15">
      <c r="A1367" s="1">
        <v>38232</v>
      </c>
      <c r="B1367" s="1">
        <v>89</v>
      </c>
    </row>
    <row r="1368" spans="1:2" x14ac:dyDescent="0.15">
      <c r="A1368" s="1">
        <v>39435</v>
      </c>
      <c r="B1368" s="1">
        <v>89</v>
      </c>
    </row>
    <row r="1369" spans="1:2" x14ac:dyDescent="0.15">
      <c r="A1369" s="1">
        <v>36075</v>
      </c>
      <c r="B1369" s="1">
        <v>89</v>
      </c>
    </row>
    <row r="1370" spans="1:2" x14ac:dyDescent="0.15">
      <c r="A1370" s="1">
        <v>41580</v>
      </c>
      <c r="B1370" s="1">
        <v>89</v>
      </c>
    </row>
    <row r="1371" spans="1:2" x14ac:dyDescent="0.15">
      <c r="A1371" s="1">
        <v>64587</v>
      </c>
      <c r="B1371" s="1">
        <v>88</v>
      </c>
    </row>
    <row r="1372" spans="1:2" x14ac:dyDescent="0.15">
      <c r="A1372" s="1">
        <v>34377</v>
      </c>
      <c r="B1372" s="1">
        <v>88</v>
      </c>
    </row>
    <row r="1373" spans="1:2" x14ac:dyDescent="0.15">
      <c r="A1373" s="1">
        <v>37787</v>
      </c>
      <c r="B1373" s="1">
        <v>88</v>
      </c>
    </row>
    <row r="1374" spans="1:2" x14ac:dyDescent="0.15">
      <c r="A1374" s="1">
        <v>52569</v>
      </c>
      <c r="B1374" s="1">
        <v>88</v>
      </c>
    </row>
    <row r="1375" spans="1:2" x14ac:dyDescent="0.15">
      <c r="A1375" s="1">
        <v>42769</v>
      </c>
      <c r="B1375" s="1">
        <v>88</v>
      </c>
    </row>
    <row r="1376" spans="1:2" x14ac:dyDescent="0.15">
      <c r="A1376" s="1">
        <v>50785</v>
      </c>
      <c r="B1376" s="1">
        <v>87</v>
      </c>
    </row>
    <row r="1377" spans="1:2" x14ac:dyDescent="0.15">
      <c r="A1377" s="1">
        <v>53537</v>
      </c>
      <c r="B1377" s="1">
        <v>87</v>
      </c>
    </row>
    <row r="1378" spans="1:2" x14ac:dyDescent="0.15">
      <c r="A1378" s="1">
        <v>40760</v>
      </c>
      <c r="B1378" s="1">
        <v>87</v>
      </c>
    </row>
    <row r="1379" spans="1:2" x14ac:dyDescent="0.15">
      <c r="A1379" s="1">
        <v>59892</v>
      </c>
      <c r="B1379" s="1">
        <v>87</v>
      </c>
    </row>
    <row r="1380" spans="1:2" x14ac:dyDescent="0.15">
      <c r="A1380" s="1">
        <v>31560</v>
      </c>
      <c r="B1380" s="1">
        <v>87</v>
      </c>
    </row>
    <row r="1381" spans="1:2" x14ac:dyDescent="0.15">
      <c r="A1381" s="1">
        <v>54348</v>
      </c>
      <c r="B1381" s="1">
        <v>86</v>
      </c>
    </row>
    <row r="1382" spans="1:2" x14ac:dyDescent="0.15">
      <c r="A1382" s="1">
        <v>24480</v>
      </c>
      <c r="B1382" s="1">
        <v>85</v>
      </c>
    </row>
    <row r="1383" spans="1:2" x14ac:dyDescent="0.15">
      <c r="A1383" s="1">
        <v>46098</v>
      </c>
      <c r="B1383" s="1">
        <v>84</v>
      </c>
    </row>
    <row r="1384" spans="1:2" x14ac:dyDescent="0.15">
      <c r="A1384" s="1">
        <v>46423</v>
      </c>
      <c r="B1384" s="1">
        <v>84</v>
      </c>
    </row>
    <row r="1385" spans="1:2" x14ac:dyDescent="0.15">
      <c r="A1385" s="1">
        <v>33438</v>
      </c>
      <c r="B1385" s="1">
        <v>84</v>
      </c>
    </row>
    <row r="1386" spans="1:2" x14ac:dyDescent="0.15">
      <c r="A1386" s="1">
        <v>46098</v>
      </c>
      <c r="B1386" s="1">
        <v>84</v>
      </c>
    </row>
    <row r="1387" spans="1:2" x14ac:dyDescent="0.15">
      <c r="A1387" s="1">
        <v>33183</v>
      </c>
      <c r="B1387" s="1">
        <v>83</v>
      </c>
    </row>
    <row r="1388" spans="1:2" x14ac:dyDescent="0.15">
      <c r="A1388" s="1">
        <v>38829</v>
      </c>
      <c r="B1388" s="1">
        <v>83</v>
      </c>
    </row>
    <row r="1389" spans="1:2" x14ac:dyDescent="0.15">
      <c r="A1389" s="1">
        <v>33471</v>
      </c>
      <c r="B1389" s="1">
        <v>81</v>
      </c>
    </row>
    <row r="1390" spans="1:2" x14ac:dyDescent="0.15">
      <c r="A1390" s="1">
        <v>7500</v>
      </c>
      <c r="B1390" s="1">
        <v>79</v>
      </c>
    </row>
    <row r="1391" spans="1:2" x14ac:dyDescent="0.15">
      <c r="A1391" s="1">
        <v>34961</v>
      </c>
      <c r="B1391" s="1">
        <v>78</v>
      </c>
    </row>
    <row r="1392" spans="1:2" x14ac:dyDescent="0.15">
      <c r="A1392" s="1">
        <v>38236</v>
      </c>
      <c r="B1392" s="1">
        <v>78</v>
      </c>
    </row>
    <row r="1393" spans="1:2" x14ac:dyDescent="0.15">
      <c r="A1393" s="1">
        <v>40706</v>
      </c>
      <c r="B1393" s="1">
        <v>76</v>
      </c>
    </row>
    <row r="1394" spans="1:2" x14ac:dyDescent="0.15">
      <c r="A1394" s="1">
        <v>37697</v>
      </c>
      <c r="B1394" s="1">
        <v>76</v>
      </c>
    </row>
    <row r="1395" spans="1:2" x14ac:dyDescent="0.15">
      <c r="A1395" s="1">
        <v>40321</v>
      </c>
      <c r="B1395" s="1">
        <v>75</v>
      </c>
    </row>
    <row r="1396" spans="1:2" x14ac:dyDescent="0.15">
      <c r="A1396" s="1">
        <v>31089</v>
      </c>
      <c r="B1396" s="1">
        <v>75</v>
      </c>
    </row>
    <row r="1397" spans="1:2" x14ac:dyDescent="0.15">
      <c r="A1397" s="1">
        <v>27215</v>
      </c>
      <c r="B1397" s="1">
        <v>74</v>
      </c>
    </row>
    <row r="1398" spans="1:2" x14ac:dyDescent="0.15">
      <c r="A1398" s="1">
        <v>34941</v>
      </c>
      <c r="B1398" s="1">
        <v>73</v>
      </c>
    </row>
    <row r="1399" spans="1:2" x14ac:dyDescent="0.15">
      <c r="A1399" s="1">
        <v>36778</v>
      </c>
      <c r="B1399" s="1">
        <v>73</v>
      </c>
    </row>
    <row r="1400" spans="1:2" x14ac:dyDescent="0.15">
      <c r="A1400" s="1">
        <v>20193</v>
      </c>
      <c r="B1400" s="1">
        <v>73</v>
      </c>
    </row>
    <row r="1401" spans="1:2" x14ac:dyDescent="0.15">
      <c r="A1401" s="1">
        <v>28510</v>
      </c>
      <c r="B1401" s="1">
        <v>72</v>
      </c>
    </row>
    <row r="1402" spans="1:2" x14ac:dyDescent="0.15">
      <c r="A1402" s="1">
        <v>7500</v>
      </c>
      <c r="B1402" s="1">
        <v>72</v>
      </c>
    </row>
    <row r="1403" spans="1:2" x14ac:dyDescent="0.15">
      <c r="A1403" s="1">
        <v>52074</v>
      </c>
      <c r="B1403" s="1">
        <v>71</v>
      </c>
    </row>
    <row r="1404" spans="1:2" x14ac:dyDescent="0.15">
      <c r="A1404" s="1">
        <v>37155</v>
      </c>
      <c r="B1404" s="1">
        <v>71</v>
      </c>
    </row>
    <row r="1405" spans="1:2" x14ac:dyDescent="0.15">
      <c r="A1405" s="1">
        <v>36065</v>
      </c>
      <c r="B1405" s="1">
        <v>71</v>
      </c>
    </row>
    <row r="1406" spans="1:2" x14ac:dyDescent="0.15">
      <c r="A1406" s="1">
        <v>22123</v>
      </c>
      <c r="B1406" s="1">
        <v>71</v>
      </c>
    </row>
    <row r="1407" spans="1:2" x14ac:dyDescent="0.15">
      <c r="A1407" s="1">
        <v>38179</v>
      </c>
      <c r="B1407" s="1">
        <v>70</v>
      </c>
    </row>
    <row r="1408" spans="1:2" x14ac:dyDescent="0.15">
      <c r="A1408" s="1">
        <v>33249</v>
      </c>
      <c r="B1408" s="1">
        <v>70</v>
      </c>
    </row>
    <row r="1409" spans="1:2" x14ac:dyDescent="0.15">
      <c r="A1409" s="1">
        <v>38578</v>
      </c>
      <c r="B1409" s="1">
        <v>70</v>
      </c>
    </row>
    <row r="1410" spans="1:2" x14ac:dyDescent="0.15">
      <c r="A1410" s="1">
        <v>38452</v>
      </c>
      <c r="B1410" s="1">
        <v>70</v>
      </c>
    </row>
    <row r="1411" spans="1:2" x14ac:dyDescent="0.15">
      <c r="A1411" s="1">
        <v>38136</v>
      </c>
      <c r="B1411" s="1">
        <v>70</v>
      </c>
    </row>
    <row r="1412" spans="1:2" x14ac:dyDescent="0.15">
      <c r="A1412" s="1">
        <v>38578</v>
      </c>
      <c r="B1412" s="1">
        <v>70</v>
      </c>
    </row>
    <row r="1413" spans="1:2" x14ac:dyDescent="0.15">
      <c r="A1413" s="1">
        <v>32557</v>
      </c>
      <c r="B1413" s="1">
        <v>70</v>
      </c>
    </row>
    <row r="1414" spans="1:2" x14ac:dyDescent="0.15">
      <c r="A1414" s="1">
        <v>31761</v>
      </c>
      <c r="B1414" s="1">
        <v>70</v>
      </c>
    </row>
    <row r="1415" spans="1:2" x14ac:dyDescent="0.15">
      <c r="A1415" s="1">
        <v>35790</v>
      </c>
      <c r="B1415" s="1">
        <v>69</v>
      </c>
    </row>
    <row r="1416" spans="1:2" x14ac:dyDescent="0.15">
      <c r="A1416" s="1">
        <v>34176</v>
      </c>
      <c r="B1416" s="1">
        <v>69</v>
      </c>
    </row>
    <row r="1417" spans="1:2" x14ac:dyDescent="0.15">
      <c r="A1417" s="1">
        <v>26091</v>
      </c>
      <c r="B1417" s="1">
        <v>69</v>
      </c>
    </row>
    <row r="1418" spans="1:2" x14ac:dyDescent="0.15">
      <c r="A1418" s="1">
        <v>38872</v>
      </c>
      <c r="B1418" s="1">
        <v>69</v>
      </c>
    </row>
    <row r="1419" spans="1:2" x14ac:dyDescent="0.15">
      <c r="A1419" s="1">
        <v>38702</v>
      </c>
      <c r="B1419" s="1">
        <v>69</v>
      </c>
    </row>
    <row r="1420" spans="1:2" x14ac:dyDescent="0.15">
      <c r="A1420" s="1">
        <v>40662</v>
      </c>
      <c r="B1420" s="1">
        <v>69</v>
      </c>
    </row>
    <row r="1421" spans="1:2" x14ac:dyDescent="0.15">
      <c r="A1421" s="1">
        <v>33622</v>
      </c>
      <c r="B1421" s="1">
        <v>69</v>
      </c>
    </row>
    <row r="1422" spans="1:2" x14ac:dyDescent="0.15">
      <c r="A1422" s="1">
        <v>39858</v>
      </c>
      <c r="B1422" s="1">
        <v>69</v>
      </c>
    </row>
    <row r="1423" spans="1:2" x14ac:dyDescent="0.15">
      <c r="A1423" s="1">
        <v>43018</v>
      </c>
      <c r="B1423" s="1">
        <v>69</v>
      </c>
    </row>
    <row r="1424" spans="1:2" x14ac:dyDescent="0.15">
      <c r="A1424" s="1">
        <v>33419</v>
      </c>
      <c r="B1424" s="1">
        <v>68</v>
      </c>
    </row>
    <row r="1425" spans="1:2" x14ac:dyDescent="0.15">
      <c r="A1425" s="1">
        <v>23748</v>
      </c>
      <c r="B1425" s="1">
        <v>68</v>
      </c>
    </row>
    <row r="1426" spans="1:2" x14ac:dyDescent="0.15">
      <c r="A1426" s="1">
        <v>43050</v>
      </c>
      <c r="B1426" s="1">
        <v>68</v>
      </c>
    </row>
    <row r="1427" spans="1:2" x14ac:dyDescent="0.15">
      <c r="A1427" s="1">
        <v>28647</v>
      </c>
      <c r="B1427" s="1">
        <v>68</v>
      </c>
    </row>
    <row r="1428" spans="1:2" x14ac:dyDescent="0.15">
      <c r="A1428" s="1">
        <v>47472</v>
      </c>
      <c r="B1428" s="1">
        <v>67</v>
      </c>
    </row>
    <row r="1429" spans="1:2" x14ac:dyDescent="0.15">
      <c r="A1429" s="1">
        <v>48985</v>
      </c>
      <c r="B1429" s="1">
        <v>67</v>
      </c>
    </row>
    <row r="1430" spans="1:2" x14ac:dyDescent="0.15">
      <c r="A1430" s="1">
        <v>58401</v>
      </c>
      <c r="B1430" s="1">
        <v>67</v>
      </c>
    </row>
    <row r="1431" spans="1:2" x14ac:dyDescent="0.15">
      <c r="A1431" s="1">
        <v>18929</v>
      </c>
      <c r="B1431" s="1">
        <v>67</v>
      </c>
    </row>
    <row r="1432" spans="1:2" x14ac:dyDescent="0.15">
      <c r="A1432" s="1">
        <v>31928</v>
      </c>
      <c r="B1432" s="1">
        <v>67</v>
      </c>
    </row>
    <row r="1433" spans="1:2" x14ac:dyDescent="0.15">
      <c r="A1433" s="1">
        <v>41473</v>
      </c>
      <c r="B1433" s="1">
        <v>67</v>
      </c>
    </row>
    <row r="1434" spans="1:2" x14ac:dyDescent="0.15">
      <c r="A1434" s="1">
        <v>36273</v>
      </c>
      <c r="B1434" s="1">
        <v>67</v>
      </c>
    </row>
    <row r="1435" spans="1:2" x14ac:dyDescent="0.15">
      <c r="A1435" s="1">
        <v>31158</v>
      </c>
      <c r="B1435" s="1">
        <v>67</v>
      </c>
    </row>
    <row r="1436" spans="1:2" x14ac:dyDescent="0.15">
      <c r="A1436" s="1">
        <v>27242</v>
      </c>
      <c r="B1436" s="1">
        <v>67</v>
      </c>
    </row>
    <row r="1437" spans="1:2" x14ac:dyDescent="0.15">
      <c r="A1437" s="1">
        <v>27213</v>
      </c>
      <c r="B1437" s="1">
        <v>67</v>
      </c>
    </row>
    <row r="1438" spans="1:2" x14ac:dyDescent="0.15">
      <c r="A1438" s="1">
        <v>38680</v>
      </c>
      <c r="B1438" s="1">
        <v>67</v>
      </c>
    </row>
    <row r="1439" spans="1:2" x14ac:dyDescent="0.15">
      <c r="A1439" s="1">
        <v>36927</v>
      </c>
      <c r="B1439" s="1">
        <v>67</v>
      </c>
    </row>
    <row r="1440" spans="1:2" x14ac:dyDescent="0.15">
      <c r="A1440" s="1">
        <v>36997</v>
      </c>
      <c r="B1440" s="1">
        <v>67</v>
      </c>
    </row>
    <row r="1441" spans="1:2" x14ac:dyDescent="0.15">
      <c r="A1441" s="1">
        <v>33039</v>
      </c>
      <c r="B1441" s="1">
        <v>66</v>
      </c>
    </row>
    <row r="1442" spans="1:2" x14ac:dyDescent="0.15">
      <c r="A1442" s="1">
        <v>15716</v>
      </c>
      <c r="B1442" s="1">
        <v>66</v>
      </c>
    </row>
    <row r="1443" spans="1:2" x14ac:dyDescent="0.15">
      <c r="A1443" s="1">
        <v>28164</v>
      </c>
      <c r="B1443" s="1">
        <v>66</v>
      </c>
    </row>
    <row r="1444" spans="1:2" x14ac:dyDescent="0.15">
      <c r="A1444" s="1">
        <v>36301</v>
      </c>
      <c r="B1444" s="1">
        <v>66</v>
      </c>
    </row>
    <row r="1445" spans="1:2" x14ac:dyDescent="0.15">
      <c r="A1445" s="1">
        <v>33228</v>
      </c>
      <c r="B1445" s="1">
        <v>66</v>
      </c>
    </row>
    <row r="1446" spans="1:2" x14ac:dyDescent="0.15">
      <c r="A1446" s="1">
        <v>21024</v>
      </c>
      <c r="B1446" s="1">
        <v>66</v>
      </c>
    </row>
    <row r="1447" spans="1:2" x14ac:dyDescent="0.15">
      <c r="A1447" s="1">
        <v>7500</v>
      </c>
      <c r="B1447" s="1">
        <v>66</v>
      </c>
    </row>
    <row r="1448" spans="1:2" x14ac:dyDescent="0.15">
      <c r="A1448" s="1">
        <v>33996</v>
      </c>
      <c r="B1448" s="1">
        <v>65</v>
      </c>
    </row>
    <row r="1449" spans="1:2" x14ac:dyDescent="0.15">
      <c r="A1449" s="1">
        <v>44635</v>
      </c>
      <c r="B1449" s="1">
        <v>65</v>
      </c>
    </row>
    <row r="1450" spans="1:2" x14ac:dyDescent="0.15">
      <c r="A1450" s="1">
        <v>37126</v>
      </c>
      <c r="B1450" s="1">
        <v>65</v>
      </c>
    </row>
    <row r="1451" spans="1:2" x14ac:dyDescent="0.15">
      <c r="A1451" s="1">
        <v>28587</v>
      </c>
      <c r="B1451" s="1">
        <v>65</v>
      </c>
    </row>
    <row r="1452" spans="1:2" x14ac:dyDescent="0.15">
      <c r="A1452" s="1">
        <v>45759</v>
      </c>
      <c r="B1452" s="1">
        <v>64</v>
      </c>
    </row>
    <row r="1453" spans="1:2" x14ac:dyDescent="0.15">
      <c r="A1453" s="1">
        <v>35704</v>
      </c>
      <c r="B1453" s="1">
        <v>64</v>
      </c>
    </row>
    <row r="1454" spans="1:2" x14ac:dyDescent="0.15">
      <c r="A1454" s="1">
        <v>33564</v>
      </c>
      <c r="B1454" s="1">
        <v>64</v>
      </c>
    </row>
    <row r="1455" spans="1:2" x14ac:dyDescent="0.15">
      <c r="A1455" s="1">
        <v>33235</v>
      </c>
      <c r="B1455" s="1">
        <v>64</v>
      </c>
    </row>
    <row r="1456" spans="1:2" x14ac:dyDescent="0.15">
      <c r="A1456" s="1">
        <v>39684</v>
      </c>
      <c r="B1456" s="1">
        <v>64</v>
      </c>
    </row>
    <row r="1457" spans="1:2" x14ac:dyDescent="0.15">
      <c r="A1457" s="1">
        <v>43815</v>
      </c>
      <c r="B1457" s="1">
        <v>64</v>
      </c>
    </row>
    <row r="1458" spans="1:2" x14ac:dyDescent="0.15">
      <c r="A1458" s="1">
        <v>50116</v>
      </c>
      <c r="B1458" s="1">
        <v>64</v>
      </c>
    </row>
    <row r="1459" spans="1:2" x14ac:dyDescent="0.15">
      <c r="A1459" s="1">
        <v>42429</v>
      </c>
      <c r="B1459" s="1">
        <v>63</v>
      </c>
    </row>
    <row r="1460" spans="1:2" x14ac:dyDescent="0.15">
      <c r="A1460" s="1">
        <v>31632</v>
      </c>
      <c r="B1460" s="1">
        <v>63</v>
      </c>
    </row>
    <row r="1461" spans="1:2" x14ac:dyDescent="0.15">
      <c r="A1461" s="1">
        <v>25965</v>
      </c>
      <c r="B1461" s="1">
        <v>63</v>
      </c>
    </row>
    <row r="1462" spans="1:2" x14ac:dyDescent="0.15">
      <c r="A1462" s="1">
        <v>56850</v>
      </c>
      <c r="B1462" s="1">
        <v>63</v>
      </c>
    </row>
    <row r="1463" spans="1:2" x14ac:dyDescent="0.15">
      <c r="A1463" s="1">
        <v>19419</v>
      </c>
      <c r="B1463" s="1">
        <v>63</v>
      </c>
    </row>
    <row r="1464" spans="1:2" x14ac:dyDescent="0.15">
      <c r="A1464" s="1">
        <v>31814</v>
      </c>
      <c r="B1464" s="1">
        <v>63</v>
      </c>
    </row>
    <row r="1465" spans="1:2" x14ac:dyDescent="0.15">
      <c r="A1465" s="1">
        <v>47889</v>
      </c>
      <c r="B1465" s="1">
        <v>63</v>
      </c>
    </row>
    <row r="1466" spans="1:2" x14ac:dyDescent="0.15">
      <c r="A1466" s="1">
        <v>28440</v>
      </c>
      <c r="B1466" s="1">
        <v>63</v>
      </c>
    </row>
    <row r="1467" spans="1:2" x14ac:dyDescent="0.15">
      <c r="A1467" s="1">
        <v>45903</v>
      </c>
      <c r="B1467" s="1">
        <v>63</v>
      </c>
    </row>
    <row r="1468" spans="1:2" x14ac:dyDescent="0.15">
      <c r="A1468" s="1">
        <v>35544</v>
      </c>
      <c r="B1468" s="1">
        <v>63</v>
      </c>
    </row>
    <row r="1469" spans="1:2" x14ac:dyDescent="0.15">
      <c r="A1469" s="1">
        <v>32218</v>
      </c>
      <c r="B1469" s="1">
        <v>63</v>
      </c>
    </row>
    <row r="1470" spans="1:2" x14ac:dyDescent="0.15">
      <c r="A1470" s="1">
        <v>32146</v>
      </c>
      <c r="B1470" s="1">
        <v>63</v>
      </c>
    </row>
    <row r="1471" spans="1:2" x14ac:dyDescent="0.15">
      <c r="A1471" s="1">
        <v>18589</v>
      </c>
      <c r="B1471" s="1">
        <v>62</v>
      </c>
    </row>
    <row r="1472" spans="1:2" x14ac:dyDescent="0.15">
      <c r="A1472" s="1">
        <v>49389</v>
      </c>
      <c r="B1472" s="1">
        <v>62</v>
      </c>
    </row>
    <row r="1473" spans="1:2" x14ac:dyDescent="0.15">
      <c r="A1473" s="1">
        <v>47823</v>
      </c>
      <c r="B1473" s="1">
        <v>62</v>
      </c>
    </row>
    <row r="1474" spans="1:2" x14ac:dyDescent="0.15">
      <c r="A1474" s="1">
        <v>36959</v>
      </c>
      <c r="B1474" s="1">
        <v>62</v>
      </c>
    </row>
    <row r="1475" spans="1:2" x14ac:dyDescent="0.15">
      <c r="A1475" s="1">
        <v>46931</v>
      </c>
      <c r="B1475" s="1">
        <v>62</v>
      </c>
    </row>
    <row r="1476" spans="1:2" x14ac:dyDescent="0.15">
      <c r="A1476" s="1">
        <v>40211</v>
      </c>
      <c r="B1476" s="1">
        <v>62</v>
      </c>
    </row>
    <row r="1477" spans="1:2" x14ac:dyDescent="0.15">
      <c r="A1477" s="1">
        <v>59062</v>
      </c>
      <c r="B1477" s="1">
        <v>62</v>
      </c>
    </row>
    <row r="1478" spans="1:2" x14ac:dyDescent="0.15">
      <c r="A1478" s="1">
        <v>33402</v>
      </c>
      <c r="B1478" s="1">
        <v>62</v>
      </c>
    </row>
    <row r="1479" spans="1:2" x14ac:dyDescent="0.15">
      <c r="A1479" s="1">
        <v>41154</v>
      </c>
      <c r="B1479" s="1">
        <v>62</v>
      </c>
    </row>
    <row r="1480" spans="1:2" x14ac:dyDescent="0.15">
      <c r="A1480" s="1">
        <v>46910</v>
      </c>
      <c r="B1480" s="1">
        <v>62</v>
      </c>
    </row>
    <row r="1481" spans="1:2" x14ac:dyDescent="0.15">
      <c r="A1481" s="1">
        <v>16653</v>
      </c>
      <c r="B1481" s="1">
        <v>62</v>
      </c>
    </row>
    <row r="1482" spans="1:2" x14ac:dyDescent="0.15">
      <c r="A1482" s="1">
        <v>51813</v>
      </c>
      <c r="B1482" s="1">
        <v>61</v>
      </c>
    </row>
    <row r="1483" spans="1:2" x14ac:dyDescent="0.15">
      <c r="A1483" s="1">
        <v>44794</v>
      </c>
      <c r="B1483" s="1">
        <v>61</v>
      </c>
    </row>
    <row r="1484" spans="1:2" x14ac:dyDescent="0.15">
      <c r="A1484" s="1">
        <v>50870</v>
      </c>
      <c r="B1484" s="1">
        <v>61</v>
      </c>
    </row>
    <row r="1485" spans="1:2" x14ac:dyDescent="0.15">
      <c r="A1485" s="1">
        <v>23724</v>
      </c>
      <c r="B1485" s="1">
        <v>61</v>
      </c>
    </row>
    <row r="1486" spans="1:2" x14ac:dyDescent="0.15">
      <c r="A1486" s="1">
        <v>48918</v>
      </c>
      <c r="B1486" s="1">
        <v>61</v>
      </c>
    </row>
    <row r="1487" spans="1:2" x14ac:dyDescent="0.15">
      <c r="A1487" s="1">
        <v>14515</v>
      </c>
      <c r="B1487" s="1">
        <v>61</v>
      </c>
    </row>
    <row r="1488" spans="1:2" x14ac:dyDescent="0.15">
      <c r="A1488" s="1">
        <v>9722</v>
      </c>
      <c r="B1488" s="1">
        <v>61</v>
      </c>
    </row>
    <row r="1489" spans="1:2" x14ac:dyDescent="0.15">
      <c r="A1489" s="1">
        <v>16185</v>
      </c>
      <c r="B1489" s="1">
        <v>61</v>
      </c>
    </row>
    <row r="1490" spans="1:2" x14ac:dyDescent="0.15">
      <c r="A1490" s="1">
        <v>11012</v>
      </c>
      <c r="B1490" s="1">
        <v>61</v>
      </c>
    </row>
    <row r="1491" spans="1:2" x14ac:dyDescent="0.15">
      <c r="A1491" s="1">
        <v>43482</v>
      </c>
      <c r="B1491" s="1">
        <v>60</v>
      </c>
    </row>
    <row r="1492" spans="1:2" x14ac:dyDescent="0.15">
      <c r="A1492" s="1">
        <v>35765</v>
      </c>
      <c r="B1492" s="1">
        <v>60</v>
      </c>
    </row>
    <row r="1493" spans="1:2" x14ac:dyDescent="0.15">
      <c r="A1493" s="1">
        <v>30390</v>
      </c>
      <c r="B1493" s="1">
        <v>60</v>
      </c>
    </row>
    <row r="1494" spans="1:2" x14ac:dyDescent="0.15">
      <c r="A1494" s="1">
        <v>47139</v>
      </c>
      <c r="B1494" s="1">
        <v>60</v>
      </c>
    </row>
    <row r="1495" spans="1:2" x14ac:dyDescent="0.15">
      <c r="A1495" s="1">
        <v>34026</v>
      </c>
      <c r="B1495" s="1">
        <v>59</v>
      </c>
    </row>
    <row r="1496" spans="1:2" x14ac:dyDescent="0.15">
      <c r="A1496" s="1">
        <v>52190</v>
      </c>
      <c r="B1496" s="1">
        <v>59</v>
      </c>
    </row>
    <row r="1497" spans="1:2" x14ac:dyDescent="0.15">
      <c r="A1497" s="1">
        <v>8940</v>
      </c>
      <c r="B1497" s="1">
        <v>59</v>
      </c>
    </row>
    <row r="1498" spans="1:2" x14ac:dyDescent="0.15">
      <c r="A1498" s="1">
        <v>22682</v>
      </c>
      <c r="B1498" s="1">
        <v>59</v>
      </c>
    </row>
    <row r="1499" spans="1:2" x14ac:dyDescent="0.15">
      <c r="A1499" s="1">
        <v>50616</v>
      </c>
      <c r="B1499" s="1">
        <v>58</v>
      </c>
    </row>
    <row r="1500" spans="1:2" x14ac:dyDescent="0.15">
      <c r="A1500" s="1">
        <v>21846</v>
      </c>
      <c r="B1500" s="1">
        <v>58</v>
      </c>
    </row>
    <row r="1501" spans="1:2" x14ac:dyDescent="0.15">
      <c r="A1501" s="1">
        <v>21255</v>
      </c>
      <c r="B1501" s="1">
        <v>58</v>
      </c>
    </row>
    <row r="1502" spans="1:2" x14ac:dyDescent="0.15">
      <c r="A1502" s="1">
        <v>23331</v>
      </c>
      <c r="B1502" s="1">
        <v>58</v>
      </c>
    </row>
    <row r="1503" spans="1:2" x14ac:dyDescent="0.15">
      <c r="A1503" s="1">
        <v>37085</v>
      </c>
      <c r="B1503" s="1">
        <v>58</v>
      </c>
    </row>
    <row r="1504" spans="1:2" x14ac:dyDescent="0.15">
      <c r="A1504" s="1">
        <v>31395</v>
      </c>
      <c r="B1504" s="1">
        <v>57</v>
      </c>
    </row>
    <row r="1505" spans="1:2" x14ac:dyDescent="0.15">
      <c r="A1505" s="1">
        <v>30545</v>
      </c>
      <c r="B1505" s="1">
        <v>57</v>
      </c>
    </row>
    <row r="1506" spans="1:2" x14ac:dyDescent="0.15">
      <c r="A1506" s="1">
        <v>26759</v>
      </c>
      <c r="B1506" s="1">
        <v>57</v>
      </c>
    </row>
    <row r="1507" spans="1:2" x14ac:dyDescent="0.15">
      <c r="A1507" s="1">
        <v>18793</v>
      </c>
      <c r="B1507" s="1">
        <v>57</v>
      </c>
    </row>
    <row r="1508" spans="1:2" x14ac:dyDescent="0.15">
      <c r="A1508" s="1">
        <v>41120</v>
      </c>
      <c r="B1508" s="1">
        <v>57</v>
      </c>
    </row>
    <row r="1509" spans="1:2" x14ac:dyDescent="0.15">
      <c r="A1509" s="1">
        <v>21474</v>
      </c>
      <c r="B1509" s="1">
        <v>57</v>
      </c>
    </row>
    <row r="1510" spans="1:2" x14ac:dyDescent="0.15">
      <c r="A1510" s="1">
        <v>28332</v>
      </c>
      <c r="B1510" s="1">
        <v>56</v>
      </c>
    </row>
    <row r="1511" spans="1:2" x14ac:dyDescent="0.15">
      <c r="A1511" s="1">
        <v>23559</v>
      </c>
      <c r="B1511" s="1">
        <v>56</v>
      </c>
    </row>
    <row r="1512" spans="1:2" x14ac:dyDescent="0.15">
      <c r="A1512" s="1">
        <v>14849</v>
      </c>
      <c r="B1512" s="1">
        <v>56</v>
      </c>
    </row>
    <row r="1513" spans="1:2" x14ac:dyDescent="0.15">
      <c r="A1513" s="1">
        <v>36230</v>
      </c>
      <c r="B1513" s="1">
        <v>56</v>
      </c>
    </row>
    <row r="1514" spans="1:2" x14ac:dyDescent="0.15">
      <c r="A1514" s="1">
        <v>36790</v>
      </c>
      <c r="B1514" s="1">
        <v>56</v>
      </c>
    </row>
    <row r="1515" spans="1:2" x14ac:dyDescent="0.15">
      <c r="A1515" s="1">
        <v>16005</v>
      </c>
      <c r="B1515" s="1">
        <v>56</v>
      </c>
    </row>
    <row r="1516" spans="1:2" x14ac:dyDescent="0.15">
      <c r="A1516" s="1">
        <v>23539</v>
      </c>
      <c r="B1516" s="1">
        <v>56</v>
      </c>
    </row>
    <row r="1517" spans="1:2" x14ac:dyDescent="0.15">
      <c r="A1517" s="1">
        <v>16626</v>
      </c>
      <c r="B1517" s="1">
        <v>55</v>
      </c>
    </row>
    <row r="1518" spans="1:2" x14ac:dyDescent="0.15">
      <c r="A1518" s="1">
        <v>35523</v>
      </c>
      <c r="B1518" s="1">
        <v>55</v>
      </c>
    </row>
    <row r="1519" spans="1:2" x14ac:dyDescent="0.15">
      <c r="A1519" s="1">
        <v>19329</v>
      </c>
      <c r="B1519" s="1">
        <v>55</v>
      </c>
    </row>
    <row r="1520" spans="1:2" x14ac:dyDescent="0.15">
      <c r="A1520" s="1">
        <v>55412</v>
      </c>
      <c r="B1520" s="1">
        <v>55</v>
      </c>
    </row>
    <row r="1521" spans="1:2" x14ac:dyDescent="0.15">
      <c r="A1521" s="1">
        <v>27244</v>
      </c>
      <c r="B1521" s="1">
        <v>55</v>
      </c>
    </row>
    <row r="1522" spans="1:2" x14ac:dyDescent="0.15">
      <c r="A1522" s="1">
        <v>26290</v>
      </c>
      <c r="B1522" s="1">
        <v>55</v>
      </c>
    </row>
    <row r="1523" spans="1:2" x14ac:dyDescent="0.15">
      <c r="A1523" s="1">
        <v>26518</v>
      </c>
      <c r="B1523" s="1">
        <v>55</v>
      </c>
    </row>
    <row r="1524" spans="1:2" x14ac:dyDescent="0.15">
      <c r="A1524" s="1">
        <v>30477</v>
      </c>
      <c r="B1524" s="1">
        <v>54</v>
      </c>
    </row>
    <row r="1525" spans="1:2" x14ac:dyDescent="0.15">
      <c r="A1525" s="1">
        <v>31788</v>
      </c>
      <c r="B1525" s="1">
        <v>54</v>
      </c>
    </row>
    <row r="1526" spans="1:2" x14ac:dyDescent="0.15">
      <c r="A1526" s="1">
        <v>37760</v>
      </c>
      <c r="B1526" s="1">
        <v>54</v>
      </c>
    </row>
    <row r="1527" spans="1:2" x14ac:dyDescent="0.15">
      <c r="A1527" s="1">
        <v>26850</v>
      </c>
      <c r="B1527" s="1">
        <v>54</v>
      </c>
    </row>
    <row r="1528" spans="1:2" x14ac:dyDescent="0.15">
      <c r="A1528" s="1">
        <v>23910</v>
      </c>
      <c r="B1528" s="1">
        <v>54</v>
      </c>
    </row>
    <row r="1529" spans="1:2" x14ac:dyDescent="0.15">
      <c r="A1529" s="1">
        <v>15038</v>
      </c>
      <c r="B1529" s="1">
        <v>54</v>
      </c>
    </row>
    <row r="1530" spans="1:2" x14ac:dyDescent="0.15">
      <c r="A1530" s="1">
        <v>27238</v>
      </c>
      <c r="B1530" s="1">
        <v>54</v>
      </c>
    </row>
    <row r="1531" spans="1:2" x14ac:dyDescent="0.15">
      <c r="A1531" s="1">
        <v>40304</v>
      </c>
      <c r="B1531" s="1">
        <v>54</v>
      </c>
    </row>
    <row r="1532" spans="1:2" x14ac:dyDescent="0.15">
      <c r="A1532" s="1">
        <v>32952</v>
      </c>
      <c r="B1532" s="1">
        <v>54</v>
      </c>
    </row>
    <row r="1533" spans="1:2" x14ac:dyDescent="0.15">
      <c r="A1533" s="1">
        <v>29440</v>
      </c>
      <c r="B1533" s="1">
        <v>53</v>
      </c>
    </row>
    <row r="1534" spans="1:2" x14ac:dyDescent="0.15">
      <c r="A1534" s="1">
        <v>39453</v>
      </c>
      <c r="B1534" s="1">
        <v>53</v>
      </c>
    </row>
    <row r="1535" spans="1:2" x14ac:dyDescent="0.15">
      <c r="A1535" s="1">
        <v>48767</v>
      </c>
      <c r="B1535" s="1">
        <v>53</v>
      </c>
    </row>
    <row r="1536" spans="1:2" x14ac:dyDescent="0.15">
      <c r="A1536" s="1">
        <v>18222</v>
      </c>
      <c r="B1536" s="1">
        <v>53</v>
      </c>
    </row>
    <row r="1537" spans="1:2" x14ac:dyDescent="0.15">
      <c r="A1537" s="1">
        <v>18358</v>
      </c>
      <c r="B1537" s="1">
        <v>53</v>
      </c>
    </row>
    <row r="1538" spans="1:2" x14ac:dyDescent="0.15">
      <c r="A1538" s="1">
        <v>30093</v>
      </c>
      <c r="B1538" s="1">
        <v>53</v>
      </c>
    </row>
    <row r="1539" spans="1:2" x14ac:dyDescent="0.15">
      <c r="A1539" s="1">
        <v>49572</v>
      </c>
      <c r="B1539" s="1">
        <v>53</v>
      </c>
    </row>
    <row r="1540" spans="1:2" x14ac:dyDescent="0.15">
      <c r="A1540" s="1">
        <v>35246</v>
      </c>
      <c r="B1540" s="1">
        <v>52</v>
      </c>
    </row>
    <row r="1541" spans="1:2" x14ac:dyDescent="0.15">
      <c r="A1541" s="1">
        <v>30015</v>
      </c>
      <c r="B1541" s="1">
        <v>52</v>
      </c>
    </row>
    <row r="1542" spans="1:2" x14ac:dyDescent="0.15">
      <c r="A1542" s="1">
        <v>51111</v>
      </c>
      <c r="B1542" s="1">
        <v>52</v>
      </c>
    </row>
    <row r="1543" spans="1:2" x14ac:dyDescent="0.15">
      <c r="A1543" s="1">
        <v>19656</v>
      </c>
      <c r="B1543" s="1">
        <v>52</v>
      </c>
    </row>
    <row r="1544" spans="1:2" x14ac:dyDescent="0.15">
      <c r="A1544" s="1">
        <v>41021</v>
      </c>
      <c r="B1544" s="1">
        <v>52</v>
      </c>
    </row>
    <row r="1545" spans="1:2" x14ac:dyDescent="0.15">
      <c r="A1545" s="1">
        <v>31626</v>
      </c>
      <c r="B1545" s="1">
        <v>52</v>
      </c>
    </row>
    <row r="1546" spans="1:2" x14ac:dyDescent="0.15">
      <c r="A1546" s="1">
        <v>23957</v>
      </c>
      <c r="B1546" s="1">
        <v>52</v>
      </c>
    </row>
    <row r="1547" spans="1:2" x14ac:dyDescent="0.15">
      <c r="A1547" s="1">
        <v>41275</v>
      </c>
      <c r="B1547" s="1">
        <v>52</v>
      </c>
    </row>
    <row r="1548" spans="1:2" x14ac:dyDescent="0.15">
      <c r="A1548" s="1">
        <v>17148</v>
      </c>
      <c r="B1548" s="1">
        <v>52</v>
      </c>
    </row>
    <row r="1549" spans="1:2" x14ac:dyDescent="0.15">
      <c r="A1549" s="1">
        <v>30753</v>
      </c>
      <c r="B1549" s="1">
        <v>51</v>
      </c>
    </row>
    <row r="1550" spans="1:2" x14ac:dyDescent="0.15">
      <c r="A1550" s="1">
        <v>31160</v>
      </c>
      <c r="B1550" s="1">
        <v>51</v>
      </c>
    </row>
    <row r="1551" spans="1:2" x14ac:dyDescent="0.15">
      <c r="A1551" s="1">
        <v>28442</v>
      </c>
      <c r="B1551" s="1">
        <v>51</v>
      </c>
    </row>
    <row r="1552" spans="1:2" x14ac:dyDescent="0.15">
      <c r="A1552" s="1">
        <v>14906</v>
      </c>
      <c r="B1552" s="1">
        <v>51</v>
      </c>
    </row>
    <row r="1553" spans="1:2" x14ac:dyDescent="0.15">
      <c r="A1553" s="1">
        <v>41986</v>
      </c>
      <c r="B1553" s="1">
        <v>51</v>
      </c>
    </row>
    <row r="1554" spans="1:2" x14ac:dyDescent="0.15">
      <c r="A1554" s="1">
        <v>24711</v>
      </c>
      <c r="B1554" s="1">
        <v>51</v>
      </c>
    </row>
    <row r="1555" spans="1:2" x14ac:dyDescent="0.15">
      <c r="A1555" s="1">
        <v>32144</v>
      </c>
      <c r="B1555" s="1">
        <v>51</v>
      </c>
    </row>
    <row r="1556" spans="1:2" x14ac:dyDescent="0.15">
      <c r="A1556" s="1">
        <v>34554</v>
      </c>
      <c r="B1556" s="1">
        <v>50</v>
      </c>
    </row>
    <row r="1557" spans="1:2" x14ac:dyDescent="0.15">
      <c r="A1557" s="1">
        <v>30631</v>
      </c>
      <c r="B1557" s="1">
        <v>50</v>
      </c>
    </row>
    <row r="1558" spans="1:2" x14ac:dyDescent="0.15">
      <c r="A1558" s="1">
        <v>19789</v>
      </c>
      <c r="B1558" s="1">
        <v>50</v>
      </c>
    </row>
    <row r="1559" spans="1:2" x14ac:dyDescent="0.15">
      <c r="A1559" s="1">
        <v>22944</v>
      </c>
      <c r="B1559" s="1">
        <v>50</v>
      </c>
    </row>
    <row r="1560" spans="1:2" x14ac:dyDescent="0.15">
      <c r="A1560" s="1">
        <v>42243</v>
      </c>
      <c r="B1560" s="1">
        <v>50</v>
      </c>
    </row>
    <row r="1561" spans="1:2" x14ac:dyDescent="0.15">
      <c r="A1561" s="1">
        <v>34469</v>
      </c>
      <c r="B1561" s="1">
        <v>50</v>
      </c>
    </row>
    <row r="1562" spans="1:2" x14ac:dyDescent="0.15">
      <c r="A1562" s="1">
        <v>22634</v>
      </c>
      <c r="B1562" s="1">
        <v>50</v>
      </c>
    </row>
    <row r="1563" spans="1:2" x14ac:dyDescent="0.15">
      <c r="A1563" s="1">
        <v>44393</v>
      </c>
      <c r="B1563" s="1">
        <v>50</v>
      </c>
    </row>
    <row r="1564" spans="1:2" x14ac:dyDescent="0.15">
      <c r="A1564" s="1">
        <v>36781</v>
      </c>
      <c r="B1564" s="1">
        <v>50</v>
      </c>
    </row>
    <row r="1565" spans="1:2" x14ac:dyDescent="0.15">
      <c r="A1565" s="1">
        <v>30368</v>
      </c>
      <c r="B1565" s="1">
        <v>50</v>
      </c>
    </row>
    <row r="1566" spans="1:2" x14ac:dyDescent="0.15">
      <c r="A1566" s="1">
        <v>16927</v>
      </c>
      <c r="B1566" s="1">
        <v>49</v>
      </c>
    </row>
    <row r="1567" spans="1:2" x14ac:dyDescent="0.15">
      <c r="A1567" s="1">
        <v>38998</v>
      </c>
      <c r="B1567" s="1">
        <v>49</v>
      </c>
    </row>
    <row r="1568" spans="1:2" x14ac:dyDescent="0.15">
      <c r="A1568" s="1">
        <v>43602</v>
      </c>
      <c r="B1568" s="1">
        <v>49</v>
      </c>
    </row>
    <row r="1569" spans="1:2" x14ac:dyDescent="0.15">
      <c r="A1569" s="1">
        <v>26646</v>
      </c>
      <c r="B1569" s="1">
        <v>48</v>
      </c>
    </row>
    <row r="1570" spans="1:2" x14ac:dyDescent="0.15">
      <c r="A1570" s="1">
        <v>16248</v>
      </c>
      <c r="B1570" s="1">
        <v>48</v>
      </c>
    </row>
    <row r="1571" spans="1:2" x14ac:dyDescent="0.15">
      <c r="A1571" s="1">
        <v>22212</v>
      </c>
      <c r="B1571" s="1">
        <v>48</v>
      </c>
    </row>
    <row r="1572" spans="1:2" x14ac:dyDescent="0.15">
      <c r="A1572" s="1">
        <v>26224</v>
      </c>
      <c r="B1572" s="1">
        <v>48</v>
      </c>
    </row>
    <row r="1573" spans="1:2" x14ac:dyDescent="0.15">
      <c r="A1573" s="1">
        <v>15056</v>
      </c>
      <c r="B1573" s="1">
        <v>48</v>
      </c>
    </row>
    <row r="1574" spans="1:2" x14ac:dyDescent="0.15">
      <c r="A1574" s="1">
        <v>38741</v>
      </c>
      <c r="B1574" s="1">
        <v>48</v>
      </c>
    </row>
    <row r="1575" spans="1:2" x14ac:dyDescent="0.15">
      <c r="A1575" s="1">
        <v>14188</v>
      </c>
      <c r="B1575" s="1">
        <v>48</v>
      </c>
    </row>
    <row r="1576" spans="1:2" x14ac:dyDescent="0.15">
      <c r="A1576" s="1">
        <v>33562</v>
      </c>
      <c r="B1576" s="1">
        <v>48</v>
      </c>
    </row>
    <row r="1577" spans="1:2" x14ac:dyDescent="0.15">
      <c r="A1577" s="1">
        <v>15315</v>
      </c>
      <c r="B1577" s="1">
        <v>47</v>
      </c>
    </row>
    <row r="1578" spans="1:2" x14ac:dyDescent="0.15">
      <c r="A1578" s="1">
        <v>35797</v>
      </c>
      <c r="B1578" s="1">
        <v>47</v>
      </c>
    </row>
    <row r="1579" spans="1:2" x14ac:dyDescent="0.15">
      <c r="A1579" s="1">
        <v>37334</v>
      </c>
      <c r="B1579" s="1">
        <v>47</v>
      </c>
    </row>
    <row r="1580" spans="1:2" x14ac:dyDescent="0.15">
      <c r="A1580" s="1">
        <v>32889</v>
      </c>
      <c r="B1580" s="1">
        <v>47</v>
      </c>
    </row>
    <row r="1581" spans="1:2" x14ac:dyDescent="0.15">
      <c r="A1581" s="1">
        <v>31878</v>
      </c>
      <c r="B1581" s="1">
        <v>47</v>
      </c>
    </row>
    <row r="1582" spans="1:2" x14ac:dyDescent="0.15">
      <c r="A1582" s="1">
        <v>23616</v>
      </c>
      <c r="B1582" s="1">
        <v>47</v>
      </c>
    </row>
    <row r="1583" spans="1:2" x14ac:dyDescent="0.15">
      <c r="A1583" s="1">
        <v>45057</v>
      </c>
      <c r="B1583" s="1">
        <v>47</v>
      </c>
    </row>
    <row r="1584" spans="1:2" x14ac:dyDescent="0.15">
      <c r="A1584" s="1">
        <v>20559</v>
      </c>
      <c r="B1584" s="1">
        <v>46</v>
      </c>
    </row>
    <row r="1585" spans="1:2" x14ac:dyDescent="0.15">
      <c r="A1585" s="1">
        <v>22070</v>
      </c>
      <c r="B1585" s="1">
        <v>46</v>
      </c>
    </row>
    <row r="1586" spans="1:2" x14ac:dyDescent="0.15">
      <c r="A1586" s="1">
        <v>38961</v>
      </c>
      <c r="B1586" s="1">
        <v>46</v>
      </c>
    </row>
    <row r="1587" spans="1:2" x14ac:dyDescent="0.15">
      <c r="A1587" s="1">
        <v>17345</v>
      </c>
      <c r="B1587" s="1">
        <v>46</v>
      </c>
    </row>
    <row r="1588" spans="1:2" x14ac:dyDescent="0.15">
      <c r="A1588" s="1">
        <v>23091</v>
      </c>
      <c r="B1588" s="1">
        <v>46</v>
      </c>
    </row>
    <row r="1589" spans="1:2" x14ac:dyDescent="0.15">
      <c r="A1589" s="1">
        <v>28427</v>
      </c>
      <c r="B1589" s="1">
        <v>46</v>
      </c>
    </row>
    <row r="1590" spans="1:2" x14ac:dyDescent="0.15">
      <c r="A1590" s="1">
        <v>18393</v>
      </c>
      <c r="B1590" s="1">
        <v>46</v>
      </c>
    </row>
    <row r="1591" spans="1:2" x14ac:dyDescent="0.15">
      <c r="A1591" s="1">
        <v>24762</v>
      </c>
      <c r="B1591" s="1">
        <v>46</v>
      </c>
    </row>
    <row r="1592" spans="1:2" x14ac:dyDescent="0.15">
      <c r="A1592" s="1">
        <v>21645</v>
      </c>
      <c r="B1592" s="1">
        <v>46</v>
      </c>
    </row>
    <row r="1593" spans="1:2" x14ac:dyDescent="0.15">
      <c r="A1593" s="1">
        <v>26487</v>
      </c>
      <c r="B1593" s="1">
        <v>46</v>
      </c>
    </row>
    <row r="1594" spans="1:2" x14ac:dyDescent="0.15">
      <c r="A1594" s="1">
        <v>7500</v>
      </c>
      <c r="B1594" s="1">
        <v>45</v>
      </c>
    </row>
    <row r="1595" spans="1:2" x14ac:dyDescent="0.15">
      <c r="A1595" s="1">
        <v>23718</v>
      </c>
      <c r="B1595" s="1">
        <v>45</v>
      </c>
    </row>
    <row r="1596" spans="1:2" x14ac:dyDescent="0.15">
      <c r="A1596" s="1">
        <v>37401</v>
      </c>
      <c r="B1596" s="1">
        <v>45</v>
      </c>
    </row>
    <row r="1597" spans="1:2" x14ac:dyDescent="0.15">
      <c r="A1597" s="1">
        <v>29543</v>
      </c>
      <c r="B1597" s="1">
        <v>45</v>
      </c>
    </row>
    <row r="1598" spans="1:2" x14ac:dyDescent="0.15">
      <c r="A1598" s="1">
        <v>38054</v>
      </c>
      <c r="B1598" s="1">
        <v>45</v>
      </c>
    </row>
    <row r="1599" spans="1:2" x14ac:dyDescent="0.15">
      <c r="A1599" s="1">
        <v>24882</v>
      </c>
      <c r="B1599" s="1">
        <v>44</v>
      </c>
    </row>
    <row r="1600" spans="1:2" x14ac:dyDescent="0.15">
      <c r="A1600" s="1">
        <v>29315</v>
      </c>
      <c r="B1600" s="1">
        <v>44</v>
      </c>
    </row>
    <row r="1601" spans="1:2" x14ac:dyDescent="0.15">
      <c r="A1601" s="1">
        <v>30351</v>
      </c>
      <c r="B1601" s="1">
        <v>44</v>
      </c>
    </row>
    <row r="1602" spans="1:2" x14ac:dyDescent="0.15">
      <c r="A1602" s="1">
        <v>21063</v>
      </c>
      <c r="B1602" s="1">
        <v>44</v>
      </c>
    </row>
    <row r="1603" spans="1:2" x14ac:dyDescent="0.15">
      <c r="A1603" s="1">
        <v>22063</v>
      </c>
      <c r="B1603" s="1">
        <v>44</v>
      </c>
    </row>
    <row r="1604" spans="1:2" x14ac:dyDescent="0.15">
      <c r="A1604" s="1">
        <v>32892</v>
      </c>
      <c r="B1604" s="1">
        <v>44</v>
      </c>
    </row>
    <row r="1605" spans="1:2" x14ac:dyDescent="0.15">
      <c r="A1605" s="1">
        <v>16269</v>
      </c>
      <c r="B1605" s="1">
        <v>44</v>
      </c>
    </row>
    <row r="1606" spans="1:2" x14ac:dyDescent="0.15">
      <c r="A1606" s="1">
        <v>46831</v>
      </c>
      <c r="B1606" s="1">
        <v>44</v>
      </c>
    </row>
    <row r="1607" spans="1:2" x14ac:dyDescent="0.15">
      <c r="A1607" s="1">
        <v>36026</v>
      </c>
      <c r="B1607" s="1">
        <v>44</v>
      </c>
    </row>
    <row r="1608" spans="1:2" x14ac:dyDescent="0.15">
      <c r="A1608" s="1">
        <v>12393</v>
      </c>
      <c r="B1608" s="1">
        <v>44</v>
      </c>
    </row>
    <row r="1609" spans="1:2" x14ac:dyDescent="0.15">
      <c r="A1609" s="1">
        <v>18746</v>
      </c>
      <c r="B1609" s="1">
        <v>44</v>
      </c>
    </row>
    <row r="1610" spans="1:2" x14ac:dyDescent="0.15">
      <c r="A1610" s="1">
        <v>21955</v>
      </c>
      <c r="B1610" s="1">
        <v>44</v>
      </c>
    </row>
    <row r="1611" spans="1:2" x14ac:dyDescent="0.15">
      <c r="A1611" s="1">
        <v>44359</v>
      </c>
      <c r="B1611" s="1">
        <v>44</v>
      </c>
    </row>
    <row r="1612" spans="1:2" x14ac:dyDescent="0.15">
      <c r="A1612" s="1">
        <v>30351</v>
      </c>
      <c r="B1612" s="1">
        <v>44</v>
      </c>
    </row>
    <row r="1613" spans="1:2" x14ac:dyDescent="0.15">
      <c r="A1613" s="1">
        <v>19444</v>
      </c>
      <c r="B1613" s="1">
        <v>44</v>
      </c>
    </row>
    <row r="1614" spans="1:2" x14ac:dyDescent="0.15">
      <c r="A1614" s="1">
        <v>17649</v>
      </c>
      <c r="B1614" s="1">
        <v>44</v>
      </c>
    </row>
    <row r="1615" spans="1:2" x14ac:dyDescent="0.15">
      <c r="A1615" s="1">
        <v>30828</v>
      </c>
      <c r="B1615" s="1">
        <v>44</v>
      </c>
    </row>
    <row r="1616" spans="1:2" x14ac:dyDescent="0.15">
      <c r="A1616" s="1">
        <v>26067</v>
      </c>
      <c r="B1616" s="1">
        <v>44</v>
      </c>
    </row>
    <row r="1617" spans="1:2" x14ac:dyDescent="0.15">
      <c r="A1617" s="1">
        <v>23626</v>
      </c>
      <c r="B1617" s="1">
        <v>43</v>
      </c>
    </row>
    <row r="1618" spans="1:2" x14ac:dyDescent="0.15">
      <c r="A1618" s="1">
        <v>38853</v>
      </c>
      <c r="B1618" s="1">
        <v>43</v>
      </c>
    </row>
    <row r="1619" spans="1:2" x14ac:dyDescent="0.15">
      <c r="A1619" s="1">
        <v>25271</v>
      </c>
      <c r="B1619" s="1">
        <v>43</v>
      </c>
    </row>
    <row r="1620" spans="1:2" x14ac:dyDescent="0.15">
      <c r="A1620" s="1">
        <v>24027</v>
      </c>
      <c r="B1620" s="1">
        <v>43</v>
      </c>
    </row>
    <row r="1621" spans="1:2" x14ac:dyDescent="0.15">
      <c r="A1621" s="1">
        <v>25851</v>
      </c>
      <c r="B1621" s="1">
        <v>43</v>
      </c>
    </row>
    <row r="1622" spans="1:2" x14ac:dyDescent="0.15">
      <c r="A1622" s="1">
        <v>25804</v>
      </c>
      <c r="B1622" s="1">
        <v>43</v>
      </c>
    </row>
    <row r="1623" spans="1:2" x14ac:dyDescent="0.15">
      <c r="A1623" s="1">
        <v>33462</v>
      </c>
      <c r="B1623" s="1">
        <v>43</v>
      </c>
    </row>
    <row r="1624" spans="1:2" x14ac:dyDescent="0.15">
      <c r="A1624" s="1">
        <v>22434</v>
      </c>
      <c r="B1624" s="1">
        <v>43</v>
      </c>
    </row>
    <row r="1625" spans="1:2" x14ac:dyDescent="0.15">
      <c r="A1625" s="1">
        <v>41658</v>
      </c>
      <c r="B1625" s="1">
        <v>43</v>
      </c>
    </row>
    <row r="1626" spans="1:2" x14ac:dyDescent="0.15">
      <c r="A1626" s="1">
        <v>24639</v>
      </c>
      <c r="B1626" s="1">
        <v>43</v>
      </c>
    </row>
    <row r="1627" spans="1:2" x14ac:dyDescent="0.15">
      <c r="A1627" s="1">
        <v>23162</v>
      </c>
      <c r="B1627" s="1">
        <v>43</v>
      </c>
    </row>
    <row r="1628" spans="1:2" x14ac:dyDescent="0.15">
      <c r="A1628" s="1">
        <v>32765</v>
      </c>
      <c r="B1628" s="1">
        <v>43</v>
      </c>
    </row>
    <row r="1629" spans="1:2" x14ac:dyDescent="0.15">
      <c r="A1629" s="1">
        <v>20981</v>
      </c>
      <c r="B1629" s="1">
        <v>43</v>
      </c>
    </row>
    <row r="1630" spans="1:2" x14ac:dyDescent="0.15">
      <c r="A1630" s="1">
        <v>41728</v>
      </c>
      <c r="B1630" s="1">
        <v>42</v>
      </c>
    </row>
    <row r="1631" spans="1:2" x14ac:dyDescent="0.15">
      <c r="A1631" s="1">
        <v>31615</v>
      </c>
      <c r="B1631" s="1">
        <v>42</v>
      </c>
    </row>
    <row r="1632" spans="1:2" x14ac:dyDescent="0.15">
      <c r="A1632" s="1">
        <v>30630</v>
      </c>
      <c r="B1632" s="1">
        <v>42</v>
      </c>
    </row>
    <row r="1633" spans="1:2" x14ac:dyDescent="0.15">
      <c r="A1633" s="1">
        <v>13260</v>
      </c>
      <c r="B1633" s="1">
        <v>42</v>
      </c>
    </row>
    <row r="1634" spans="1:2" x14ac:dyDescent="0.15">
      <c r="A1634" s="1">
        <v>29103</v>
      </c>
      <c r="B1634" s="1">
        <v>42</v>
      </c>
    </row>
    <row r="1635" spans="1:2" x14ac:dyDescent="0.15">
      <c r="A1635" s="1">
        <v>28072</v>
      </c>
      <c r="B1635" s="1">
        <v>42</v>
      </c>
    </row>
    <row r="1636" spans="1:2" x14ac:dyDescent="0.15">
      <c r="A1636" s="1">
        <v>22585</v>
      </c>
      <c r="B1636" s="1">
        <v>42</v>
      </c>
    </row>
    <row r="1637" spans="1:2" x14ac:dyDescent="0.15">
      <c r="A1637" s="1">
        <v>29009</v>
      </c>
      <c r="B1637" s="1">
        <v>42</v>
      </c>
    </row>
    <row r="1638" spans="1:2" x14ac:dyDescent="0.15">
      <c r="A1638" s="1">
        <v>17323</v>
      </c>
      <c r="B1638" s="1">
        <v>41</v>
      </c>
    </row>
    <row r="1639" spans="1:2" x14ac:dyDescent="0.15">
      <c r="A1639" s="1">
        <v>30992</v>
      </c>
      <c r="B1639" s="1">
        <v>41</v>
      </c>
    </row>
    <row r="1640" spans="1:2" x14ac:dyDescent="0.15">
      <c r="A1640" s="1">
        <v>28718</v>
      </c>
      <c r="B1640" s="1">
        <v>41</v>
      </c>
    </row>
    <row r="1641" spans="1:2" x14ac:dyDescent="0.15">
      <c r="A1641" s="1">
        <v>23976</v>
      </c>
      <c r="B1641" s="1">
        <v>41</v>
      </c>
    </row>
    <row r="1642" spans="1:2" x14ac:dyDescent="0.15">
      <c r="A1642" s="1">
        <v>30675</v>
      </c>
      <c r="B1642" s="1">
        <v>41</v>
      </c>
    </row>
    <row r="1643" spans="1:2" x14ac:dyDescent="0.15">
      <c r="A1643" s="1">
        <v>55563</v>
      </c>
      <c r="B1643" s="1">
        <v>41</v>
      </c>
    </row>
    <row r="1644" spans="1:2" x14ac:dyDescent="0.15">
      <c r="A1644" s="1">
        <v>18690</v>
      </c>
      <c r="B1644" s="1">
        <v>41</v>
      </c>
    </row>
    <row r="1645" spans="1:2" x14ac:dyDescent="0.15">
      <c r="A1645" s="1">
        <v>17144</v>
      </c>
      <c r="B1645" s="1">
        <v>41</v>
      </c>
    </row>
    <row r="1646" spans="1:2" x14ac:dyDescent="0.15">
      <c r="A1646" s="1">
        <v>38576</v>
      </c>
      <c r="B1646" s="1">
        <v>41</v>
      </c>
    </row>
    <row r="1647" spans="1:2" x14ac:dyDescent="0.15">
      <c r="A1647" s="1">
        <v>21675</v>
      </c>
      <c r="B1647" s="1">
        <v>41</v>
      </c>
    </row>
    <row r="1648" spans="1:2" x14ac:dyDescent="0.15">
      <c r="A1648" s="1">
        <v>19514</v>
      </c>
      <c r="B1648" s="1">
        <v>41</v>
      </c>
    </row>
    <row r="1649" spans="1:2" x14ac:dyDescent="0.15">
      <c r="A1649" s="1">
        <v>38196</v>
      </c>
      <c r="B1649" s="1">
        <v>41</v>
      </c>
    </row>
    <row r="1650" spans="1:2" x14ac:dyDescent="0.15">
      <c r="A1650" s="1">
        <v>42693</v>
      </c>
      <c r="B1650" s="1">
        <v>41</v>
      </c>
    </row>
    <row r="1651" spans="1:2" x14ac:dyDescent="0.15">
      <c r="A1651" s="1">
        <v>37235</v>
      </c>
      <c r="B1651" s="1">
        <v>41</v>
      </c>
    </row>
    <row r="1652" spans="1:2" x14ac:dyDescent="0.15">
      <c r="A1652" s="1">
        <v>20895</v>
      </c>
      <c r="B1652" s="1">
        <v>41</v>
      </c>
    </row>
    <row r="1653" spans="1:2" x14ac:dyDescent="0.15">
      <c r="A1653" s="1">
        <v>27161</v>
      </c>
      <c r="B1653" s="1">
        <v>41</v>
      </c>
    </row>
    <row r="1654" spans="1:2" x14ac:dyDescent="0.15">
      <c r="A1654" s="1">
        <v>35701</v>
      </c>
      <c r="B1654" s="1">
        <v>41</v>
      </c>
    </row>
    <row r="1655" spans="1:2" x14ac:dyDescent="0.15">
      <c r="A1655" s="1">
        <v>35178</v>
      </c>
      <c r="B1655" s="1">
        <v>41</v>
      </c>
    </row>
    <row r="1656" spans="1:2" x14ac:dyDescent="0.15">
      <c r="A1656" s="1">
        <v>42554</v>
      </c>
      <c r="B1656" s="1">
        <v>41</v>
      </c>
    </row>
    <row r="1657" spans="1:2" x14ac:dyDescent="0.15">
      <c r="A1657" s="1">
        <v>19514</v>
      </c>
      <c r="B1657" s="1">
        <v>41</v>
      </c>
    </row>
    <row r="1658" spans="1:2" x14ac:dyDescent="0.15">
      <c r="A1658" s="1">
        <v>32414</v>
      </c>
      <c r="B1658" s="1">
        <v>40</v>
      </c>
    </row>
    <row r="1659" spans="1:2" x14ac:dyDescent="0.15">
      <c r="A1659" s="1">
        <v>50943</v>
      </c>
      <c r="B1659" s="1">
        <v>40</v>
      </c>
    </row>
    <row r="1660" spans="1:2" x14ac:dyDescent="0.15">
      <c r="A1660" s="1">
        <v>38415</v>
      </c>
      <c r="B1660" s="1">
        <v>40</v>
      </c>
    </row>
    <row r="1661" spans="1:2" x14ac:dyDescent="0.15">
      <c r="A1661" s="1">
        <v>27203</v>
      </c>
      <c r="B1661" s="1">
        <v>40</v>
      </c>
    </row>
    <row r="1662" spans="1:2" x14ac:dyDescent="0.15">
      <c r="A1662" s="1">
        <v>32880</v>
      </c>
      <c r="B1662" s="1">
        <v>40</v>
      </c>
    </row>
    <row r="1663" spans="1:2" x14ac:dyDescent="0.15">
      <c r="A1663" s="1">
        <v>28567</v>
      </c>
      <c r="B1663" s="1">
        <v>40</v>
      </c>
    </row>
    <row r="1664" spans="1:2" x14ac:dyDescent="0.15">
      <c r="A1664" s="1">
        <v>20425</v>
      </c>
      <c r="B1664" s="1">
        <v>40</v>
      </c>
    </row>
    <row r="1665" spans="1:2" x14ac:dyDescent="0.15">
      <c r="A1665" s="1">
        <v>26872</v>
      </c>
      <c r="B1665" s="1">
        <v>40</v>
      </c>
    </row>
    <row r="1666" spans="1:2" x14ac:dyDescent="0.15">
      <c r="A1666" s="1">
        <v>23228</v>
      </c>
      <c r="B1666" s="1">
        <v>40</v>
      </c>
    </row>
    <row r="1667" spans="1:2" x14ac:dyDescent="0.15">
      <c r="A1667" s="1">
        <v>46015</v>
      </c>
      <c r="B1667" s="1">
        <v>40</v>
      </c>
    </row>
    <row r="1668" spans="1:2" x14ac:dyDescent="0.15">
      <c r="A1668" s="1">
        <v>46106</v>
      </c>
      <c r="B1668" s="1">
        <v>40</v>
      </c>
    </row>
    <row r="1669" spans="1:2" x14ac:dyDescent="0.15">
      <c r="A1669" s="1">
        <v>35340</v>
      </c>
      <c r="B1669" s="1">
        <v>40</v>
      </c>
    </row>
    <row r="1670" spans="1:2" x14ac:dyDescent="0.15">
      <c r="A1670" s="1">
        <v>30023</v>
      </c>
      <c r="B1670" s="1">
        <v>40</v>
      </c>
    </row>
    <row r="1671" spans="1:2" x14ac:dyDescent="0.15">
      <c r="A1671" s="1">
        <v>17256</v>
      </c>
      <c r="B1671" s="1">
        <v>40</v>
      </c>
    </row>
    <row r="1672" spans="1:2" x14ac:dyDescent="0.15">
      <c r="A1672" s="1">
        <v>36732</v>
      </c>
      <c r="B1672" s="1">
        <v>40</v>
      </c>
    </row>
    <row r="1673" spans="1:2" x14ac:dyDescent="0.15">
      <c r="A1673" s="1">
        <v>38725</v>
      </c>
      <c r="B1673" s="1">
        <v>40</v>
      </c>
    </row>
    <row r="1674" spans="1:2" x14ac:dyDescent="0.15">
      <c r="A1674" s="1">
        <v>44503</v>
      </c>
      <c r="B1674" s="1">
        <v>40</v>
      </c>
    </row>
    <row r="1675" spans="1:2" x14ac:dyDescent="0.15">
      <c r="A1675" s="1">
        <v>36038</v>
      </c>
      <c r="B1675" s="1">
        <v>40</v>
      </c>
    </row>
    <row r="1676" spans="1:2" x14ac:dyDescent="0.15">
      <c r="A1676" s="1">
        <v>27733</v>
      </c>
      <c r="B1676" s="1">
        <v>40</v>
      </c>
    </row>
    <row r="1677" spans="1:2" x14ac:dyDescent="0.15">
      <c r="A1677" s="1">
        <v>35788</v>
      </c>
      <c r="B1677" s="1">
        <v>40</v>
      </c>
    </row>
    <row r="1678" spans="1:2" x14ac:dyDescent="0.15">
      <c r="A1678" s="1">
        <v>53233</v>
      </c>
      <c r="B1678" s="1">
        <v>40</v>
      </c>
    </row>
    <row r="1679" spans="1:2" x14ac:dyDescent="0.15">
      <c r="A1679" s="1">
        <v>29604</v>
      </c>
      <c r="B1679" s="1">
        <v>39</v>
      </c>
    </row>
    <row r="1680" spans="1:2" x14ac:dyDescent="0.15">
      <c r="A1680" s="1">
        <v>44300</v>
      </c>
      <c r="B1680" s="1">
        <v>39</v>
      </c>
    </row>
    <row r="1681" spans="1:2" x14ac:dyDescent="0.15">
      <c r="A1681" s="1">
        <v>38643</v>
      </c>
      <c r="B1681" s="1">
        <v>39</v>
      </c>
    </row>
    <row r="1682" spans="1:2" x14ac:dyDescent="0.15">
      <c r="A1682" s="1">
        <v>30822</v>
      </c>
      <c r="B1682" s="1">
        <v>39</v>
      </c>
    </row>
    <row r="1683" spans="1:2" x14ac:dyDescent="0.15">
      <c r="A1683" s="1">
        <v>48006</v>
      </c>
      <c r="B1683" s="1">
        <v>39</v>
      </c>
    </row>
    <row r="1684" spans="1:2" x14ac:dyDescent="0.15">
      <c r="A1684" s="1">
        <v>35682</v>
      </c>
      <c r="B1684" s="1">
        <v>39</v>
      </c>
    </row>
    <row r="1685" spans="1:2" x14ac:dyDescent="0.15">
      <c r="A1685" s="1">
        <v>51124</v>
      </c>
      <c r="B1685" s="1">
        <v>39</v>
      </c>
    </row>
    <row r="1686" spans="1:2" x14ac:dyDescent="0.15">
      <c r="A1686" s="1">
        <v>37758</v>
      </c>
      <c r="B1686" s="1">
        <v>39</v>
      </c>
    </row>
    <row r="1687" spans="1:2" x14ac:dyDescent="0.15">
      <c r="A1687" s="1">
        <v>31056</v>
      </c>
      <c r="B1687" s="1">
        <v>39</v>
      </c>
    </row>
    <row r="1688" spans="1:2" x14ac:dyDescent="0.15">
      <c r="A1688" s="1">
        <v>39722</v>
      </c>
      <c r="B1688" s="1">
        <v>39</v>
      </c>
    </row>
    <row r="1689" spans="1:2" x14ac:dyDescent="0.15">
      <c r="A1689" s="1">
        <v>40451</v>
      </c>
      <c r="B1689" s="1">
        <v>39</v>
      </c>
    </row>
    <row r="1690" spans="1:2" x14ac:dyDescent="0.15">
      <c r="A1690" s="1">
        <v>31454</v>
      </c>
      <c r="B1690" s="1">
        <v>39</v>
      </c>
    </row>
    <row r="1691" spans="1:2" x14ac:dyDescent="0.15">
      <c r="A1691" s="1">
        <v>33986</v>
      </c>
      <c r="B1691" s="1">
        <v>39</v>
      </c>
    </row>
    <row r="1692" spans="1:2" x14ac:dyDescent="0.15">
      <c r="A1692" s="1">
        <v>34043</v>
      </c>
      <c r="B1692" s="1">
        <v>39</v>
      </c>
    </row>
    <row r="1693" spans="1:2" x14ac:dyDescent="0.15">
      <c r="A1693" s="1">
        <v>46094</v>
      </c>
      <c r="B1693" s="1">
        <v>39</v>
      </c>
    </row>
    <row r="1694" spans="1:2" x14ac:dyDescent="0.15">
      <c r="A1694" s="1">
        <v>44964</v>
      </c>
      <c r="B1694" s="1">
        <v>39</v>
      </c>
    </row>
    <row r="1695" spans="1:2" x14ac:dyDescent="0.15">
      <c r="A1695" s="1">
        <v>38887</v>
      </c>
      <c r="B1695" s="1">
        <v>39</v>
      </c>
    </row>
    <row r="1696" spans="1:2" x14ac:dyDescent="0.15">
      <c r="A1696" s="1">
        <v>54132</v>
      </c>
      <c r="B1696" s="1">
        <v>39</v>
      </c>
    </row>
    <row r="1697" spans="1:2" x14ac:dyDescent="0.15">
      <c r="A1697" s="1">
        <v>54072</v>
      </c>
      <c r="B1697" s="1">
        <v>39</v>
      </c>
    </row>
    <row r="1698" spans="1:2" x14ac:dyDescent="0.15">
      <c r="A1698" s="1">
        <v>42403</v>
      </c>
      <c r="B1698" s="1">
        <v>39</v>
      </c>
    </row>
    <row r="1699" spans="1:2" x14ac:dyDescent="0.15">
      <c r="A1699" s="1">
        <v>49638</v>
      </c>
      <c r="B1699" s="1">
        <v>39</v>
      </c>
    </row>
    <row r="1700" spans="1:2" x14ac:dyDescent="0.15">
      <c r="A1700" s="1">
        <v>28320</v>
      </c>
      <c r="B1700" s="1">
        <v>39</v>
      </c>
    </row>
    <row r="1701" spans="1:2" x14ac:dyDescent="0.15">
      <c r="A1701" s="1">
        <v>48794</v>
      </c>
      <c r="B1701" s="1">
        <v>39</v>
      </c>
    </row>
    <row r="1702" spans="1:2" x14ac:dyDescent="0.15">
      <c r="A1702" s="1">
        <v>33569</v>
      </c>
      <c r="B1702" s="1">
        <v>39</v>
      </c>
    </row>
    <row r="1703" spans="1:2" x14ac:dyDescent="0.15">
      <c r="A1703" s="1">
        <v>17459</v>
      </c>
      <c r="B1703" s="1">
        <v>39</v>
      </c>
    </row>
    <row r="1704" spans="1:2" x14ac:dyDescent="0.15">
      <c r="A1704" s="1">
        <v>7500</v>
      </c>
      <c r="B1704" s="1">
        <v>39</v>
      </c>
    </row>
    <row r="1705" spans="1:2" x14ac:dyDescent="0.15">
      <c r="A1705" s="1">
        <v>48699</v>
      </c>
      <c r="B1705" s="1">
        <v>39</v>
      </c>
    </row>
    <row r="1706" spans="1:2" x14ac:dyDescent="0.15">
      <c r="A1706" s="1">
        <v>53204</v>
      </c>
      <c r="B1706" s="1">
        <v>39</v>
      </c>
    </row>
    <row r="1707" spans="1:2" x14ac:dyDescent="0.15">
      <c r="A1707" s="1">
        <v>41967</v>
      </c>
      <c r="B1707" s="1">
        <v>39</v>
      </c>
    </row>
    <row r="1708" spans="1:2" x14ac:dyDescent="0.15">
      <c r="A1708" s="1">
        <v>54432</v>
      </c>
      <c r="B1708" s="1">
        <v>38</v>
      </c>
    </row>
    <row r="1709" spans="1:2" x14ac:dyDescent="0.15">
      <c r="A1709" s="1">
        <v>30081</v>
      </c>
      <c r="B1709" s="1">
        <v>38</v>
      </c>
    </row>
    <row r="1710" spans="1:2" x14ac:dyDescent="0.15">
      <c r="A1710" s="1">
        <v>35441</v>
      </c>
      <c r="B1710" s="1">
        <v>38</v>
      </c>
    </row>
    <row r="1711" spans="1:2" x14ac:dyDescent="0.15">
      <c r="A1711" s="1">
        <v>45889</v>
      </c>
      <c r="B1711" s="1">
        <v>38</v>
      </c>
    </row>
    <row r="1712" spans="1:2" x14ac:dyDescent="0.15">
      <c r="A1712" s="1">
        <v>45894</v>
      </c>
      <c r="B1712" s="1">
        <v>38</v>
      </c>
    </row>
    <row r="1713" spans="1:2" x14ac:dyDescent="0.15">
      <c r="A1713" s="1">
        <v>27116</v>
      </c>
      <c r="B1713" s="1">
        <v>38</v>
      </c>
    </row>
    <row r="1714" spans="1:2" x14ac:dyDescent="0.15">
      <c r="A1714" s="1">
        <v>22148</v>
      </c>
      <c r="B1714" s="1">
        <v>38</v>
      </c>
    </row>
    <row r="1715" spans="1:2" x14ac:dyDescent="0.15">
      <c r="A1715" s="1">
        <v>4428</v>
      </c>
      <c r="B1715" s="1">
        <v>38</v>
      </c>
    </row>
    <row r="1716" spans="1:2" x14ac:dyDescent="0.15">
      <c r="A1716" s="1">
        <v>32871</v>
      </c>
      <c r="B1716" s="1">
        <v>38</v>
      </c>
    </row>
    <row r="1717" spans="1:2" x14ac:dyDescent="0.15">
      <c r="A1717" s="1">
        <v>21359</v>
      </c>
      <c r="B1717" s="1">
        <v>38</v>
      </c>
    </row>
    <row r="1718" spans="1:2" x14ac:dyDescent="0.15">
      <c r="A1718" s="1">
        <v>25224</v>
      </c>
      <c r="B1718" s="1">
        <v>38</v>
      </c>
    </row>
    <row r="1719" spans="1:2" x14ac:dyDescent="0.15">
      <c r="A1719" s="1">
        <v>45146</v>
      </c>
      <c r="B1719" s="1">
        <v>38</v>
      </c>
    </row>
    <row r="1720" spans="1:2" x14ac:dyDescent="0.15">
      <c r="A1720" s="1">
        <v>32303</v>
      </c>
      <c r="B1720" s="1">
        <v>37</v>
      </c>
    </row>
    <row r="1721" spans="1:2" x14ac:dyDescent="0.15">
      <c r="A1721" s="1">
        <v>7500</v>
      </c>
      <c r="B1721" s="1">
        <v>37</v>
      </c>
    </row>
    <row r="1722" spans="1:2" x14ac:dyDescent="0.15">
      <c r="A1722" s="1">
        <v>30372</v>
      </c>
      <c r="B1722" s="1">
        <v>37</v>
      </c>
    </row>
    <row r="1723" spans="1:2" x14ac:dyDescent="0.15">
      <c r="A1723" s="1">
        <v>38443</v>
      </c>
      <c r="B1723" s="1">
        <v>37</v>
      </c>
    </row>
    <row r="1724" spans="1:2" x14ac:dyDescent="0.15">
      <c r="A1724" s="1">
        <v>47821</v>
      </c>
      <c r="B1724" s="1">
        <v>37</v>
      </c>
    </row>
    <row r="1725" spans="1:2" x14ac:dyDescent="0.15">
      <c r="A1725" s="1">
        <v>16813</v>
      </c>
      <c r="B1725" s="1">
        <v>37</v>
      </c>
    </row>
    <row r="1726" spans="1:2" x14ac:dyDescent="0.15">
      <c r="A1726" s="1">
        <v>38197</v>
      </c>
      <c r="B1726" s="1">
        <v>37</v>
      </c>
    </row>
    <row r="1727" spans="1:2" x14ac:dyDescent="0.15">
      <c r="A1727" s="1">
        <v>37633</v>
      </c>
      <c r="B1727" s="1">
        <v>37</v>
      </c>
    </row>
    <row r="1728" spans="1:2" x14ac:dyDescent="0.15">
      <c r="A1728" s="1">
        <v>44078</v>
      </c>
      <c r="B1728" s="1">
        <v>37</v>
      </c>
    </row>
    <row r="1729" spans="1:2" x14ac:dyDescent="0.15">
      <c r="A1729" s="1">
        <v>22448</v>
      </c>
      <c r="B1729" s="1">
        <v>37</v>
      </c>
    </row>
    <row r="1730" spans="1:2" x14ac:dyDescent="0.15">
      <c r="A1730" s="1">
        <v>22554</v>
      </c>
      <c r="B1730" s="1">
        <v>37</v>
      </c>
    </row>
    <row r="1731" spans="1:2" x14ac:dyDescent="0.15">
      <c r="A1731" s="1">
        <v>31859</v>
      </c>
      <c r="B1731" s="1">
        <v>37</v>
      </c>
    </row>
    <row r="1732" spans="1:2" x14ac:dyDescent="0.15">
      <c r="A1732" s="1">
        <v>29819</v>
      </c>
      <c r="B1732" s="1">
        <v>37</v>
      </c>
    </row>
    <row r="1733" spans="1:2" x14ac:dyDescent="0.15">
      <c r="A1733" s="1">
        <v>34350</v>
      </c>
      <c r="B1733" s="1">
        <v>37</v>
      </c>
    </row>
    <row r="1734" spans="1:2" x14ac:dyDescent="0.15">
      <c r="A1734" s="1">
        <v>21355</v>
      </c>
      <c r="B1734" s="1">
        <v>37</v>
      </c>
    </row>
    <row r="1735" spans="1:2" x14ac:dyDescent="0.15">
      <c r="A1735" s="1">
        <v>5648</v>
      </c>
      <c r="B1735" s="1">
        <v>36</v>
      </c>
    </row>
    <row r="1736" spans="1:2" x14ac:dyDescent="0.15">
      <c r="A1736" s="1">
        <v>30096</v>
      </c>
      <c r="B1736" s="1">
        <v>36</v>
      </c>
    </row>
    <row r="1737" spans="1:2" x14ac:dyDescent="0.15">
      <c r="A1737" s="1">
        <v>12571</v>
      </c>
      <c r="B1737" s="1">
        <v>36</v>
      </c>
    </row>
    <row r="1738" spans="1:2" x14ac:dyDescent="0.15">
      <c r="A1738" s="1">
        <v>30279</v>
      </c>
      <c r="B1738" s="1">
        <v>36</v>
      </c>
    </row>
    <row r="1739" spans="1:2" x14ac:dyDescent="0.15">
      <c r="A1739" s="1">
        <v>39548</v>
      </c>
      <c r="B1739" s="1">
        <v>36</v>
      </c>
    </row>
    <row r="1740" spans="1:2" x14ac:dyDescent="0.15">
      <c r="A1740" s="1">
        <v>39771</v>
      </c>
      <c r="B1740" s="1">
        <v>36</v>
      </c>
    </row>
    <row r="1741" spans="1:2" x14ac:dyDescent="0.15">
      <c r="A1741" s="1">
        <v>18351</v>
      </c>
      <c r="B1741" s="1">
        <v>36</v>
      </c>
    </row>
    <row r="1742" spans="1:2" x14ac:dyDescent="0.15">
      <c r="A1742" s="1">
        <v>21059</v>
      </c>
      <c r="B1742" s="1">
        <v>36</v>
      </c>
    </row>
    <row r="1743" spans="1:2" x14ac:dyDescent="0.15">
      <c r="A1743" s="1">
        <v>23763</v>
      </c>
      <c r="B1743" s="1">
        <v>36</v>
      </c>
    </row>
    <row r="1744" spans="1:2" x14ac:dyDescent="0.15">
      <c r="A1744" s="1">
        <v>40637</v>
      </c>
      <c r="B1744" s="1">
        <v>35</v>
      </c>
    </row>
    <row r="1745" spans="1:2" x14ac:dyDescent="0.15">
      <c r="A1745" s="1">
        <v>22574</v>
      </c>
      <c r="B1745" s="1">
        <v>35</v>
      </c>
    </row>
    <row r="1746" spans="1:2" x14ac:dyDescent="0.15">
      <c r="A1746" s="1">
        <v>27255</v>
      </c>
      <c r="B1746" s="1">
        <v>35</v>
      </c>
    </row>
    <row r="1747" spans="1:2" x14ac:dyDescent="0.15">
      <c r="A1747" s="1">
        <v>24683</v>
      </c>
      <c r="B1747" s="1">
        <v>35</v>
      </c>
    </row>
    <row r="1748" spans="1:2" x14ac:dyDescent="0.15">
      <c r="A1748" s="1">
        <v>31590</v>
      </c>
      <c r="B1748" s="1">
        <v>35</v>
      </c>
    </row>
    <row r="1749" spans="1:2" x14ac:dyDescent="0.15">
      <c r="A1749" s="1">
        <v>15072</v>
      </c>
      <c r="B1749" s="1">
        <v>35</v>
      </c>
    </row>
    <row r="1750" spans="1:2" x14ac:dyDescent="0.15">
      <c r="A1750" s="1">
        <v>34704</v>
      </c>
      <c r="B1750" s="1">
        <v>35</v>
      </c>
    </row>
    <row r="1751" spans="1:2" x14ac:dyDescent="0.15">
      <c r="A1751" s="1">
        <v>19740</v>
      </c>
      <c r="B1751" s="1">
        <v>35</v>
      </c>
    </row>
    <row r="1752" spans="1:2" x14ac:dyDescent="0.15">
      <c r="A1752" s="1">
        <v>34984</v>
      </c>
      <c r="B1752" s="1">
        <v>35</v>
      </c>
    </row>
    <row r="1753" spans="1:2" x14ac:dyDescent="0.15">
      <c r="A1753" s="1">
        <v>14796</v>
      </c>
      <c r="B1753" s="1">
        <v>35</v>
      </c>
    </row>
    <row r="1754" spans="1:2" x14ac:dyDescent="0.15">
      <c r="A1754" s="1">
        <v>40851</v>
      </c>
      <c r="B1754" s="1">
        <v>35</v>
      </c>
    </row>
    <row r="1755" spans="1:2" x14ac:dyDescent="0.15">
      <c r="A1755" s="1">
        <v>36921</v>
      </c>
      <c r="B1755" s="1">
        <v>34</v>
      </c>
    </row>
    <row r="1756" spans="1:2" x14ac:dyDescent="0.15">
      <c r="A1756" s="1">
        <v>18701</v>
      </c>
      <c r="B1756" s="1">
        <v>34</v>
      </c>
    </row>
    <row r="1757" spans="1:2" x14ac:dyDescent="0.15">
      <c r="A1757" s="1">
        <v>44319</v>
      </c>
      <c r="B1757" s="1">
        <v>34</v>
      </c>
    </row>
    <row r="1758" spans="1:2" x14ac:dyDescent="0.15">
      <c r="A1758" s="1">
        <v>30801</v>
      </c>
      <c r="B1758" s="1">
        <v>34</v>
      </c>
    </row>
    <row r="1759" spans="1:2" x14ac:dyDescent="0.15">
      <c r="A1759" s="1">
        <v>37859</v>
      </c>
      <c r="B1759" s="1">
        <v>34</v>
      </c>
    </row>
    <row r="1760" spans="1:2" x14ac:dyDescent="0.15">
      <c r="A1760" s="1">
        <v>23529</v>
      </c>
      <c r="B1760" s="1">
        <v>34</v>
      </c>
    </row>
    <row r="1761" spans="1:2" x14ac:dyDescent="0.15">
      <c r="A1761" s="1">
        <v>26642</v>
      </c>
      <c r="B1761" s="1">
        <v>34</v>
      </c>
    </row>
    <row r="1762" spans="1:2" x14ac:dyDescent="0.15">
      <c r="A1762" s="1">
        <v>25410</v>
      </c>
      <c r="B1762" s="1">
        <v>34</v>
      </c>
    </row>
    <row r="1763" spans="1:2" x14ac:dyDescent="0.15">
      <c r="A1763" s="1">
        <v>27943</v>
      </c>
      <c r="B1763" s="1">
        <v>34</v>
      </c>
    </row>
    <row r="1764" spans="1:2" x14ac:dyDescent="0.15">
      <c r="A1764" s="1">
        <v>23272</v>
      </c>
      <c r="B1764" s="1">
        <v>34</v>
      </c>
    </row>
    <row r="1765" spans="1:2" x14ac:dyDescent="0.15">
      <c r="A1765" s="1">
        <v>22518</v>
      </c>
      <c r="B1765" s="1">
        <v>34</v>
      </c>
    </row>
    <row r="1766" spans="1:2" x14ac:dyDescent="0.15">
      <c r="A1766" s="1">
        <v>29732</v>
      </c>
      <c r="B1766" s="1">
        <v>34</v>
      </c>
    </row>
    <row r="1767" spans="1:2" x14ac:dyDescent="0.15">
      <c r="A1767" s="1">
        <v>28249</v>
      </c>
      <c r="B1767" s="1">
        <v>33</v>
      </c>
    </row>
    <row r="1768" spans="1:2" x14ac:dyDescent="0.15">
      <c r="A1768" s="1">
        <v>24221</v>
      </c>
      <c r="B1768" s="1">
        <v>33</v>
      </c>
    </row>
    <row r="1769" spans="1:2" x14ac:dyDescent="0.15">
      <c r="A1769" s="1">
        <v>33178</v>
      </c>
      <c r="B1769" s="1">
        <v>33</v>
      </c>
    </row>
    <row r="1770" spans="1:2" x14ac:dyDescent="0.15">
      <c r="A1770" s="1">
        <v>46984</v>
      </c>
      <c r="B1770" s="1">
        <v>33</v>
      </c>
    </row>
    <row r="1771" spans="1:2" x14ac:dyDescent="0.15">
      <c r="A1771" s="1">
        <v>32300</v>
      </c>
      <c r="B1771" s="1">
        <v>33</v>
      </c>
    </row>
    <row r="1772" spans="1:2" x14ac:dyDescent="0.15">
      <c r="A1772" s="1">
        <v>16531</v>
      </c>
      <c r="B1772" s="1">
        <v>33</v>
      </c>
    </row>
    <row r="1773" spans="1:2" x14ac:dyDescent="0.15">
      <c r="A1773" s="1">
        <v>42231</v>
      </c>
      <c r="B1773" s="1">
        <v>33</v>
      </c>
    </row>
    <row r="1774" spans="1:2" x14ac:dyDescent="0.15">
      <c r="A1774" s="1">
        <v>24434</v>
      </c>
      <c r="B1774" s="1">
        <v>33</v>
      </c>
    </row>
    <row r="1775" spans="1:2" x14ac:dyDescent="0.15">
      <c r="A1775" s="1">
        <v>30899</v>
      </c>
      <c r="B1775" s="1">
        <v>32</v>
      </c>
    </row>
    <row r="1776" spans="1:2" x14ac:dyDescent="0.15">
      <c r="A1776" s="1">
        <v>48330</v>
      </c>
      <c r="B1776" s="1">
        <v>32</v>
      </c>
    </row>
    <row r="1777" spans="1:2" x14ac:dyDescent="0.15">
      <c r="A1777" s="1">
        <v>25315</v>
      </c>
      <c r="B1777" s="1">
        <v>32</v>
      </c>
    </row>
    <row r="1778" spans="1:2" x14ac:dyDescent="0.15">
      <c r="A1778" s="1">
        <v>35791</v>
      </c>
      <c r="B1778" s="1">
        <v>32</v>
      </c>
    </row>
    <row r="1779" spans="1:2" x14ac:dyDescent="0.15">
      <c r="A1779" s="1">
        <v>54162</v>
      </c>
      <c r="B1779" s="1">
        <v>32</v>
      </c>
    </row>
    <row r="1780" spans="1:2" x14ac:dyDescent="0.15">
      <c r="A1780" s="1">
        <v>29187</v>
      </c>
      <c r="B1780" s="1">
        <v>32</v>
      </c>
    </row>
    <row r="1781" spans="1:2" x14ac:dyDescent="0.15">
      <c r="A1781" s="1">
        <v>25130</v>
      </c>
      <c r="B1781" s="1">
        <v>32</v>
      </c>
    </row>
    <row r="1782" spans="1:2" x14ac:dyDescent="0.15">
      <c r="A1782" s="1">
        <v>7500</v>
      </c>
      <c r="B1782" s="1">
        <v>32</v>
      </c>
    </row>
    <row r="1783" spans="1:2" x14ac:dyDescent="0.15">
      <c r="A1783" s="1">
        <v>34853</v>
      </c>
      <c r="B1783" s="1">
        <v>32</v>
      </c>
    </row>
    <row r="1784" spans="1:2" x14ac:dyDescent="0.15">
      <c r="A1784" s="1">
        <v>31086</v>
      </c>
      <c r="B1784" s="1">
        <v>32</v>
      </c>
    </row>
    <row r="1785" spans="1:2" x14ac:dyDescent="0.15">
      <c r="A1785" s="1">
        <v>20194</v>
      </c>
      <c r="B1785" s="1">
        <v>32</v>
      </c>
    </row>
    <row r="1786" spans="1:2" x14ac:dyDescent="0.15">
      <c r="A1786" s="1">
        <v>27071</v>
      </c>
      <c r="B1786" s="1">
        <v>32</v>
      </c>
    </row>
    <row r="1787" spans="1:2" x14ac:dyDescent="0.15">
      <c r="A1787" s="1">
        <v>44155</v>
      </c>
      <c r="B1787" s="1">
        <v>32</v>
      </c>
    </row>
    <row r="1788" spans="1:2" x14ac:dyDescent="0.15">
      <c r="A1788" s="1">
        <v>31535</v>
      </c>
      <c r="B1788" s="1">
        <v>32</v>
      </c>
    </row>
    <row r="1789" spans="1:2" x14ac:dyDescent="0.15">
      <c r="A1789" s="1">
        <v>39062</v>
      </c>
      <c r="B1789" s="1">
        <v>32</v>
      </c>
    </row>
    <row r="1790" spans="1:2" x14ac:dyDescent="0.15">
      <c r="A1790" s="1">
        <v>7500</v>
      </c>
      <c r="B1790" s="1">
        <v>32</v>
      </c>
    </row>
    <row r="1791" spans="1:2" x14ac:dyDescent="0.15">
      <c r="A1791" s="1">
        <v>28839</v>
      </c>
      <c r="B1791" s="1">
        <v>31</v>
      </c>
    </row>
    <row r="1792" spans="1:2" x14ac:dyDescent="0.15">
      <c r="A1792" s="1">
        <v>10404</v>
      </c>
      <c r="B1792" s="1">
        <v>31</v>
      </c>
    </row>
    <row r="1793" spans="1:2" x14ac:dyDescent="0.15">
      <c r="A1793" s="1">
        <v>26095</v>
      </c>
      <c r="B1793" s="1">
        <v>31</v>
      </c>
    </row>
    <row r="1794" spans="1:2" x14ac:dyDescent="0.15">
      <c r="A1794" s="1">
        <v>36975</v>
      </c>
      <c r="B1794" s="1">
        <v>31</v>
      </c>
    </row>
    <row r="1795" spans="1:2" x14ac:dyDescent="0.15">
      <c r="A1795" s="1">
        <v>17003</v>
      </c>
      <c r="B1795" s="1">
        <v>31</v>
      </c>
    </row>
    <row r="1796" spans="1:2" x14ac:dyDescent="0.15">
      <c r="A1796" s="1">
        <v>13724</v>
      </c>
      <c r="B1796" s="1">
        <v>31</v>
      </c>
    </row>
    <row r="1797" spans="1:2" x14ac:dyDescent="0.15">
      <c r="A1797" s="1">
        <v>41437</v>
      </c>
      <c r="B1797" s="1">
        <v>31</v>
      </c>
    </row>
    <row r="1798" spans="1:2" x14ac:dyDescent="0.15">
      <c r="A1798" s="1">
        <v>16014</v>
      </c>
      <c r="B1798" s="1">
        <v>31</v>
      </c>
    </row>
    <row r="1799" spans="1:2" x14ac:dyDescent="0.15">
      <c r="A1799" s="1">
        <v>13533</v>
      </c>
      <c r="B1799" s="1">
        <v>31</v>
      </c>
    </row>
    <row r="1800" spans="1:2" x14ac:dyDescent="0.15">
      <c r="A1800" s="1">
        <v>8820</v>
      </c>
      <c r="B1800" s="1">
        <v>31</v>
      </c>
    </row>
    <row r="1801" spans="1:2" x14ac:dyDescent="0.15">
      <c r="A1801" s="1">
        <v>21918</v>
      </c>
      <c r="B1801" s="1">
        <v>30</v>
      </c>
    </row>
    <row r="1802" spans="1:2" x14ac:dyDescent="0.15">
      <c r="A1802" s="1">
        <v>28691</v>
      </c>
      <c r="B1802" s="1">
        <v>30</v>
      </c>
    </row>
    <row r="1803" spans="1:2" x14ac:dyDescent="0.15">
      <c r="A1803" s="1">
        <v>13624</v>
      </c>
      <c r="B1803" s="1">
        <v>30</v>
      </c>
    </row>
    <row r="1804" spans="1:2" x14ac:dyDescent="0.15">
      <c r="A1804" s="1">
        <v>27922</v>
      </c>
      <c r="B1804" s="1">
        <v>30</v>
      </c>
    </row>
    <row r="1805" spans="1:2" x14ac:dyDescent="0.15">
      <c r="A1805" s="1">
        <v>19107</v>
      </c>
      <c r="B1805" s="1">
        <v>30</v>
      </c>
    </row>
    <row r="1806" spans="1:2" x14ac:dyDescent="0.15">
      <c r="A1806" s="1">
        <v>36663</v>
      </c>
      <c r="B1806" s="1">
        <v>30</v>
      </c>
    </row>
    <row r="1807" spans="1:2" x14ac:dyDescent="0.15">
      <c r="A1807" s="1">
        <v>44512</v>
      </c>
      <c r="B1807" s="1">
        <v>30</v>
      </c>
    </row>
    <row r="1808" spans="1:2" x14ac:dyDescent="0.15">
      <c r="A1808" s="1">
        <v>37244</v>
      </c>
      <c r="B1808" s="1">
        <v>30</v>
      </c>
    </row>
    <row r="1809" spans="1:2" x14ac:dyDescent="0.15">
      <c r="A1809" s="1">
        <v>34728</v>
      </c>
      <c r="B1809" s="1">
        <v>30</v>
      </c>
    </row>
    <row r="1810" spans="1:2" x14ac:dyDescent="0.15">
      <c r="A1810" s="1">
        <v>25959</v>
      </c>
      <c r="B1810" s="1">
        <v>30</v>
      </c>
    </row>
    <row r="1811" spans="1:2" x14ac:dyDescent="0.15">
      <c r="A1811" s="1">
        <v>33456</v>
      </c>
      <c r="B1811" s="1">
        <v>29</v>
      </c>
    </row>
    <row r="1812" spans="1:2" x14ac:dyDescent="0.15">
      <c r="A1812" s="1">
        <v>41644</v>
      </c>
      <c r="B1812" s="1">
        <v>29</v>
      </c>
    </row>
    <row r="1813" spans="1:2" x14ac:dyDescent="0.15">
      <c r="A1813" s="1">
        <v>35860</v>
      </c>
      <c r="B1813" s="1">
        <v>29</v>
      </c>
    </row>
    <row r="1814" spans="1:2" x14ac:dyDescent="0.15">
      <c r="A1814" s="1">
        <v>40049</v>
      </c>
      <c r="B1814" s="1">
        <v>29</v>
      </c>
    </row>
    <row r="1815" spans="1:2" x14ac:dyDescent="0.15">
      <c r="A1815" s="1">
        <v>35860</v>
      </c>
      <c r="B1815" s="1">
        <v>29</v>
      </c>
    </row>
    <row r="1816" spans="1:2" x14ac:dyDescent="0.15">
      <c r="A1816" s="1">
        <v>35860</v>
      </c>
      <c r="B1816" s="1">
        <v>29</v>
      </c>
    </row>
    <row r="1817" spans="1:2" x14ac:dyDescent="0.15">
      <c r="A1817" s="1">
        <v>42394</v>
      </c>
      <c r="B1817" s="1">
        <v>28</v>
      </c>
    </row>
    <row r="1818" spans="1:2" x14ac:dyDescent="0.15">
      <c r="A1818" s="1">
        <v>10245</v>
      </c>
      <c r="B1818" s="1">
        <v>28</v>
      </c>
    </row>
    <row r="1819" spans="1:2" x14ac:dyDescent="0.15">
      <c r="A1819" s="1">
        <v>42169</v>
      </c>
      <c r="B1819" s="1">
        <v>28</v>
      </c>
    </row>
    <row r="1820" spans="1:2" x14ac:dyDescent="0.15">
      <c r="A1820" s="1">
        <v>37395</v>
      </c>
      <c r="B1820" s="1">
        <v>28</v>
      </c>
    </row>
    <row r="1821" spans="1:2" x14ac:dyDescent="0.15">
      <c r="A1821" s="1">
        <v>31163</v>
      </c>
      <c r="B1821" s="1">
        <v>28</v>
      </c>
    </row>
    <row r="1822" spans="1:2" x14ac:dyDescent="0.15">
      <c r="A1822" s="1">
        <v>25293</v>
      </c>
      <c r="B1822" s="1">
        <v>28</v>
      </c>
    </row>
    <row r="1823" spans="1:2" x14ac:dyDescent="0.15">
      <c r="A1823" s="1">
        <v>30298</v>
      </c>
      <c r="B1823" s="1">
        <v>28</v>
      </c>
    </row>
    <row r="1824" spans="1:2" x14ac:dyDescent="0.15">
      <c r="A1824" s="1">
        <v>15345</v>
      </c>
      <c r="B1824" s="1">
        <v>28</v>
      </c>
    </row>
    <row r="1825" spans="1:2" x14ac:dyDescent="0.15">
      <c r="A1825" s="1">
        <v>14918</v>
      </c>
      <c r="B1825" s="1">
        <v>28</v>
      </c>
    </row>
    <row r="1826" spans="1:2" x14ac:dyDescent="0.15">
      <c r="A1826" s="1">
        <v>35684</v>
      </c>
      <c r="B1826" s="1">
        <v>27</v>
      </c>
    </row>
    <row r="1827" spans="1:2" x14ac:dyDescent="0.15">
      <c r="A1827" s="1">
        <v>7500</v>
      </c>
      <c r="B1827" s="1">
        <v>27</v>
      </c>
    </row>
    <row r="1828" spans="1:2" x14ac:dyDescent="0.15">
      <c r="A1828" s="1">
        <v>26150</v>
      </c>
      <c r="B1828" s="1">
        <v>27</v>
      </c>
    </row>
    <row r="1829" spans="1:2" x14ac:dyDescent="0.15">
      <c r="A1829" s="1">
        <v>27100</v>
      </c>
      <c r="B1829" s="1">
        <v>27</v>
      </c>
    </row>
    <row r="1830" spans="1:2" x14ac:dyDescent="0.15">
      <c r="A1830" s="1">
        <v>23148</v>
      </c>
      <c r="B1830" s="1">
        <v>27</v>
      </c>
    </row>
    <row r="1831" spans="1:2" x14ac:dyDescent="0.15">
      <c r="A1831" s="1">
        <v>35924</v>
      </c>
      <c r="B1831" s="1">
        <v>27</v>
      </c>
    </row>
    <row r="1832" spans="1:2" x14ac:dyDescent="0.15">
      <c r="A1832" s="1">
        <v>23830</v>
      </c>
      <c r="B1832" s="1">
        <v>27</v>
      </c>
    </row>
    <row r="1833" spans="1:2" x14ac:dyDescent="0.15">
      <c r="A1833" s="1">
        <v>5305</v>
      </c>
      <c r="B1833" s="1">
        <v>27</v>
      </c>
    </row>
    <row r="1834" spans="1:2" x14ac:dyDescent="0.15">
      <c r="A1834" s="1">
        <v>10979</v>
      </c>
      <c r="B1834" s="1">
        <v>26</v>
      </c>
    </row>
    <row r="1835" spans="1:2" x14ac:dyDescent="0.15">
      <c r="A1835" s="1">
        <v>30843</v>
      </c>
      <c r="B1835" s="1">
        <v>26</v>
      </c>
    </row>
    <row r="1836" spans="1:2" x14ac:dyDescent="0.15">
      <c r="A1836" s="1">
        <v>21282</v>
      </c>
      <c r="B1836" s="1">
        <v>26</v>
      </c>
    </row>
    <row r="1837" spans="1:2" x14ac:dyDescent="0.15">
      <c r="A1837" s="1">
        <v>15862</v>
      </c>
      <c r="B1837" s="1">
        <v>26</v>
      </c>
    </row>
    <row r="1838" spans="1:2" x14ac:dyDescent="0.15">
      <c r="A1838" s="1">
        <v>21840</v>
      </c>
      <c r="B1838" s="1">
        <v>26</v>
      </c>
    </row>
    <row r="1839" spans="1:2" x14ac:dyDescent="0.15">
      <c r="A1839" s="1">
        <v>34176</v>
      </c>
      <c r="B1839" s="1">
        <v>26</v>
      </c>
    </row>
    <row r="1840" spans="1:2" x14ac:dyDescent="0.15">
      <c r="A1840" s="1">
        <v>22804</v>
      </c>
      <c r="B1840" s="1">
        <v>25</v>
      </c>
    </row>
    <row r="1841" spans="1:2" x14ac:dyDescent="0.15">
      <c r="A1841" s="1">
        <v>22010</v>
      </c>
      <c r="B1841" s="1">
        <v>25</v>
      </c>
    </row>
    <row r="1842" spans="1:2" x14ac:dyDescent="0.15">
      <c r="A1842" s="1">
        <v>25443</v>
      </c>
      <c r="B1842" s="1">
        <v>25</v>
      </c>
    </row>
    <row r="1843" spans="1:2" x14ac:dyDescent="0.15">
      <c r="A1843" s="1">
        <v>19414</v>
      </c>
      <c r="B1843" s="1">
        <v>25</v>
      </c>
    </row>
    <row r="1844" spans="1:2" x14ac:dyDescent="0.15">
      <c r="A1844" s="1">
        <v>22108</v>
      </c>
      <c r="B1844" s="1">
        <v>25</v>
      </c>
    </row>
    <row r="1845" spans="1:2" x14ac:dyDescent="0.15">
      <c r="A1845" s="1">
        <v>25008</v>
      </c>
      <c r="B1845" s="1">
        <v>25</v>
      </c>
    </row>
    <row r="1846" spans="1:2" x14ac:dyDescent="0.15">
      <c r="A1846" s="1">
        <v>27938</v>
      </c>
      <c r="B1846" s="1">
        <v>24</v>
      </c>
    </row>
    <row r="1847" spans="1:2" x14ac:dyDescent="0.15">
      <c r="A1847" s="1">
        <v>31353</v>
      </c>
      <c r="B1847" s="1">
        <v>24</v>
      </c>
    </row>
    <row r="1848" spans="1:2" x14ac:dyDescent="0.15">
      <c r="A1848" s="1">
        <v>35388</v>
      </c>
      <c r="B1848" s="1">
        <v>24</v>
      </c>
    </row>
    <row r="1849" spans="1:2" x14ac:dyDescent="0.15">
      <c r="A1849" s="1">
        <v>14661</v>
      </c>
      <c r="B1849" s="1">
        <v>24</v>
      </c>
    </row>
    <row r="1850" spans="1:2" x14ac:dyDescent="0.15">
      <c r="A1850" s="1">
        <v>36283</v>
      </c>
      <c r="B1850" s="1">
        <v>24</v>
      </c>
    </row>
    <row r="1851" spans="1:2" x14ac:dyDescent="0.15">
      <c r="A1851" s="1">
        <v>16860</v>
      </c>
      <c r="B1851" s="1">
        <v>24</v>
      </c>
    </row>
    <row r="1852" spans="1:2" x14ac:dyDescent="0.15">
      <c r="A1852" s="1">
        <v>26887</v>
      </c>
      <c r="B1852" s="1">
        <v>24</v>
      </c>
    </row>
    <row r="1853" spans="1:2" x14ac:dyDescent="0.15">
      <c r="A1853" s="1">
        <v>30560</v>
      </c>
      <c r="B1853" s="1">
        <v>24</v>
      </c>
    </row>
    <row r="1854" spans="1:2" x14ac:dyDescent="0.15">
      <c r="A1854" s="1">
        <v>25358</v>
      </c>
      <c r="B1854" s="1">
        <v>24</v>
      </c>
    </row>
    <row r="1855" spans="1:2" x14ac:dyDescent="0.15">
      <c r="A1855" s="1">
        <v>42664</v>
      </c>
      <c r="B1855" s="1">
        <v>24</v>
      </c>
    </row>
    <row r="1856" spans="1:2" x14ac:dyDescent="0.15">
      <c r="A1856" s="1">
        <v>31353</v>
      </c>
      <c r="B1856" s="1">
        <v>24</v>
      </c>
    </row>
    <row r="1857" spans="1:2" x14ac:dyDescent="0.15">
      <c r="A1857" s="1">
        <v>19510</v>
      </c>
      <c r="B1857" s="1">
        <v>23</v>
      </c>
    </row>
    <row r="1858" spans="1:2" x14ac:dyDescent="0.15">
      <c r="A1858" s="1">
        <v>37971</v>
      </c>
      <c r="B1858" s="1">
        <v>23</v>
      </c>
    </row>
    <row r="1859" spans="1:2" x14ac:dyDescent="0.15">
      <c r="A1859" s="1">
        <v>28520</v>
      </c>
      <c r="B1859" s="1">
        <v>23</v>
      </c>
    </row>
    <row r="1860" spans="1:2" x14ac:dyDescent="0.15">
      <c r="A1860" s="1">
        <v>44689</v>
      </c>
      <c r="B1860" s="1">
        <v>23</v>
      </c>
    </row>
    <row r="1861" spans="1:2" x14ac:dyDescent="0.15">
      <c r="A1861" s="1">
        <v>23661</v>
      </c>
      <c r="B1861" s="1">
        <v>22</v>
      </c>
    </row>
    <row r="1862" spans="1:2" x14ac:dyDescent="0.15">
      <c r="A1862" s="1">
        <v>30833</v>
      </c>
      <c r="B1862" s="1">
        <v>22</v>
      </c>
    </row>
    <row r="1863" spans="1:2" x14ac:dyDescent="0.15">
      <c r="A1863" s="1">
        <v>23442</v>
      </c>
      <c r="B1863" s="1">
        <v>22</v>
      </c>
    </row>
    <row r="1864" spans="1:2" x14ac:dyDescent="0.15">
      <c r="A1864" s="1">
        <v>20130</v>
      </c>
      <c r="B1864" s="1">
        <v>22</v>
      </c>
    </row>
    <row r="1865" spans="1:2" x14ac:dyDescent="0.15">
      <c r="A1865" s="1">
        <v>18978</v>
      </c>
      <c r="B1865" s="1">
        <v>22</v>
      </c>
    </row>
    <row r="1866" spans="1:2" x14ac:dyDescent="0.15">
      <c r="A1866" s="1">
        <v>24206</v>
      </c>
      <c r="B1866" s="1">
        <v>22</v>
      </c>
    </row>
    <row r="1867" spans="1:2" x14ac:dyDescent="0.15">
      <c r="A1867" s="1">
        <v>30396</v>
      </c>
      <c r="B1867" s="1">
        <v>22</v>
      </c>
    </row>
    <row r="1868" spans="1:2" x14ac:dyDescent="0.15">
      <c r="A1868" s="1">
        <v>46344</v>
      </c>
      <c r="B1868" s="1">
        <v>21</v>
      </c>
    </row>
    <row r="1869" spans="1:2" x14ac:dyDescent="0.15">
      <c r="A1869" s="1">
        <v>34421</v>
      </c>
      <c r="B1869" s="1">
        <v>21</v>
      </c>
    </row>
    <row r="1870" spans="1:2" x14ac:dyDescent="0.15">
      <c r="A1870" s="1">
        <v>16529</v>
      </c>
      <c r="B1870" s="1">
        <v>21</v>
      </c>
    </row>
    <row r="1871" spans="1:2" x14ac:dyDescent="0.15">
      <c r="A1871" s="1">
        <v>45684</v>
      </c>
      <c r="B1871" s="1">
        <v>21</v>
      </c>
    </row>
    <row r="1872" spans="1:2" x14ac:dyDescent="0.15">
      <c r="A1872" s="1">
        <v>22390</v>
      </c>
      <c r="B1872" s="1">
        <v>21</v>
      </c>
    </row>
    <row r="1873" spans="1:2" x14ac:dyDescent="0.15">
      <c r="A1873" s="1">
        <v>24594</v>
      </c>
      <c r="B1873" s="1">
        <v>20</v>
      </c>
    </row>
    <row r="1874" spans="1:2" x14ac:dyDescent="0.15">
      <c r="A1874" s="1">
        <v>9548</v>
      </c>
      <c r="B1874" s="1">
        <v>20</v>
      </c>
    </row>
    <row r="1875" spans="1:2" x14ac:dyDescent="0.15">
      <c r="A1875" s="1">
        <v>37717</v>
      </c>
      <c r="B1875" s="1">
        <v>20</v>
      </c>
    </row>
    <row r="1876" spans="1:2" x14ac:dyDescent="0.15">
      <c r="A1876" s="1">
        <v>27159</v>
      </c>
      <c r="B1876" s="1">
        <v>20</v>
      </c>
    </row>
    <row r="1877" spans="1:2" x14ac:dyDescent="0.15">
      <c r="A1877" s="1">
        <v>32173</v>
      </c>
      <c r="B1877" s="1">
        <v>20</v>
      </c>
    </row>
    <row r="1878" spans="1:2" x14ac:dyDescent="0.15">
      <c r="A1878" s="1">
        <v>26907</v>
      </c>
      <c r="B1878" s="1">
        <v>20</v>
      </c>
    </row>
    <row r="1879" spans="1:2" x14ac:dyDescent="0.15">
      <c r="A1879" s="1">
        <v>43776</v>
      </c>
      <c r="B1879" s="1">
        <v>20</v>
      </c>
    </row>
    <row r="1880" spans="1:2" x14ac:dyDescent="0.15">
      <c r="A1880" s="1">
        <v>37368</v>
      </c>
      <c r="B1880" s="1">
        <v>20</v>
      </c>
    </row>
    <row r="1881" spans="1:2" x14ac:dyDescent="0.15">
      <c r="A1881" s="1">
        <v>29791</v>
      </c>
      <c r="B1881" s="1">
        <v>20</v>
      </c>
    </row>
    <row r="1882" spans="1:2" x14ac:dyDescent="0.15">
      <c r="A1882" s="1">
        <v>20491</v>
      </c>
      <c r="B1882" s="1">
        <v>20</v>
      </c>
    </row>
    <row r="1883" spans="1:2" x14ac:dyDescent="0.15">
      <c r="A1883" s="1">
        <v>37054</v>
      </c>
      <c r="B1883" s="1">
        <v>20</v>
      </c>
    </row>
    <row r="1884" spans="1:2" x14ac:dyDescent="0.15">
      <c r="A1884" s="1">
        <v>28389</v>
      </c>
      <c r="B1884" s="1">
        <v>20</v>
      </c>
    </row>
    <row r="1885" spans="1:2" x14ac:dyDescent="0.15">
      <c r="A1885" s="1">
        <v>13672</v>
      </c>
      <c r="B1885" s="1">
        <v>20</v>
      </c>
    </row>
    <row r="1886" spans="1:2" x14ac:dyDescent="0.15">
      <c r="A1886" s="1">
        <v>34587</v>
      </c>
      <c r="B1886" s="1">
        <v>20</v>
      </c>
    </row>
    <row r="1887" spans="1:2" x14ac:dyDescent="0.15">
      <c r="A1887" s="1">
        <v>19346</v>
      </c>
      <c r="B1887" s="1">
        <v>20</v>
      </c>
    </row>
    <row r="1888" spans="1:2" x14ac:dyDescent="0.15">
      <c r="A1888" s="1">
        <v>18890</v>
      </c>
      <c r="B1888" s="1">
        <v>20</v>
      </c>
    </row>
    <row r="1889" spans="1:2" x14ac:dyDescent="0.15">
      <c r="A1889" s="1">
        <v>21994</v>
      </c>
      <c r="B1889" s="1">
        <v>19</v>
      </c>
    </row>
    <row r="1890" spans="1:2" x14ac:dyDescent="0.15">
      <c r="A1890" s="1">
        <v>7500</v>
      </c>
      <c r="B1890" s="1">
        <v>19</v>
      </c>
    </row>
    <row r="1891" spans="1:2" x14ac:dyDescent="0.15">
      <c r="A1891" s="1">
        <v>38590</v>
      </c>
      <c r="B1891" s="1">
        <v>19</v>
      </c>
    </row>
    <row r="1892" spans="1:2" x14ac:dyDescent="0.15">
      <c r="A1892" s="1">
        <v>47025</v>
      </c>
      <c r="B1892" s="1">
        <v>19</v>
      </c>
    </row>
    <row r="1893" spans="1:2" x14ac:dyDescent="0.15">
      <c r="A1893" s="1">
        <v>24072</v>
      </c>
      <c r="B1893" s="1">
        <v>19</v>
      </c>
    </row>
    <row r="1894" spans="1:2" x14ac:dyDescent="0.15">
      <c r="A1894" s="1">
        <v>48686</v>
      </c>
      <c r="B1894" s="1">
        <v>19</v>
      </c>
    </row>
    <row r="1895" spans="1:2" x14ac:dyDescent="0.15">
      <c r="A1895" s="1">
        <v>14045</v>
      </c>
      <c r="B1895" s="1">
        <v>19</v>
      </c>
    </row>
    <row r="1896" spans="1:2" x14ac:dyDescent="0.15">
      <c r="A1896" s="1">
        <v>13084</v>
      </c>
      <c r="B1896" s="1">
        <v>19</v>
      </c>
    </row>
    <row r="1897" spans="1:2" x14ac:dyDescent="0.15">
      <c r="A1897" s="1">
        <v>34824</v>
      </c>
      <c r="B1897" s="1">
        <v>19</v>
      </c>
    </row>
    <row r="1898" spans="1:2" x14ac:dyDescent="0.15">
      <c r="A1898" s="1">
        <v>30467</v>
      </c>
      <c r="B1898" s="1">
        <v>19</v>
      </c>
    </row>
    <row r="1899" spans="1:2" x14ac:dyDescent="0.15">
      <c r="A1899" s="1">
        <v>22327</v>
      </c>
      <c r="B1899" s="1">
        <v>19</v>
      </c>
    </row>
    <row r="1900" spans="1:2" x14ac:dyDescent="0.15">
      <c r="A1900" s="1">
        <v>24367</v>
      </c>
      <c r="B1900" s="1">
        <v>19</v>
      </c>
    </row>
    <row r="1901" spans="1:2" x14ac:dyDescent="0.15">
      <c r="A1901" s="1">
        <v>36408</v>
      </c>
      <c r="B1901" s="1">
        <v>19</v>
      </c>
    </row>
    <row r="1902" spans="1:2" x14ac:dyDescent="0.15">
      <c r="A1902" s="1">
        <v>24336</v>
      </c>
      <c r="B1902" s="1">
        <v>19</v>
      </c>
    </row>
    <row r="1903" spans="1:2" x14ac:dyDescent="0.15">
      <c r="A1903" s="1">
        <v>36802</v>
      </c>
      <c r="B1903" s="1">
        <v>19</v>
      </c>
    </row>
    <row r="1904" spans="1:2" x14ac:dyDescent="0.15">
      <c r="A1904" s="1">
        <v>34230</v>
      </c>
      <c r="B1904" s="1">
        <v>19</v>
      </c>
    </row>
    <row r="1905" spans="1:2" x14ac:dyDescent="0.15">
      <c r="A1905" s="1">
        <v>22701</v>
      </c>
      <c r="B1905" s="1">
        <v>19</v>
      </c>
    </row>
    <row r="1906" spans="1:2" x14ac:dyDescent="0.15">
      <c r="A1906" s="1">
        <v>29478</v>
      </c>
      <c r="B1906" s="1">
        <v>19</v>
      </c>
    </row>
    <row r="1907" spans="1:2" x14ac:dyDescent="0.15">
      <c r="A1907" s="1">
        <v>22263</v>
      </c>
      <c r="B1907" s="1">
        <v>19</v>
      </c>
    </row>
    <row r="1908" spans="1:2" x14ac:dyDescent="0.15">
      <c r="A1908" s="1">
        <v>25818</v>
      </c>
      <c r="B1908" s="1">
        <v>19</v>
      </c>
    </row>
    <row r="1909" spans="1:2" x14ac:dyDescent="0.15">
      <c r="A1909" s="1">
        <v>25721</v>
      </c>
      <c r="B1909" s="1">
        <v>19</v>
      </c>
    </row>
    <row r="1910" spans="1:2" x14ac:dyDescent="0.15">
      <c r="A1910" s="1">
        <v>26816</v>
      </c>
      <c r="B1910" s="1">
        <v>19</v>
      </c>
    </row>
    <row r="1911" spans="1:2" x14ac:dyDescent="0.15">
      <c r="A1911" s="1">
        <v>38547</v>
      </c>
      <c r="B1911" s="1">
        <v>18</v>
      </c>
    </row>
    <row r="1912" spans="1:2" x14ac:dyDescent="0.15">
      <c r="A1912" s="1">
        <v>60199</v>
      </c>
      <c r="B1912" s="1">
        <v>18</v>
      </c>
    </row>
    <row r="1913" spans="1:2" x14ac:dyDescent="0.15">
      <c r="A1913" s="1">
        <v>29548</v>
      </c>
      <c r="B1913" s="1">
        <v>18</v>
      </c>
    </row>
    <row r="1914" spans="1:2" x14ac:dyDescent="0.15">
      <c r="A1914" s="1">
        <v>45160</v>
      </c>
      <c r="B1914" s="1">
        <v>18</v>
      </c>
    </row>
    <row r="1915" spans="1:2" x14ac:dyDescent="0.15">
      <c r="A1915" s="1">
        <v>25707</v>
      </c>
      <c r="B1915" s="1">
        <v>18</v>
      </c>
    </row>
    <row r="1916" spans="1:2" x14ac:dyDescent="0.15">
      <c r="A1916" s="1">
        <v>43269</v>
      </c>
      <c r="B1916" s="1">
        <v>18</v>
      </c>
    </row>
    <row r="1917" spans="1:2" x14ac:dyDescent="0.15">
      <c r="A1917" s="1">
        <v>9255</v>
      </c>
      <c r="B1917" s="1">
        <v>18</v>
      </c>
    </row>
    <row r="1918" spans="1:2" x14ac:dyDescent="0.15">
      <c r="A1918" s="1">
        <v>42033</v>
      </c>
      <c r="B1918" s="1">
        <v>18</v>
      </c>
    </row>
    <row r="1919" spans="1:2" x14ac:dyDescent="0.15">
      <c r="A1919" s="1">
        <v>34738</v>
      </c>
      <c r="B1919" s="1">
        <v>18</v>
      </c>
    </row>
    <row r="1920" spans="1:2" x14ac:dyDescent="0.15">
      <c r="A1920" s="1">
        <v>27889</v>
      </c>
      <c r="B1920" s="1">
        <v>18</v>
      </c>
    </row>
    <row r="1921" spans="1:2" x14ac:dyDescent="0.15">
      <c r="A1921" s="1">
        <v>34109</v>
      </c>
      <c r="B1921" s="1">
        <v>18</v>
      </c>
    </row>
    <row r="1922" spans="1:2" x14ac:dyDescent="0.15">
      <c r="A1922" s="1">
        <v>31385</v>
      </c>
      <c r="B1922" s="1">
        <v>18</v>
      </c>
    </row>
    <row r="1923" spans="1:2" x14ac:dyDescent="0.15">
      <c r="A1923" s="1">
        <v>26576</v>
      </c>
      <c r="B1923" s="1">
        <v>18</v>
      </c>
    </row>
    <row r="1924" spans="1:2" x14ac:dyDescent="0.15">
      <c r="A1924" s="1">
        <v>15287</v>
      </c>
      <c r="B1924" s="1">
        <v>18</v>
      </c>
    </row>
    <row r="1925" spans="1:2" x14ac:dyDescent="0.15">
      <c r="A1925" s="1">
        <v>34320</v>
      </c>
      <c r="B1925" s="1">
        <v>17</v>
      </c>
    </row>
    <row r="1926" spans="1:2" x14ac:dyDescent="0.15">
      <c r="A1926" s="1">
        <v>29672</v>
      </c>
      <c r="B1926" s="1">
        <v>17</v>
      </c>
    </row>
    <row r="1927" spans="1:2" x14ac:dyDescent="0.15">
      <c r="A1927" s="1">
        <v>47691</v>
      </c>
      <c r="B1927" s="1">
        <v>17</v>
      </c>
    </row>
    <row r="1928" spans="1:2" x14ac:dyDescent="0.15">
      <c r="A1928" s="1">
        <v>45068</v>
      </c>
      <c r="B1928" s="1">
        <v>17</v>
      </c>
    </row>
    <row r="1929" spans="1:2" x14ac:dyDescent="0.15">
      <c r="A1929" s="1">
        <v>33697</v>
      </c>
      <c r="B1929" s="1">
        <v>17</v>
      </c>
    </row>
    <row r="1930" spans="1:2" x14ac:dyDescent="0.15">
      <c r="A1930" s="1">
        <v>41014</v>
      </c>
      <c r="B1930" s="1">
        <v>17</v>
      </c>
    </row>
    <row r="1931" spans="1:2" x14ac:dyDescent="0.15">
      <c r="A1931" s="1">
        <v>40521</v>
      </c>
      <c r="B1931" s="1">
        <v>17</v>
      </c>
    </row>
    <row r="1932" spans="1:2" x14ac:dyDescent="0.15">
      <c r="A1932" s="1">
        <v>39356</v>
      </c>
      <c r="B1932" s="1">
        <v>17</v>
      </c>
    </row>
    <row r="1933" spans="1:2" x14ac:dyDescent="0.15">
      <c r="A1933" s="1">
        <v>18227</v>
      </c>
      <c r="B1933" s="1">
        <v>17</v>
      </c>
    </row>
    <row r="1934" spans="1:2" x14ac:dyDescent="0.15">
      <c r="A1934" s="1">
        <v>51411</v>
      </c>
      <c r="B1934" s="1">
        <v>17</v>
      </c>
    </row>
    <row r="1935" spans="1:2" x14ac:dyDescent="0.15">
      <c r="A1935" s="1">
        <v>37284</v>
      </c>
      <c r="B1935" s="1">
        <v>17</v>
      </c>
    </row>
    <row r="1936" spans="1:2" x14ac:dyDescent="0.15">
      <c r="A1936" s="1">
        <v>24645</v>
      </c>
      <c r="B1936" s="1">
        <v>17</v>
      </c>
    </row>
    <row r="1937" spans="1:2" x14ac:dyDescent="0.15">
      <c r="A1937" s="1">
        <v>39228</v>
      </c>
      <c r="B1937" s="1">
        <v>17</v>
      </c>
    </row>
    <row r="1938" spans="1:2" x14ac:dyDescent="0.15">
      <c r="A1938" s="1">
        <v>27469</v>
      </c>
      <c r="B1938" s="1">
        <v>17</v>
      </c>
    </row>
    <row r="1939" spans="1:2" x14ac:dyDescent="0.15">
      <c r="A1939" s="1">
        <v>52195</v>
      </c>
      <c r="B1939" s="1">
        <v>16</v>
      </c>
    </row>
    <row r="1940" spans="1:2" x14ac:dyDescent="0.15">
      <c r="A1940" s="1">
        <v>31686</v>
      </c>
      <c r="B1940" s="1">
        <v>16</v>
      </c>
    </row>
    <row r="1941" spans="1:2" x14ac:dyDescent="0.15">
      <c r="A1941" s="1">
        <v>33581</v>
      </c>
      <c r="B1941" s="1">
        <v>16</v>
      </c>
    </row>
    <row r="1942" spans="1:2" x14ac:dyDescent="0.15">
      <c r="A1942" s="1">
        <v>19986</v>
      </c>
      <c r="B1942" s="1">
        <v>16</v>
      </c>
    </row>
    <row r="1943" spans="1:2" x14ac:dyDescent="0.15">
      <c r="A1943" s="1">
        <v>20518</v>
      </c>
      <c r="B1943" s="1">
        <v>16</v>
      </c>
    </row>
    <row r="1944" spans="1:2" x14ac:dyDescent="0.15">
      <c r="A1944" s="1">
        <v>38200</v>
      </c>
      <c r="B1944" s="1">
        <v>16</v>
      </c>
    </row>
    <row r="1945" spans="1:2" x14ac:dyDescent="0.15">
      <c r="A1945" s="1">
        <v>41452</v>
      </c>
      <c r="B1945" s="1">
        <v>16</v>
      </c>
    </row>
    <row r="1946" spans="1:2" x14ac:dyDescent="0.15">
      <c r="A1946" s="1">
        <v>20587</v>
      </c>
      <c r="B1946" s="1">
        <v>16</v>
      </c>
    </row>
    <row r="1947" spans="1:2" x14ac:dyDescent="0.15">
      <c r="A1947" s="1">
        <v>30772</v>
      </c>
      <c r="B1947" s="1">
        <v>16</v>
      </c>
    </row>
    <row r="1948" spans="1:2" x14ac:dyDescent="0.15">
      <c r="A1948" s="1">
        <v>46779</v>
      </c>
      <c r="B1948" s="1">
        <v>16</v>
      </c>
    </row>
    <row r="1949" spans="1:2" x14ac:dyDescent="0.15">
      <c r="A1949" s="1">
        <v>24884</v>
      </c>
      <c r="B1949" s="1">
        <v>16</v>
      </c>
    </row>
    <row r="1950" spans="1:2" x14ac:dyDescent="0.15">
      <c r="A1950" s="1">
        <v>22304</v>
      </c>
      <c r="B1950" s="1">
        <v>16</v>
      </c>
    </row>
    <row r="1951" spans="1:2" x14ac:dyDescent="0.15">
      <c r="A1951" s="1">
        <v>54466</v>
      </c>
      <c r="B1951" s="1">
        <v>16</v>
      </c>
    </row>
    <row r="1952" spans="1:2" x14ac:dyDescent="0.15">
      <c r="A1952" s="1">
        <v>33444</v>
      </c>
      <c r="B1952" s="1">
        <v>16</v>
      </c>
    </row>
    <row r="1953" spans="1:2" x14ac:dyDescent="0.15">
      <c r="A1953" s="1">
        <v>26954</v>
      </c>
      <c r="B1953" s="1">
        <v>16</v>
      </c>
    </row>
    <row r="1954" spans="1:2" x14ac:dyDescent="0.15">
      <c r="A1954" s="1">
        <v>26228</v>
      </c>
      <c r="B1954" s="1">
        <v>16</v>
      </c>
    </row>
    <row r="1955" spans="1:2" x14ac:dyDescent="0.15">
      <c r="A1955" s="1">
        <v>43142</v>
      </c>
      <c r="B1955" s="1">
        <v>16</v>
      </c>
    </row>
    <row r="1956" spans="1:2" x14ac:dyDescent="0.15">
      <c r="A1956" s="1">
        <v>34596</v>
      </c>
      <c r="B1956" s="1">
        <v>16</v>
      </c>
    </row>
    <row r="1957" spans="1:2" x14ac:dyDescent="0.15">
      <c r="A1957" s="1">
        <v>33279</v>
      </c>
      <c r="B1957" s="1">
        <v>16</v>
      </c>
    </row>
    <row r="1958" spans="1:2" x14ac:dyDescent="0.15">
      <c r="A1958" s="1">
        <v>30261</v>
      </c>
      <c r="B1958" s="1">
        <v>16</v>
      </c>
    </row>
    <row r="1959" spans="1:2" x14ac:dyDescent="0.15">
      <c r="A1959" s="1">
        <v>15253</v>
      </c>
      <c r="B1959" s="1">
        <v>16</v>
      </c>
    </row>
    <row r="1960" spans="1:2" x14ac:dyDescent="0.15">
      <c r="A1960" s="1">
        <v>34596</v>
      </c>
      <c r="B1960" s="1">
        <v>16</v>
      </c>
    </row>
    <row r="1961" spans="1:2" x14ac:dyDescent="0.15">
      <c r="A1961" s="1">
        <v>15033</v>
      </c>
      <c r="B1961" s="1">
        <v>15</v>
      </c>
    </row>
    <row r="1962" spans="1:2" x14ac:dyDescent="0.15">
      <c r="A1962" s="1">
        <v>29938</v>
      </c>
      <c r="B1962" s="1">
        <v>15</v>
      </c>
    </row>
    <row r="1963" spans="1:2" x14ac:dyDescent="0.15">
      <c r="A1963" s="1">
        <v>40737</v>
      </c>
      <c r="B1963" s="1">
        <v>15</v>
      </c>
    </row>
    <row r="1964" spans="1:2" x14ac:dyDescent="0.15">
      <c r="A1964" s="1">
        <v>23295</v>
      </c>
      <c r="B1964" s="1">
        <v>15</v>
      </c>
    </row>
    <row r="1965" spans="1:2" x14ac:dyDescent="0.15">
      <c r="A1965" s="1">
        <v>46102</v>
      </c>
      <c r="B1965" s="1">
        <v>15</v>
      </c>
    </row>
    <row r="1966" spans="1:2" x14ac:dyDescent="0.15">
      <c r="A1966" s="1">
        <v>18988</v>
      </c>
      <c r="B1966" s="1">
        <v>15</v>
      </c>
    </row>
    <row r="1967" spans="1:2" x14ac:dyDescent="0.15">
      <c r="A1967" s="1">
        <v>36627</v>
      </c>
      <c r="B1967" s="1">
        <v>15</v>
      </c>
    </row>
    <row r="1968" spans="1:2" x14ac:dyDescent="0.15">
      <c r="A1968" s="1">
        <v>40479</v>
      </c>
      <c r="B1968" s="1">
        <v>15</v>
      </c>
    </row>
    <row r="1969" spans="1:2" x14ac:dyDescent="0.15">
      <c r="A1969" s="1">
        <v>24163</v>
      </c>
      <c r="B1969" s="1">
        <v>15</v>
      </c>
    </row>
    <row r="1970" spans="1:2" x14ac:dyDescent="0.15">
      <c r="A1970" s="1">
        <v>31859</v>
      </c>
      <c r="B1970" s="1">
        <v>15</v>
      </c>
    </row>
    <row r="1971" spans="1:2" x14ac:dyDescent="0.15">
      <c r="A1971" s="1">
        <v>27190</v>
      </c>
      <c r="B1971" s="1">
        <v>15</v>
      </c>
    </row>
    <row r="1972" spans="1:2" x14ac:dyDescent="0.15">
      <c r="A1972" s="1">
        <v>15759</v>
      </c>
      <c r="B1972" s="1">
        <v>14</v>
      </c>
    </row>
    <row r="1973" spans="1:2" x14ac:dyDescent="0.15">
      <c r="A1973" s="1">
        <v>39996</v>
      </c>
      <c r="B1973" s="1">
        <v>14</v>
      </c>
    </row>
    <row r="1974" spans="1:2" x14ac:dyDescent="0.15">
      <c r="A1974" s="1">
        <v>34633</v>
      </c>
      <c r="B1974" s="1">
        <v>14</v>
      </c>
    </row>
    <row r="1975" spans="1:2" x14ac:dyDescent="0.15">
      <c r="A1975" s="1">
        <v>28359</v>
      </c>
      <c r="B1975" s="1">
        <v>14</v>
      </c>
    </row>
    <row r="1976" spans="1:2" x14ac:dyDescent="0.15">
      <c r="A1976" s="1">
        <v>22775</v>
      </c>
      <c r="B1976" s="1">
        <v>14</v>
      </c>
    </row>
    <row r="1977" spans="1:2" x14ac:dyDescent="0.15">
      <c r="A1977" s="1">
        <v>18169</v>
      </c>
      <c r="B1977" s="1">
        <v>14</v>
      </c>
    </row>
    <row r="1978" spans="1:2" x14ac:dyDescent="0.15">
      <c r="A1978" s="1">
        <v>34242</v>
      </c>
      <c r="B1978" s="1">
        <v>14</v>
      </c>
    </row>
    <row r="1979" spans="1:2" x14ac:dyDescent="0.15">
      <c r="A1979" s="1">
        <v>37406</v>
      </c>
      <c r="B1979" s="1">
        <v>14</v>
      </c>
    </row>
    <row r="1980" spans="1:2" x14ac:dyDescent="0.15">
      <c r="A1980" s="1">
        <v>36143</v>
      </c>
      <c r="B1980" s="1">
        <v>13</v>
      </c>
    </row>
    <row r="1981" spans="1:2" x14ac:dyDescent="0.15">
      <c r="A1981" s="1">
        <v>18100</v>
      </c>
      <c r="B1981" s="1">
        <v>13</v>
      </c>
    </row>
    <row r="1982" spans="1:2" x14ac:dyDescent="0.15">
      <c r="A1982" s="1">
        <v>36736</v>
      </c>
      <c r="B1982" s="1">
        <v>13</v>
      </c>
    </row>
    <row r="1983" spans="1:2" x14ac:dyDescent="0.15">
      <c r="A1983" s="1">
        <v>16581</v>
      </c>
      <c r="B1983" s="1">
        <v>13</v>
      </c>
    </row>
    <row r="1984" spans="1:2" x14ac:dyDescent="0.15">
      <c r="A1984" s="1">
        <v>7500</v>
      </c>
      <c r="B1984" s="1">
        <v>13</v>
      </c>
    </row>
    <row r="1985" spans="1:2" x14ac:dyDescent="0.15">
      <c r="A1985" s="1">
        <v>28420</v>
      </c>
      <c r="B1985" s="1">
        <v>13</v>
      </c>
    </row>
    <row r="1986" spans="1:2" x14ac:dyDescent="0.15">
      <c r="A1986" s="1">
        <v>40246</v>
      </c>
      <c r="B1986" s="1">
        <v>12</v>
      </c>
    </row>
    <row r="1987" spans="1:2" x14ac:dyDescent="0.15">
      <c r="A1987" s="1">
        <v>26304</v>
      </c>
      <c r="B1987" s="1">
        <v>12</v>
      </c>
    </row>
    <row r="1988" spans="1:2" x14ac:dyDescent="0.15">
      <c r="A1988" s="1">
        <v>33181</v>
      </c>
      <c r="B1988" s="1">
        <v>12</v>
      </c>
    </row>
    <row r="1989" spans="1:2" x14ac:dyDescent="0.15">
      <c r="A1989" s="1">
        <v>31880</v>
      </c>
      <c r="B1989" s="1">
        <v>12</v>
      </c>
    </row>
    <row r="1990" spans="1:2" x14ac:dyDescent="0.15">
      <c r="A1990" s="1">
        <v>25252</v>
      </c>
      <c r="B1990" s="1">
        <v>12</v>
      </c>
    </row>
    <row r="1991" spans="1:2" x14ac:dyDescent="0.15">
      <c r="A1991" s="1">
        <v>17487</v>
      </c>
      <c r="B1991" s="1">
        <v>12</v>
      </c>
    </row>
    <row r="1992" spans="1:2" x14ac:dyDescent="0.15">
      <c r="A1992" s="1">
        <v>26868</v>
      </c>
      <c r="B1992" s="1">
        <v>12</v>
      </c>
    </row>
    <row r="1993" spans="1:2" x14ac:dyDescent="0.15">
      <c r="A1993" s="1">
        <v>41145</v>
      </c>
      <c r="B1993" s="1">
        <v>12</v>
      </c>
    </row>
    <row r="1994" spans="1:2" x14ac:dyDescent="0.15">
      <c r="A1994" s="1">
        <v>32474</v>
      </c>
      <c r="B1994" s="1">
        <v>11</v>
      </c>
    </row>
    <row r="1995" spans="1:2" x14ac:dyDescent="0.15">
      <c r="A1995" s="1">
        <v>35946</v>
      </c>
      <c r="B1995" s="1">
        <v>11</v>
      </c>
    </row>
    <row r="1996" spans="1:2" x14ac:dyDescent="0.15">
      <c r="A1996" s="1">
        <v>28764</v>
      </c>
      <c r="B1996" s="1">
        <v>11</v>
      </c>
    </row>
    <row r="1997" spans="1:2" x14ac:dyDescent="0.15">
      <c r="A1997" s="1">
        <v>27590</v>
      </c>
      <c r="B1997" s="1">
        <v>11</v>
      </c>
    </row>
    <row r="1998" spans="1:2" x14ac:dyDescent="0.15">
      <c r="A1998" s="1">
        <v>25930</v>
      </c>
      <c r="B1998" s="1">
        <v>11</v>
      </c>
    </row>
    <row r="1999" spans="1:2" x14ac:dyDescent="0.15">
      <c r="A1999" s="1">
        <v>22280</v>
      </c>
      <c r="B1999" s="1">
        <v>11</v>
      </c>
    </row>
    <row r="2000" spans="1:2" x14ac:dyDescent="0.15">
      <c r="A2000" s="1">
        <v>36807</v>
      </c>
      <c r="B2000" s="1">
        <v>11</v>
      </c>
    </row>
    <row r="2001" spans="1:2" x14ac:dyDescent="0.15">
      <c r="A2001" s="1">
        <v>29298</v>
      </c>
      <c r="B2001" s="1">
        <v>10</v>
      </c>
    </row>
    <row r="2002" spans="1:2" x14ac:dyDescent="0.15">
      <c r="A2002" s="1">
        <v>26751</v>
      </c>
      <c r="B2002" s="1">
        <v>10</v>
      </c>
    </row>
    <row r="2003" spans="1:2" x14ac:dyDescent="0.15">
      <c r="A2003" s="1">
        <v>7500</v>
      </c>
      <c r="B2003" s="1">
        <v>10</v>
      </c>
    </row>
    <row r="2004" spans="1:2" x14ac:dyDescent="0.15">
      <c r="A2004" s="1">
        <v>19485</v>
      </c>
      <c r="B2004" s="1">
        <v>10</v>
      </c>
    </row>
    <row r="2005" spans="1:2" x14ac:dyDescent="0.15">
      <c r="A2005" s="1">
        <v>42997</v>
      </c>
      <c r="B2005" s="1">
        <v>10</v>
      </c>
    </row>
    <row r="2006" spans="1:2" x14ac:dyDescent="0.15">
      <c r="A2006" s="1">
        <v>26326</v>
      </c>
      <c r="B2006" s="1">
        <v>9</v>
      </c>
    </row>
    <row r="2007" spans="1:2" x14ac:dyDescent="0.15">
      <c r="A2007" s="1">
        <v>38285</v>
      </c>
      <c r="B2007" s="1">
        <v>9</v>
      </c>
    </row>
    <row r="2008" spans="1:2" x14ac:dyDescent="0.15">
      <c r="A2008" s="1">
        <v>18492</v>
      </c>
      <c r="B2008" s="1">
        <v>9</v>
      </c>
    </row>
    <row r="2009" spans="1:2" x14ac:dyDescent="0.15">
      <c r="A2009" s="1">
        <v>20427</v>
      </c>
      <c r="B2009" s="1">
        <v>9</v>
      </c>
    </row>
    <row r="2010" spans="1:2" x14ac:dyDescent="0.15">
      <c r="A2010" s="1">
        <v>23536</v>
      </c>
      <c r="B2010" s="1">
        <v>9</v>
      </c>
    </row>
    <row r="2011" spans="1:2" x14ac:dyDescent="0.15">
      <c r="A2011" s="1">
        <v>17688</v>
      </c>
      <c r="B2011" s="1">
        <v>9</v>
      </c>
    </row>
    <row r="2012" spans="1:2" x14ac:dyDescent="0.15">
      <c r="A2012" s="1">
        <v>30523</v>
      </c>
      <c r="B2012" s="1">
        <v>8</v>
      </c>
    </row>
    <row r="2013" spans="1:2" x14ac:dyDescent="0.15">
      <c r="A2013" s="1">
        <v>14421</v>
      </c>
      <c r="B2013" s="1">
        <v>8</v>
      </c>
    </row>
    <row r="2014" spans="1:2" x14ac:dyDescent="0.15">
      <c r="A2014" s="1">
        <v>34578</v>
      </c>
      <c r="B2014" s="1">
        <v>8</v>
      </c>
    </row>
    <row r="2015" spans="1:2" x14ac:dyDescent="0.15">
      <c r="A2015" s="1">
        <v>32583</v>
      </c>
      <c r="B2015" s="1">
        <v>8</v>
      </c>
    </row>
    <row r="2016" spans="1:2" x14ac:dyDescent="0.15">
      <c r="A2016" s="1">
        <v>4023</v>
      </c>
      <c r="B2016" s="1">
        <v>8</v>
      </c>
    </row>
    <row r="2017" spans="1:2" x14ac:dyDescent="0.15">
      <c r="A2017" s="1">
        <v>11448</v>
      </c>
      <c r="B2017" s="1">
        <v>8</v>
      </c>
    </row>
    <row r="2018" spans="1:2" x14ac:dyDescent="0.15">
      <c r="A2018" s="1">
        <v>25176</v>
      </c>
      <c r="B2018" s="1">
        <v>8</v>
      </c>
    </row>
    <row r="2019" spans="1:2" x14ac:dyDescent="0.15">
      <c r="A2019" s="1">
        <v>1730</v>
      </c>
      <c r="B2019" s="1">
        <v>7</v>
      </c>
    </row>
    <row r="2020" spans="1:2" x14ac:dyDescent="0.15">
      <c r="A2020" s="1">
        <v>33590</v>
      </c>
      <c r="B2020" s="1">
        <v>6</v>
      </c>
    </row>
    <row r="2021" spans="1:2" x14ac:dyDescent="0.15">
      <c r="A2021" s="1">
        <v>4861</v>
      </c>
      <c r="B2021" s="1">
        <v>5</v>
      </c>
    </row>
    <row r="2022" spans="1:2" x14ac:dyDescent="0.15">
      <c r="A2022" s="1">
        <v>3502</v>
      </c>
      <c r="B2022" s="1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C076-F35D-3F4B-B10F-435860CC015B}">
  <dimension ref="A1:D15"/>
  <sheetViews>
    <sheetView zoomScale="120" zoomScaleNormal="120" workbookViewId="0">
      <selection activeCell="L34" sqref="L34"/>
    </sheetView>
  </sheetViews>
  <sheetFormatPr baseColWidth="10" defaultRowHeight="13" x14ac:dyDescent="0.15"/>
  <cols>
    <col min="1" max="1" width="14.5" bestFit="1" customWidth="1"/>
    <col min="2" max="2" width="15.1640625" bestFit="1" customWidth="1"/>
    <col min="3" max="3" width="14.1640625" bestFit="1" customWidth="1"/>
    <col min="4" max="4" width="13.1640625" bestFit="1" customWidth="1"/>
  </cols>
  <sheetData>
    <row r="1" spans="1:4" x14ac:dyDescent="0.15">
      <c r="A1" s="6" t="s">
        <v>24</v>
      </c>
      <c r="B1" t="s">
        <v>54</v>
      </c>
    </row>
    <row r="3" spans="1:4" x14ac:dyDescent="0.15">
      <c r="A3" s="6" t="s">
        <v>55</v>
      </c>
      <c r="B3" t="s">
        <v>47</v>
      </c>
      <c r="C3" t="s">
        <v>46</v>
      </c>
      <c r="D3" t="s">
        <v>41</v>
      </c>
    </row>
    <row r="4" spans="1:4" x14ac:dyDescent="0.15">
      <c r="A4" s="7">
        <v>0</v>
      </c>
      <c r="B4" s="10">
        <v>1166</v>
      </c>
      <c r="C4" s="10">
        <v>986364</v>
      </c>
      <c r="D4" s="10">
        <v>845.93825042881645</v>
      </c>
    </row>
    <row r="5" spans="1:4" x14ac:dyDescent="0.15">
      <c r="A5" s="7">
        <v>1</v>
      </c>
      <c r="B5" s="10">
        <v>814</v>
      </c>
      <c r="C5" s="10">
        <v>148652</v>
      </c>
      <c r="D5" s="10">
        <v>182.61916461916462</v>
      </c>
    </row>
    <row r="6" spans="1:4" x14ac:dyDescent="0.15">
      <c r="A6" s="7">
        <v>2</v>
      </c>
      <c r="B6" s="10">
        <v>41</v>
      </c>
      <c r="C6" s="10">
        <v>4402</v>
      </c>
      <c r="D6" s="10">
        <v>107.36585365853658</v>
      </c>
    </row>
    <row r="7" spans="1:4" x14ac:dyDescent="0.15">
      <c r="A7" s="7" t="s">
        <v>45</v>
      </c>
      <c r="B7" s="10">
        <v>2021</v>
      </c>
      <c r="C7" s="10">
        <v>1139418</v>
      </c>
      <c r="D7" s="10">
        <v>563.78921326076204</v>
      </c>
    </row>
    <row r="15" spans="1:4" x14ac:dyDescent="0.15">
      <c r="D15" s="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3266-C7E7-4EE2-84EC-4C58D1EF7969}">
  <dimension ref="A1:H7"/>
  <sheetViews>
    <sheetView zoomScale="160" zoomScaleNormal="160" workbookViewId="0">
      <selection activeCell="G12" sqref="G12"/>
    </sheetView>
  </sheetViews>
  <sheetFormatPr baseColWidth="10" defaultColWidth="8.83203125" defaultRowHeight="13" x14ac:dyDescent="0.15"/>
  <cols>
    <col min="1" max="1" width="20.5" bestFit="1" customWidth="1"/>
    <col min="2" max="2" width="14.1640625" bestFit="1" customWidth="1"/>
    <col min="3" max="3" width="13.6640625" bestFit="1" customWidth="1"/>
    <col min="7" max="7" width="11.6640625" bestFit="1" customWidth="1"/>
    <col min="8" max="8" width="12.83203125" bestFit="1" customWidth="1"/>
  </cols>
  <sheetData>
    <row r="1" spans="1:8" x14ac:dyDescent="0.15">
      <c r="B1" t="s">
        <v>38</v>
      </c>
      <c r="C1" t="s">
        <v>39</v>
      </c>
    </row>
    <row r="2" spans="1:8" x14ac:dyDescent="0.15">
      <c r="A2" s="8" t="s">
        <v>51</v>
      </c>
      <c r="B2">
        <f>COUNT('Main Data set'!B:B)</f>
        <v>2021</v>
      </c>
      <c r="C2">
        <f>SUBTOTAL(2,'Main Data set'!B:B)</f>
        <v>311</v>
      </c>
      <c r="H2" s="3"/>
    </row>
    <row r="3" spans="1:8" x14ac:dyDescent="0.15">
      <c r="A3" t="s">
        <v>40</v>
      </c>
      <c r="B3">
        <f>MAX('Main Data set'!Z:Z)</f>
        <v>80</v>
      </c>
      <c r="C3">
        <f>SUBTOTAL(4,'Main Data set'!Z:Z)</f>
        <v>77</v>
      </c>
      <c r="H3" s="3"/>
    </row>
    <row r="4" spans="1:8" x14ac:dyDescent="0.15">
      <c r="A4" t="s">
        <v>41</v>
      </c>
      <c r="B4" s="3">
        <f>AVERAGE('Main Data set'!C:C)</f>
        <v>563.78921326076204</v>
      </c>
      <c r="C4" s="3">
        <f>SUBTOTAL(1,'Main Data set'!C:C)</f>
        <v>917.2636655948553</v>
      </c>
    </row>
    <row r="5" spans="1:8" x14ac:dyDescent="0.15">
      <c r="A5" t="s">
        <v>42</v>
      </c>
      <c r="B5" s="3">
        <f>SUM('Main Data set'!C:C)</f>
        <v>1139418</v>
      </c>
      <c r="C5" s="3">
        <f>SUBTOTAL(9,'Main Data set'!C:C)</f>
        <v>285269</v>
      </c>
    </row>
    <row r="6" spans="1:8" x14ac:dyDescent="0.15">
      <c r="A6" t="s">
        <v>43</v>
      </c>
      <c r="B6">
        <f>MIN('Main Data set'!AB:AB)</f>
        <v>2159</v>
      </c>
      <c r="C6">
        <f>SUBTOTAL(5,'Main Data set'!AB:AB)</f>
        <v>2165</v>
      </c>
    </row>
    <row r="7" spans="1:8" x14ac:dyDescent="0.15">
      <c r="A7" s="8" t="s">
        <v>53</v>
      </c>
      <c r="B7" s="9">
        <f>AVERAGE('Main Data set'!Z:Z)</f>
        <v>51.117268678871845</v>
      </c>
      <c r="C7" s="9">
        <f>SUBTOTAL(1,'Main Data set'!Z:Z)</f>
        <v>50.40192926045016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98FF-04C9-2244-A7BC-6B8E75627663}">
  <dimension ref="A1:C6"/>
  <sheetViews>
    <sheetView zoomScale="160" zoomScaleNormal="160" workbookViewId="0">
      <selection activeCell="C17" sqref="C17"/>
    </sheetView>
  </sheetViews>
  <sheetFormatPr baseColWidth="10" defaultRowHeight="13" x14ac:dyDescent="0.15"/>
  <cols>
    <col min="1" max="1" width="14.6640625" bestFit="1" customWidth="1"/>
    <col min="2" max="2" width="20.6640625" bestFit="1" customWidth="1"/>
    <col min="3" max="3" width="28.5" customWidth="1"/>
  </cols>
  <sheetData>
    <row r="1" spans="1:3" x14ac:dyDescent="0.15">
      <c r="A1" s="8" t="s">
        <v>48</v>
      </c>
      <c r="B1" s="8" t="s">
        <v>49</v>
      </c>
      <c r="C1" s="8" t="s">
        <v>50</v>
      </c>
    </row>
    <row r="2" spans="1:3" x14ac:dyDescent="0.15">
      <c r="A2">
        <v>99</v>
      </c>
      <c r="B2">
        <f>VLOOKUP(A2,'Main Data set'!A:C, 3,FALSE)</f>
        <v>890</v>
      </c>
      <c r="C2">
        <f>_xlfn.XLOOKUP(A2,'Main Data set'!A:A,'Main Data set'!C:C)</f>
        <v>890</v>
      </c>
    </row>
    <row r="3" spans="1:3" x14ac:dyDescent="0.15">
      <c r="A3">
        <v>1</v>
      </c>
      <c r="B3">
        <f>VLOOKUP(A3,'Main Data set'!A:C, 3,FALSE)</f>
        <v>2491</v>
      </c>
      <c r="C3">
        <f>_xlfn.XLOOKUP(A3,'Main Data set'!A:A,'Main Data set'!C:C)</f>
        <v>2491</v>
      </c>
    </row>
    <row r="4" spans="1:3" x14ac:dyDescent="0.15">
      <c r="A4">
        <v>1000</v>
      </c>
      <c r="B4">
        <f>VLOOKUP(A4,'Main Data set'!A:C, 3,FALSE)</f>
        <v>497</v>
      </c>
      <c r="C4">
        <f>_xlfn.XLOOKUP(A4,'Main Data set'!A:A,'Main Data set'!C:C)</f>
        <v>497</v>
      </c>
    </row>
    <row r="5" spans="1:3" x14ac:dyDescent="0.15">
      <c r="A5">
        <v>9</v>
      </c>
      <c r="B5">
        <f>VLOOKUP(A5,'Main Data set'!A:C, 3,FALSE)</f>
        <v>2429</v>
      </c>
      <c r="C5">
        <f>_xlfn.XLOOKUP(A5,'Main Data set'!A:A,'Main Data set'!C:C)</f>
        <v>2429</v>
      </c>
    </row>
    <row r="6" spans="1:3" x14ac:dyDescent="0.15">
      <c r="A6">
        <v>44</v>
      </c>
      <c r="B6">
        <f>VLOOKUP(A6,'Main Data set'!A:C, 3,FALSE)</f>
        <v>2158</v>
      </c>
      <c r="C6">
        <f>_xlfn.XLOOKUP(A6,'Main Data set'!A:A,'Main Data set'!C:C)</f>
        <v>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 set</vt:lpstr>
      <vt:lpstr>Graphs</vt:lpstr>
      <vt:lpstr>Pivot Table</vt:lpstr>
      <vt:lpstr>Summary</vt:lpstr>
      <vt:lpstr>ID to Spent 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Luke Burbank</cp:lastModifiedBy>
  <cp:revision/>
  <dcterms:created xsi:type="dcterms:W3CDTF">2026-04-15T16:36:18Z</dcterms:created>
  <dcterms:modified xsi:type="dcterms:W3CDTF">2026-04-22T15:32:47Z</dcterms:modified>
  <cp:category/>
  <cp:contentStatus/>
</cp:coreProperties>
</file>